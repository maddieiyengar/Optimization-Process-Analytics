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madhu\Videos\"/>
    </mc:Choice>
  </mc:AlternateContent>
  <xr:revisionPtr revIDLastSave="0" documentId="13_ncr:1_{3DCBD992-2CBC-4E1F-80E1-0471F1744F12}" xr6:coauthVersionLast="47" xr6:coauthVersionMax="47" xr10:uidLastSave="{00000000-0000-0000-0000-000000000000}"/>
  <bookViews>
    <workbookView xWindow="-108" yWindow="-108" windowWidth="23256" windowHeight="12456" firstSheet="8" activeTab="10" xr2:uid="{00000000-000D-0000-FFFF-FFFF00000000}"/>
  </bookViews>
  <sheets>
    <sheet name="Part 1" sheetId="1" r:id="rId1"/>
    <sheet name="SentimentsWithTicker" sheetId="2" r:id="rId2"/>
    <sheet name="Ticker Summary Table" sheetId="3" r:id="rId3"/>
    <sheet name="Sentiment Distribution" sheetId="6" r:id="rId4"/>
    <sheet name="Sentiment by scrape date" sheetId="8" r:id="rId5"/>
    <sheet name="SentimentByTicker " sheetId="18" r:id="rId6"/>
    <sheet name="P2_Ticker comparison" sheetId="19" r:id="rId7"/>
    <sheet name="P2_Analysis" sheetId="20" r:id="rId8"/>
    <sheet name="P2_key stats" sheetId="21" r:id="rId9"/>
    <sheet name="Part 3 - Sentiment Score" sheetId="22" r:id="rId10"/>
    <sheet name="Part 4 - Step 1-3" sheetId="23" r:id="rId11"/>
    <sheet name="Part 4 - Step 4-7" sheetId="24" r:id="rId12"/>
    <sheet name="P5 Reflection" sheetId="25" r:id="rId13"/>
  </sheets>
  <functionGroups builtInGroupCount="19"/>
  <externalReferences>
    <externalReference r:id="rId14"/>
  </externalReferences>
  <definedNames>
    <definedName name="_xlnm._FilterDatabase" localSheetId="9" hidden="1">'Part 3 - Sentiment Score'!$A$2:$D$71</definedName>
    <definedName name="_xleta.DATE" hidden="1" xlm="1">#NAME?</definedName>
    <definedName name="_xleta.N" hidden="1" xlm="1">#NAME?</definedName>
  </definedNames>
  <calcPr calcId="191028"/>
  <pivotCaches>
    <pivotCache cacheId="4" r:id="rId15"/>
    <pivotCache cacheId="5" r:id="rId16"/>
    <pivotCache cacheId="6"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W58" i="24" l="1"/>
  <c r="M58" i="24"/>
  <c r="DM57" i="24"/>
  <c r="CG57" i="24"/>
  <c r="BA57" i="24"/>
  <c r="U57" i="24"/>
  <c r="EF56" i="24"/>
  <c r="EG58" i="24" s="1"/>
  <c r="ED56" i="24"/>
  <c r="EE58" i="24" s="1"/>
  <c r="EB56" i="24"/>
  <c r="EC58" i="24" s="1"/>
  <c r="DZ56" i="24"/>
  <c r="EA58" i="24" s="1"/>
  <c r="DX56" i="24"/>
  <c r="DY58" i="24" s="1"/>
  <c r="DV56" i="24"/>
  <c r="DW57" i="24" s="1"/>
  <c r="DT56" i="24"/>
  <c r="DU58" i="24" s="1"/>
  <c r="DR56" i="24"/>
  <c r="DS58" i="24" s="1"/>
  <c r="DP56" i="24"/>
  <c r="DQ58" i="24" s="1"/>
  <c r="DN56" i="24"/>
  <c r="DO58" i="24" s="1"/>
  <c r="DL56" i="24"/>
  <c r="DM58" i="24" s="1"/>
  <c r="DJ56" i="24"/>
  <c r="DK58" i="24" s="1"/>
  <c r="DH56" i="24"/>
  <c r="DI58" i="24" s="1"/>
  <c r="DF56" i="24"/>
  <c r="DG58" i="24" s="1"/>
  <c r="DD56" i="24"/>
  <c r="DE58" i="24" s="1"/>
  <c r="DB56" i="24"/>
  <c r="DC58" i="24" s="1"/>
  <c r="CZ56" i="24"/>
  <c r="DA58" i="24" s="1"/>
  <c r="CX56" i="24"/>
  <c r="CY58" i="24" s="1"/>
  <c r="CV56" i="24"/>
  <c r="CW58" i="24" s="1"/>
  <c r="CT56" i="24"/>
  <c r="CU58" i="24" s="1"/>
  <c r="CR56" i="24"/>
  <c r="CS58" i="24" s="1"/>
  <c r="CP56" i="24"/>
  <c r="CQ58" i="24" s="1"/>
  <c r="CN56" i="24"/>
  <c r="CO58" i="24" s="1"/>
  <c r="CL56" i="24"/>
  <c r="CM58" i="24" s="1"/>
  <c r="CJ56" i="24"/>
  <c r="CK58" i="24" s="1"/>
  <c r="CH56" i="24"/>
  <c r="CI58" i="24" s="1"/>
  <c r="CF56" i="24"/>
  <c r="CG58" i="24" s="1"/>
  <c r="CD56" i="24"/>
  <c r="CE58" i="24" s="1"/>
  <c r="CB56" i="24"/>
  <c r="CC58" i="24" s="1"/>
  <c r="BZ56" i="24"/>
  <c r="CA58" i="24" s="1"/>
  <c r="BX56" i="24"/>
  <c r="BY58" i="24" s="1"/>
  <c r="BV56" i="24"/>
  <c r="BW58" i="24" s="1"/>
  <c r="BT56" i="24"/>
  <c r="BU58" i="24" s="1"/>
  <c r="BR56" i="24"/>
  <c r="BS58" i="24" s="1"/>
  <c r="BP56" i="24"/>
  <c r="BQ58" i="24" s="1"/>
  <c r="BN56" i="24"/>
  <c r="BO58" i="24" s="1"/>
  <c r="BL56" i="24"/>
  <c r="BM58" i="24" s="1"/>
  <c r="BJ56" i="24"/>
  <c r="BK58" i="24" s="1"/>
  <c r="BH56" i="24"/>
  <c r="BI58" i="24" s="1"/>
  <c r="BF56" i="24"/>
  <c r="BG58" i="24" s="1"/>
  <c r="BD56" i="24"/>
  <c r="BE58" i="24" s="1"/>
  <c r="BB56" i="24"/>
  <c r="BC58" i="24" s="1"/>
  <c r="AZ56" i="24"/>
  <c r="BA58" i="24" s="1"/>
  <c r="AX56" i="24"/>
  <c r="AY58" i="24" s="1"/>
  <c r="AV56" i="24"/>
  <c r="AW58" i="24" s="1"/>
  <c r="AT56" i="24"/>
  <c r="AU58" i="24" s="1"/>
  <c r="AR56" i="24"/>
  <c r="AS58" i="24" s="1"/>
  <c r="AP56" i="24"/>
  <c r="AQ58" i="24" s="1"/>
  <c r="AN56" i="24"/>
  <c r="AO58" i="24" s="1"/>
  <c r="AL56" i="24"/>
  <c r="AM58" i="24" s="1"/>
  <c r="AJ56" i="24"/>
  <c r="AK58" i="24" s="1"/>
  <c r="AH56" i="24"/>
  <c r="AI58" i="24" s="1"/>
  <c r="AF56" i="24"/>
  <c r="AG58" i="24" s="1"/>
  <c r="AD56" i="24"/>
  <c r="AE58" i="24" s="1"/>
  <c r="AB56" i="24"/>
  <c r="AC58" i="24" s="1"/>
  <c r="Z56" i="24"/>
  <c r="AA58" i="24" s="1"/>
  <c r="X56" i="24"/>
  <c r="Y58" i="24" s="1"/>
  <c r="V56" i="24"/>
  <c r="W58" i="24" s="1"/>
  <c r="T56" i="24"/>
  <c r="U58" i="24" s="1"/>
  <c r="R56" i="24"/>
  <c r="S58" i="24" s="1"/>
  <c r="P56" i="24"/>
  <c r="Q58" i="24" s="1"/>
  <c r="N56" i="24"/>
  <c r="O58" i="24" s="1"/>
  <c r="L56" i="24"/>
  <c r="M57" i="24" s="1"/>
  <c r="J56" i="24"/>
  <c r="K58" i="24" s="1"/>
  <c r="H56" i="24"/>
  <c r="I58" i="24" s="1"/>
  <c r="F56" i="24"/>
  <c r="G58" i="24" s="1"/>
  <c r="D56" i="24"/>
  <c r="E58" i="24" s="1"/>
  <c r="B56" i="24"/>
  <c r="C58" i="24" s="1"/>
  <c r="EG50" i="24"/>
  <c r="EE50" i="24"/>
  <c r="EC50" i="24"/>
  <c r="EA50" i="24"/>
  <c r="DY50" i="24"/>
  <c r="DW50" i="24"/>
  <c r="DU50" i="24"/>
  <c r="DS50" i="24"/>
  <c r="DQ50" i="24"/>
  <c r="DO50" i="24"/>
  <c r="DM50" i="24"/>
  <c r="DK50" i="24"/>
  <c r="DI50" i="24"/>
  <c r="DG50" i="24"/>
  <c r="DE50" i="24"/>
  <c r="DC50" i="24"/>
  <c r="DA50" i="24"/>
  <c r="CY50" i="24"/>
  <c r="CW50" i="24"/>
  <c r="CU50" i="24"/>
  <c r="CS50" i="24"/>
  <c r="CQ50" i="24"/>
  <c r="CO50" i="24"/>
  <c r="CM50" i="24"/>
  <c r="CK50" i="24"/>
  <c r="CI50" i="24"/>
  <c r="CG50" i="24"/>
  <c r="CE50" i="24"/>
  <c r="CC50" i="24"/>
  <c r="CA50" i="24"/>
  <c r="BY50" i="24"/>
  <c r="BW50" i="24"/>
  <c r="BU50" i="24"/>
  <c r="BS50" i="24"/>
  <c r="BQ50" i="24"/>
  <c r="BO50" i="24"/>
  <c r="BM50" i="24"/>
  <c r="BK50" i="24"/>
  <c r="BI50" i="24"/>
  <c r="BG50" i="24"/>
  <c r="BE50" i="24"/>
  <c r="BC50" i="24"/>
  <c r="BA50" i="24"/>
  <c r="AY50" i="24"/>
  <c r="AW50" i="24"/>
  <c r="AU50" i="24"/>
  <c r="AS50" i="24"/>
  <c r="AQ50" i="24"/>
  <c r="AO50" i="24"/>
  <c r="AM50" i="24"/>
  <c r="AK50" i="24"/>
  <c r="AI50" i="24"/>
  <c r="AG50" i="24"/>
  <c r="AE50" i="24"/>
  <c r="AC50" i="24"/>
  <c r="AA50" i="24"/>
  <c r="Y50" i="24"/>
  <c r="W50" i="24"/>
  <c r="U50" i="24"/>
  <c r="S50" i="24"/>
  <c r="Q50" i="24"/>
  <c r="O50" i="24"/>
  <c r="M50" i="24"/>
  <c r="K50" i="24"/>
  <c r="I50" i="24"/>
  <c r="G50" i="24"/>
  <c r="E50" i="24"/>
  <c r="C50" i="24"/>
  <c r="EG49" i="24"/>
  <c r="EE49" i="24"/>
  <c r="EC49" i="24"/>
  <c r="EA49" i="24"/>
  <c r="DY49" i="24"/>
  <c r="DW49" i="24"/>
  <c r="DU49" i="24"/>
  <c r="DS49" i="24"/>
  <c r="DQ49" i="24"/>
  <c r="DO49" i="24"/>
  <c r="DM49" i="24"/>
  <c r="DK49" i="24"/>
  <c r="DI49" i="24"/>
  <c r="DG49" i="24"/>
  <c r="DE49" i="24"/>
  <c r="DC49" i="24"/>
  <c r="DA49" i="24"/>
  <c r="CY49" i="24"/>
  <c r="CW49" i="24"/>
  <c r="CU49" i="24"/>
  <c r="CS49" i="24"/>
  <c r="CQ49" i="24"/>
  <c r="CO49" i="24"/>
  <c r="CM49" i="24"/>
  <c r="CK49" i="24"/>
  <c r="CI49" i="24"/>
  <c r="CG49" i="24"/>
  <c r="CE49" i="24"/>
  <c r="CC49" i="24"/>
  <c r="CA49" i="24"/>
  <c r="BY49" i="24"/>
  <c r="BW49" i="24"/>
  <c r="BU49" i="24"/>
  <c r="BS49" i="24"/>
  <c r="BQ49" i="24"/>
  <c r="BO49" i="24"/>
  <c r="BM49" i="24"/>
  <c r="BK49" i="24"/>
  <c r="BI49" i="24"/>
  <c r="BG49" i="24"/>
  <c r="BE49" i="24"/>
  <c r="BC49" i="24"/>
  <c r="BA49" i="24"/>
  <c r="AY49" i="24"/>
  <c r="AW49" i="24"/>
  <c r="AU49" i="24"/>
  <c r="AS49" i="24"/>
  <c r="AQ49" i="24"/>
  <c r="AO49" i="24"/>
  <c r="AM49" i="24"/>
  <c r="AK49" i="24"/>
  <c r="AI49" i="24"/>
  <c r="AG49" i="24"/>
  <c r="AE49" i="24"/>
  <c r="AC49" i="24"/>
  <c r="AA49" i="24"/>
  <c r="Y49" i="24"/>
  <c r="W49" i="24"/>
  <c r="U49" i="24"/>
  <c r="S49" i="24"/>
  <c r="Q49" i="24"/>
  <c r="O49" i="24"/>
  <c r="M49" i="24"/>
  <c r="K49" i="24"/>
  <c r="I49" i="24"/>
  <c r="G49" i="24"/>
  <c r="E49" i="24"/>
  <c r="C49" i="24"/>
  <c r="EG48" i="24"/>
  <c r="EE48" i="24"/>
  <c r="EC48" i="24"/>
  <c r="EA48" i="24"/>
  <c r="DY48" i="24"/>
  <c r="DW48" i="24"/>
  <c r="DU48" i="24"/>
  <c r="DS48" i="24"/>
  <c r="DQ48" i="24"/>
  <c r="DO48" i="24"/>
  <c r="DM48" i="24"/>
  <c r="DK48" i="24"/>
  <c r="DI48" i="24"/>
  <c r="DG48" i="24"/>
  <c r="DE48" i="24"/>
  <c r="DC48" i="24"/>
  <c r="DA48" i="24"/>
  <c r="CY48" i="24"/>
  <c r="CW48" i="24"/>
  <c r="CU48" i="24"/>
  <c r="CS48" i="24"/>
  <c r="CQ48" i="24"/>
  <c r="CO48" i="24"/>
  <c r="CM48" i="24"/>
  <c r="CK48" i="24"/>
  <c r="CI48" i="24"/>
  <c r="CG48" i="24"/>
  <c r="CE48" i="24"/>
  <c r="CC48" i="24"/>
  <c r="CA48" i="24"/>
  <c r="BY48" i="24"/>
  <c r="BW48" i="24"/>
  <c r="BU48" i="24"/>
  <c r="BS48" i="24"/>
  <c r="BQ48" i="24"/>
  <c r="BO48" i="24"/>
  <c r="BM48" i="24"/>
  <c r="BK48" i="24"/>
  <c r="BI48" i="24"/>
  <c r="BG48" i="24"/>
  <c r="BE48" i="24"/>
  <c r="BC48" i="24"/>
  <c r="BA48" i="24"/>
  <c r="AY48" i="24"/>
  <c r="AW48" i="24"/>
  <c r="AU48" i="24"/>
  <c r="AS48" i="24"/>
  <c r="AQ48" i="24"/>
  <c r="AO48" i="24"/>
  <c r="AM48" i="24"/>
  <c r="AK48" i="24"/>
  <c r="AI48" i="24"/>
  <c r="AG48" i="24"/>
  <c r="AE48" i="24"/>
  <c r="AC48" i="24"/>
  <c r="AA48" i="24"/>
  <c r="Y48" i="24"/>
  <c r="W48" i="24"/>
  <c r="U48" i="24"/>
  <c r="S48" i="24"/>
  <c r="Q48" i="24"/>
  <c r="O48" i="24"/>
  <c r="M48" i="24"/>
  <c r="K48" i="24"/>
  <c r="I48" i="24"/>
  <c r="G48" i="24"/>
  <c r="E48" i="24"/>
  <c r="C48" i="24"/>
  <c r="EG47" i="24"/>
  <c r="EE47" i="24"/>
  <c r="EC47" i="24"/>
  <c r="EA47" i="24"/>
  <c r="DY47" i="24"/>
  <c r="DW47" i="24"/>
  <c r="DU47" i="24"/>
  <c r="DS47" i="24"/>
  <c r="DQ47" i="24"/>
  <c r="DO47" i="24"/>
  <c r="DM47" i="24"/>
  <c r="DK47" i="24"/>
  <c r="DI47" i="24"/>
  <c r="DG47" i="24"/>
  <c r="DE47" i="24"/>
  <c r="DC47" i="24"/>
  <c r="DA47" i="24"/>
  <c r="CY47" i="24"/>
  <c r="CW47" i="24"/>
  <c r="CU47" i="24"/>
  <c r="CS47" i="24"/>
  <c r="CQ47" i="24"/>
  <c r="CO47" i="24"/>
  <c r="CM47" i="24"/>
  <c r="CK47" i="24"/>
  <c r="CI47" i="24"/>
  <c r="CG47" i="24"/>
  <c r="CE47" i="24"/>
  <c r="CC47" i="24"/>
  <c r="CA47" i="24"/>
  <c r="BY47" i="24"/>
  <c r="BW47" i="24"/>
  <c r="BU47" i="24"/>
  <c r="BS47" i="24"/>
  <c r="BQ47" i="24"/>
  <c r="BO47" i="24"/>
  <c r="BM47" i="24"/>
  <c r="BK47" i="24"/>
  <c r="BI47" i="24"/>
  <c r="BG47" i="24"/>
  <c r="BE47" i="24"/>
  <c r="BC47" i="24"/>
  <c r="BA47" i="24"/>
  <c r="AY47" i="24"/>
  <c r="AW47" i="24"/>
  <c r="AU47" i="24"/>
  <c r="AS47" i="24"/>
  <c r="AQ47" i="24"/>
  <c r="AO47" i="24"/>
  <c r="AM47" i="24"/>
  <c r="AK47" i="24"/>
  <c r="AI47" i="24"/>
  <c r="AG47" i="24"/>
  <c r="AE47" i="24"/>
  <c r="AC47" i="24"/>
  <c r="AA47" i="24"/>
  <c r="Y47" i="24"/>
  <c r="W47" i="24"/>
  <c r="U47" i="24"/>
  <c r="S47" i="24"/>
  <c r="Q47" i="24"/>
  <c r="O47" i="24"/>
  <c r="M47" i="24"/>
  <c r="K47" i="24"/>
  <c r="I47" i="24"/>
  <c r="G47" i="24"/>
  <c r="E47" i="24"/>
  <c r="C47" i="24"/>
  <c r="EG46" i="24"/>
  <c r="EE46" i="24"/>
  <c r="EC46" i="24"/>
  <c r="EA46" i="24"/>
  <c r="DY46" i="24"/>
  <c r="DW46" i="24"/>
  <c r="DU46" i="24"/>
  <c r="DS46" i="24"/>
  <c r="DQ46" i="24"/>
  <c r="DO46" i="24"/>
  <c r="DM46" i="24"/>
  <c r="DK46" i="24"/>
  <c r="DI46" i="24"/>
  <c r="DG46" i="24"/>
  <c r="DE46" i="24"/>
  <c r="DC46" i="24"/>
  <c r="DA46" i="24"/>
  <c r="CY46" i="24"/>
  <c r="CW46" i="24"/>
  <c r="CU46" i="24"/>
  <c r="CS46" i="24"/>
  <c r="CQ46" i="24"/>
  <c r="CO46" i="24"/>
  <c r="CM46" i="24"/>
  <c r="CK46" i="24"/>
  <c r="CI46" i="24"/>
  <c r="CG46" i="24"/>
  <c r="CE46" i="24"/>
  <c r="CC46" i="24"/>
  <c r="CA46" i="24"/>
  <c r="BY46" i="24"/>
  <c r="BW46" i="24"/>
  <c r="BU46" i="24"/>
  <c r="BS46" i="24"/>
  <c r="BQ46" i="24"/>
  <c r="BO46" i="24"/>
  <c r="BM46" i="24"/>
  <c r="BK46" i="24"/>
  <c r="BI46" i="24"/>
  <c r="BG46" i="24"/>
  <c r="BE46" i="24"/>
  <c r="BC46" i="24"/>
  <c r="BA46" i="24"/>
  <c r="AY46" i="24"/>
  <c r="AW46" i="24"/>
  <c r="AU46" i="24"/>
  <c r="AS46" i="24"/>
  <c r="AQ46" i="24"/>
  <c r="AO46" i="24"/>
  <c r="AM46" i="24"/>
  <c r="AK46" i="24"/>
  <c r="AI46" i="24"/>
  <c r="AG46" i="24"/>
  <c r="AE46" i="24"/>
  <c r="AC46" i="24"/>
  <c r="AA46" i="24"/>
  <c r="Y46" i="24"/>
  <c r="W46" i="24"/>
  <c r="U46" i="24"/>
  <c r="S46" i="24"/>
  <c r="Q46" i="24"/>
  <c r="O46" i="24"/>
  <c r="M46" i="24"/>
  <c r="K46" i="24"/>
  <c r="I46" i="24"/>
  <c r="G46" i="24"/>
  <c r="E46" i="24"/>
  <c r="C46" i="24"/>
  <c r="EG45" i="24"/>
  <c r="EE45" i="24"/>
  <c r="EC45" i="24"/>
  <c r="EA45" i="24"/>
  <c r="DY45" i="24"/>
  <c r="DW45" i="24"/>
  <c r="DU45" i="24"/>
  <c r="DS45" i="24"/>
  <c r="DQ45" i="24"/>
  <c r="DO45" i="24"/>
  <c r="DM45" i="24"/>
  <c r="DK45" i="24"/>
  <c r="DI45" i="24"/>
  <c r="DG45" i="24"/>
  <c r="DE45" i="24"/>
  <c r="DC45" i="24"/>
  <c r="DA45" i="24"/>
  <c r="CY45" i="24"/>
  <c r="CW45" i="24"/>
  <c r="CU45" i="24"/>
  <c r="CS45" i="24"/>
  <c r="CQ45" i="24"/>
  <c r="CO45" i="24"/>
  <c r="CM45" i="24"/>
  <c r="CK45" i="24"/>
  <c r="CI45" i="24"/>
  <c r="CG45" i="24"/>
  <c r="CE45" i="24"/>
  <c r="CC45" i="24"/>
  <c r="CA45" i="24"/>
  <c r="BY45" i="24"/>
  <c r="BW45" i="24"/>
  <c r="BU45" i="24"/>
  <c r="BS45" i="24"/>
  <c r="BQ45" i="24"/>
  <c r="BO45" i="24"/>
  <c r="BM45" i="24"/>
  <c r="BK45" i="24"/>
  <c r="BI45" i="24"/>
  <c r="BG45" i="24"/>
  <c r="BE45" i="24"/>
  <c r="BC45" i="24"/>
  <c r="BA45" i="24"/>
  <c r="AY45" i="24"/>
  <c r="AW45" i="24"/>
  <c r="AU45" i="24"/>
  <c r="AS45" i="24"/>
  <c r="AQ45" i="24"/>
  <c r="AO45" i="24"/>
  <c r="AM45" i="24"/>
  <c r="AK45" i="24"/>
  <c r="AI45" i="24"/>
  <c r="AG45" i="24"/>
  <c r="AE45" i="24"/>
  <c r="AC45" i="24"/>
  <c r="AA45" i="24"/>
  <c r="Y45" i="24"/>
  <c r="W45" i="24"/>
  <c r="U45" i="24"/>
  <c r="S45" i="24"/>
  <c r="Q45" i="24"/>
  <c r="O45" i="24"/>
  <c r="M45" i="24"/>
  <c r="K45" i="24"/>
  <c r="I45" i="24"/>
  <c r="G45" i="24"/>
  <c r="E45" i="24"/>
  <c r="C45" i="24"/>
  <c r="EG44" i="24"/>
  <c r="EE44" i="24"/>
  <c r="EC44" i="24"/>
  <c r="EA44" i="24"/>
  <c r="DY44" i="24"/>
  <c r="DW44" i="24"/>
  <c r="DU44" i="24"/>
  <c r="DS44" i="24"/>
  <c r="DQ44" i="24"/>
  <c r="DO44" i="24"/>
  <c r="DM44" i="24"/>
  <c r="DK44" i="24"/>
  <c r="DI44" i="24"/>
  <c r="DG44" i="24"/>
  <c r="DE44" i="24"/>
  <c r="DC44" i="24"/>
  <c r="DA44" i="24"/>
  <c r="CY44" i="24"/>
  <c r="CW44" i="24"/>
  <c r="CU44" i="24"/>
  <c r="CS44" i="24"/>
  <c r="CQ44" i="24"/>
  <c r="CO44" i="24"/>
  <c r="CM44" i="24"/>
  <c r="CK44" i="24"/>
  <c r="CI44" i="24"/>
  <c r="CG44" i="24"/>
  <c r="CE44" i="24"/>
  <c r="CC44" i="24"/>
  <c r="CA44" i="24"/>
  <c r="BY44" i="24"/>
  <c r="BW44" i="24"/>
  <c r="BU44" i="24"/>
  <c r="BS44" i="24"/>
  <c r="BQ44" i="24"/>
  <c r="BO44" i="24"/>
  <c r="BM44" i="24"/>
  <c r="BK44" i="24"/>
  <c r="BI44" i="24"/>
  <c r="BG44" i="24"/>
  <c r="BE44" i="24"/>
  <c r="BC44" i="24"/>
  <c r="BA44" i="24"/>
  <c r="AY44" i="24"/>
  <c r="AW44" i="24"/>
  <c r="AU44" i="24"/>
  <c r="AS44" i="24"/>
  <c r="AQ44" i="24"/>
  <c r="AO44" i="24"/>
  <c r="AM44" i="24"/>
  <c r="AK44" i="24"/>
  <c r="AI44" i="24"/>
  <c r="AG44" i="24"/>
  <c r="AE44" i="24"/>
  <c r="AC44" i="24"/>
  <c r="AA44" i="24"/>
  <c r="Y44" i="24"/>
  <c r="W44" i="24"/>
  <c r="U44" i="24"/>
  <c r="S44" i="24"/>
  <c r="Q44" i="24"/>
  <c r="O44" i="24"/>
  <c r="M44" i="24"/>
  <c r="K44" i="24"/>
  <c r="I44" i="24"/>
  <c r="G44" i="24"/>
  <c r="E44" i="24"/>
  <c r="C44" i="24"/>
  <c r="EG43" i="24"/>
  <c r="EE43" i="24"/>
  <c r="EC43" i="24"/>
  <c r="EA43" i="24"/>
  <c r="DY43" i="24"/>
  <c r="DW43" i="24"/>
  <c r="DU43" i="24"/>
  <c r="DS43" i="24"/>
  <c r="DQ43" i="24"/>
  <c r="DO43" i="24"/>
  <c r="DM43" i="24"/>
  <c r="DK43" i="24"/>
  <c r="DI43" i="24"/>
  <c r="DG43" i="24"/>
  <c r="DE43" i="24"/>
  <c r="DC43" i="24"/>
  <c r="DA43" i="24"/>
  <c r="CY43" i="24"/>
  <c r="CW43" i="24"/>
  <c r="CU43" i="24"/>
  <c r="CS43" i="24"/>
  <c r="CQ43" i="24"/>
  <c r="CO43" i="24"/>
  <c r="CM43" i="24"/>
  <c r="CK43" i="24"/>
  <c r="CI43" i="24"/>
  <c r="CG43" i="24"/>
  <c r="CE43" i="24"/>
  <c r="CC43" i="24"/>
  <c r="CA43" i="24"/>
  <c r="BY43" i="24"/>
  <c r="BW43" i="24"/>
  <c r="BU43" i="24"/>
  <c r="BS43" i="24"/>
  <c r="BQ43" i="24"/>
  <c r="BO43" i="24"/>
  <c r="BM43" i="24"/>
  <c r="BK43" i="24"/>
  <c r="BI43" i="24"/>
  <c r="BG43" i="24"/>
  <c r="BE43" i="24"/>
  <c r="BC43" i="24"/>
  <c r="BA43" i="24"/>
  <c r="AY43" i="24"/>
  <c r="AW43" i="24"/>
  <c r="AU43" i="24"/>
  <c r="AS43" i="24"/>
  <c r="AQ43" i="24"/>
  <c r="AO43" i="24"/>
  <c r="AM43" i="24"/>
  <c r="AK43" i="24"/>
  <c r="AI43" i="24"/>
  <c r="AG43" i="24"/>
  <c r="AE43" i="24"/>
  <c r="AC43" i="24"/>
  <c r="AA43" i="24"/>
  <c r="Y43" i="24"/>
  <c r="W43" i="24"/>
  <c r="U43" i="24"/>
  <c r="S43" i="24"/>
  <c r="Q43" i="24"/>
  <c r="O43" i="24"/>
  <c r="M43" i="24"/>
  <c r="K43" i="24"/>
  <c r="I43" i="24"/>
  <c r="G43" i="24"/>
  <c r="E43" i="24"/>
  <c r="C43" i="24"/>
  <c r="EG42" i="24"/>
  <c r="EE42" i="24"/>
  <c r="EC42" i="24"/>
  <c r="EA42" i="24"/>
  <c r="DY42" i="24"/>
  <c r="DW42" i="24"/>
  <c r="DU42" i="24"/>
  <c r="DS42" i="24"/>
  <c r="DQ42" i="24"/>
  <c r="DO42" i="24"/>
  <c r="DM42" i="24"/>
  <c r="DK42" i="24"/>
  <c r="DI42" i="24"/>
  <c r="DG42" i="24"/>
  <c r="DE42" i="24"/>
  <c r="DC42" i="24"/>
  <c r="DA42" i="24"/>
  <c r="CY42" i="24"/>
  <c r="CW42" i="24"/>
  <c r="CU42" i="24"/>
  <c r="CS42" i="24"/>
  <c r="CQ42" i="24"/>
  <c r="CO42" i="24"/>
  <c r="CM42" i="24"/>
  <c r="CK42" i="24"/>
  <c r="CI42" i="24"/>
  <c r="CG42" i="24"/>
  <c r="CE42" i="24"/>
  <c r="CC42" i="24"/>
  <c r="CA42" i="24"/>
  <c r="BY42" i="24"/>
  <c r="BW42" i="24"/>
  <c r="BU42" i="24"/>
  <c r="BS42" i="24"/>
  <c r="BQ42" i="24"/>
  <c r="BO42" i="24"/>
  <c r="BM42" i="24"/>
  <c r="BK42" i="24"/>
  <c r="BI42" i="24"/>
  <c r="BG42" i="24"/>
  <c r="BE42" i="24"/>
  <c r="BC42" i="24"/>
  <c r="BA42" i="24"/>
  <c r="AY42" i="24"/>
  <c r="AW42" i="24"/>
  <c r="AU42" i="24"/>
  <c r="AS42" i="24"/>
  <c r="AQ42" i="24"/>
  <c r="AO42" i="24"/>
  <c r="AM42" i="24"/>
  <c r="AK42" i="24"/>
  <c r="AI42" i="24"/>
  <c r="AG42" i="24"/>
  <c r="AE42" i="24"/>
  <c r="AC42" i="24"/>
  <c r="AA42" i="24"/>
  <c r="Y42" i="24"/>
  <c r="W42" i="24"/>
  <c r="U42" i="24"/>
  <c r="S42" i="24"/>
  <c r="Q42" i="24"/>
  <c r="O42" i="24"/>
  <c r="M42" i="24"/>
  <c r="K42" i="24"/>
  <c r="I42" i="24"/>
  <c r="G42" i="24"/>
  <c r="E42" i="24"/>
  <c r="C42" i="24"/>
  <c r="EG41" i="24"/>
  <c r="EE41" i="24"/>
  <c r="EC41" i="24"/>
  <c r="EA41" i="24"/>
  <c r="DY41" i="24"/>
  <c r="DW41" i="24"/>
  <c r="DU41" i="24"/>
  <c r="DS41" i="24"/>
  <c r="DQ41" i="24"/>
  <c r="DO41" i="24"/>
  <c r="DM41" i="24"/>
  <c r="DK41" i="24"/>
  <c r="DI41" i="24"/>
  <c r="DG41" i="24"/>
  <c r="DE41" i="24"/>
  <c r="DC41" i="24"/>
  <c r="DA41" i="24"/>
  <c r="CY41" i="24"/>
  <c r="CW41" i="24"/>
  <c r="CU41" i="24"/>
  <c r="CS41" i="24"/>
  <c r="CQ41" i="24"/>
  <c r="CO41" i="24"/>
  <c r="CM41" i="24"/>
  <c r="CK41" i="24"/>
  <c r="CI41" i="24"/>
  <c r="CG41" i="24"/>
  <c r="CE41" i="24"/>
  <c r="CC41" i="24"/>
  <c r="CA41" i="24"/>
  <c r="BY41" i="24"/>
  <c r="BW41" i="24"/>
  <c r="BU41" i="24"/>
  <c r="BS41" i="24"/>
  <c r="BQ41" i="24"/>
  <c r="BO41" i="24"/>
  <c r="BM41" i="24"/>
  <c r="BK41" i="24"/>
  <c r="BI41" i="24"/>
  <c r="BG41" i="24"/>
  <c r="BE41" i="24"/>
  <c r="BC41" i="24"/>
  <c r="BA41" i="24"/>
  <c r="AY41" i="24"/>
  <c r="AW41" i="24"/>
  <c r="AU41" i="24"/>
  <c r="AS41" i="24"/>
  <c r="AQ41" i="24"/>
  <c r="AO41" i="24"/>
  <c r="AM41" i="24"/>
  <c r="AK41" i="24"/>
  <c r="AI41" i="24"/>
  <c r="AG41" i="24"/>
  <c r="AE41" i="24"/>
  <c r="AC41" i="24"/>
  <c r="AA41" i="24"/>
  <c r="Y41" i="24"/>
  <c r="W41" i="24"/>
  <c r="U41" i="24"/>
  <c r="S41" i="24"/>
  <c r="Q41" i="24"/>
  <c r="O41" i="24"/>
  <c r="M41" i="24"/>
  <c r="K41" i="24"/>
  <c r="I41" i="24"/>
  <c r="G41" i="24"/>
  <c r="E41" i="24"/>
  <c r="C41" i="24"/>
  <c r="EG40" i="24"/>
  <c r="EE40" i="24"/>
  <c r="EC40" i="24"/>
  <c r="EA40" i="24"/>
  <c r="DY40" i="24"/>
  <c r="DW40" i="24"/>
  <c r="DU40" i="24"/>
  <c r="DS40" i="24"/>
  <c r="DQ40" i="24"/>
  <c r="DO40" i="24"/>
  <c r="DM40" i="24"/>
  <c r="DK40" i="24"/>
  <c r="DI40" i="24"/>
  <c r="DG40" i="24"/>
  <c r="DE40" i="24"/>
  <c r="DC40" i="24"/>
  <c r="DA40" i="24"/>
  <c r="CY40" i="24"/>
  <c r="CW40" i="24"/>
  <c r="CU40" i="24"/>
  <c r="CS40" i="24"/>
  <c r="CQ40" i="24"/>
  <c r="CO40" i="24"/>
  <c r="CM40" i="24"/>
  <c r="CK40" i="24"/>
  <c r="CI40" i="24"/>
  <c r="CG40" i="24"/>
  <c r="CE40" i="24"/>
  <c r="CC40" i="24"/>
  <c r="CA40" i="24"/>
  <c r="BY40" i="24"/>
  <c r="BW40" i="24"/>
  <c r="BU40" i="24"/>
  <c r="BS40" i="24"/>
  <c r="BQ40" i="24"/>
  <c r="BO40" i="24"/>
  <c r="BM40" i="24"/>
  <c r="BK40" i="24"/>
  <c r="BI40" i="24"/>
  <c r="BG40" i="24"/>
  <c r="BE40" i="24"/>
  <c r="BC40" i="24"/>
  <c r="BA40" i="24"/>
  <c r="AY40" i="24"/>
  <c r="AW40" i="24"/>
  <c r="AU40" i="24"/>
  <c r="AS40" i="24"/>
  <c r="AQ40" i="24"/>
  <c r="AO40" i="24"/>
  <c r="AM40" i="24"/>
  <c r="AK40" i="24"/>
  <c r="AI40" i="24"/>
  <c r="AG40" i="24"/>
  <c r="AE40" i="24"/>
  <c r="AC40" i="24"/>
  <c r="AA40" i="24"/>
  <c r="Y40" i="24"/>
  <c r="W40" i="24"/>
  <c r="U40" i="24"/>
  <c r="S40" i="24"/>
  <c r="Q40" i="24"/>
  <c r="O40" i="24"/>
  <c r="M40" i="24"/>
  <c r="K40" i="24"/>
  <c r="I40" i="24"/>
  <c r="G40" i="24"/>
  <c r="E40" i="24"/>
  <c r="C40" i="24"/>
  <c r="EG39" i="24"/>
  <c r="EE39" i="24"/>
  <c r="EC39" i="24"/>
  <c r="EA39" i="24"/>
  <c r="DY39" i="24"/>
  <c r="DW39" i="24"/>
  <c r="DU39" i="24"/>
  <c r="DS39" i="24"/>
  <c r="DQ39" i="24"/>
  <c r="DO39" i="24"/>
  <c r="DM39" i="24"/>
  <c r="DK39" i="24"/>
  <c r="DI39" i="24"/>
  <c r="DG39" i="24"/>
  <c r="DE39" i="24"/>
  <c r="DC39" i="24"/>
  <c r="DA39" i="24"/>
  <c r="CY39" i="24"/>
  <c r="CW39" i="24"/>
  <c r="CU39" i="24"/>
  <c r="CS39" i="24"/>
  <c r="CQ39" i="24"/>
  <c r="CO39" i="24"/>
  <c r="CM39" i="24"/>
  <c r="CK39" i="24"/>
  <c r="CI39" i="24"/>
  <c r="CG39" i="24"/>
  <c r="CE39" i="24"/>
  <c r="CC39" i="24"/>
  <c r="CA39" i="24"/>
  <c r="BY39" i="24"/>
  <c r="BW39" i="24"/>
  <c r="BU39" i="24"/>
  <c r="BS39" i="24"/>
  <c r="BQ39" i="24"/>
  <c r="BO39" i="24"/>
  <c r="BM39" i="24"/>
  <c r="BK39" i="24"/>
  <c r="BI39" i="24"/>
  <c r="BG39" i="24"/>
  <c r="BE39" i="24"/>
  <c r="BC39" i="24"/>
  <c r="BA39" i="24"/>
  <c r="AY39" i="24"/>
  <c r="AW39" i="24"/>
  <c r="AU39" i="24"/>
  <c r="AS39" i="24"/>
  <c r="AQ39" i="24"/>
  <c r="AO39" i="24"/>
  <c r="AM39" i="24"/>
  <c r="AK39" i="24"/>
  <c r="AI39" i="24"/>
  <c r="AG39" i="24"/>
  <c r="AE39" i="24"/>
  <c r="AC39" i="24"/>
  <c r="AA39" i="24"/>
  <c r="Y39" i="24"/>
  <c r="W39" i="24"/>
  <c r="U39" i="24"/>
  <c r="S39" i="24"/>
  <c r="Q39" i="24"/>
  <c r="O39" i="24"/>
  <c r="M39" i="24"/>
  <c r="K39" i="24"/>
  <c r="I39" i="24"/>
  <c r="G39" i="24"/>
  <c r="E39" i="24"/>
  <c r="C39" i="24"/>
  <c r="EG38" i="24"/>
  <c r="EE38" i="24"/>
  <c r="EC38" i="24"/>
  <c r="EA38" i="24"/>
  <c r="DY38" i="24"/>
  <c r="DW38" i="24"/>
  <c r="DU38" i="24"/>
  <c r="DS38" i="24"/>
  <c r="DQ38" i="24"/>
  <c r="DO38" i="24"/>
  <c r="DM38" i="24"/>
  <c r="DK38" i="24"/>
  <c r="DI38" i="24"/>
  <c r="DG38" i="24"/>
  <c r="DE38" i="24"/>
  <c r="DC38" i="24"/>
  <c r="DA38" i="24"/>
  <c r="CY38" i="24"/>
  <c r="CW38" i="24"/>
  <c r="CU38" i="24"/>
  <c r="CS38" i="24"/>
  <c r="CQ38" i="24"/>
  <c r="CO38" i="24"/>
  <c r="CM38" i="24"/>
  <c r="CK38" i="24"/>
  <c r="CI38" i="24"/>
  <c r="CG38" i="24"/>
  <c r="CE38" i="24"/>
  <c r="CC38" i="24"/>
  <c r="CA38" i="24"/>
  <c r="BY38" i="24"/>
  <c r="BW38" i="24"/>
  <c r="BU38" i="24"/>
  <c r="BS38" i="24"/>
  <c r="BQ38" i="24"/>
  <c r="BO38" i="24"/>
  <c r="BM38" i="24"/>
  <c r="BK38" i="24"/>
  <c r="BI38" i="24"/>
  <c r="BG38" i="24"/>
  <c r="BE38" i="24"/>
  <c r="BC38" i="24"/>
  <c r="BA38" i="24"/>
  <c r="AY38" i="24"/>
  <c r="AW38" i="24"/>
  <c r="AU38" i="24"/>
  <c r="AS38" i="24"/>
  <c r="AQ38" i="24"/>
  <c r="AO38" i="24"/>
  <c r="AM38" i="24"/>
  <c r="AK38" i="24"/>
  <c r="AI38" i="24"/>
  <c r="AG38" i="24"/>
  <c r="AE38" i="24"/>
  <c r="AC38" i="24"/>
  <c r="AA38" i="24"/>
  <c r="Y38" i="24"/>
  <c r="W38" i="24"/>
  <c r="U38" i="24"/>
  <c r="S38" i="24"/>
  <c r="Q38" i="24"/>
  <c r="O38" i="24"/>
  <c r="M38" i="24"/>
  <c r="K38" i="24"/>
  <c r="I38" i="24"/>
  <c r="G38" i="24"/>
  <c r="E38" i="24"/>
  <c r="C38" i="24"/>
  <c r="EG37" i="24"/>
  <c r="EE37" i="24"/>
  <c r="EC37" i="24"/>
  <c r="EA37" i="24"/>
  <c r="DY37" i="24"/>
  <c r="DW37" i="24"/>
  <c r="DU37" i="24"/>
  <c r="DS37" i="24"/>
  <c r="DQ37" i="24"/>
  <c r="DO37" i="24"/>
  <c r="DM37" i="24"/>
  <c r="DK37" i="24"/>
  <c r="DI37" i="24"/>
  <c r="DG37" i="24"/>
  <c r="DE37" i="24"/>
  <c r="DC37" i="24"/>
  <c r="DA37" i="24"/>
  <c r="CY37" i="24"/>
  <c r="CW37" i="24"/>
  <c r="CU37" i="24"/>
  <c r="CS37" i="24"/>
  <c r="CQ37" i="24"/>
  <c r="CO37" i="24"/>
  <c r="CM37" i="24"/>
  <c r="CK37" i="24"/>
  <c r="CI37" i="24"/>
  <c r="CG37" i="24"/>
  <c r="CE37" i="24"/>
  <c r="CC37" i="24"/>
  <c r="CA37" i="24"/>
  <c r="BY37" i="24"/>
  <c r="BW37" i="24"/>
  <c r="BU37" i="24"/>
  <c r="BS37" i="24"/>
  <c r="BQ37" i="24"/>
  <c r="BO37" i="24"/>
  <c r="BM37" i="24"/>
  <c r="BK37" i="24"/>
  <c r="BI37" i="24"/>
  <c r="BG37" i="24"/>
  <c r="BE37" i="24"/>
  <c r="BC37" i="24"/>
  <c r="BA37" i="24"/>
  <c r="AY37" i="24"/>
  <c r="AW37" i="24"/>
  <c r="AU37" i="24"/>
  <c r="AS37" i="24"/>
  <c r="AQ37" i="24"/>
  <c r="AO37" i="24"/>
  <c r="AM37" i="24"/>
  <c r="AK37" i="24"/>
  <c r="AI37" i="24"/>
  <c r="AG37" i="24"/>
  <c r="AE37" i="24"/>
  <c r="AC37" i="24"/>
  <c r="AA37" i="24"/>
  <c r="Y37" i="24"/>
  <c r="W37" i="24"/>
  <c r="U37" i="24"/>
  <c r="S37" i="24"/>
  <c r="Q37" i="24"/>
  <c r="O37" i="24"/>
  <c r="M37" i="24"/>
  <c r="K37" i="24"/>
  <c r="I37" i="24"/>
  <c r="G37" i="24"/>
  <c r="E37" i="24"/>
  <c r="C37" i="24"/>
  <c r="EG36" i="24"/>
  <c r="EE36" i="24"/>
  <c r="EC36" i="24"/>
  <c r="EA36" i="24"/>
  <c r="DY36" i="24"/>
  <c r="DW36" i="24"/>
  <c r="DU36" i="24"/>
  <c r="DS36" i="24"/>
  <c r="DQ36" i="24"/>
  <c r="DO36" i="24"/>
  <c r="DM36" i="24"/>
  <c r="DK36" i="24"/>
  <c r="DI36" i="24"/>
  <c r="DG36" i="24"/>
  <c r="DE36" i="24"/>
  <c r="DC36" i="24"/>
  <c r="DA36" i="24"/>
  <c r="CY36" i="24"/>
  <c r="CW36" i="24"/>
  <c r="CU36" i="24"/>
  <c r="CS36" i="24"/>
  <c r="CQ36" i="24"/>
  <c r="CO36" i="24"/>
  <c r="CM36" i="24"/>
  <c r="CK36" i="24"/>
  <c r="CI36" i="24"/>
  <c r="CG36" i="24"/>
  <c r="CE36" i="24"/>
  <c r="CC36" i="24"/>
  <c r="CA36" i="24"/>
  <c r="BY36" i="24"/>
  <c r="BW36" i="24"/>
  <c r="BU36" i="24"/>
  <c r="BS36" i="24"/>
  <c r="BQ36" i="24"/>
  <c r="BO36" i="24"/>
  <c r="BM36" i="24"/>
  <c r="BK36" i="24"/>
  <c r="BI36" i="24"/>
  <c r="BG36" i="24"/>
  <c r="BE36" i="24"/>
  <c r="BC36" i="24"/>
  <c r="BA36" i="24"/>
  <c r="AY36" i="24"/>
  <c r="AW36" i="24"/>
  <c r="AU36" i="24"/>
  <c r="AS36" i="24"/>
  <c r="AQ36" i="24"/>
  <c r="AO36" i="24"/>
  <c r="AM36" i="24"/>
  <c r="AK36" i="24"/>
  <c r="AI36" i="24"/>
  <c r="AG36" i="24"/>
  <c r="AE36" i="24"/>
  <c r="AC36" i="24"/>
  <c r="AA36" i="24"/>
  <c r="Y36" i="24"/>
  <c r="W36" i="24"/>
  <c r="U36" i="24"/>
  <c r="S36" i="24"/>
  <c r="Q36" i="24"/>
  <c r="O36" i="24"/>
  <c r="M36" i="24"/>
  <c r="K36" i="24"/>
  <c r="I36" i="24"/>
  <c r="G36" i="24"/>
  <c r="E36" i="24"/>
  <c r="C36" i="24"/>
  <c r="EG35" i="24"/>
  <c r="EE35" i="24"/>
  <c r="EC35" i="24"/>
  <c r="EA35" i="24"/>
  <c r="DY35" i="24"/>
  <c r="DW35" i="24"/>
  <c r="DU35" i="24"/>
  <c r="DS35" i="24"/>
  <c r="DQ35" i="24"/>
  <c r="DO35" i="24"/>
  <c r="DM35" i="24"/>
  <c r="DK35" i="24"/>
  <c r="DI35" i="24"/>
  <c r="DG35" i="24"/>
  <c r="DE35" i="24"/>
  <c r="DC35" i="24"/>
  <c r="DA35" i="24"/>
  <c r="CY35" i="24"/>
  <c r="CW35" i="24"/>
  <c r="CU35" i="24"/>
  <c r="CS35" i="24"/>
  <c r="CQ35" i="24"/>
  <c r="CO35" i="24"/>
  <c r="CM35" i="24"/>
  <c r="CK35" i="24"/>
  <c r="CI35" i="24"/>
  <c r="CG35" i="24"/>
  <c r="CE35" i="24"/>
  <c r="CC35" i="24"/>
  <c r="CA35" i="24"/>
  <c r="BY35" i="24"/>
  <c r="BW35" i="24"/>
  <c r="BU35" i="24"/>
  <c r="BS35" i="24"/>
  <c r="BQ35" i="24"/>
  <c r="BO35" i="24"/>
  <c r="BM35" i="24"/>
  <c r="BK35" i="24"/>
  <c r="BI35" i="24"/>
  <c r="BG35" i="24"/>
  <c r="BE35" i="24"/>
  <c r="BC35" i="24"/>
  <c r="BA35" i="24"/>
  <c r="AY35" i="24"/>
  <c r="AW35" i="24"/>
  <c r="AU35" i="24"/>
  <c r="AS35" i="24"/>
  <c r="AQ35" i="24"/>
  <c r="AO35" i="24"/>
  <c r="AM35" i="24"/>
  <c r="AK35" i="24"/>
  <c r="AI35" i="24"/>
  <c r="AG35" i="24"/>
  <c r="AE35" i="24"/>
  <c r="AC35" i="24"/>
  <c r="AA35" i="24"/>
  <c r="Y35" i="24"/>
  <c r="W35" i="24"/>
  <c r="U35" i="24"/>
  <c r="S35" i="24"/>
  <c r="Q35" i="24"/>
  <c r="O35" i="24"/>
  <c r="M35" i="24"/>
  <c r="K35" i="24"/>
  <c r="I35" i="24"/>
  <c r="G35" i="24"/>
  <c r="E35" i="24"/>
  <c r="C35" i="24"/>
  <c r="EG34" i="24"/>
  <c r="EE34" i="24"/>
  <c r="EC34" i="24"/>
  <c r="EA34" i="24"/>
  <c r="DY34" i="24"/>
  <c r="DW34" i="24"/>
  <c r="DU34" i="24"/>
  <c r="DS34" i="24"/>
  <c r="DQ34" i="24"/>
  <c r="DO34" i="24"/>
  <c r="DM34" i="24"/>
  <c r="DK34" i="24"/>
  <c r="DI34" i="24"/>
  <c r="DG34" i="24"/>
  <c r="DE34" i="24"/>
  <c r="DC34" i="24"/>
  <c r="DA34" i="24"/>
  <c r="CY34" i="24"/>
  <c r="CW34" i="24"/>
  <c r="CU34" i="24"/>
  <c r="CS34" i="24"/>
  <c r="CQ34" i="24"/>
  <c r="CO34" i="24"/>
  <c r="CM34" i="24"/>
  <c r="CK34" i="24"/>
  <c r="CI34" i="24"/>
  <c r="CG34" i="24"/>
  <c r="CE34" i="24"/>
  <c r="CC34" i="24"/>
  <c r="CA34" i="24"/>
  <c r="BY34" i="24"/>
  <c r="BW34" i="24"/>
  <c r="BU34" i="24"/>
  <c r="BS34" i="24"/>
  <c r="BQ34" i="24"/>
  <c r="BO34" i="24"/>
  <c r="BM34" i="24"/>
  <c r="BK34" i="24"/>
  <c r="BI34" i="24"/>
  <c r="BG34" i="24"/>
  <c r="BE34" i="24"/>
  <c r="BC34" i="24"/>
  <c r="BA34" i="24"/>
  <c r="AY34" i="24"/>
  <c r="AW34" i="24"/>
  <c r="AU34" i="24"/>
  <c r="AS34" i="24"/>
  <c r="AQ34" i="24"/>
  <c r="AO34" i="24"/>
  <c r="AM34" i="24"/>
  <c r="AK34" i="24"/>
  <c r="AI34" i="24"/>
  <c r="AG34" i="24"/>
  <c r="AE34" i="24"/>
  <c r="AC34" i="24"/>
  <c r="AA34" i="24"/>
  <c r="Y34" i="24"/>
  <c r="W34" i="24"/>
  <c r="U34" i="24"/>
  <c r="S34" i="24"/>
  <c r="Q34" i="24"/>
  <c r="O34" i="24"/>
  <c r="M34" i="24"/>
  <c r="K34" i="24"/>
  <c r="I34" i="24"/>
  <c r="G34" i="24"/>
  <c r="E34" i="24"/>
  <c r="C34" i="24"/>
  <c r="EG33" i="24"/>
  <c r="EE33" i="24"/>
  <c r="EC33" i="24"/>
  <c r="EA33" i="24"/>
  <c r="DY33" i="24"/>
  <c r="DW33" i="24"/>
  <c r="DU33" i="24"/>
  <c r="DS33" i="24"/>
  <c r="DQ33" i="24"/>
  <c r="DO33" i="24"/>
  <c r="DM33" i="24"/>
  <c r="DK33" i="24"/>
  <c r="DI33" i="24"/>
  <c r="DG33" i="24"/>
  <c r="DE33" i="24"/>
  <c r="DC33" i="24"/>
  <c r="DA33" i="24"/>
  <c r="CY33" i="24"/>
  <c r="CW33" i="24"/>
  <c r="CU33" i="24"/>
  <c r="CS33" i="24"/>
  <c r="CQ33" i="24"/>
  <c r="CO33" i="24"/>
  <c r="CM33" i="24"/>
  <c r="CK33" i="24"/>
  <c r="CI33" i="24"/>
  <c r="CG33" i="24"/>
  <c r="CE33" i="24"/>
  <c r="CC33" i="24"/>
  <c r="CA33" i="24"/>
  <c r="BY33" i="24"/>
  <c r="BW33" i="24"/>
  <c r="BU33" i="24"/>
  <c r="BS33" i="24"/>
  <c r="BQ33" i="24"/>
  <c r="BO33" i="24"/>
  <c r="BM33" i="24"/>
  <c r="BK33" i="24"/>
  <c r="BI33" i="24"/>
  <c r="BG33" i="24"/>
  <c r="BE33" i="24"/>
  <c r="BC33" i="24"/>
  <c r="BA33" i="24"/>
  <c r="AY33" i="24"/>
  <c r="AW33" i="24"/>
  <c r="AU33" i="24"/>
  <c r="AS33" i="24"/>
  <c r="AQ33" i="24"/>
  <c r="AO33" i="24"/>
  <c r="AM33" i="24"/>
  <c r="AK33" i="24"/>
  <c r="AI33" i="24"/>
  <c r="AG33" i="24"/>
  <c r="AE33" i="24"/>
  <c r="AC33" i="24"/>
  <c r="AA33" i="24"/>
  <c r="Y33" i="24"/>
  <c r="W33" i="24"/>
  <c r="U33" i="24"/>
  <c r="S33" i="24"/>
  <c r="Q33" i="24"/>
  <c r="O33" i="24"/>
  <c r="M33" i="24"/>
  <c r="K33" i="24"/>
  <c r="I33" i="24"/>
  <c r="G33" i="24"/>
  <c r="E33" i="24"/>
  <c r="C33" i="24"/>
  <c r="EG32" i="24"/>
  <c r="EE32" i="24"/>
  <c r="EC32" i="24"/>
  <c r="EA32" i="24"/>
  <c r="DY32" i="24"/>
  <c r="DW32" i="24"/>
  <c r="DU32" i="24"/>
  <c r="DS32" i="24"/>
  <c r="DQ32" i="24"/>
  <c r="DO32" i="24"/>
  <c r="DM32" i="24"/>
  <c r="DK32" i="24"/>
  <c r="DI32" i="24"/>
  <c r="DG32" i="24"/>
  <c r="DE32" i="24"/>
  <c r="DC32" i="24"/>
  <c r="DA32" i="24"/>
  <c r="CY32" i="24"/>
  <c r="CW32" i="24"/>
  <c r="CU32" i="24"/>
  <c r="CS32" i="24"/>
  <c r="CQ32" i="24"/>
  <c r="CO32" i="24"/>
  <c r="CM32" i="24"/>
  <c r="CK32" i="24"/>
  <c r="CI32" i="24"/>
  <c r="CG32" i="24"/>
  <c r="CE32" i="24"/>
  <c r="CC32" i="24"/>
  <c r="CA32" i="24"/>
  <c r="BY32" i="24"/>
  <c r="BW32" i="24"/>
  <c r="BU32" i="24"/>
  <c r="BS32" i="24"/>
  <c r="BQ32" i="24"/>
  <c r="BO32" i="24"/>
  <c r="BM32" i="24"/>
  <c r="BK32" i="24"/>
  <c r="BI32" i="24"/>
  <c r="BG32" i="24"/>
  <c r="BE32" i="24"/>
  <c r="BC32" i="24"/>
  <c r="BA32" i="24"/>
  <c r="AY32" i="24"/>
  <c r="AW32" i="24"/>
  <c r="AU32" i="24"/>
  <c r="AS32" i="24"/>
  <c r="AQ32" i="24"/>
  <c r="AO32" i="24"/>
  <c r="AM32" i="24"/>
  <c r="AK32" i="24"/>
  <c r="AI32" i="24"/>
  <c r="AG32" i="24"/>
  <c r="AE32" i="24"/>
  <c r="AC32" i="24"/>
  <c r="AA32" i="24"/>
  <c r="Y32" i="24"/>
  <c r="W32" i="24"/>
  <c r="U32" i="24"/>
  <c r="S32" i="24"/>
  <c r="Q32" i="24"/>
  <c r="O32" i="24"/>
  <c r="M32" i="24"/>
  <c r="K32" i="24"/>
  <c r="I32" i="24"/>
  <c r="G32" i="24"/>
  <c r="E32" i="24"/>
  <c r="C32" i="24"/>
  <c r="EG31" i="24"/>
  <c r="EE31" i="24"/>
  <c r="EC31" i="24"/>
  <c r="EA31" i="24"/>
  <c r="DY31" i="24"/>
  <c r="DW31" i="24"/>
  <c r="DU31" i="24"/>
  <c r="DS31" i="24"/>
  <c r="DQ31" i="24"/>
  <c r="DO31" i="24"/>
  <c r="DM31" i="24"/>
  <c r="DK31" i="24"/>
  <c r="DI31" i="24"/>
  <c r="DG31" i="24"/>
  <c r="DE31" i="24"/>
  <c r="DC31" i="24"/>
  <c r="DA31" i="24"/>
  <c r="CY31" i="24"/>
  <c r="CW31" i="24"/>
  <c r="CU31" i="24"/>
  <c r="CS31" i="24"/>
  <c r="CQ31" i="24"/>
  <c r="CO31" i="24"/>
  <c r="CM31" i="24"/>
  <c r="CK31" i="24"/>
  <c r="CI31" i="24"/>
  <c r="CG31" i="24"/>
  <c r="CE31" i="24"/>
  <c r="CC31" i="24"/>
  <c r="CA31" i="24"/>
  <c r="BY31" i="24"/>
  <c r="BW31" i="24"/>
  <c r="BU31" i="24"/>
  <c r="BS31" i="24"/>
  <c r="BQ31" i="24"/>
  <c r="BO31" i="24"/>
  <c r="BM31" i="24"/>
  <c r="BK31" i="24"/>
  <c r="BI31" i="24"/>
  <c r="BG31" i="24"/>
  <c r="BE31" i="24"/>
  <c r="BC31" i="24"/>
  <c r="BA31" i="24"/>
  <c r="AY31" i="24"/>
  <c r="AW31" i="24"/>
  <c r="AU31" i="24"/>
  <c r="AS31" i="24"/>
  <c r="AQ31" i="24"/>
  <c r="AO31" i="24"/>
  <c r="AM31" i="24"/>
  <c r="AK31" i="24"/>
  <c r="AI31" i="24"/>
  <c r="AG31" i="24"/>
  <c r="AE31" i="24"/>
  <c r="AC31" i="24"/>
  <c r="AA31" i="24"/>
  <c r="Y31" i="24"/>
  <c r="W31" i="24"/>
  <c r="U31" i="24"/>
  <c r="S31" i="24"/>
  <c r="Q31" i="24"/>
  <c r="O31" i="24"/>
  <c r="M31" i="24"/>
  <c r="K31" i="24"/>
  <c r="I31" i="24"/>
  <c r="G31" i="24"/>
  <c r="E31" i="24"/>
  <c r="C31" i="24"/>
  <c r="EG30" i="24"/>
  <c r="EE30" i="24"/>
  <c r="EC30" i="24"/>
  <c r="EA30" i="24"/>
  <c r="DY30" i="24"/>
  <c r="DW30" i="24"/>
  <c r="DU30" i="24"/>
  <c r="DS30" i="24"/>
  <c r="DQ30" i="24"/>
  <c r="DO30" i="24"/>
  <c r="DM30" i="24"/>
  <c r="DK30" i="24"/>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DI30" i="24"/>
  <c r="DG30" i="24"/>
  <c r="DE30" i="24"/>
  <c r="DC30" i="24"/>
  <c r="DA30" i="24"/>
  <c r="CY30" i="24"/>
  <c r="CW30" i="24"/>
  <c r="CU30" i="24"/>
  <c r="CS30" i="24"/>
  <c r="CQ30" i="24"/>
  <c r="CO30" i="24"/>
  <c r="CM30" i="24"/>
  <c r="CK30" i="24"/>
  <c r="CI30" i="24"/>
  <c r="CG30" i="24"/>
  <c r="CE30" i="24"/>
  <c r="CC30" i="24"/>
  <c r="CA30" i="24"/>
  <c r="BY30" i="24"/>
  <c r="BW30" i="24"/>
  <c r="BU30" i="24"/>
  <c r="BS30" i="24"/>
  <c r="BQ30" i="24"/>
  <c r="BO30" i="24"/>
  <c r="BM30" i="24"/>
  <c r="BK30" i="24"/>
  <c r="BI30" i="24"/>
  <c r="BG30" i="24"/>
  <c r="BE30" i="24"/>
  <c r="BC30" i="24"/>
  <c r="BA30" i="24"/>
  <c r="AY30" i="24"/>
  <c r="AW30" i="24"/>
  <c r="AU30" i="24"/>
  <c r="AS30" i="24"/>
  <c r="AQ30" i="24"/>
  <c r="AO30" i="24"/>
  <c r="AM30" i="24"/>
  <c r="AK30" i="24"/>
  <c r="AI30" i="24"/>
  <c r="AG30" i="24"/>
  <c r="AE30" i="24"/>
  <c r="AC30" i="24"/>
  <c r="AA30" i="24"/>
  <c r="Y30" i="24"/>
  <c r="W30" i="24"/>
  <c r="U30" i="24"/>
  <c r="S30" i="24"/>
  <c r="Q30" i="24"/>
  <c r="O30" i="24"/>
  <c r="M30" i="24"/>
  <c r="K30" i="24"/>
  <c r="I30" i="24"/>
  <c r="G30" i="24"/>
  <c r="E30" i="24"/>
  <c r="C30" i="24"/>
  <c r="EF56" i="23"/>
  <c r="EG58" i="23" s="1"/>
  <c r="ED56" i="23"/>
  <c r="EE58" i="23" s="1"/>
  <c r="EB56" i="23"/>
  <c r="EC58" i="23" s="1"/>
  <c r="DZ56" i="23"/>
  <c r="EA58" i="23" s="1"/>
  <c r="DX56" i="23"/>
  <c r="DY58" i="23" s="1"/>
  <c r="DV56" i="23"/>
  <c r="DW58" i="23" s="1"/>
  <c r="DT56" i="23"/>
  <c r="DU58" i="23" s="1"/>
  <c r="DR56" i="23"/>
  <c r="DS58" i="23" s="1"/>
  <c r="DP56" i="23"/>
  <c r="DQ58" i="23" s="1"/>
  <c r="DN56" i="23"/>
  <c r="DO58" i="23" s="1"/>
  <c r="DL56" i="23"/>
  <c r="DM58" i="23" s="1"/>
  <c r="DJ56" i="23"/>
  <c r="DK58" i="23" s="1"/>
  <c r="DH56" i="23"/>
  <c r="DI58" i="23" s="1"/>
  <c r="DF56" i="23"/>
  <c r="DG58" i="23" s="1"/>
  <c r="DD56" i="23"/>
  <c r="DE58" i="23" s="1"/>
  <c r="DB56" i="23"/>
  <c r="DC58" i="23" s="1"/>
  <c r="CZ56" i="23"/>
  <c r="DA58" i="23" s="1"/>
  <c r="CX56" i="23"/>
  <c r="CY58" i="23" s="1"/>
  <c r="CV56" i="23"/>
  <c r="CW58" i="23" s="1"/>
  <c r="CT56" i="23"/>
  <c r="CU58" i="23" s="1"/>
  <c r="CR56" i="23"/>
  <c r="CS58" i="23" s="1"/>
  <c r="CP56" i="23"/>
  <c r="CQ58" i="23" s="1"/>
  <c r="CN56" i="23"/>
  <c r="CO58" i="23" s="1"/>
  <c r="CL56" i="23"/>
  <c r="CM58" i="23" s="1"/>
  <c r="CJ56" i="23"/>
  <c r="CK58" i="23" s="1"/>
  <c r="CH56" i="23"/>
  <c r="CI58" i="23" s="1"/>
  <c r="CF56" i="23"/>
  <c r="CG58" i="23" s="1"/>
  <c r="CD56" i="23"/>
  <c r="CE58" i="23" s="1"/>
  <c r="CB56" i="23"/>
  <c r="CC58" i="23" s="1"/>
  <c r="BZ56" i="23"/>
  <c r="CA58" i="23" s="1"/>
  <c r="BX56" i="23"/>
  <c r="BY58" i="23" s="1"/>
  <c r="BV56" i="23"/>
  <c r="BW58" i="23" s="1"/>
  <c r="BT56" i="23"/>
  <c r="BU58" i="23" s="1"/>
  <c r="BR56" i="23"/>
  <c r="BS58" i="23" s="1"/>
  <c r="BP56" i="23"/>
  <c r="BQ58" i="23" s="1"/>
  <c r="BN56" i="23"/>
  <c r="BO58" i="23" s="1"/>
  <c r="BL56" i="23"/>
  <c r="BM58" i="23" s="1"/>
  <c r="BJ56" i="23"/>
  <c r="BK58" i="23" s="1"/>
  <c r="BH56" i="23"/>
  <c r="BI58" i="23" s="1"/>
  <c r="BF56" i="23"/>
  <c r="BG58" i="23" s="1"/>
  <c r="BD56" i="23"/>
  <c r="BE58" i="23" s="1"/>
  <c r="BB56" i="23"/>
  <c r="BC58" i="23" s="1"/>
  <c r="AZ56" i="23"/>
  <c r="BA58" i="23" s="1"/>
  <c r="AX56" i="23"/>
  <c r="AY58" i="23" s="1"/>
  <c r="AV56" i="23"/>
  <c r="AW58" i="23" s="1"/>
  <c r="AT56" i="23"/>
  <c r="AU58" i="23" s="1"/>
  <c r="AR56" i="23"/>
  <c r="AS58" i="23" s="1"/>
  <c r="AP56" i="23"/>
  <c r="AQ58" i="23" s="1"/>
  <c r="AN56" i="23"/>
  <c r="AO58" i="23" s="1"/>
  <c r="AL56" i="23"/>
  <c r="AM58" i="23" s="1"/>
  <c r="AJ56" i="23"/>
  <c r="AK58" i="23" s="1"/>
  <c r="AH56" i="23"/>
  <c r="AI58" i="23" s="1"/>
  <c r="AF56" i="23"/>
  <c r="AG58" i="23" s="1"/>
  <c r="AD56" i="23"/>
  <c r="AE58" i="23" s="1"/>
  <c r="AB56" i="23"/>
  <c r="AC58" i="23" s="1"/>
  <c r="Z56" i="23"/>
  <c r="AA58" i="23" s="1"/>
  <c r="X56" i="23"/>
  <c r="Y58" i="23" s="1"/>
  <c r="V56" i="23"/>
  <c r="W58" i="23" s="1"/>
  <c r="T56" i="23"/>
  <c r="U58" i="23" s="1"/>
  <c r="R56" i="23"/>
  <c r="S58" i="23" s="1"/>
  <c r="P56" i="23"/>
  <c r="Q58" i="23" s="1"/>
  <c r="N56" i="23"/>
  <c r="O58" i="23" s="1"/>
  <c r="L56" i="23"/>
  <c r="M58" i="23" s="1"/>
  <c r="J56" i="23"/>
  <c r="K58" i="23" s="1"/>
  <c r="H56" i="23"/>
  <c r="I58" i="23" s="1"/>
  <c r="F56" i="23"/>
  <c r="G58" i="23" s="1"/>
  <c r="D56" i="23"/>
  <c r="E58" i="23" s="1"/>
  <c r="B56" i="23"/>
  <c r="C58" i="23" s="1"/>
  <c r="EG50" i="23"/>
  <c r="EE50" i="23"/>
  <c r="EC50" i="23"/>
  <c r="EA50" i="23"/>
  <c r="DY50" i="23"/>
  <c r="DW50" i="23"/>
  <c r="DU50" i="23"/>
  <c r="DS50" i="23"/>
  <c r="DQ50" i="23"/>
  <c r="DO50" i="23"/>
  <c r="DM50" i="23"/>
  <c r="DK50" i="23"/>
  <c r="F82" i="23" s="1"/>
  <c r="DI50" i="23"/>
  <c r="DG50" i="23"/>
  <c r="DE50" i="23"/>
  <c r="DC50" i="23"/>
  <c r="DA50" i="23"/>
  <c r="CY50" i="23"/>
  <c r="CW50" i="23"/>
  <c r="CU50" i="23"/>
  <c r="CS50" i="23"/>
  <c r="CQ50" i="23"/>
  <c r="CO50" i="23"/>
  <c r="CM50" i="23"/>
  <c r="CK50" i="23"/>
  <c r="CI50" i="23"/>
  <c r="CG50" i="23"/>
  <c r="CE50" i="23"/>
  <c r="CC50" i="23"/>
  <c r="CA50" i="23"/>
  <c r="BY50" i="23"/>
  <c r="BW50" i="23"/>
  <c r="BU50" i="23"/>
  <c r="BS50" i="23"/>
  <c r="BQ50" i="23"/>
  <c r="BO50" i="23"/>
  <c r="BM50" i="23"/>
  <c r="BK50" i="23"/>
  <c r="BI50" i="23"/>
  <c r="BG50" i="23"/>
  <c r="BE50" i="23"/>
  <c r="BC50" i="23"/>
  <c r="BA50" i="23"/>
  <c r="AY50" i="23"/>
  <c r="AW50" i="23"/>
  <c r="AU50" i="23"/>
  <c r="AS50" i="23"/>
  <c r="AQ50" i="23"/>
  <c r="AO50" i="23"/>
  <c r="AM50" i="23"/>
  <c r="AK50" i="23"/>
  <c r="AI50" i="23"/>
  <c r="AG50" i="23"/>
  <c r="AE50" i="23"/>
  <c r="AC50" i="23"/>
  <c r="AA50" i="23"/>
  <c r="Y50" i="23"/>
  <c r="W50" i="23"/>
  <c r="U50" i="23"/>
  <c r="S50" i="23"/>
  <c r="Q50" i="23"/>
  <c r="O50" i="23"/>
  <c r="M50" i="23"/>
  <c r="K50" i="23"/>
  <c r="I50" i="23"/>
  <c r="G50" i="23"/>
  <c r="E50" i="23"/>
  <c r="C50" i="23"/>
  <c r="D82" i="23" s="1"/>
  <c r="EG49" i="23"/>
  <c r="EE49" i="23"/>
  <c r="EC49" i="23"/>
  <c r="EA49" i="23"/>
  <c r="DY49" i="23"/>
  <c r="DW49" i="23"/>
  <c r="DU49" i="23"/>
  <c r="DS49" i="23"/>
  <c r="DQ49" i="23"/>
  <c r="DO49" i="23"/>
  <c r="DM49" i="23"/>
  <c r="DK49" i="23"/>
  <c r="F81" i="23" s="1"/>
  <c r="DI49" i="23"/>
  <c r="DG49" i="23"/>
  <c r="DE49" i="23"/>
  <c r="DC49" i="23"/>
  <c r="DA49" i="23"/>
  <c r="CY49" i="23"/>
  <c r="CW49" i="23"/>
  <c r="CU49" i="23"/>
  <c r="CS49" i="23"/>
  <c r="CQ49" i="23"/>
  <c r="CO49" i="23"/>
  <c r="CM49" i="23"/>
  <c r="CK49" i="23"/>
  <c r="CI49" i="23"/>
  <c r="CG49" i="23"/>
  <c r="CE49" i="23"/>
  <c r="CC49" i="23"/>
  <c r="CA49" i="23"/>
  <c r="BY49" i="23"/>
  <c r="BW49" i="23"/>
  <c r="BU49" i="23"/>
  <c r="BS49" i="23"/>
  <c r="BQ49" i="23"/>
  <c r="BO49" i="23"/>
  <c r="BM49" i="23"/>
  <c r="BK49" i="23"/>
  <c r="BI49" i="23"/>
  <c r="BG49" i="23"/>
  <c r="BE49" i="23"/>
  <c r="BC49" i="23"/>
  <c r="BA49" i="23"/>
  <c r="AY49" i="23"/>
  <c r="AW49" i="23"/>
  <c r="AU49" i="23"/>
  <c r="AS49" i="23"/>
  <c r="AQ49" i="23"/>
  <c r="AO49" i="23"/>
  <c r="AM49" i="23"/>
  <c r="AK49" i="23"/>
  <c r="AI49" i="23"/>
  <c r="AG49" i="23"/>
  <c r="AE49" i="23"/>
  <c r="AC49" i="23"/>
  <c r="AA49" i="23"/>
  <c r="Y49" i="23"/>
  <c r="W49" i="23"/>
  <c r="U49" i="23"/>
  <c r="S49" i="23"/>
  <c r="Q49" i="23"/>
  <c r="O49" i="23"/>
  <c r="M49" i="23"/>
  <c r="K49" i="23"/>
  <c r="I49" i="23"/>
  <c r="G49" i="23"/>
  <c r="E49" i="23"/>
  <c r="C49" i="23"/>
  <c r="EG48" i="23"/>
  <c r="EE48" i="23"/>
  <c r="EC48" i="23"/>
  <c r="EA48" i="23"/>
  <c r="DY48" i="23"/>
  <c r="DW48" i="23"/>
  <c r="DU48" i="23"/>
  <c r="DS48" i="23"/>
  <c r="DQ48" i="23"/>
  <c r="DO48" i="23"/>
  <c r="DM48" i="23"/>
  <c r="DK48" i="23"/>
  <c r="F80" i="23" s="1"/>
  <c r="DI48" i="23"/>
  <c r="DG48" i="23"/>
  <c r="DE48" i="23"/>
  <c r="DC48" i="23"/>
  <c r="DA48" i="23"/>
  <c r="CY48" i="23"/>
  <c r="CW48" i="23"/>
  <c r="CU48" i="23"/>
  <c r="CS48" i="23"/>
  <c r="CQ48" i="23"/>
  <c r="CO48" i="23"/>
  <c r="CM48" i="23"/>
  <c r="CK48" i="23"/>
  <c r="CI48" i="23"/>
  <c r="CG48" i="23"/>
  <c r="CE48" i="23"/>
  <c r="CC48" i="23"/>
  <c r="CA48" i="23"/>
  <c r="BY48" i="23"/>
  <c r="BW48" i="23"/>
  <c r="BU48" i="23"/>
  <c r="BS48" i="23"/>
  <c r="BQ48" i="23"/>
  <c r="BO48" i="23"/>
  <c r="BM48" i="23"/>
  <c r="BK48" i="23"/>
  <c r="BI48" i="23"/>
  <c r="BG48" i="23"/>
  <c r="BE48" i="23"/>
  <c r="BC48" i="23"/>
  <c r="BA48" i="23"/>
  <c r="AY48" i="23"/>
  <c r="AW48" i="23"/>
  <c r="AU48" i="23"/>
  <c r="AS48" i="23"/>
  <c r="AQ48" i="23"/>
  <c r="AO48" i="23"/>
  <c r="AM48" i="23"/>
  <c r="AK48" i="23"/>
  <c r="AI48" i="23"/>
  <c r="AG48" i="23"/>
  <c r="AE48" i="23"/>
  <c r="AC48" i="23"/>
  <c r="AA48" i="23"/>
  <c r="Y48" i="23"/>
  <c r="W48" i="23"/>
  <c r="U48" i="23"/>
  <c r="S48" i="23"/>
  <c r="Q48" i="23"/>
  <c r="O48" i="23"/>
  <c r="M48" i="23"/>
  <c r="K48" i="23"/>
  <c r="I48" i="23"/>
  <c r="G48" i="23"/>
  <c r="E48" i="23"/>
  <c r="C48" i="23"/>
  <c r="D80" i="23" s="1"/>
  <c r="EG47" i="23"/>
  <c r="EE47" i="23"/>
  <c r="EC47" i="23"/>
  <c r="EA47" i="23"/>
  <c r="DY47" i="23"/>
  <c r="DW47" i="23"/>
  <c r="DU47" i="23"/>
  <c r="DS47" i="23"/>
  <c r="DQ47" i="23"/>
  <c r="DO47" i="23"/>
  <c r="DM47" i="23"/>
  <c r="DK47" i="23"/>
  <c r="F79" i="23" s="1"/>
  <c r="DI47" i="23"/>
  <c r="DG47" i="23"/>
  <c r="DE47" i="23"/>
  <c r="DC47" i="23"/>
  <c r="DA47" i="23"/>
  <c r="CY47" i="23"/>
  <c r="CW47" i="23"/>
  <c r="CU47" i="23"/>
  <c r="CS47" i="23"/>
  <c r="CQ47" i="23"/>
  <c r="CO47" i="23"/>
  <c r="CM47" i="23"/>
  <c r="CK47" i="23"/>
  <c r="CI47" i="23"/>
  <c r="CG47" i="23"/>
  <c r="CE47" i="23"/>
  <c r="CC47" i="23"/>
  <c r="CA47" i="23"/>
  <c r="BY47" i="23"/>
  <c r="BW47" i="23"/>
  <c r="BU47" i="23"/>
  <c r="BS47" i="23"/>
  <c r="BQ47" i="23"/>
  <c r="BO47" i="23"/>
  <c r="BM47" i="23"/>
  <c r="BK47" i="23"/>
  <c r="BI47" i="23"/>
  <c r="BG47" i="23"/>
  <c r="BE47" i="23"/>
  <c r="BC47" i="23"/>
  <c r="BA47" i="23"/>
  <c r="AY47" i="23"/>
  <c r="AW47" i="23"/>
  <c r="AU47" i="23"/>
  <c r="AS47" i="23"/>
  <c r="AQ47" i="23"/>
  <c r="AO47" i="23"/>
  <c r="AM47" i="23"/>
  <c r="AK47" i="23"/>
  <c r="AI47" i="23"/>
  <c r="AG47" i="23"/>
  <c r="AE47" i="23"/>
  <c r="AC47" i="23"/>
  <c r="AA47" i="23"/>
  <c r="Y47" i="23"/>
  <c r="W47" i="23"/>
  <c r="U47" i="23"/>
  <c r="S47" i="23"/>
  <c r="Q47" i="23"/>
  <c r="O47" i="23"/>
  <c r="M47" i="23"/>
  <c r="K47" i="23"/>
  <c r="I47" i="23"/>
  <c r="G47" i="23"/>
  <c r="E47" i="23"/>
  <c r="C47" i="23"/>
  <c r="EG46" i="23"/>
  <c r="EE46" i="23"/>
  <c r="EC46" i="23"/>
  <c r="EA46" i="23"/>
  <c r="DY46" i="23"/>
  <c r="DW46" i="23"/>
  <c r="DU46" i="23"/>
  <c r="DS46" i="23"/>
  <c r="DQ46" i="23"/>
  <c r="DO46" i="23"/>
  <c r="DM46" i="23"/>
  <c r="DK46" i="23"/>
  <c r="F78" i="23" s="1"/>
  <c r="DI46" i="23"/>
  <c r="DG46" i="23"/>
  <c r="DE46" i="23"/>
  <c r="DC46" i="23"/>
  <c r="DA46" i="23"/>
  <c r="CY46" i="23"/>
  <c r="CW46" i="23"/>
  <c r="CU46" i="23"/>
  <c r="CS46" i="23"/>
  <c r="CQ46" i="23"/>
  <c r="CO46" i="23"/>
  <c r="CM46" i="23"/>
  <c r="CK46" i="23"/>
  <c r="CI46" i="23"/>
  <c r="CG46" i="23"/>
  <c r="CE46" i="23"/>
  <c r="CC46" i="23"/>
  <c r="CA46" i="23"/>
  <c r="BY46" i="23"/>
  <c r="BW46" i="23"/>
  <c r="BU46" i="23"/>
  <c r="BS46" i="23"/>
  <c r="BQ46" i="23"/>
  <c r="BO46" i="23"/>
  <c r="BM46" i="23"/>
  <c r="BK46" i="23"/>
  <c r="BI46" i="23"/>
  <c r="BG46" i="23"/>
  <c r="BE46" i="23"/>
  <c r="BC46" i="23"/>
  <c r="BA46" i="23"/>
  <c r="AY46" i="23"/>
  <c r="AW46" i="23"/>
  <c r="AU46" i="23"/>
  <c r="AS46" i="23"/>
  <c r="AQ46" i="23"/>
  <c r="AO46" i="23"/>
  <c r="AM46" i="23"/>
  <c r="AK46" i="23"/>
  <c r="AI46" i="23"/>
  <c r="AG46" i="23"/>
  <c r="AE46" i="23"/>
  <c r="AC46" i="23"/>
  <c r="AA46" i="23"/>
  <c r="Y46" i="23"/>
  <c r="W46" i="23"/>
  <c r="U46" i="23"/>
  <c r="S46" i="23"/>
  <c r="Q46" i="23"/>
  <c r="O46" i="23"/>
  <c r="M46" i="23"/>
  <c r="K46" i="23"/>
  <c r="I46" i="23"/>
  <c r="G46" i="23"/>
  <c r="E46" i="23"/>
  <c r="C46" i="23"/>
  <c r="D78" i="23" s="1"/>
  <c r="EG45" i="23"/>
  <c r="EE45" i="23"/>
  <c r="EC45" i="23"/>
  <c r="EA45" i="23"/>
  <c r="DY45" i="23"/>
  <c r="DW45" i="23"/>
  <c r="DU45" i="23"/>
  <c r="DS45" i="23"/>
  <c r="DQ45" i="23"/>
  <c r="DO45" i="23"/>
  <c r="DM45" i="23"/>
  <c r="DK45" i="23"/>
  <c r="F77" i="23" s="1"/>
  <c r="DI45" i="23"/>
  <c r="DG45" i="23"/>
  <c r="DE45" i="23"/>
  <c r="DC45" i="23"/>
  <c r="DA45" i="23"/>
  <c r="CY45" i="23"/>
  <c r="CW45" i="23"/>
  <c r="CU45" i="23"/>
  <c r="CS45" i="23"/>
  <c r="CQ45" i="23"/>
  <c r="CO45" i="23"/>
  <c r="CM45" i="23"/>
  <c r="CK45" i="23"/>
  <c r="CI45" i="23"/>
  <c r="CG45" i="23"/>
  <c r="CE45" i="23"/>
  <c r="CC45" i="23"/>
  <c r="CA45" i="23"/>
  <c r="BY45" i="23"/>
  <c r="BW45" i="23"/>
  <c r="BU45" i="23"/>
  <c r="BS45" i="23"/>
  <c r="BQ45" i="23"/>
  <c r="BO45" i="23"/>
  <c r="BM45" i="23"/>
  <c r="BK45" i="23"/>
  <c r="BI45" i="23"/>
  <c r="BG45" i="23"/>
  <c r="BE45" i="23"/>
  <c r="BC45" i="23"/>
  <c r="BA45" i="23"/>
  <c r="AY45" i="23"/>
  <c r="AW45" i="23"/>
  <c r="AU45" i="23"/>
  <c r="AS45" i="23"/>
  <c r="AQ45" i="23"/>
  <c r="AO45" i="23"/>
  <c r="AM45" i="23"/>
  <c r="AK45" i="23"/>
  <c r="AI45" i="23"/>
  <c r="AG45" i="23"/>
  <c r="AE45" i="23"/>
  <c r="AC45" i="23"/>
  <c r="AA45" i="23"/>
  <c r="Y45" i="23"/>
  <c r="W45" i="23"/>
  <c r="U45" i="23"/>
  <c r="S45" i="23"/>
  <c r="Q45" i="23"/>
  <c r="O45" i="23"/>
  <c r="M45" i="23"/>
  <c r="K45" i="23"/>
  <c r="I45" i="23"/>
  <c r="G45" i="23"/>
  <c r="E45" i="23"/>
  <c r="C45" i="23"/>
  <c r="EG44" i="23"/>
  <c r="EE44" i="23"/>
  <c r="EC44" i="23"/>
  <c r="EA44" i="23"/>
  <c r="DY44" i="23"/>
  <c r="DW44" i="23"/>
  <c r="DU44" i="23"/>
  <c r="DS44" i="23"/>
  <c r="DQ44" i="23"/>
  <c r="DO44" i="23"/>
  <c r="DM44" i="23"/>
  <c r="DK44" i="23"/>
  <c r="F76" i="23" s="1"/>
  <c r="DI44" i="23"/>
  <c r="DG44" i="23"/>
  <c r="DE44" i="23"/>
  <c r="DC44" i="23"/>
  <c r="DA44" i="23"/>
  <c r="CY44" i="23"/>
  <c r="CW44" i="23"/>
  <c r="CU44" i="23"/>
  <c r="CS44" i="23"/>
  <c r="CQ44" i="23"/>
  <c r="CO44" i="23"/>
  <c r="CM44" i="23"/>
  <c r="CK44" i="23"/>
  <c r="CI44" i="23"/>
  <c r="CG44" i="23"/>
  <c r="CE44" i="23"/>
  <c r="CC44" i="23"/>
  <c r="CA44" i="23"/>
  <c r="BY44" i="23"/>
  <c r="BW44" i="23"/>
  <c r="BU44" i="23"/>
  <c r="BS44" i="23"/>
  <c r="BQ44" i="23"/>
  <c r="BO44" i="23"/>
  <c r="BM44" i="23"/>
  <c r="BK44" i="23"/>
  <c r="BI44" i="23"/>
  <c r="BG44" i="23"/>
  <c r="BE44" i="23"/>
  <c r="BC44" i="23"/>
  <c r="BA44" i="23"/>
  <c r="AY44" i="23"/>
  <c r="AW44" i="23"/>
  <c r="AU44" i="23"/>
  <c r="AS44" i="23"/>
  <c r="AQ44" i="23"/>
  <c r="AO44" i="23"/>
  <c r="AM44" i="23"/>
  <c r="AK44" i="23"/>
  <c r="AI44" i="23"/>
  <c r="AG44" i="23"/>
  <c r="AE44" i="23"/>
  <c r="AC44" i="23"/>
  <c r="AA44" i="23"/>
  <c r="Y44" i="23"/>
  <c r="W44" i="23"/>
  <c r="U44" i="23"/>
  <c r="S44" i="23"/>
  <c r="Q44" i="23"/>
  <c r="O44" i="23"/>
  <c r="M44" i="23"/>
  <c r="K44" i="23"/>
  <c r="I44" i="23"/>
  <c r="G44" i="23"/>
  <c r="E44" i="23"/>
  <c r="C44" i="23"/>
  <c r="D76" i="23" s="1"/>
  <c r="EG43" i="23"/>
  <c r="EE43" i="23"/>
  <c r="EC43" i="23"/>
  <c r="EA43" i="23"/>
  <c r="DY43" i="23"/>
  <c r="DW43" i="23"/>
  <c r="DU43" i="23"/>
  <c r="DS43" i="23"/>
  <c r="DQ43" i="23"/>
  <c r="DO43" i="23"/>
  <c r="DM43" i="23"/>
  <c r="DK43" i="23"/>
  <c r="F75" i="23" s="1"/>
  <c r="DI43" i="23"/>
  <c r="DG43" i="23"/>
  <c r="DE43" i="23"/>
  <c r="DC43" i="23"/>
  <c r="DA43" i="23"/>
  <c r="CY43" i="23"/>
  <c r="CW43" i="23"/>
  <c r="CU43" i="23"/>
  <c r="CS43" i="23"/>
  <c r="CQ43" i="23"/>
  <c r="CO43" i="23"/>
  <c r="CM43" i="23"/>
  <c r="CK43" i="23"/>
  <c r="CI43" i="23"/>
  <c r="CG43" i="23"/>
  <c r="CE43" i="23"/>
  <c r="CC43" i="23"/>
  <c r="CA43" i="23"/>
  <c r="BY43" i="23"/>
  <c r="BW43" i="23"/>
  <c r="BU43" i="23"/>
  <c r="BS43" i="23"/>
  <c r="BQ43" i="23"/>
  <c r="BO43" i="23"/>
  <c r="BM43" i="23"/>
  <c r="BK43" i="23"/>
  <c r="BI43" i="23"/>
  <c r="BG43" i="23"/>
  <c r="BE43" i="23"/>
  <c r="BC43" i="23"/>
  <c r="BA43" i="23"/>
  <c r="AY43" i="23"/>
  <c r="AW43" i="23"/>
  <c r="AU43" i="23"/>
  <c r="AS43" i="23"/>
  <c r="AQ43" i="23"/>
  <c r="AO43" i="23"/>
  <c r="AM43" i="23"/>
  <c r="AK43" i="23"/>
  <c r="AI43" i="23"/>
  <c r="AG43" i="23"/>
  <c r="AE43" i="23"/>
  <c r="AC43" i="23"/>
  <c r="AA43" i="23"/>
  <c r="Y43" i="23"/>
  <c r="W43" i="23"/>
  <c r="U43" i="23"/>
  <c r="S43" i="23"/>
  <c r="Q43" i="23"/>
  <c r="O43" i="23"/>
  <c r="M43" i="23"/>
  <c r="K43" i="23"/>
  <c r="I43" i="23"/>
  <c r="G43" i="23"/>
  <c r="E43" i="23"/>
  <c r="C43" i="23"/>
  <c r="EG42" i="23"/>
  <c r="EE42" i="23"/>
  <c r="EC42" i="23"/>
  <c r="EA42" i="23"/>
  <c r="DY42" i="23"/>
  <c r="DW42" i="23"/>
  <c r="DU42" i="23"/>
  <c r="DS42" i="23"/>
  <c r="DQ42" i="23"/>
  <c r="DO42" i="23"/>
  <c r="DM42" i="23"/>
  <c r="DK42" i="23"/>
  <c r="F74" i="23" s="1"/>
  <c r="DI42" i="23"/>
  <c r="DG42" i="23"/>
  <c r="DE42" i="23"/>
  <c r="DC42" i="23"/>
  <c r="DA42" i="23"/>
  <c r="CY42" i="23"/>
  <c r="CW42" i="23"/>
  <c r="CU42" i="23"/>
  <c r="CS42" i="23"/>
  <c r="CQ42" i="23"/>
  <c r="CO42" i="23"/>
  <c r="CM42" i="23"/>
  <c r="CK42" i="23"/>
  <c r="CI42" i="23"/>
  <c r="CG42" i="23"/>
  <c r="CE42" i="23"/>
  <c r="CC42" i="23"/>
  <c r="CA42" i="23"/>
  <c r="BY42" i="23"/>
  <c r="BW42" i="23"/>
  <c r="BU42" i="23"/>
  <c r="BS42" i="23"/>
  <c r="BQ42" i="23"/>
  <c r="BO42" i="23"/>
  <c r="BM42" i="23"/>
  <c r="BK42" i="23"/>
  <c r="BI42" i="23"/>
  <c r="BG42" i="23"/>
  <c r="BE42" i="23"/>
  <c r="BC42" i="23"/>
  <c r="BA42" i="23"/>
  <c r="AY42" i="23"/>
  <c r="AW42" i="23"/>
  <c r="AU42" i="23"/>
  <c r="AS42" i="23"/>
  <c r="AQ42" i="23"/>
  <c r="AO42" i="23"/>
  <c r="AM42" i="23"/>
  <c r="AK42" i="23"/>
  <c r="AI42" i="23"/>
  <c r="AG42" i="23"/>
  <c r="AE42" i="23"/>
  <c r="AC42" i="23"/>
  <c r="AA42" i="23"/>
  <c r="Y42" i="23"/>
  <c r="W42" i="23"/>
  <c r="U42" i="23"/>
  <c r="S42" i="23"/>
  <c r="Q42" i="23"/>
  <c r="O42" i="23"/>
  <c r="M42" i="23"/>
  <c r="K42" i="23"/>
  <c r="I42" i="23"/>
  <c r="G42" i="23"/>
  <c r="E42" i="23"/>
  <c r="C42" i="23"/>
  <c r="D74" i="23" s="1"/>
  <c r="EG41" i="23"/>
  <c r="EE41" i="23"/>
  <c r="EC41" i="23"/>
  <c r="EA41" i="23"/>
  <c r="DY41" i="23"/>
  <c r="DW41" i="23"/>
  <c r="DU41" i="23"/>
  <c r="DS41" i="23"/>
  <c r="DQ41" i="23"/>
  <c r="DO41" i="23"/>
  <c r="DM41" i="23"/>
  <c r="DK41" i="23"/>
  <c r="F73" i="23" s="1"/>
  <c r="DI41" i="23"/>
  <c r="DG41" i="23"/>
  <c r="DE41" i="23"/>
  <c r="DC41" i="23"/>
  <c r="DA41" i="23"/>
  <c r="CY41" i="23"/>
  <c r="CW41" i="23"/>
  <c r="CU41" i="23"/>
  <c r="CS41" i="23"/>
  <c r="CQ41" i="23"/>
  <c r="CO41" i="23"/>
  <c r="CM41" i="23"/>
  <c r="CK41" i="23"/>
  <c r="CI41" i="23"/>
  <c r="CG41" i="23"/>
  <c r="CE41" i="23"/>
  <c r="CC41" i="23"/>
  <c r="CA41" i="23"/>
  <c r="BY41" i="23"/>
  <c r="BW41" i="23"/>
  <c r="BU41" i="23"/>
  <c r="BS41" i="23"/>
  <c r="BQ41" i="23"/>
  <c r="BO41" i="23"/>
  <c r="BM41" i="23"/>
  <c r="BK41" i="23"/>
  <c r="BI41" i="23"/>
  <c r="BG41" i="23"/>
  <c r="BE41" i="23"/>
  <c r="BC41" i="23"/>
  <c r="BA41" i="23"/>
  <c r="AY41" i="23"/>
  <c r="AW41" i="23"/>
  <c r="AU41" i="23"/>
  <c r="AS41" i="23"/>
  <c r="AQ41" i="23"/>
  <c r="AO41" i="23"/>
  <c r="AM41" i="23"/>
  <c r="AK41" i="23"/>
  <c r="AI41" i="23"/>
  <c r="AG41" i="23"/>
  <c r="AE41" i="23"/>
  <c r="AC41" i="23"/>
  <c r="AA41" i="23"/>
  <c r="Y41" i="23"/>
  <c r="W41" i="23"/>
  <c r="U41" i="23"/>
  <c r="S41" i="23"/>
  <c r="Q41" i="23"/>
  <c r="O41" i="23"/>
  <c r="M41" i="23"/>
  <c r="K41" i="23"/>
  <c r="I41" i="23"/>
  <c r="G41" i="23"/>
  <c r="E41" i="23"/>
  <c r="C41" i="23"/>
  <c r="EG40" i="23"/>
  <c r="EE40" i="23"/>
  <c r="EC40" i="23"/>
  <c r="EA40" i="23"/>
  <c r="DY40" i="23"/>
  <c r="DW40" i="23"/>
  <c r="DU40" i="23"/>
  <c r="DS40" i="23"/>
  <c r="DQ40" i="23"/>
  <c r="DO40" i="23"/>
  <c r="DM40" i="23"/>
  <c r="DK40" i="23"/>
  <c r="F72" i="23" s="1"/>
  <c r="DI40" i="23"/>
  <c r="DG40" i="23"/>
  <c r="DE40" i="23"/>
  <c r="DC40" i="23"/>
  <c r="DA40" i="23"/>
  <c r="CY40" i="23"/>
  <c r="CW40" i="23"/>
  <c r="CU40" i="23"/>
  <c r="CS40" i="23"/>
  <c r="CQ40" i="23"/>
  <c r="CO40" i="23"/>
  <c r="CM40" i="23"/>
  <c r="CK40" i="23"/>
  <c r="CI40" i="23"/>
  <c r="CG40" i="23"/>
  <c r="CE40" i="23"/>
  <c r="CC40" i="23"/>
  <c r="CA40" i="23"/>
  <c r="BY40" i="23"/>
  <c r="BW40" i="23"/>
  <c r="BU40" i="23"/>
  <c r="BS40" i="23"/>
  <c r="BQ40" i="23"/>
  <c r="BO40" i="23"/>
  <c r="BM40" i="23"/>
  <c r="BK40" i="23"/>
  <c r="BI40" i="23"/>
  <c r="BG40" i="23"/>
  <c r="BE40" i="23"/>
  <c r="BC40" i="23"/>
  <c r="BA40" i="23"/>
  <c r="AY40" i="23"/>
  <c r="AW40" i="23"/>
  <c r="AU40" i="23"/>
  <c r="AS40" i="23"/>
  <c r="AQ40" i="23"/>
  <c r="AO40" i="23"/>
  <c r="AM40" i="23"/>
  <c r="AK40" i="23"/>
  <c r="AI40" i="23"/>
  <c r="AG40" i="23"/>
  <c r="AE40" i="23"/>
  <c r="AC40" i="23"/>
  <c r="AA40" i="23"/>
  <c r="Y40" i="23"/>
  <c r="W40" i="23"/>
  <c r="U40" i="23"/>
  <c r="S40" i="23"/>
  <c r="Q40" i="23"/>
  <c r="O40" i="23"/>
  <c r="M40" i="23"/>
  <c r="K40" i="23"/>
  <c r="I40" i="23"/>
  <c r="G40" i="23"/>
  <c r="E40" i="23"/>
  <c r="C40" i="23"/>
  <c r="D72" i="23" s="1"/>
  <c r="EG39" i="23"/>
  <c r="EE39" i="23"/>
  <c r="EC39" i="23"/>
  <c r="EA39" i="23"/>
  <c r="DY39" i="23"/>
  <c r="DW39" i="23"/>
  <c r="DU39" i="23"/>
  <c r="DS39" i="23"/>
  <c r="DQ39" i="23"/>
  <c r="DO39" i="23"/>
  <c r="DM39" i="23"/>
  <c r="DK39" i="23"/>
  <c r="F71" i="23" s="1"/>
  <c r="DI39" i="23"/>
  <c r="DG39" i="23"/>
  <c r="DE39" i="23"/>
  <c r="DC39" i="23"/>
  <c r="DA39" i="23"/>
  <c r="CY39" i="23"/>
  <c r="CW39" i="23"/>
  <c r="CU39" i="23"/>
  <c r="CS39" i="23"/>
  <c r="CQ39" i="23"/>
  <c r="CO39" i="23"/>
  <c r="CM39" i="23"/>
  <c r="CK39" i="23"/>
  <c r="CI39" i="23"/>
  <c r="CG39" i="23"/>
  <c r="CE39" i="23"/>
  <c r="CC39" i="23"/>
  <c r="CA39" i="23"/>
  <c r="BY39" i="23"/>
  <c r="BW39" i="23"/>
  <c r="BU39" i="23"/>
  <c r="BS39" i="23"/>
  <c r="BQ39" i="23"/>
  <c r="BO39" i="23"/>
  <c r="BM39" i="23"/>
  <c r="BK39" i="23"/>
  <c r="BI39" i="23"/>
  <c r="BG39" i="23"/>
  <c r="BE39" i="23"/>
  <c r="BC39" i="23"/>
  <c r="BA39" i="23"/>
  <c r="AY39" i="23"/>
  <c r="AW39" i="23"/>
  <c r="AU39" i="23"/>
  <c r="AS39" i="23"/>
  <c r="AQ39" i="23"/>
  <c r="AO39" i="23"/>
  <c r="AM39" i="23"/>
  <c r="AK39" i="23"/>
  <c r="AI39" i="23"/>
  <c r="AG39" i="23"/>
  <c r="AE39" i="23"/>
  <c r="AC39" i="23"/>
  <c r="AA39" i="23"/>
  <c r="Y39" i="23"/>
  <c r="W39" i="23"/>
  <c r="U39" i="23"/>
  <c r="S39" i="23"/>
  <c r="Q39" i="23"/>
  <c r="O39" i="23"/>
  <c r="M39" i="23"/>
  <c r="K39" i="23"/>
  <c r="I39" i="23"/>
  <c r="G39" i="23"/>
  <c r="E39" i="23"/>
  <c r="C39" i="23"/>
  <c r="EG38" i="23"/>
  <c r="EE38" i="23"/>
  <c r="EC38" i="23"/>
  <c r="EA38" i="23"/>
  <c r="DY38" i="23"/>
  <c r="DW38" i="23"/>
  <c r="DU38" i="23"/>
  <c r="DS38" i="23"/>
  <c r="DQ38" i="23"/>
  <c r="DO38" i="23"/>
  <c r="DM38" i="23"/>
  <c r="DK38" i="23"/>
  <c r="F70" i="23" s="1"/>
  <c r="DI38" i="23"/>
  <c r="DG38" i="23"/>
  <c r="DE38" i="23"/>
  <c r="DC38" i="23"/>
  <c r="DA38" i="23"/>
  <c r="CY38" i="23"/>
  <c r="CW38" i="23"/>
  <c r="CU38" i="23"/>
  <c r="CS38" i="23"/>
  <c r="CQ38" i="23"/>
  <c r="CO38" i="23"/>
  <c r="CM38" i="23"/>
  <c r="CK38" i="23"/>
  <c r="CI38" i="23"/>
  <c r="CG38" i="23"/>
  <c r="CE38" i="23"/>
  <c r="CC38" i="23"/>
  <c r="CA38" i="23"/>
  <c r="BY38" i="23"/>
  <c r="BW38" i="23"/>
  <c r="BU38" i="23"/>
  <c r="BS38" i="23"/>
  <c r="BQ38" i="23"/>
  <c r="BO38" i="23"/>
  <c r="BM38" i="23"/>
  <c r="BK38" i="23"/>
  <c r="BI38" i="23"/>
  <c r="BG38" i="23"/>
  <c r="BE38" i="23"/>
  <c r="BC38" i="23"/>
  <c r="BA38" i="23"/>
  <c r="AY38" i="23"/>
  <c r="AW38" i="23"/>
  <c r="AU38" i="23"/>
  <c r="AS38" i="23"/>
  <c r="AQ38" i="23"/>
  <c r="AO38" i="23"/>
  <c r="AM38" i="23"/>
  <c r="AK38" i="23"/>
  <c r="AI38" i="23"/>
  <c r="AG38" i="23"/>
  <c r="AE38" i="23"/>
  <c r="AC38" i="23"/>
  <c r="AA38" i="23"/>
  <c r="Y38" i="23"/>
  <c r="W38" i="23"/>
  <c r="U38" i="23"/>
  <c r="S38" i="23"/>
  <c r="Q38" i="23"/>
  <c r="O38" i="23"/>
  <c r="M38" i="23"/>
  <c r="K38" i="23"/>
  <c r="I38" i="23"/>
  <c r="G38" i="23"/>
  <c r="E38" i="23"/>
  <c r="C38" i="23"/>
  <c r="D70" i="23" s="1"/>
  <c r="EG37" i="23"/>
  <c r="EE37" i="23"/>
  <c r="EC37" i="23"/>
  <c r="EA37" i="23"/>
  <c r="DY37" i="23"/>
  <c r="DW37" i="23"/>
  <c r="DU37" i="23"/>
  <c r="DS37" i="23"/>
  <c r="DQ37" i="23"/>
  <c r="DO37" i="23"/>
  <c r="DM37" i="23"/>
  <c r="DK37" i="23"/>
  <c r="F69" i="23" s="1"/>
  <c r="DI37" i="23"/>
  <c r="DG37" i="23"/>
  <c r="DE37" i="23"/>
  <c r="DC37" i="23"/>
  <c r="DA37" i="23"/>
  <c r="CY37" i="23"/>
  <c r="CW37" i="23"/>
  <c r="CU37" i="23"/>
  <c r="CS37" i="23"/>
  <c r="CQ37" i="23"/>
  <c r="CO37" i="23"/>
  <c r="CM37" i="23"/>
  <c r="CK37" i="23"/>
  <c r="CI37" i="23"/>
  <c r="CG37" i="23"/>
  <c r="CE37" i="23"/>
  <c r="CC37" i="23"/>
  <c r="CA37" i="23"/>
  <c r="BY37" i="23"/>
  <c r="BW37" i="23"/>
  <c r="BU37" i="23"/>
  <c r="BS37" i="23"/>
  <c r="BQ37" i="23"/>
  <c r="BO37" i="23"/>
  <c r="BM37" i="23"/>
  <c r="BK37" i="23"/>
  <c r="BI37" i="23"/>
  <c r="BG37" i="23"/>
  <c r="BE37" i="23"/>
  <c r="BC37" i="23"/>
  <c r="BA37" i="23"/>
  <c r="AY37" i="23"/>
  <c r="AW37" i="23"/>
  <c r="AU37" i="23"/>
  <c r="AS37" i="23"/>
  <c r="AQ37" i="23"/>
  <c r="AO37" i="23"/>
  <c r="AM37" i="23"/>
  <c r="AK37" i="23"/>
  <c r="AI37" i="23"/>
  <c r="AG37" i="23"/>
  <c r="AE37" i="23"/>
  <c r="AC37" i="23"/>
  <c r="AA37" i="23"/>
  <c r="Y37" i="23"/>
  <c r="W37" i="23"/>
  <c r="U37" i="23"/>
  <c r="S37" i="23"/>
  <c r="Q37" i="23"/>
  <c r="O37" i="23"/>
  <c r="M37" i="23"/>
  <c r="K37" i="23"/>
  <c r="I37" i="23"/>
  <c r="G37" i="23"/>
  <c r="E37" i="23"/>
  <c r="C37" i="23"/>
  <c r="EG36" i="23"/>
  <c r="EE36" i="23"/>
  <c r="EC36" i="23"/>
  <c r="EA36" i="23"/>
  <c r="DY36" i="23"/>
  <c r="DW36" i="23"/>
  <c r="DU36" i="23"/>
  <c r="DS36" i="23"/>
  <c r="DQ36" i="23"/>
  <c r="DO36" i="23"/>
  <c r="DM36" i="23"/>
  <c r="DK36" i="23"/>
  <c r="F68" i="23" s="1"/>
  <c r="DI36" i="23"/>
  <c r="DG36" i="23"/>
  <c r="DE36" i="23"/>
  <c r="DC36" i="23"/>
  <c r="DA36" i="23"/>
  <c r="CY36" i="23"/>
  <c r="CW36" i="23"/>
  <c r="CU36" i="23"/>
  <c r="CS36" i="23"/>
  <c r="CQ36" i="23"/>
  <c r="CO36" i="23"/>
  <c r="CM36" i="23"/>
  <c r="CK36" i="23"/>
  <c r="CI36" i="23"/>
  <c r="CG36" i="23"/>
  <c r="CE36" i="23"/>
  <c r="CC36" i="23"/>
  <c r="CA36" i="23"/>
  <c r="BY36" i="23"/>
  <c r="BW36" i="23"/>
  <c r="BU36" i="23"/>
  <c r="BS36" i="23"/>
  <c r="BQ36" i="23"/>
  <c r="BO36" i="23"/>
  <c r="BM36" i="23"/>
  <c r="BK36" i="23"/>
  <c r="BI36" i="23"/>
  <c r="BG36" i="23"/>
  <c r="BE36" i="23"/>
  <c r="BC36" i="23"/>
  <c r="BA36" i="23"/>
  <c r="AY36" i="23"/>
  <c r="AW36" i="23"/>
  <c r="AU36" i="23"/>
  <c r="AS36" i="23"/>
  <c r="AQ36" i="23"/>
  <c r="AO36" i="23"/>
  <c r="AM36" i="23"/>
  <c r="AK36" i="23"/>
  <c r="AI36" i="23"/>
  <c r="AG36" i="23"/>
  <c r="AE36" i="23"/>
  <c r="AC36" i="23"/>
  <c r="AA36" i="23"/>
  <c r="Y36" i="23"/>
  <c r="W36" i="23"/>
  <c r="U36" i="23"/>
  <c r="S36" i="23"/>
  <c r="Q36" i="23"/>
  <c r="O36" i="23"/>
  <c r="M36" i="23"/>
  <c r="K36" i="23"/>
  <c r="I36" i="23"/>
  <c r="G36" i="23"/>
  <c r="E36" i="23"/>
  <c r="C36" i="23"/>
  <c r="D68" i="23" s="1"/>
  <c r="EG35" i="23"/>
  <c r="EE35" i="23"/>
  <c r="EC35" i="23"/>
  <c r="EA35" i="23"/>
  <c r="DY35" i="23"/>
  <c r="DW35" i="23"/>
  <c r="DU35" i="23"/>
  <c r="DS35" i="23"/>
  <c r="DQ35" i="23"/>
  <c r="DO35" i="23"/>
  <c r="DM35" i="23"/>
  <c r="DK35" i="23"/>
  <c r="F67" i="23" s="1"/>
  <c r="DI35" i="23"/>
  <c r="DG35" i="23"/>
  <c r="DE35" i="23"/>
  <c r="DC35" i="23"/>
  <c r="DA35" i="23"/>
  <c r="CY35" i="23"/>
  <c r="CW35" i="23"/>
  <c r="CU35" i="23"/>
  <c r="CS35" i="23"/>
  <c r="CQ35" i="23"/>
  <c r="CO35" i="23"/>
  <c r="CM35" i="23"/>
  <c r="CK35" i="23"/>
  <c r="CI35" i="23"/>
  <c r="CG35" i="23"/>
  <c r="CE35" i="23"/>
  <c r="CC35" i="23"/>
  <c r="CA35" i="23"/>
  <c r="BY35" i="23"/>
  <c r="BW35" i="23"/>
  <c r="BU35" i="23"/>
  <c r="BS35" i="23"/>
  <c r="BQ35" i="23"/>
  <c r="BO35" i="23"/>
  <c r="BM35" i="23"/>
  <c r="BK35" i="23"/>
  <c r="BI35" i="23"/>
  <c r="BG35" i="23"/>
  <c r="BE35" i="23"/>
  <c r="BC35" i="23"/>
  <c r="BA35" i="23"/>
  <c r="AY35" i="23"/>
  <c r="AW35" i="23"/>
  <c r="AU35" i="23"/>
  <c r="AS35" i="23"/>
  <c r="AQ35" i="23"/>
  <c r="AO35" i="23"/>
  <c r="AM35" i="23"/>
  <c r="AK35" i="23"/>
  <c r="AI35" i="23"/>
  <c r="AG35" i="23"/>
  <c r="AE35" i="23"/>
  <c r="AC35" i="23"/>
  <c r="AA35" i="23"/>
  <c r="Y35" i="23"/>
  <c r="W35" i="23"/>
  <c r="U35" i="23"/>
  <c r="S35" i="23"/>
  <c r="Q35" i="23"/>
  <c r="O35" i="23"/>
  <c r="M35" i="23"/>
  <c r="K35" i="23"/>
  <c r="I35" i="23"/>
  <c r="G35" i="23"/>
  <c r="E35" i="23"/>
  <c r="C35" i="23"/>
  <c r="EG34" i="23"/>
  <c r="EE34" i="23"/>
  <c r="EC34" i="23"/>
  <c r="EA34" i="23"/>
  <c r="DY34" i="23"/>
  <c r="DW34" i="23"/>
  <c r="DU34" i="23"/>
  <c r="DS34" i="23"/>
  <c r="DQ34" i="23"/>
  <c r="DO34" i="23"/>
  <c r="DM34" i="23"/>
  <c r="DK34" i="23"/>
  <c r="F66" i="23" s="1"/>
  <c r="DI34" i="23"/>
  <c r="DG34" i="23"/>
  <c r="DE34" i="23"/>
  <c r="DC34" i="23"/>
  <c r="DA34" i="23"/>
  <c r="CY34" i="23"/>
  <c r="CW34" i="23"/>
  <c r="CU34" i="23"/>
  <c r="CS34" i="23"/>
  <c r="CQ34" i="23"/>
  <c r="CO34" i="23"/>
  <c r="CM34" i="23"/>
  <c r="CK34" i="23"/>
  <c r="CI34" i="23"/>
  <c r="CG34" i="23"/>
  <c r="CE34" i="23"/>
  <c r="CC34" i="23"/>
  <c r="CA34" i="23"/>
  <c r="BY34" i="23"/>
  <c r="BW34" i="23"/>
  <c r="BU34" i="23"/>
  <c r="BS34" i="23"/>
  <c r="BQ34" i="23"/>
  <c r="BO34" i="23"/>
  <c r="BM34" i="23"/>
  <c r="BK34" i="23"/>
  <c r="BI34" i="23"/>
  <c r="BG34" i="23"/>
  <c r="BE34" i="23"/>
  <c r="BC34" i="23"/>
  <c r="BA34" i="23"/>
  <c r="AY34" i="23"/>
  <c r="AW34" i="23"/>
  <c r="AU34" i="23"/>
  <c r="AS34" i="23"/>
  <c r="AQ34" i="23"/>
  <c r="AO34" i="23"/>
  <c r="AM34" i="23"/>
  <c r="AK34" i="23"/>
  <c r="AI34" i="23"/>
  <c r="AG34" i="23"/>
  <c r="AE34" i="23"/>
  <c r="AC34" i="23"/>
  <c r="AA34" i="23"/>
  <c r="Y34" i="23"/>
  <c r="W34" i="23"/>
  <c r="U34" i="23"/>
  <c r="S34" i="23"/>
  <c r="Q34" i="23"/>
  <c r="O34" i="23"/>
  <c r="M34" i="23"/>
  <c r="K34" i="23"/>
  <c r="I34" i="23"/>
  <c r="G34" i="23"/>
  <c r="E34" i="23"/>
  <c r="C34" i="23"/>
  <c r="D66" i="23" s="1"/>
  <c r="EG33" i="23"/>
  <c r="EE33" i="23"/>
  <c r="EC33" i="23"/>
  <c r="EA33" i="23"/>
  <c r="DY33" i="23"/>
  <c r="DW33" i="23"/>
  <c r="DU33" i="23"/>
  <c r="DS33" i="23"/>
  <c r="DQ33" i="23"/>
  <c r="DO33" i="23"/>
  <c r="DM33" i="23"/>
  <c r="DK33" i="23"/>
  <c r="F65" i="23" s="1"/>
  <c r="DI33" i="23"/>
  <c r="DG33" i="23"/>
  <c r="DE33" i="23"/>
  <c r="DC33" i="23"/>
  <c r="DA33" i="23"/>
  <c r="CY33" i="23"/>
  <c r="CW33" i="23"/>
  <c r="CU33" i="23"/>
  <c r="CS33" i="23"/>
  <c r="CQ33" i="23"/>
  <c r="CO33" i="23"/>
  <c r="CM33" i="23"/>
  <c r="CK33" i="23"/>
  <c r="CI33" i="23"/>
  <c r="CG33" i="23"/>
  <c r="CE33" i="23"/>
  <c r="CC33" i="23"/>
  <c r="CA33" i="23"/>
  <c r="BY33" i="23"/>
  <c r="BW33" i="23"/>
  <c r="BU33" i="23"/>
  <c r="BS33" i="23"/>
  <c r="BQ33" i="23"/>
  <c r="BO33" i="23"/>
  <c r="BM33" i="23"/>
  <c r="BK33" i="23"/>
  <c r="BI33" i="23"/>
  <c r="BG33" i="23"/>
  <c r="BE33" i="23"/>
  <c r="BC33" i="23"/>
  <c r="BA33" i="23"/>
  <c r="AY33" i="23"/>
  <c r="AW33" i="23"/>
  <c r="AU33" i="23"/>
  <c r="AS33" i="23"/>
  <c r="AQ33" i="23"/>
  <c r="AO33" i="23"/>
  <c r="AM33" i="23"/>
  <c r="AK33" i="23"/>
  <c r="AI33" i="23"/>
  <c r="AG33" i="23"/>
  <c r="AE33" i="23"/>
  <c r="AC33" i="23"/>
  <c r="AA33" i="23"/>
  <c r="Y33" i="23"/>
  <c r="W33" i="23"/>
  <c r="U33" i="23"/>
  <c r="S33" i="23"/>
  <c r="Q33" i="23"/>
  <c r="O33" i="23"/>
  <c r="M33" i="23"/>
  <c r="K33" i="23"/>
  <c r="I33" i="23"/>
  <c r="G33" i="23"/>
  <c r="E33" i="23"/>
  <c r="C33" i="23"/>
  <c r="EG32" i="23"/>
  <c r="EE32" i="23"/>
  <c r="EC32" i="23"/>
  <c r="EA32" i="23"/>
  <c r="DY32" i="23"/>
  <c r="DW32" i="23"/>
  <c r="DU32" i="23"/>
  <c r="DS32" i="23"/>
  <c r="DQ32" i="23"/>
  <c r="DO32" i="23"/>
  <c r="DM32" i="23"/>
  <c r="DK32" i="23"/>
  <c r="F64" i="23" s="1"/>
  <c r="DI32" i="23"/>
  <c r="DG32" i="23"/>
  <c r="DE32" i="23"/>
  <c r="DC32" i="23"/>
  <c r="DA32" i="23"/>
  <c r="CY32" i="23"/>
  <c r="CW32" i="23"/>
  <c r="CU32" i="23"/>
  <c r="CS32" i="23"/>
  <c r="CQ32" i="23"/>
  <c r="CO32" i="23"/>
  <c r="CM32" i="23"/>
  <c r="CK32" i="23"/>
  <c r="CI32" i="23"/>
  <c r="CG32" i="23"/>
  <c r="CE32" i="23"/>
  <c r="CC32" i="23"/>
  <c r="CA32" i="23"/>
  <c r="BY32" i="23"/>
  <c r="BW32" i="23"/>
  <c r="BU32" i="23"/>
  <c r="BS32" i="23"/>
  <c r="BQ32" i="23"/>
  <c r="BO32" i="23"/>
  <c r="BM32" i="23"/>
  <c r="BK32" i="23"/>
  <c r="BI32" i="23"/>
  <c r="BG32" i="23"/>
  <c r="BE32" i="23"/>
  <c r="BC32" i="23"/>
  <c r="BA32" i="23"/>
  <c r="AY32" i="23"/>
  <c r="AW32" i="23"/>
  <c r="AU32" i="23"/>
  <c r="AS32" i="23"/>
  <c r="AQ32" i="23"/>
  <c r="AO32" i="23"/>
  <c r="AM32" i="23"/>
  <c r="AK32" i="23"/>
  <c r="AI32" i="23"/>
  <c r="AG32" i="23"/>
  <c r="AE32" i="23"/>
  <c r="AC32" i="23"/>
  <c r="AA32" i="23"/>
  <c r="Y32" i="23"/>
  <c r="W32" i="23"/>
  <c r="U32" i="23"/>
  <c r="S32" i="23"/>
  <c r="Q32" i="23"/>
  <c r="O32" i="23"/>
  <c r="M32" i="23"/>
  <c r="K32" i="23"/>
  <c r="I32" i="23"/>
  <c r="G32" i="23"/>
  <c r="E32" i="23"/>
  <c r="C32" i="23"/>
  <c r="D64" i="23" s="1"/>
  <c r="EG31" i="23"/>
  <c r="EE31" i="23"/>
  <c r="EC31" i="23"/>
  <c r="EA31" i="23"/>
  <c r="DY31" i="23"/>
  <c r="DW31" i="23"/>
  <c r="DU31" i="23"/>
  <c r="DS31" i="23"/>
  <c r="DQ31" i="23"/>
  <c r="DO31" i="23"/>
  <c r="DM31" i="23"/>
  <c r="DK31" i="23"/>
  <c r="F63" i="23" s="1"/>
  <c r="DI31" i="23"/>
  <c r="DG31" i="23"/>
  <c r="DE31" i="23"/>
  <c r="DC31" i="23"/>
  <c r="DA31" i="23"/>
  <c r="CY31" i="23"/>
  <c r="CW31" i="23"/>
  <c r="CU31" i="23"/>
  <c r="CS31" i="23"/>
  <c r="CQ31" i="23"/>
  <c r="CO31" i="23"/>
  <c r="CM31" i="23"/>
  <c r="CK31" i="23"/>
  <c r="CI31" i="23"/>
  <c r="CG31" i="23"/>
  <c r="CE31" i="23"/>
  <c r="CC31" i="23"/>
  <c r="CA31" i="23"/>
  <c r="BY31" i="23"/>
  <c r="BW31" i="23"/>
  <c r="BU31" i="23"/>
  <c r="BS31" i="23"/>
  <c r="BQ31" i="23"/>
  <c r="BO31" i="23"/>
  <c r="BM31" i="23"/>
  <c r="BK31" i="23"/>
  <c r="BI31" i="23"/>
  <c r="BG31" i="23"/>
  <c r="BE31" i="23"/>
  <c r="BC31" i="23"/>
  <c r="BA31" i="23"/>
  <c r="AY31" i="23"/>
  <c r="AW31" i="23"/>
  <c r="AU31" i="23"/>
  <c r="AS31" i="23"/>
  <c r="AQ31" i="23"/>
  <c r="AO31" i="23"/>
  <c r="AM31" i="23"/>
  <c r="AK31" i="23"/>
  <c r="AI31" i="23"/>
  <c r="AG31" i="23"/>
  <c r="AE31" i="23"/>
  <c r="AC31" i="23"/>
  <c r="AA31" i="23"/>
  <c r="Y31" i="23"/>
  <c r="W31" i="23"/>
  <c r="U31" i="23"/>
  <c r="S31" i="23"/>
  <c r="Q31" i="23"/>
  <c r="O31" i="23"/>
  <c r="M31" i="23"/>
  <c r="K31" i="23"/>
  <c r="I31" i="23"/>
  <c r="G31" i="23"/>
  <c r="E31" i="23"/>
  <c r="C31" i="23"/>
  <c r="EG30" i="23"/>
  <c r="EE30" i="23"/>
  <c r="EC30" i="23"/>
  <c r="EA30" i="23"/>
  <c r="DY30" i="23"/>
  <c r="DW30" i="23"/>
  <c r="DU30" i="23"/>
  <c r="DS30" i="23"/>
  <c r="DQ30" i="23"/>
  <c r="DO30" i="23"/>
  <c r="DM30" i="23"/>
  <c r="DK30" i="23"/>
  <c r="F62" i="23" s="1"/>
  <c r="DI30" i="23"/>
  <c r="DG30" i="23"/>
  <c r="DE30" i="23"/>
  <c r="DC30" i="23"/>
  <c r="DA30" i="23"/>
  <c r="CY30" i="23"/>
  <c r="CW30" i="23"/>
  <c r="CU30" i="23"/>
  <c r="CS30" i="23"/>
  <c r="CQ30" i="23"/>
  <c r="CO30" i="23"/>
  <c r="CM30" i="23"/>
  <c r="CK30" i="23"/>
  <c r="CI30" i="23"/>
  <c r="CG30" i="23"/>
  <c r="CE30" i="23"/>
  <c r="CC30" i="23"/>
  <c r="CA30" i="23"/>
  <c r="BY30" i="23"/>
  <c r="BW30" i="23"/>
  <c r="BU30" i="23"/>
  <c r="BS30" i="23"/>
  <c r="BQ30" i="23"/>
  <c r="BO30" i="23"/>
  <c r="BM30" i="23"/>
  <c r="BK30" i="23"/>
  <c r="BI30" i="23"/>
  <c r="BG30" i="23"/>
  <c r="BE30" i="23"/>
  <c r="BC30" i="23"/>
  <c r="BA30" i="23"/>
  <c r="AY30" i="23"/>
  <c r="AW30" i="23"/>
  <c r="AU30" i="23"/>
  <c r="AS30" i="23"/>
  <c r="AQ30" i="23"/>
  <c r="AO30" i="23"/>
  <c r="AM30" i="23"/>
  <c r="AK30" i="23"/>
  <c r="AI30" i="23"/>
  <c r="AG30" i="23"/>
  <c r="AE30" i="23"/>
  <c r="AC30" i="23"/>
  <c r="AA30" i="23"/>
  <c r="Y30" i="23"/>
  <c r="W30" i="23"/>
  <c r="U30" i="23"/>
  <c r="S30" i="23"/>
  <c r="Q30" i="23"/>
  <c r="O30" i="23"/>
  <c r="M30" i="23"/>
  <c r="K30" i="23"/>
  <c r="I30" i="23"/>
  <c r="G30" i="23"/>
  <c r="E30" i="23"/>
  <c r="C30" i="23"/>
  <c r="D62" i="23" s="1"/>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L7" i="1"/>
  <c r="H1796" i="2"/>
  <c r="H1795" i="2"/>
  <c r="H1794" i="2"/>
  <c r="H1793" i="2"/>
  <c r="H1792" i="2"/>
  <c r="H1791" i="2"/>
  <c r="H1790" i="2"/>
  <c r="H1789" i="2"/>
  <c r="H1788" i="2"/>
  <c r="H1787" i="2"/>
  <c r="H1786" i="2"/>
  <c r="H1785" i="2"/>
  <c r="H1784" i="2"/>
  <c r="H1783" i="2"/>
  <c r="H1782" i="2"/>
  <c r="H1781" i="2"/>
  <c r="H1780" i="2"/>
  <c r="H1779" i="2"/>
  <c r="H1778" i="2"/>
  <c r="H1777" i="2"/>
  <c r="H1776" i="2"/>
  <c r="H1775" i="2"/>
  <c r="H1774" i="2"/>
  <c r="H1773" i="2"/>
  <c r="H1772" i="2"/>
  <c r="H1771" i="2"/>
  <c r="H1770" i="2"/>
  <c r="H1769" i="2"/>
  <c r="H1768" i="2"/>
  <c r="H1767" i="2"/>
  <c r="H1766" i="2"/>
  <c r="H1765" i="2"/>
  <c r="H1764" i="2"/>
  <c r="H1763" i="2"/>
  <c r="H1762" i="2"/>
  <c r="H1761" i="2"/>
  <c r="H1760" i="2"/>
  <c r="H1759" i="2"/>
  <c r="H1758" i="2"/>
  <c r="H1757" i="2"/>
  <c r="H1756" i="2"/>
  <c r="H1755" i="2"/>
  <c r="H1754" i="2"/>
  <c r="H1753" i="2"/>
  <c r="H1752" i="2"/>
  <c r="H1751" i="2"/>
  <c r="H1750" i="2"/>
  <c r="H1749" i="2"/>
  <c r="H1748" i="2"/>
  <c r="H1747" i="2"/>
  <c r="H1746" i="2"/>
  <c r="H1745" i="2"/>
  <c r="H1744" i="2"/>
  <c r="H1743" i="2"/>
  <c r="H1742" i="2"/>
  <c r="H1741" i="2"/>
  <c r="H1740" i="2"/>
  <c r="H1739" i="2"/>
  <c r="H1738" i="2"/>
  <c r="H1737" i="2"/>
  <c r="H1736" i="2"/>
  <c r="H1735" i="2"/>
  <c r="H1734" i="2"/>
  <c r="H1733" i="2"/>
  <c r="H1732" i="2"/>
  <c r="H1731" i="2"/>
  <c r="H1730" i="2"/>
  <c r="H1729" i="2"/>
  <c r="H1728" i="2"/>
  <c r="H1727" i="2"/>
  <c r="H1726" i="2"/>
  <c r="H1725" i="2"/>
  <c r="H1724" i="2"/>
  <c r="H1723" i="2"/>
  <c r="H1722" i="2"/>
  <c r="H1721" i="2"/>
  <c r="H1720" i="2"/>
  <c r="H1719" i="2"/>
  <c r="H1718" i="2"/>
  <c r="H1717" i="2"/>
  <c r="H1716" i="2"/>
  <c r="H1715" i="2"/>
  <c r="H1714" i="2"/>
  <c r="H1713" i="2"/>
  <c r="H1712" i="2"/>
  <c r="H1711" i="2"/>
  <c r="H1710" i="2"/>
  <c r="H1709" i="2"/>
  <c r="H1708" i="2"/>
  <c r="H1707" i="2"/>
  <c r="H1706" i="2"/>
  <c r="H1705" i="2"/>
  <c r="H1704" i="2"/>
  <c r="H1703" i="2"/>
  <c r="H1702" i="2"/>
  <c r="H1701" i="2"/>
  <c r="H1700" i="2"/>
  <c r="H1699" i="2"/>
  <c r="H1698" i="2"/>
  <c r="H1697" i="2"/>
  <c r="H1696" i="2"/>
  <c r="H1695" i="2"/>
  <c r="H1694" i="2"/>
  <c r="H1693" i="2"/>
  <c r="H1692" i="2"/>
  <c r="H1691" i="2"/>
  <c r="H1690" i="2"/>
  <c r="H1689" i="2"/>
  <c r="H1688" i="2"/>
  <c r="H1687" i="2"/>
  <c r="H1686" i="2"/>
  <c r="H1685" i="2"/>
  <c r="H1684" i="2"/>
  <c r="H1683" i="2"/>
  <c r="H1682" i="2"/>
  <c r="H1681" i="2"/>
  <c r="H1680" i="2"/>
  <c r="H1679" i="2"/>
  <c r="H1678" i="2"/>
  <c r="H1677" i="2"/>
  <c r="H1676" i="2"/>
  <c r="H1675" i="2"/>
  <c r="H1674" i="2"/>
  <c r="H1673" i="2"/>
  <c r="H1672" i="2"/>
  <c r="H1671" i="2"/>
  <c r="H1670" i="2"/>
  <c r="H1669" i="2"/>
  <c r="H1668" i="2"/>
  <c r="H1667" i="2"/>
  <c r="H1666" i="2"/>
  <c r="H1665" i="2"/>
  <c r="H1664" i="2"/>
  <c r="H1663" i="2"/>
  <c r="H1662" i="2"/>
  <c r="H1661" i="2"/>
  <c r="H1660" i="2"/>
  <c r="H1659" i="2"/>
  <c r="H1658" i="2"/>
  <c r="H1657" i="2"/>
  <c r="H1656" i="2"/>
  <c r="H1655" i="2"/>
  <c r="H1654" i="2"/>
  <c r="H1653" i="2"/>
  <c r="H1652" i="2"/>
  <c r="H1651" i="2"/>
  <c r="H1650" i="2"/>
  <c r="H1649" i="2"/>
  <c r="H1648" i="2"/>
  <c r="H1647" i="2"/>
  <c r="H1646" i="2"/>
  <c r="H1645" i="2"/>
  <c r="H1644" i="2"/>
  <c r="H1643" i="2"/>
  <c r="H1642" i="2"/>
  <c r="H1641" i="2"/>
  <c r="H1640" i="2"/>
  <c r="H1639" i="2"/>
  <c r="H1638" i="2"/>
  <c r="H1637" i="2"/>
  <c r="H1636" i="2"/>
  <c r="H1635" i="2"/>
  <c r="H1634" i="2"/>
  <c r="H1633" i="2"/>
  <c r="H1632" i="2"/>
  <c r="H1631" i="2"/>
  <c r="H1630" i="2"/>
  <c r="H1629" i="2"/>
  <c r="H1628" i="2"/>
  <c r="H1627" i="2"/>
  <c r="H1626" i="2"/>
  <c r="H1625" i="2"/>
  <c r="H1624" i="2"/>
  <c r="H1623" i="2"/>
  <c r="H1622" i="2"/>
  <c r="H1621" i="2"/>
  <c r="H1620" i="2"/>
  <c r="H1619" i="2"/>
  <c r="H1618" i="2"/>
  <c r="H1617" i="2"/>
  <c r="H1616" i="2"/>
  <c r="H1615" i="2"/>
  <c r="H1614" i="2"/>
  <c r="H1613" i="2"/>
  <c r="H1612" i="2"/>
  <c r="H1611" i="2"/>
  <c r="H1610" i="2"/>
  <c r="H1609" i="2"/>
  <c r="H1608" i="2"/>
  <c r="H1607" i="2"/>
  <c r="H1606" i="2"/>
  <c r="H1605" i="2"/>
  <c r="H1604" i="2"/>
  <c r="H1603" i="2"/>
  <c r="H1602" i="2"/>
  <c r="H1601" i="2"/>
  <c r="H1600" i="2"/>
  <c r="H1599" i="2"/>
  <c r="H1598" i="2"/>
  <c r="H1597" i="2"/>
  <c r="H1596" i="2"/>
  <c r="H1595" i="2"/>
  <c r="H1594" i="2"/>
  <c r="H1593" i="2"/>
  <c r="H1592" i="2"/>
  <c r="H1591" i="2"/>
  <c r="H1590" i="2"/>
  <c r="H1589" i="2"/>
  <c r="H1588" i="2"/>
  <c r="H1587" i="2"/>
  <c r="H1586" i="2"/>
  <c r="H1585" i="2"/>
  <c r="H1584" i="2"/>
  <c r="H1583" i="2"/>
  <c r="H1582" i="2"/>
  <c r="H1581" i="2"/>
  <c r="H1580" i="2"/>
  <c r="H1579" i="2"/>
  <c r="H1578" i="2"/>
  <c r="H1577" i="2"/>
  <c r="H1576" i="2"/>
  <c r="H1575" i="2"/>
  <c r="H1574" i="2"/>
  <c r="H1573" i="2"/>
  <c r="H1572" i="2"/>
  <c r="H1571" i="2"/>
  <c r="H1570" i="2"/>
  <c r="H1569" i="2"/>
  <c r="H1568" i="2"/>
  <c r="H1567" i="2"/>
  <c r="H1566" i="2"/>
  <c r="H1565" i="2"/>
  <c r="H1564" i="2"/>
  <c r="H1563" i="2"/>
  <c r="H1562" i="2"/>
  <c r="H1561" i="2"/>
  <c r="H1560" i="2"/>
  <c r="H1559" i="2"/>
  <c r="H1558" i="2"/>
  <c r="H1557" i="2"/>
  <c r="H1556" i="2"/>
  <c r="H1555" i="2"/>
  <c r="H1554" i="2"/>
  <c r="H1553" i="2"/>
  <c r="H1552" i="2"/>
  <c r="H1551" i="2"/>
  <c r="H1550" i="2"/>
  <c r="H1549" i="2"/>
  <c r="H1548" i="2"/>
  <c r="H1547" i="2"/>
  <c r="H1546" i="2"/>
  <c r="H1545" i="2"/>
  <c r="H1544" i="2"/>
  <c r="H1543" i="2"/>
  <c r="H1542" i="2"/>
  <c r="H1541" i="2"/>
  <c r="H1540" i="2"/>
  <c r="H1539" i="2"/>
  <c r="H1538" i="2"/>
  <c r="H1537" i="2"/>
  <c r="H1536" i="2"/>
  <c r="H1535" i="2"/>
  <c r="H1534" i="2"/>
  <c r="H1533" i="2"/>
  <c r="H1532" i="2"/>
  <c r="H1531" i="2"/>
  <c r="H1530" i="2"/>
  <c r="H1529" i="2"/>
  <c r="H1528" i="2"/>
  <c r="H1527" i="2"/>
  <c r="H1526" i="2"/>
  <c r="H1525" i="2"/>
  <c r="H1524" i="2"/>
  <c r="H1523" i="2"/>
  <c r="H1522" i="2"/>
  <c r="H1521" i="2"/>
  <c r="H1520" i="2"/>
  <c r="H1519" i="2"/>
  <c r="H1518" i="2"/>
  <c r="H1517" i="2"/>
  <c r="H1516" i="2"/>
  <c r="H1515" i="2"/>
  <c r="H1514" i="2"/>
  <c r="H1513" i="2"/>
  <c r="H1512" i="2"/>
  <c r="H1511" i="2"/>
  <c r="H1510" i="2"/>
  <c r="H1509" i="2"/>
  <c r="H1508" i="2"/>
  <c r="H1507" i="2"/>
  <c r="H1506" i="2"/>
  <c r="H1505" i="2"/>
  <c r="H1504" i="2"/>
  <c r="H1503" i="2"/>
  <c r="H1502" i="2"/>
  <c r="H1501" i="2"/>
  <c r="H1500" i="2"/>
  <c r="H1499" i="2"/>
  <c r="H1498" i="2"/>
  <c r="H1497" i="2"/>
  <c r="H1496" i="2"/>
  <c r="H1495" i="2"/>
  <c r="H1494" i="2"/>
  <c r="H1493" i="2"/>
  <c r="H1492" i="2"/>
  <c r="H1491" i="2"/>
  <c r="H1490" i="2"/>
  <c r="H1489" i="2"/>
  <c r="H1488" i="2"/>
  <c r="H1487" i="2"/>
  <c r="H1486" i="2"/>
  <c r="H1485" i="2"/>
  <c r="H1484" i="2"/>
  <c r="H1483" i="2"/>
  <c r="H1482" i="2"/>
  <c r="H1481" i="2"/>
  <c r="H1480" i="2"/>
  <c r="H1479" i="2"/>
  <c r="H1478" i="2"/>
  <c r="H1477" i="2"/>
  <c r="H1476" i="2"/>
  <c r="H1475" i="2"/>
  <c r="H1474" i="2"/>
  <c r="H1473" i="2"/>
  <c r="H1472" i="2"/>
  <c r="H1471" i="2"/>
  <c r="H1470" i="2"/>
  <c r="H1469" i="2"/>
  <c r="H1468" i="2"/>
  <c r="H1467" i="2"/>
  <c r="H1466" i="2"/>
  <c r="H1465" i="2"/>
  <c r="H1464" i="2"/>
  <c r="H1463" i="2"/>
  <c r="H1462" i="2"/>
  <c r="H1461" i="2"/>
  <c r="H1460" i="2"/>
  <c r="H1459" i="2"/>
  <c r="H1458" i="2"/>
  <c r="H1457" i="2"/>
  <c r="H1456" i="2"/>
  <c r="H1455" i="2"/>
  <c r="H1454" i="2"/>
  <c r="H1453" i="2"/>
  <c r="H1452" i="2"/>
  <c r="H1451" i="2"/>
  <c r="H1450" i="2"/>
  <c r="H1449" i="2"/>
  <c r="H1448" i="2"/>
  <c r="H1447" i="2"/>
  <c r="H1446" i="2"/>
  <c r="H1445" i="2"/>
  <c r="H1444" i="2"/>
  <c r="H1443" i="2"/>
  <c r="H1442" i="2"/>
  <c r="H1441" i="2"/>
  <c r="H1440" i="2"/>
  <c r="H1439" i="2"/>
  <c r="H1438" i="2"/>
  <c r="H1437" i="2"/>
  <c r="H1436" i="2"/>
  <c r="H1435" i="2"/>
  <c r="H1434" i="2"/>
  <c r="H1433" i="2"/>
  <c r="H1432" i="2"/>
  <c r="H1431" i="2"/>
  <c r="H1430" i="2"/>
  <c r="H1429" i="2"/>
  <c r="H1428" i="2"/>
  <c r="H1427" i="2"/>
  <c r="H1426" i="2"/>
  <c r="H1425" i="2"/>
  <c r="H1424" i="2"/>
  <c r="H1423" i="2"/>
  <c r="H1422" i="2"/>
  <c r="H1421" i="2"/>
  <c r="H1420" i="2"/>
  <c r="H1419" i="2"/>
  <c r="H1418" i="2"/>
  <c r="H1417" i="2"/>
  <c r="H1416" i="2"/>
  <c r="H1415" i="2"/>
  <c r="H1414" i="2"/>
  <c r="H1413" i="2"/>
  <c r="H1412" i="2"/>
  <c r="H1411" i="2"/>
  <c r="H1410" i="2"/>
  <c r="H1409" i="2"/>
  <c r="H1408" i="2"/>
  <c r="H1407" i="2"/>
  <c r="H1406" i="2"/>
  <c r="H1405" i="2"/>
  <c r="H1404" i="2"/>
  <c r="H1403" i="2"/>
  <c r="H1402" i="2"/>
  <c r="H1401" i="2"/>
  <c r="H1400" i="2"/>
  <c r="H1399" i="2"/>
  <c r="H1398" i="2"/>
  <c r="H1397" i="2"/>
  <c r="H1396" i="2"/>
  <c r="H1395" i="2"/>
  <c r="H1394" i="2"/>
  <c r="H1393" i="2"/>
  <c r="H1392" i="2"/>
  <c r="H1391" i="2"/>
  <c r="H1390" i="2"/>
  <c r="H1389" i="2"/>
  <c r="H1388" i="2"/>
  <c r="H1387" i="2"/>
  <c r="H1386" i="2"/>
  <c r="H1385" i="2"/>
  <c r="H1384" i="2"/>
  <c r="H1383" i="2"/>
  <c r="H1382" i="2"/>
  <c r="H1381" i="2"/>
  <c r="H1380" i="2"/>
  <c r="H1379" i="2"/>
  <c r="H1378" i="2"/>
  <c r="H1377" i="2"/>
  <c r="H1376" i="2"/>
  <c r="H1375" i="2"/>
  <c r="H1374" i="2"/>
  <c r="H1373" i="2"/>
  <c r="H1372" i="2"/>
  <c r="H1371" i="2"/>
  <c r="H1370" i="2"/>
  <c r="H1369" i="2"/>
  <c r="H1368" i="2"/>
  <c r="H1367" i="2"/>
  <c r="H1366" i="2"/>
  <c r="H1365" i="2"/>
  <c r="H1364" i="2"/>
  <c r="H1363" i="2"/>
  <c r="H1362" i="2"/>
  <c r="H1361" i="2"/>
  <c r="H1360" i="2"/>
  <c r="H1359" i="2"/>
  <c r="H1358" i="2"/>
  <c r="H1357" i="2"/>
  <c r="H1356" i="2"/>
  <c r="H1355" i="2"/>
  <c r="H1354" i="2"/>
  <c r="H1353" i="2"/>
  <c r="H1352" i="2"/>
  <c r="H1351" i="2"/>
  <c r="H1350" i="2"/>
  <c r="H1349" i="2"/>
  <c r="H1348" i="2"/>
  <c r="H1347" i="2"/>
  <c r="H1346" i="2"/>
  <c r="H1345" i="2"/>
  <c r="H1344" i="2"/>
  <c r="H1343" i="2"/>
  <c r="H1342" i="2"/>
  <c r="H1341" i="2"/>
  <c r="H1340" i="2"/>
  <c r="H1339" i="2"/>
  <c r="H1338" i="2"/>
  <c r="H1337" i="2"/>
  <c r="H1336" i="2"/>
  <c r="H1335" i="2"/>
  <c r="H1334" i="2"/>
  <c r="H1333" i="2"/>
  <c r="H1332" i="2"/>
  <c r="H1331" i="2"/>
  <c r="H1330" i="2"/>
  <c r="H1329" i="2"/>
  <c r="H1328" i="2"/>
  <c r="H1327" i="2"/>
  <c r="H1326" i="2"/>
  <c r="H1325" i="2"/>
  <c r="H1324" i="2"/>
  <c r="H1323" i="2"/>
  <c r="H1322" i="2"/>
  <c r="H1321" i="2"/>
  <c r="H1320" i="2"/>
  <c r="H1319" i="2"/>
  <c r="H1318" i="2"/>
  <c r="H1317" i="2"/>
  <c r="H1316" i="2"/>
  <c r="H1315" i="2"/>
  <c r="H1314" i="2"/>
  <c r="H1313" i="2"/>
  <c r="H1312" i="2"/>
  <c r="H1311" i="2"/>
  <c r="H1310" i="2"/>
  <c r="H1309" i="2"/>
  <c r="H1308" i="2"/>
  <c r="H1307" i="2"/>
  <c r="H1306" i="2"/>
  <c r="H1305" i="2"/>
  <c r="H1304" i="2"/>
  <c r="H1303" i="2"/>
  <c r="H1302" i="2"/>
  <c r="H1301" i="2"/>
  <c r="H1300" i="2"/>
  <c r="H1299" i="2"/>
  <c r="H1298" i="2"/>
  <c r="H1297" i="2"/>
  <c r="H1296" i="2"/>
  <c r="H1295" i="2"/>
  <c r="H1294" i="2"/>
  <c r="H1293" i="2"/>
  <c r="H1292" i="2"/>
  <c r="H1291" i="2"/>
  <c r="H1290" i="2"/>
  <c r="H1289" i="2"/>
  <c r="H1288" i="2"/>
  <c r="H1287" i="2"/>
  <c r="H1286" i="2"/>
  <c r="H1285" i="2"/>
  <c r="H1284" i="2"/>
  <c r="H1283" i="2"/>
  <c r="H1282" i="2"/>
  <c r="H1281" i="2"/>
  <c r="H1280" i="2"/>
  <c r="H1279" i="2"/>
  <c r="H1278" i="2"/>
  <c r="H1277" i="2"/>
  <c r="H1276" i="2"/>
  <c r="H1275" i="2"/>
  <c r="H1274" i="2"/>
  <c r="H1273" i="2"/>
  <c r="H1272" i="2"/>
  <c r="H1271" i="2"/>
  <c r="H1270" i="2"/>
  <c r="H1269" i="2"/>
  <c r="H1268" i="2"/>
  <c r="H1267" i="2"/>
  <c r="H1266" i="2"/>
  <c r="H1265" i="2"/>
  <c r="H1264" i="2"/>
  <c r="H1263" i="2"/>
  <c r="H1262" i="2"/>
  <c r="H1261" i="2"/>
  <c r="H1260" i="2"/>
  <c r="H1259" i="2"/>
  <c r="H1258" i="2"/>
  <c r="H1257" i="2"/>
  <c r="H1256" i="2"/>
  <c r="H1255" i="2"/>
  <c r="H1254" i="2"/>
  <c r="H1253" i="2"/>
  <c r="H1252" i="2"/>
  <c r="H1251" i="2"/>
  <c r="H1250" i="2"/>
  <c r="H1249" i="2"/>
  <c r="H1248" i="2"/>
  <c r="H1247" i="2"/>
  <c r="H1246" i="2"/>
  <c r="H1245" i="2"/>
  <c r="H1244" i="2"/>
  <c r="H1243" i="2"/>
  <c r="H1242" i="2"/>
  <c r="H1241" i="2"/>
  <c r="H1240" i="2"/>
  <c r="H1239" i="2"/>
  <c r="H1238" i="2"/>
  <c r="H1237" i="2"/>
  <c r="H1236" i="2"/>
  <c r="H1235" i="2"/>
  <c r="H1234" i="2"/>
  <c r="H1233" i="2"/>
  <c r="H1232" i="2"/>
  <c r="H1231" i="2"/>
  <c r="H1230" i="2"/>
  <c r="H1229" i="2"/>
  <c r="H1228" i="2"/>
  <c r="H1227" i="2"/>
  <c r="H1226" i="2"/>
  <c r="H1225" i="2"/>
  <c r="H1224" i="2"/>
  <c r="H1223" i="2"/>
  <c r="H1222" i="2"/>
  <c r="H1221" i="2"/>
  <c r="H1220" i="2"/>
  <c r="H1219" i="2"/>
  <c r="H1218" i="2"/>
  <c r="H1217" i="2"/>
  <c r="H1216" i="2"/>
  <c r="H1215" i="2"/>
  <c r="H1214" i="2"/>
  <c r="H1213" i="2"/>
  <c r="H1212" i="2"/>
  <c r="H1211" i="2"/>
  <c r="H1210" i="2"/>
  <c r="H1209" i="2"/>
  <c r="H1208" i="2"/>
  <c r="H1207" i="2"/>
  <c r="H1206" i="2"/>
  <c r="H1205" i="2"/>
  <c r="H1204" i="2"/>
  <c r="H1203" i="2"/>
  <c r="H1202" i="2"/>
  <c r="H1201" i="2"/>
  <c r="H1200" i="2"/>
  <c r="H1199" i="2"/>
  <c r="H1198" i="2"/>
  <c r="H1197" i="2"/>
  <c r="H1196" i="2"/>
  <c r="H1195" i="2"/>
  <c r="H1194" i="2"/>
  <c r="H1193" i="2"/>
  <c r="H1192" i="2"/>
  <c r="H1191" i="2"/>
  <c r="H1190" i="2"/>
  <c r="H1189" i="2"/>
  <c r="H1188" i="2"/>
  <c r="H1187" i="2"/>
  <c r="H1186" i="2"/>
  <c r="H1185" i="2"/>
  <c r="H1184" i="2"/>
  <c r="H1183" i="2"/>
  <c r="H1182" i="2"/>
  <c r="H1181" i="2"/>
  <c r="H1180" i="2"/>
  <c r="H1179" i="2"/>
  <c r="H1178" i="2"/>
  <c r="H1177" i="2"/>
  <c r="H1176" i="2"/>
  <c r="H1175" i="2"/>
  <c r="H1174" i="2"/>
  <c r="H1173" i="2"/>
  <c r="H1172" i="2"/>
  <c r="H1171" i="2"/>
  <c r="H1170" i="2"/>
  <c r="H1169" i="2"/>
  <c r="H1168" i="2"/>
  <c r="H1167" i="2"/>
  <c r="H1166" i="2"/>
  <c r="H1165" i="2"/>
  <c r="H1164" i="2"/>
  <c r="H1163" i="2"/>
  <c r="H1162" i="2"/>
  <c r="H1161" i="2"/>
  <c r="H1160" i="2"/>
  <c r="H1159" i="2"/>
  <c r="H1158" i="2"/>
  <c r="H1157" i="2"/>
  <c r="H1156" i="2"/>
  <c r="H1155" i="2"/>
  <c r="H1154" i="2"/>
  <c r="H1153" i="2"/>
  <c r="H1152" i="2"/>
  <c r="H1151" i="2"/>
  <c r="H1150" i="2"/>
  <c r="H1149" i="2"/>
  <c r="H1148" i="2"/>
  <c r="H1147" i="2"/>
  <c r="H1146" i="2"/>
  <c r="H1145" i="2"/>
  <c r="H1144" i="2"/>
  <c r="H1143" i="2"/>
  <c r="H1142" i="2"/>
  <c r="H1141" i="2"/>
  <c r="H1140" i="2"/>
  <c r="H1139" i="2"/>
  <c r="H1138" i="2"/>
  <c r="H1137" i="2"/>
  <c r="H1136" i="2"/>
  <c r="H1135" i="2"/>
  <c r="H1134" i="2"/>
  <c r="H1133" i="2"/>
  <c r="H1132" i="2"/>
  <c r="H1131" i="2"/>
  <c r="H1130" i="2"/>
  <c r="H1129" i="2"/>
  <c r="H1128" i="2"/>
  <c r="H1127" i="2"/>
  <c r="H1126" i="2"/>
  <c r="H1125" i="2"/>
  <c r="H1124" i="2"/>
  <c r="H1123" i="2"/>
  <c r="H1122" i="2"/>
  <c r="H1121" i="2"/>
  <c r="H1120" i="2"/>
  <c r="H1119" i="2"/>
  <c r="H1118" i="2"/>
  <c r="H1117" i="2"/>
  <c r="H1116" i="2"/>
  <c r="H1115" i="2"/>
  <c r="H1114" i="2"/>
  <c r="H1113" i="2"/>
  <c r="H1112" i="2"/>
  <c r="H1111" i="2"/>
  <c r="H1110" i="2"/>
  <c r="H1109" i="2"/>
  <c r="H1108" i="2"/>
  <c r="H1107" i="2"/>
  <c r="H1106" i="2"/>
  <c r="H1105" i="2"/>
  <c r="H1104" i="2"/>
  <c r="H1103" i="2"/>
  <c r="H1102" i="2"/>
  <c r="H1101" i="2"/>
  <c r="H1100" i="2"/>
  <c r="H1099" i="2"/>
  <c r="H1098" i="2"/>
  <c r="H1097" i="2"/>
  <c r="H1096" i="2"/>
  <c r="H1095" i="2"/>
  <c r="H1094" i="2"/>
  <c r="H1093" i="2"/>
  <c r="H1092" i="2"/>
  <c r="H1091" i="2"/>
  <c r="H1090" i="2"/>
  <c r="H1089" i="2"/>
  <c r="H1088" i="2"/>
  <c r="H1087" i="2"/>
  <c r="H1086" i="2"/>
  <c r="H1085" i="2"/>
  <c r="H1084" i="2"/>
  <c r="H1083" i="2"/>
  <c r="H1082" i="2"/>
  <c r="H1081" i="2"/>
  <c r="H1080" i="2"/>
  <c r="H1079" i="2"/>
  <c r="H1078" i="2"/>
  <c r="H1077" i="2"/>
  <c r="H1076" i="2"/>
  <c r="H1075" i="2"/>
  <c r="H1074" i="2"/>
  <c r="H1073" i="2"/>
  <c r="H1072" i="2"/>
  <c r="H1071" i="2"/>
  <c r="H1070" i="2"/>
  <c r="H1069" i="2"/>
  <c r="H1068" i="2"/>
  <c r="H1067" i="2"/>
  <c r="H1066" i="2"/>
  <c r="H1065" i="2"/>
  <c r="H1064" i="2"/>
  <c r="H1063" i="2"/>
  <c r="H1062" i="2"/>
  <c r="H1061" i="2"/>
  <c r="H1060" i="2"/>
  <c r="H1059" i="2"/>
  <c r="H1058" i="2"/>
  <c r="H1057" i="2"/>
  <c r="H1056" i="2"/>
  <c r="H1055" i="2"/>
  <c r="H1054" i="2"/>
  <c r="H1053" i="2"/>
  <c r="H1052" i="2"/>
  <c r="H1051" i="2"/>
  <c r="H1050" i="2"/>
  <c r="H1049" i="2"/>
  <c r="H1048" i="2"/>
  <c r="H1047" i="2"/>
  <c r="H1046" i="2"/>
  <c r="H1045" i="2"/>
  <c r="H1044" i="2"/>
  <c r="H1043" i="2"/>
  <c r="H1042" i="2"/>
  <c r="H1041" i="2"/>
  <c r="H1040" i="2"/>
  <c r="H1039" i="2"/>
  <c r="H1038" i="2"/>
  <c r="H1037" i="2"/>
  <c r="H1036" i="2"/>
  <c r="H1035" i="2"/>
  <c r="H1034" i="2"/>
  <c r="H1033" i="2"/>
  <c r="H1032" i="2"/>
  <c r="H1031" i="2"/>
  <c r="H1030" i="2"/>
  <c r="H1029" i="2"/>
  <c r="H1028" i="2"/>
  <c r="H1027" i="2"/>
  <c r="H1026" i="2"/>
  <c r="H1025" i="2"/>
  <c r="H1024" i="2"/>
  <c r="H1023" i="2"/>
  <c r="H1022" i="2"/>
  <c r="H1021" i="2"/>
  <c r="H1020" i="2"/>
  <c r="H1019" i="2"/>
  <c r="H1018" i="2"/>
  <c r="H1017" i="2"/>
  <c r="H1016" i="2"/>
  <c r="H1015" i="2"/>
  <c r="H1014" i="2"/>
  <c r="H1013" i="2"/>
  <c r="H1012" i="2"/>
  <c r="H1011" i="2"/>
  <c r="H1010" i="2"/>
  <c r="H1009" i="2"/>
  <c r="H1008" i="2"/>
  <c r="H1007" i="2"/>
  <c r="H1006" i="2"/>
  <c r="H1005" i="2"/>
  <c r="H1004" i="2"/>
  <c r="H1003" i="2"/>
  <c r="H1002" i="2"/>
  <c r="H1001" i="2"/>
  <c r="H1000" i="2"/>
  <c r="H999" i="2"/>
  <c r="H998" i="2"/>
  <c r="H997" i="2"/>
  <c r="H996" i="2"/>
  <c r="H995" i="2"/>
  <c r="H994" i="2"/>
  <c r="H993" i="2"/>
  <c r="H992" i="2"/>
  <c r="H991" i="2"/>
  <c r="H990" i="2"/>
  <c r="H989" i="2"/>
  <c r="H988" i="2"/>
  <c r="H987" i="2"/>
  <c r="H986" i="2"/>
  <c r="H985" i="2"/>
  <c r="H984" i="2"/>
  <c r="H983" i="2"/>
  <c r="H982" i="2"/>
  <c r="H981" i="2"/>
  <c r="H980" i="2"/>
  <c r="H979" i="2"/>
  <c r="H978" i="2"/>
  <c r="H977" i="2"/>
  <c r="H976" i="2"/>
  <c r="H975" i="2"/>
  <c r="H974" i="2"/>
  <c r="H973" i="2"/>
  <c r="H972" i="2"/>
  <c r="H971" i="2"/>
  <c r="H970" i="2"/>
  <c r="H969" i="2"/>
  <c r="H968" i="2"/>
  <c r="H967" i="2"/>
  <c r="H966" i="2"/>
  <c r="H965" i="2"/>
  <c r="H964" i="2"/>
  <c r="H963" i="2"/>
  <c r="H962" i="2"/>
  <c r="H961" i="2"/>
  <c r="H960" i="2"/>
  <c r="H959" i="2"/>
  <c r="H958" i="2"/>
  <c r="H957" i="2"/>
  <c r="H956" i="2"/>
  <c r="H955" i="2"/>
  <c r="H954" i="2"/>
  <c r="H953" i="2"/>
  <c r="H952" i="2"/>
  <c r="H951" i="2"/>
  <c r="H950" i="2"/>
  <c r="H949" i="2"/>
  <c r="H948" i="2"/>
  <c r="H947" i="2"/>
  <c r="H946" i="2"/>
  <c r="H945" i="2"/>
  <c r="H944" i="2"/>
  <c r="H943" i="2"/>
  <c r="H942" i="2"/>
  <c r="H941" i="2"/>
  <c r="H940" i="2"/>
  <c r="H939" i="2"/>
  <c r="H938" i="2"/>
  <c r="H937" i="2"/>
  <c r="H936" i="2"/>
  <c r="H935" i="2"/>
  <c r="H934" i="2"/>
  <c r="H933" i="2"/>
  <c r="H932" i="2"/>
  <c r="H931" i="2"/>
  <c r="H930" i="2"/>
  <c r="H929" i="2"/>
  <c r="H928" i="2"/>
  <c r="H927" i="2"/>
  <c r="H926" i="2"/>
  <c r="H925" i="2"/>
  <c r="H924" i="2"/>
  <c r="H923" i="2"/>
  <c r="H922" i="2"/>
  <c r="H921" i="2"/>
  <c r="H920" i="2"/>
  <c r="H919" i="2"/>
  <c r="H918" i="2"/>
  <c r="H917" i="2"/>
  <c r="H916" i="2"/>
  <c r="H915" i="2"/>
  <c r="H914" i="2"/>
  <c r="H913" i="2"/>
  <c r="H912" i="2"/>
  <c r="H911" i="2"/>
  <c r="H910" i="2"/>
  <c r="H909" i="2"/>
  <c r="H908" i="2"/>
  <c r="H907" i="2"/>
  <c r="H906" i="2"/>
  <c r="H905" i="2"/>
  <c r="H904" i="2"/>
  <c r="H903" i="2"/>
  <c r="H902" i="2"/>
  <c r="H901" i="2"/>
  <c r="H900" i="2"/>
  <c r="H899" i="2"/>
  <c r="H898" i="2"/>
  <c r="H897" i="2"/>
  <c r="H896" i="2"/>
  <c r="H895" i="2"/>
  <c r="H894" i="2"/>
  <c r="H893" i="2"/>
  <c r="H892" i="2"/>
  <c r="H891" i="2"/>
  <c r="H890" i="2"/>
  <c r="H889" i="2"/>
  <c r="H888" i="2"/>
  <c r="H887" i="2"/>
  <c r="H886" i="2"/>
  <c r="H885" i="2"/>
  <c r="H884" i="2"/>
  <c r="H883" i="2"/>
  <c r="H882" i="2"/>
  <c r="H881" i="2"/>
  <c r="H880" i="2"/>
  <c r="H879" i="2"/>
  <c r="H878" i="2"/>
  <c r="H877" i="2"/>
  <c r="H876" i="2"/>
  <c r="H875" i="2"/>
  <c r="H874" i="2"/>
  <c r="H873" i="2"/>
  <c r="H872" i="2"/>
  <c r="H871" i="2"/>
  <c r="H870" i="2"/>
  <c r="H869" i="2"/>
  <c r="H868" i="2"/>
  <c r="H867" i="2"/>
  <c r="H866" i="2"/>
  <c r="H865" i="2"/>
  <c r="H864" i="2"/>
  <c r="H863" i="2"/>
  <c r="H862" i="2"/>
  <c r="H861" i="2"/>
  <c r="H860" i="2"/>
  <c r="H859" i="2"/>
  <c r="H858" i="2"/>
  <c r="H857" i="2"/>
  <c r="H856" i="2"/>
  <c r="H855" i="2"/>
  <c r="H854" i="2"/>
  <c r="H853" i="2"/>
  <c r="H852" i="2"/>
  <c r="H851" i="2"/>
  <c r="H850" i="2"/>
  <c r="H849" i="2"/>
  <c r="H848" i="2"/>
  <c r="H847" i="2"/>
  <c r="H846" i="2"/>
  <c r="H845" i="2"/>
  <c r="H844" i="2"/>
  <c r="H843" i="2"/>
  <c r="H842" i="2"/>
  <c r="H841" i="2"/>
  <c r="H840" i="2"/>
  <c r="H839" i="2"/>
  <c r="H838" i="2"/>
  <c r="H837" i="2"/>
  <c r="H836" i="2"/>
  <c r="H835" i="2"/>
  <c r="H834" i="2"/>
  <c r="H833" i="2"/>
  <c r="H832" i="2"/>
  <c r="H831" i="2"/>
  <c r="H830" i="2"/>
  <c r="H829" i="2"/>
  <c r="H828" i="2"/>
  <c r="H827" i="2"/>
  <c r="H826" i="2"/>
  <c r="H825" i="2"/>
  <c r="H824" i="2"/>
  <c r="H823" i="2"/>
  <c r="H822" i="2"/>
  <c r="H821" i="2"/>
  <c r="H820" i="2"/>
  <c r="H819" i="2"/>
  <c r="H818" i="2"/>
  <c r="H817" i="2"/>
  <c r="H816" i="2"/>
  <c r="H815" i="2"/>
  <c r="H814" i="2"/>
  <c r="H813" i="2"/>
  <c r="H812" i="2"/>
  <c r="H811" i="2"/>
  <c r="H810" i="2"/>
  <c r="H809" i="2"/>
  <c r="H808" i="2"/>
  <c r="H807" i="2"/>
  <c r="H806" i="2"/>
  <c r="H805" i="2"/>
  <c r="H804" i="2"/>
  <c r="H803" i="2"/>
  <c r="H802" i="2"/>
  <c r="H801" i="2"/>
  <c r="H800" i="2"/>
  <c r="H799" i="2"/>
  <c r="H798" i="2"/>
  <c r="H797" i="2"/>
  <c r="H796" i="2"/>
  <c r="H795" i="2"/>
  <c r="H794" i="2"/>
  <c r="H793" i="2"/>
  <c r="H792" i="2"/>
  <c r="H791" i="2"/>
  <c r="H790" i="2"/>
  <c r="H789" i="2"/>
  <c r="H788" i="2"/>
  <c r="H787" i="2"/>
  <c r="H786" i="2"/>
  <c r="H785" i="2"/>
  <c r="H784" i="2"/>
  <c r="H783" i="2"/>
  <c r="H782" i="2"/>
  <c r="H781" i="2"/>
  <c r="H780" i="2"/>
  <c r="H779" i="2"/>
  <c r="H778" i="2"/>
  <c r="H777" i="2"/>
  <c r="H776" i="2"/>
  <c r="H775" i="2"/>
  <c r="H774" i="2"/>
  <c r="H773" i="2"/>
  <c r="H772" i="2"/>
  <c r="H771" i="2"/>
  <c r="H770" i="2"/>
  <c r="H769" i="2"/>
  <c r="H768" i="2"/>
  <c r="H767" i="2"/>
  <c r="H766" i="2"/>
  <c r="H765" i="2"/>
  <c r="H764" i="2"/>
  <c r="H763" i="2"/>
  <c r="H762" i="2"/>
  <c r="H761" i="2"/>
  <c r="H760" i="2"/>
  <c r="H759" i="2"/>
  <c r="H758" i="2"/>
  <c r="H757" i="2"/>
  <c r="H756" i="2"/>
  <c r="H755" i="2"/>
  <c r="H754" i="2"/>
  <c r="H753" i="2"/>
  <c r="H752" i="2"/>
  <c r="H751" i="2"/>
  <c r="H750" i="2"/>
  <c r="H749" i="2"/>
  <c r="H748" i="2"/>
  <c r="H747" i="2"/>
  <c r="H746" i="2"/>
  <c r="H745" i="2"/>
  <c r="H744" i="2"/>
  <c r="H743" i="2"/>
  <c r="H742" i="2"/>
  <c r="H741" i="2"/>
  <c r="H740" i="2"/>
  <c r="H739" i="2"/>
  <c r="H738" i="2"/>
  <c r="H737" i="2"/>
  <c r="H736" i="2"/>
  <c r="H735" i="2"/>
  <c r="H734" i="2"/>
  <c r="H733" i="2"/>
  <c r="H732" i="2"/>
  <c r="H731" i="2"/>
  <c r="H730" i="2"/>
  <c r="H729" i="2"/>
  <c r="H728" i="2"/>
  <c r="H727" i="2"/>
  <c r="H726" i="2"/>
  <c r="H725" i="2"/>
  <c r="H724" i="2"/>
  <c r="H723" i="2"/>
  <c r="H722" i="2"/>
  <c r="H721" i="2"/>
  <c r="H720" i="2"/>
  <c r="H719" i="2"/>
  <c r="H718" i="2"/>
  <c r="H717" i="2"/>
  <c r="H716" i="2"/>
  <c r="H715" i="2"/>
  <c r="H714" i="2"/>
  <c r="H713" i="2"/>
  <c r="H712" i="2"/>
  <c r="H711" i="2"/>
  <c r="H710" i="2"/>
  <c r="H709" i="2"/>
  <c r="H708" i="2"/>
  <c r="H707" i="2"/>
  <c r="H706" i="2"/>
  <c r="H705"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4" i="2"/>
  <c r="H263" i="2"/>
  <c r="H262" i="2"/>
  <c r="H261"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20" i="2"/>
  <c r="H219" i="2"/>
  <c r="H218" i="2"/>
  <c r="H217" i="2"/>
  <c r="H216" i="2"/>
  <c r="H215" i="2"/>
  <c r="H214" i="2"/>
  <c r="H213" i="2"/>
  <c r="H212" i="2"/>
  <c r="H211" i="2"/>
  <c r="H210" i="2"/>
  <c r="H209" i="2"/>
  <c r="H208" i="2"/>
  <c r="H207" i="2"/>
  <c r="H206" i="2"/>
  <c r="H205" i="2"/>
  <c r="H204" i="2"/>
  <c r="H203" i="2"/>
  <c r="H202" i="2"/>
  <c r="H201" i="2"/>
  <c r="H200" i="2"/>
  <c r="H199" i="2"/>
  <c r="H198" i="2"/>
  <c r="H197" i="2"/>
  <c r="H196" i="2"/>
  <c r="H195" i="2"/>
  <c r="H194" i="2"/>
  <c r="H193" i="2"/>
  <c r="H192" i="2"/>
  <c r="H191" i="2"/>
  <c r="H190" i="2"/>
  <c r="H189" i="2"/>
  <c r="H188" i="2"/>
  <c r="H187" i="2"/>
  <c r="H186" i="2"/>
  <c r="H185" i="2"/>
  <c r="H184" i="2"/>
  <c r="H183" i="2"/>
  <c r="H182" i="2"/>
  <c r="H181" i="2"/>
  <c r="H180" i="2"/>
  <c r="H179" i="2"/>
  <c r="H178" i="2"/>
  <c r="H177" i="2"/>
  <c r="H176" i="2"/>
  <c r="H175" i="2"/>
  <c r="H174" i="2"/>
  <c r="H173" i="2"/>
  <c r="H172" i="2"/>
  <c r="H171" i="2"/>
  <c r="H170" i="2"/>
  <c r="H169" i="2"/>
  <c r="H168" i="2"/>
  <c r="H167" i="2"/>
  <c r="H166" i="2"/>
  <c r="H165" i="2"/>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K32" i="2"/>
  <c r="H2" i="2"/>
  <c r="L3" i="1"/>
  <c r="L4" i="1"/>
  <c r="L5" i="1"/>
  <c r="L6" i="1"/>
  <c r="L8" i="1"/>
  <c r="L9" i="1"/>
  <c r="L10" i="1"/>
  <c r="L11" i="1"/>
  <c r="L12" i="1"/>
  <c r="L13" i="1"/>
  <c r="L14" i="1"/>
  <c r="L15" i="1"/>
  <c r="L16" i="1"/>
  <c r="L17" i="1"/>
  <c r="L18" i="1"/>
  <c r="L19" i="1"/>
  <c r="L20" i="1"/>
  <c r="L21" i="1"/>
  <c r="L22" i="1"/>
  <c r="L23" i="1"/>
  <c r="L24" i="1"/>
  <c r="L25" i="1"/>
  <c r="L26" i="1"/>
  <c r="L27" i="1"/>
  <c r="L28" i="1"/>
  <c r="L29" i="1"/>
  <c r="L30" i="1"/>
  <c r="L31" i="1"/>
  <c r="L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2" i="1"/>
  <c r="D62" i="24" l="1"/>
  <c r="E62" i="24" s="1"/>
  <c r="D69" i="24"/>
  <c r="D70" i="24"/>
  <c r="D73" i="24"/>
  <c r="D65" i="24"/>
  <c r="AC57" i="24"/>
  <c r="BI57" i="24"/>
  <c r="CO57" i="24"/>
  <c r="DU57" i="24"/>
  <c r="D63" i="24"/>
  <c r="D64" i="24"/>
  <c r="D67" i="24"/>
  <c r="D68" i="24"/>
  <c r="D71" i="24"/>
  <c r="D72" i="24"/>
  <c r="D75" i="24"/>
  <c r="D76" i="24"/>
  <c r="D79" i="24"/>
  <c r="D80" i="24"/>
  <c r="E57" i="24"/>
  <c r="AK57" i="24"/>
  <c r="BQ57" i="24"/>
  <c r="CW57" i="24"/>
  <c r="EC57" i="24"/>
  <c r="D66" i="24"/>
  <c r="D77" i="24"/>
  <c r="D81" i="24"/>
  <c r="AS57" i="24"/>
  <c r="BY57" i="24"/>
  <c r="DE57" i="24"/>
  <c r="G57" i="24"/>
  <c r="O57" i="24"/>
  <c r="W57" i="24"/>
  <c r="AE57" i="24"/>
  <c r="AM57" i="24"/>
  <c r="AU57" i="24"/>
  <c r="BC57" i="24"/>
  <c r="BK57" i="24"/>
  <c r="BS57" i="24"/>
  <c r="CA57" i="24"/>
  <c r="CI57" i="24"/>
  <c r="CQ57" i="24"/>
  <c r="CY57" i="24"/>
  <c r="DG57" i="24"/>
  <c r="DO57" i="24"/>
  <c r="EE57" i="24"/>
  <c r="D74" i="24"/>
  <c r="D78" i="24"/>
  <c r="D82" i="24"/>
  <c r="I57" i="24"/>
  <c r="Q57" i="24"/>
  <c r="Y57" i="24"/>
  <c r="AG57" i="24"/>
  <c r="AO57" i="24"/>
  <c r="AW57" i="24"/>
  <c r="BE57" i="24"/>
  <c r="BM57" i="24"/>
  <c r="BU57" i="24"/>
  <c r="CC57" i="24"/>
  <c r="CK57" i="24"/>
  <c r="CS57" i="24"/>
  <c r="DA57" i="24"/>
  <c r="DI57" i="24"/>
  <c r="DQ57" i="24"/>
  <c r="DY57" i="24"/>
  <c r="EG57" i="24"/>
  <c r="C57" i="24"/>
  <c r="B62" i="24" s="1"/>
  <c r="C62" i="24" s="1"/>
  <c r="K57" i="24"/>
  <c r="B80" i="24" s="1"/>
  <c r="S57" i="24"/>
  <c r="AA57" i="24"/>
  <c r="AI57" i="24"/>
  <c r="AQ57" i="24"/>
  <c r="AY57" i="24"/>
  <c r="BG57" i="24"/>
  <c r="BO57" i="24"/>
  <c r="BW57" i="24"/>
  <c r="CE57" i="24"/>
  <c r="CM57" i="24"/>
  <c r="CU57" i="24"/>
  <c r="DC57" i="24"/>
  <c r="DK57" i="24"/>
  <c r="DS57" i="24"/>
  <c r="EA57" i="24"/>
  <c r="F84" i="23" a="1"/>
  <c r="F84" i="23" s="1"/>
  <c r="G62" i="23"/>
  <c r="G63" i="23" s="1"/>
  <c r="G64" i="23" s="1"/>
  <c r="G65" i="23" s="1"/>
  <c r="G66" i="23" s="1"/>
  <c r="G67" i="23" s="1"/>
  <c r="G68" i="23" s="1"/>
  <c r="G69" i="23" s="1"/>
  <c r="G70" i="23" s="1"/>
  <c r="G71" i="23" s="1"/>
  <c r="G72" i="23" s="1"/>
  <c r="G73" i="23" s="1"/>
  <c r="G74" i="23" s="1"/>
  <c r="G75" i="23" s="1"/>
  <c r="G76" i="23" s="1"/>
  <c r="G77" i="23" s="1"/>
  <c r="G78" i="23" s="1"/>
  <c r="G79" i="23" s="1"/>
  <c r="G80" i="23" s="1"/>
  <c r="G81" i="23" s="1"/>
  <c r="G82" i="23" s="1"/>
  <c r="E62" i="23"/>
  <c r="C57" i="23"/>
  <c r="B63" i="23" s="1"/>
  <c r="K57" i="23"/>
  <c r="S57" i="23"/>
  <c r="AA57" i="23"/>
  <c r="AI57" i="23"/>
  <c r="AQ57" i="23"/>
  <c r="AY57" i="23"/>
  <c r="BG57" i="23"/>
  <c r="BO57" i="23"/>
  <c r="BW57" i="23"/>
  <c r="CE57" i="23"/>
  <c r="CM57" i="23"/>
  <c r="CU57" i="23"/>
  <c r="DC57" i="23"/>
  <c r="DK57" i="23"/>
  <c r="DS57" i="23"/>
  <c r="EA57" i="23"/>
  <c r="D63" i="23"/>
  <c r="D84" i="23" s="1" a="1"/>
  <c r="D84" i="23" s="1"/>
  <c r="D65" i="23"/>
  <c r="D67" i="23"/>
  <c r="D69" i="23"/>
  <c r="D71" i="23"/>
  <c r="D73" i="23"/>
  <c r="D75" i="23"/>
  <c r="D77" i="23"/>
  <c r="D79" i="23"/>
  <c r="D81" i="23"/>
  <c r="E57" i="23"/>
  <c r="B73" i="23" s="1"/>
  <c r="M57" i="23"/>
  <c r="U57" i="23"/>
  <c r="AC57" i="23"/>
  <c r="AK57" i="23"/>
  <c r="AS57" i="23"/>
  <c r="BA57" i="23"/>
  <c r="BI57" i="23"/>
  <c r="BQ57" i="23"/>
  <c r="BY57" i="23"/>
  <c r="CG57" i="23"/>
  <c r="CO57" i="23"/>
  <c r="CW57" i="23"/>
  <c r="DE57" i="23"/>
  <c r="DM57" i="23"/>
  <c r="DU57" i="23"/>
  <c r="EC57" i="23"/>
  <c r="G57" i="23"/>
  <c r="O57" i="23"/>
  <c r="W57" i="23"/>
  <c r="AE57" i="23"/>
  <c r="AM57" i="23"/>
  <c r="AU57" i="23"/>
  <c r="BC57" i="23"/>
  <c r="BK57" i="23"/>
  <c r="BS57" i="23"/>
  <c r="CA57" i="23"/>
  <c r="CI57" i="23"/>
  <c r="CQ57" i="23"/>
  <c r="CY57" i="23"/>
  <c r="DG57" i="23"/>
  <c r="DO57" i="23"/>
  <c r="DW57" i="23"/>
  <c r="EE57" i="23"/>
  <c r="I57" i="23"/>
  <c r="Q57" i="23"/>
  <c r="Y57" i="23"/>
  <c r="AG57" i="23"/>
  <c r="AO57" i="23"/>
  <c r="AW57" i="23"/>
  <c r="BE57" i="23"/>
  <c r="BM57" i="23"/>
  <c r="BU57" i="23"/>
  <c r="CC57" i="23"/>
  <c r="CK57" i="23"/>
  <c r="CS57" i="23"/>
  <c r="DA57" i="23"/>
  <c r="DI57" i="23"/>
  <c r="DQ57" i="23"/>
  <c r="DY57" i="23"/>
  <c r="EG57" i="23"/>
  <c r="R50" i="1"/>
  <c r="T50" i="1" s="1"/>
  <c r="B79" i="24" l="1"/>
  <c r="B81" i="24"/>
  <c r="B77" i="24"/>
  <c r="B73" i="24"/>
  <c r="B69" i="24"/>
  <c r="B65" i="24"/>
  <c r="B71" i="24"/>
  <c r="B72" i="24"/>
  <c r="B76" i="24"/>
  <c r="B63" i="24"/>
  <c r="C63" i="24" s="1"/>
  <c r="C64" i="24" s="1"/>
  <c r="C65" i="24" s="1"/>
  <c r="C66" i="24" s="1"/>
  <c r="C67" i="24" s="1"/>
  <c r="C68" i="24" s="1"/>
  <c r="C69" i="24" s="1"/>
  <c r="C70" i="24" s="1"/>
  <c r="C71" i="24" s="1"/>
  <c r="C72" i="24" s="1"/>
  <c r="C73" i="24" s="1"/>
  <c r="C74" i="24" s="1"/>
  <c r="C75" i="24" s="1"/>
  <c r="C76" i="24" s="1"/>
  <c r="C77" i="24" s="1"/>
  <c r="C78" i="24" s="1"/>
  <c r="C79" i="24" s="1"/>
  <c r="C80" i="24" s="1"/>
  <c r="C81" i="24" s="1"/>
  <c r="C82" i="24" s="1"/>
  <c r="B67" i="24"/>
  <c r="B75" i="24"/>
  <c r="B64" i="24"/>
  <c r="B68" i="24"/>
  <c r="B82" i="24"/>
  <c r="B78" i="24"/>
  <c r="B74" i="24"/>
  <c r="B70" i="24"/>
  <c r="B66" i="24"/>
  <c r="E63" i="24"/>
  <c r="E64" i="24" s="1"/>
  <c r="E65" i="24" s="1"/>
  <c r="E66" i="24" s="1"/>
  <c r="E67" i="24" s="1"/>
  <c r="E68" i="24" s="1"/>
  <c r="E69" i="24" s="1"/>
  <c r="E70" i="24" s="1"/>
  <c r="E71" i="24" s="1"/>
  <c r="E72" i="24" s="1"/>
  <c r="E73" i="24" s="1"/>
  <c r="E74" i="24" s="1"/>
  <c r="E75" i="24" s="1"/>
  <c r="E76" i="24" s="1"/>
  <c r="E77" i="24" s="1"/>
  <c r="E78" i="24" s="1"/>
  <c r="E79" i="24" s="1"/>
  <c r="E80" i="24" s="1"/>
  <c r="E81" i="24" s="1"/>
  <c r="E82" i="24" s="1"/>
  <c r="B67" i="23"/>
  <c r="B82" i="23"/>
  <c r="B74" i="23"/>
  <c r="B66" i="23"/>
  <c r="B75" i="23"/>
  <c r="B78" i="23"/>
  <c r="B70" i="23"/>
  <c r="B62" i="23"/>
  <c r="B69" i="23"/>
  <c r="B81" i="23"/>
  <c r="E63" i="23"/>
  <c r="E64" i="23" s="1"/>
  <c r="E65" i="23" s="1"/>
  <c r="E66" i="23" s="1"/>
  <c r="E67" i="23" s="1"/>
  <c r="E68" i="23" s="1"/>
  <c r="E69" i="23" s="1"/>
  <c r="E70" i="23" s="1"/>
  <c r="E71" i="23" s="1"/>
  <c r="E72" i="23" s="1"/>
  <c r="E73" i="23" s="1"/>
  <c r="E74" i="23" s="1"/>
  <c r="E75" i="23" s="1"/>
  <c r="E76" i="23" s="1"/>
  <c r="E77" i="23" s="1"/>
  <c r="E78" i="23" s="1"/>
  <c r="E79" i="23" s="1"/>
  <c r="E80" i="23" s="1"/>
  <c r="E81" i="23" s="1"/>
  <c r="E82" i="23" s="1"/>
  <c r="B65" i="23"/>
  <c r="B77" i="23"/>
  <c r="B80" i="23"/>
  <c r="B76" i="23"/>
  <c r="B72" i="23"/>
  <c r="B68" i="23"/>
  <c r="B64" i="23"/>
  <c r="B79" i="23"/>
  <c r="B71" i="23"/>
  <c r="I1724" i="2" a="1"/>
  <c r="I1661" i="2" a="1"/>
  <c r="I1472" i="2" a="1"/>
  <c r="I1727" i="2" a="1"/>
  <c r="I1632" i="2" a="1"/>
  <c r="I1774" i="2" a="1"/>
  <c r="I1607" i="2" a="1"/>
  <c r="I1482" i="2" a="1"/>
  <c r="I1475" i="2" a="1"/>
  <c r="I1409" i="2" a="1"/>
  <c r="I1334" i="2" a="1"/>
  <c r="I1780" i="2" a="1"/>
  <c r="I1528" i="2" a="1"/>
  <c r="I1474" i="2" a="1"/>
  <c r="I1384" i="2" a="1"/>
  <c r="I1410" i="2" a="1"/>
  <c r="I1315" i="2" a="1"/>
  <c r="I1257" i="2" a="1"/>
  <c r="I1192" i="2" a="1"/>
  <c r="I1736" i="2" a="1"/>
  <c r="I1484" i="2" a="1"/>
  <c r="I1446" i="2" a="1"/>
  <c r="I1356" i="2" a="1"/>
  <c r="I1386" i="2" a="1"/>
  <c r="I1291" i="2" a="1"/>
  <c r="I1223" i="2" a="1"/>
  <c r="I1172" i="2" a="1"/>
  <c r="I1669" i="2" a="1"/>
  <c r="I1519" i="2" a="1"/>
  <c r="I1431" i="2" a="1"/>
  <c r="I1675" i="2" a="1"/>
  <c r="I1773" i="2" a="1"/>
  <c r="I1584" i="2" a="1"/>
  <c r="I1553" i="2" a="1"/>
  <c r="I1744" i="2" a="1"/>
  <c r="I1681" i="2" a="1"/>
  <c r="I1492" i="2" a="1"/>
  <c r="I1596" i="2" a="1"/>
  <c r="I1587" i="2" a="1"/>
  <c r="I1332" i="2" a="1"/>
  <c r="I1447" i="2" a="1"/>
  <c r="I1411" i="2" a="1"/>
  <c r="I1685" i="2" a="1"/>
  <c r="I1489" i="2" a="1"/>
  <c r="I1531" i="2" a="1"/>
  <c r="I1381" i="2" a="1"/>
  <c r="I1439" i="2" a="1"/>
  <c r="I1142" i="2" a="1"/>
  <c r="I1295" i="2" a="1"/>
  <c r="I1229" i="2" a="1"/>
  <c r="I1641" i="2" a="1"/>
  <c r="I1465" i="2" a="1"/>
  <c r="I1503" i="2" a="1"/>
  <c r="I1353" i="2" a="1"/>
  <c r="I1415" i="2" a="1"/>
  <c r="I1122" i="2" a="1"/>
  <c r="I1273" i="2" a="1"/>
  <c r="I1763" i="2" a="1"/>
  <c r="I1570" i="2" a="1"/>
  <c r="I1325" i="2" a="1"/>
  <c r="I1102" i="2" a="1"/>
  <c r="I1787" i="2" a="1"/>
  <c r="I1692" i="2" a="1"/>
  <c r="I1629" i="2" a="1"/>
  <c r="I1698" i="2" a="1"/>
  <c r="I1695" i="2" a="1"/>
  <c r="I1793" i="2" a="1"/>
  <c r="I1742" i="2" a="1"/>
  <c r="I1573" i="2" a="1"/>
  <c r="I1450" i="2" a="1"/>
  <c r="I1443" i="2" a="1"/>
  <c r="I1377" i="2" a="1"/>
  <c r="I1302" i="2" a="1"/>
  <c r="I1716" i="2" a="1"/>
  <c r="I1464" i="2" a="1"/>
  <c r="I1718" i="2" a="1"/>
  <c r="I1340" i="2" a="1"/>
  <c r="I1370" i="2" a="1"/>
  <c r="I1256" i="2" a="1"/>
  <c r="I1211" i="2" a="1"/>
  <c r="I1160" i="2" a="1"/>
  <c r="I1672" i="2" a="1"/>
  <c r="I1658" i="2" a="1"/>
  <c r="I1670" i="2" a="1"/>
  <c r="I1312" i="2" a="1"/>
  <c r="I1342" i="2" a="1"/>
  <c r="I1235" i="2" a="1"/>
  <c r="I1191" i="2" a="1"/>
  <c r="I1140" i="2" a="1"/>
  <c r="I1746" i="2" a="1"/>
  <c r="I1436" i="2" a="1"/>
  <c r="I1355" i="2" a="1"/>
  <c r="I1795" i="2" a="1"/>
  <c r="I1562" i="2" a="1"/>
  <c r="I1779" i="2" a="1"/>
  <c r="I1337" i="2" a="1"/>
  <c r="I1735" i="2" a="1"/>
  <c r="I1309" i="2" a="1"/>
  <c r="I1796" i="2" a="1"/>
  <c r="I1219" i="2" a="1"/>
  <c r="I1109" i="2" a="1"/>
  <c r="I887" i="2" a="1"/>
  <c r="I912" i="2" a="1"/>
  <c r="I656" i="2" a="1"/>
  <c r="I833" i="2" a="1"/>
  <c r="I649" i="2" a="1"/>
  <c r="I393" i="2" a="1"/>
  <c r="I698" i="2" a="1"/>
  <c r="I830" i="2" a="1"/>
  <c r="I580" i="2" a="1"/>
  <c r="I1631" i="2" a="1"/>
  <c r="I1304" i="2" a="1"/>
  <c r="I1226" i="2" a="1"/>
  <c r="I1132" i="2" a="1"/>
  <c r="I1048" i="2" a="1"/>
  <c r="I787" i="2" a="1"/>
  <c r="I812" i="2" a="1"/>
  <c r="I989" i="2" a="1"/>
  <c r="I733" i="2" a="1"/>
  <c r="I549" i="2" a="1"/>
  <c r="I898" i="2" a="1"/>
  <c r="I599" i="2" a="1"/>
  <c r="I691" i="2" a="1"/>
  <c r="I1677" i="2" a="1"/>
  <c r="I1790" i="2" a="1"/>
  <c r="I1425" i="2" a="1"/>
  <c r="I1494" i="2" a="1"/>
  <c r="I1755" i="2" a="1"/>
  <c r="I1660" i="2" a="1"/>
  <c r="I1597" i="2" a="1"/>
  <c r="I1635" i="2" a="1"/>
  <c r="I1663" i="2" a="1"/>
  <c r="I1761" i="2" a="1"/>
  <c r="I1572" i="2" a="1"/>
  <c r="I1541" i="2" a="1"/>
  <c r="I1694" i="2" a="1"/>
  <c r="I1412" i="2" a="1"/>
  <c r="I1345" i="2" a="1"/>
  <c r="I1270" i="2" a="1"/>
  <c r="I1652" i="2" a="1"/>
  <c r="I1627" i="2" a="1"/>
  <c r="I1638" i="2" a="1"/>
  <c r="I1296" i="2" a="1"/>
  <c r="I1326" i="2" a="1"/>
  <c r="I1222" i="2" a="1"/>
  <c r="I1179" i="2" a="1"/>
  <c r="I1128" i="2" a="1"/>
  <c r="I1608" i="2" a="1"/>
  <c r="I1581" i="2" a="1"/>
  <c r="I1610" i="2" a="1"/>
  <c r="I1272" i="2" a="1"/>
  <c r="I1298" i="2" a="1"/>
  <c r="I1202" i="2" a="1"/>
  <c r="I1159" i="2" a="1"/>
  <c r="I1108" i="2" a="1"/>
  <c r="I1480" i="2" a="1"/>
  <c r="I1352" i="2" a="1"/>
  <c r="I1283" i="2" a="1"/>
  <c r="I1772" i="2" a="1"/>
  <c r="I1709" i="2" a="1"/>
  <c r="I1520" i="2" a="1"/>
  <c r="I1775" i="2" a="1"/>
  <c r="I1680" i="2" a="1"/>
  <c r="I1617" i="2" a="1"/>
  <c r="I1674" i="2" a="1"/>
  <c r="I1530" i="2" a="1"/>
  <c r="I1523" i="2" a="1"/>
  <c r="I1268" i="2" a="1"/>
  <c r="I1382" i="2" a="1"/>
  <c r="I1715" i="2" a="1"/>
  <c r="I1762" i="2" a="1"/>
  <c r="I1538" i="2" a="1"/>
  <c r="I1448" i="2" a="1"/>
  <c r="I1293" i="2" a="1"/>
  <c r="I1363" i="2" a="1"/>
  <c r="I1078" i="2" a="1"/>
  <c r="I1239" i="2" a="1"/>
  <c r="I1671" i="2" a="1"/>
  <c r="I1580" i="2" a="1"/>
  <c r="I1510" i="2" a="1"/>
  <c r="I1420" i="2" a="1"/>
  <c r="I1452" i="2" a="1"/>
  <c r="I1343" i="2" a="1"/>
  <c r="I1058" i="2" a="1"/>
  <c r="I1220" i="2" a="1"/>
  <c r="I1668" i="2" a="1"/>
  <c r="I1654" i="2" a="1"/>
  <c r="I1338" i="2" a="1"/>
  <c r="I1187" i="2" a="1"/>
  <c r="I1723" i="2" a="1"/>
  <c r="I1628" i="2" a="1"/>
  <c r="I1770" i="2" a="1"/>
  <c r="I1603" i="2" a="1"/>
  <c r="I1792" i="2" a="1"/>
  <c r="I1729" i="2" a="1"/>
  <c r="I1540" i="2" a="1"/>
  <c r="I1509" i="2" a="1"/>
  <c r="I1634" i="2" a="1"/>
  <c r="I1380" i="2" a="1"/>
  <c r="I1313" i="2" a="1"/>
  <c r="I1238" i="2" a="1"/>
  <c r="I1781" i="2" a="1"/>
  <c r="I1561" i="2" a="1"/>
  <c r="I1594" i="2" a="1"/>
  <c r="I1449" i="2" a="1"/>
  <c r="I1282" i="2" a="1"/>
  <c r="I1190" i="2" a="1"/>
  <c r="I1147" i="2" a="1"/>
  <c r="I1096" i="2" a="1"/>
  <c r="I1737" i="2" a="1"/>
  <c r="I1529" i="2" a="1"/>
  <c r="I1567" i="2" a="1"/>
  <c r="I1417" i="2" a="1"/>
  <c r="I1258" i="2" a="1"/>
  <c r="I1170" i="2" a="1"/>
  <c r="I1127" i="2" a="1"/>
  <c r="I1076" i="2" a="1"/>
  <c r="I1577" i="2" a="1"/>
  <c r="I1264" i="2" a="1"/>
  <c r="I1643" i="2" a="1"/>
  <c r="I1712" i="2" a="1"/>
  <c r="I1555" i="2" a="1"/>
  <c r="I1621" i="2" a="1"/>
  <c r="I1399" i="2" a="1"/>
  <c r="I1782" i="2" a="1"/>
  <c r="I1375" i="2" a="1"/>
  <c r="I1486" i="2" a="1"/>
  <c r="I1231" i="2" a="1"/>
  <c r="I1045" i="2" a="1"/>
  <c r="I823" i="2" a="1"/>
  <c r="I848" i="2" a="1"/>
  <c r="I1025" i="2" a="1"/>
  <c r="I769" i="2" a="1"/>
  <c r="I585" i="2" a="1"/>
  <c r="I329" i="2" a="1"/>
  <c r="I635" i="2" a="1"/>
  <c r="I731" i="2" a="1"/>
  <c r="I1751" i="2" a="1"/>
  <c r="I1566" i="2" a="1"/>
  <c r="I1321" i="2" a="1"/>
  <c r="I1098" i="2" a="1"/>
  <c r="I1201" i="2" a="1"/>
  <c r="I979" i="2" a="1"/>
  <c r="I1004" i="2" a="1"/>
  <c r="I748" i="2" a="1"/>
  <c r="I925" i="2" a="1"/>
  <c r="I1010" i="2" a="1"/>
  <c r="I485" i="2" a="1"/>
  <c r="I770" i="2" a="1"/>
  <c r="I535" i="2" a="1"/>
  <c r="I626" i="2" a="1"/>
  <c r="I1488" i="2" a="1"/>
  <c r="I1623" i="2" a="1"/>
  <c r="I1350" i="2" a="1"/>
  <c r="I1691" i="2" a="1"/>
  <c r="I1789" i="2" a="1"/>
  <c r="I1738" i="2" a="1"/>
  <c r="I1569" i="2" a="1"/>
  <c r="I1760" i="2" a="1"/>
  <c r="I1697" i="2" a="1"/>
  <c r="I1508" i="2" a="1"/>
  <c r="I1477" i="2" a="1"/>
  <c r="I1602" i="2" a="1"/>
  <c r="I1348" i="2" a="1"/>
  <c r="I1281" i="2" a="1"/>
  <c r="I1427" i="2" a="1"/>
  <c r="I1717" i="2" a="1"/>
  <c r="I1513" i="2" a="1"/>
  <c r="I1551" i="2" a="1"/>
  <c r="I1401" i="2" a="1"/>
  <c r="I1242" i="2" a="1"/>
  <c r="I1158" i="2" a="1"/>
  <c r="I1115" i="2" a="1"/>
  <c r="I1261" i="2" a="1"/>
  <c r="I1673" i="2" a="1"/>
  <c r="I1485" i="2" a="1"/>
  <c r="I1527" i="2" a="1"/>
  <c r="I1373" i="2" a="1"/>
  <c r="I1435" i="2" a="1"/>
  <c r="I1138" i="2" a="1"/>
  <c r="I1287" i="2" a="1"/>
  <c r="I1225" i="2" a="1"/>
  <c r="I1481" i="2" a="1"/>
  <c r="I1369" i="2" a="1"/>
  <c r="I2" i="1" a="1"/>
  <c r="I1708" i="2" a="1"/>
  <c r="I1645" i="2" a="1"/>
  <c r="I1730" i="2" a="1"/>
  <c r="I1711" i="2" a="1"/>
  <c r="I1616" i="2" a="1"/>
  <c r="I1758" i="2" a="1"/>
  <c r="I1589" i="2" a="1"/>
  <c r="I1466" i="2" a="1"/>
  <c r="I1459" i="2" a="1"/>
  <c r="I1393" i="2" a="1"/>
  <c r="I1318" i="2" a="1"/>
  <c r="I1748" i="2" a="1"/>
  <c r="I1496" i="2" a="1"/>
  <c r="I1454" i="2" a="1"/>
  <c r="I1360" i="2" a="1"/>
  <c r="I1390" i="2" a="1"/>
  <c r="I1299" i="2" a="1"/>
  <c r="I1227" i="2" a="1"/>
  <c r="I1176" i="2" a="1"/>
  <c r="I1704" i="2" a="1"/>
  <c r="I1722" i="2" a="1"/>
  <c r="I1710" i="2" a="1"/>
  <c r="I1336" i="2" a="1"/>
  <c r="I1362" i="2" a="1"/>
  <c r="I1251" i="2" a="1"/>
  <c r="I1207" i="2" a="1"/>
  <c r="I1156" i="2" a="1"/>
  <c r="I1605" i="2" a="1"/>
  <c r="I1479" i="2" a="1"/>
  <c r="I1387" i="2" a="1"/>
  <c r="I1263" i="2" a="1"/>
  <c r="I1659" i="2" a="1"/>
  <c r="I1757" i="2" a="1"/>
  <c r="I1568" i="2" a="1"/>
  <c r="I1783" i="2" a="1"/>
  <c r="I1728" i="2" a="1"/>
  <c r="I1665" i="2" a="1"/>
  <c r="I1476" i="2" a="1"/>
  <c r="I1578" i="2" a="1"/>
  <c r="I1571" i="2" a="1"/>
  <c r="I1316" i="2" a="1"/>
  <c r="I1430" i="2" a="1"/>
  <c r="I1395" i="2" a="1"/>
  <c r="I1653" i="2" a="1"/>
  <c r="I1469" i="2" a="1"/>
  <c r="I1511" i="2" a="1"/>
  <c r="I1357" i="2" a="1"/>
  <c r="I1419" i="2" a="1"/>
  <c r="I1126" i="2" a="1"/>
  <c r="I1275" i="2" a="1"/>
  <c r="I1767" i="2" a="1"/>
  <c r="I1609" i="2" a="1"/>
  <c r="I1574" i="2" a="1"/>
  <c r="I1483" i="2" a="1"/>
  <c r="I1333" i="2" a="1"/>
  <c r="I1391" i="2" a="1"/>
  <c r="I1106" i="2" a="1"/>
  <c r="I1265" i="2" a="1"/>
  <c r="I1699" i="2" a="1"/>
  <c r="I1526" i="2" a="1"/>
  <c r="I1285" i="2" a="1"/>
  <c r="I1741" i="2" a="1"/>
  <c r="I1649" i="2" a="1"/>
  <c r="I1300" i="2" a="1"/>
  <c r="I1582" i="2" a="1"/>
  <c r="I1110" i="2" a="1"/>
  <c r="I1554" i="2" a="1"/>
  <c r="I1090" i="2" a="1"/>
  <c r="I1422" i="2" a="1"/>
  <c r="I1072" i="2" a="1"/>
  <c r="I1015" i="2" a="1"/>
  <c r="I1040" i="2" a="1"/>
  <c r="I784" i="2" a="1"/>
  <c r="I961" i="2" a="1"/>
  <c r="I705" i="2" a="1"/>
  <c r="I521" i="2" a="1"/>
  <c r="I842" i="2" a="1"/>
  <c r="I571" i="2" a="1"/>
  <c r="I644" i="2" a="1"/>
  <c r="I1656" i="2" a="1"/>
  <c r="I1646" i="2" a="1"/>
  <c r="I1330" i="2" a="1"/>
  <c r="I1183" i="2" a="1"/>
  <c r="I1137" i="2" a="1"/>
  <c r="I915" i="2" a="1"/>
  <c r="I940" i="2" a="1"/>
  <c r="I684" i="2" a="1"/>
  <c r="I861" i="2" a="1"/>
  <c r="I678" i="2" a="1"/>
  <c r="I421" i="2" a="1"/>
  <c r="I702" i="2" a="1"/>
  <c r="I886" i="2" a="1"/>
  <c r="I594" i="2" a="1"/>
  <c r="I1743" i="2" a="1"/>
  <c r="I1498" i="2" a="1"/>
  <c r="I1651" i="2" a="1"/>
  <c r="I1788" i="2" a="1"/>
  <c r="I1696" i="2" a="1"/>
  <c r="I1539" i="2" a="1"/>
  <c r="I1794" i="2" a="1"/>
  <c r="I1379" i="2" a="1"/>
  <c r="I1750" i="2" a="1"/>
  <c r="I1359" i="2" a="1"/>
  <c r="I1442" i="2" a="1"/>
  <c r="I1786" i="2" a="1"/>
  <c r="I1556" i="2" a="1"/>
  <c r="I1329" i="2" a="1"/>
  <c r="I1614" i="2" a="1"/>
  <c r="I1163" i="2" a="1"/>
  <c r="I1591" i="2" a="1"/>
  <c r="I1143" i="2" a="1"/>
  <c r="I1232" i="2" a="1"/>
  <c r="I1504" i="2" a="1"/>
  <c r="I1642" i="2" a="1"/>
  <c r="I1366" i="2" a="1"/>
  <c r="I1424" i="2" a="1"/>
  <c r="I1224" i="2" a="1"/>
  <c r="I1400" i="2" a="1"/>
  <c r="I1204" i="2" a="1"/>
  <c r="I1552" i="2" a="1"/>
  <c r="I1267" i="2" a="1"/>
  <c r="I1173" i="2" a="1"/>
  <c r="I897" i="2" a="1"/>
  <c r="I958" i="2" a="1"/>
  <c r="I1383" i="2" a="1"/>
  <c r="I876" i="2" a="1"/>
  <c r="I357" i="2" a="1"/>
  <c r="I1648" i="2" a="1"/>
  <c r="I1434" i="2" a="1"/>
  <c r="I1768" i="2" a="1"/>
  <c r="I1406" i="2" a="1"/>
  <c r="I1733" i="2" a="1"/>
  <c r="I1155" i="2" a="1"/>
  <c r="I1093" i="2" a="1"/>
  <c r="I871" i="2" a="1"/>
  <c r="I896" i="2" a="1"/>
  <c r="I1083" i="2" a="1"/>
  <c r="I817" i="2" a="1"/>
  <c r="I633" i="2" a="1"/>
  <c r="I377" i="2" a="1"/>
  <c r="I682" i="2" a="1"/>
  <c r="I798" i="2" a="1"/>
  <c r="I572" i="2" a="1"/>
  <c r="I1565" i="2" a="1"/>
  <c r="I1457" i="2" a="1"/>
  <c r="I1194" i="2" a="1"/>
  <c r="I1100" i="2" a="1"/>
  <c r="I1027" i="2" a="1"/>
  <c r="I771" i="2" a="1"/>
  <c r="I796" i="2" a="1"/>
  <c r="I973" i="2" a="1"/>
  <c r="I717" i="2" a="1"/>
  <c r="I533" i="2" a="1"/>
  <c r="I866" i="2" a="1"/>
  <c r="I583" i="2" a="1"/>
  <c r="I651" i="2" a="1"/>
  <c r="I1771" i="2" a="1"/>
  <c r="I1679" i="2" a="1"/>
  <c r="I1726" i="2" a="1"/>
  <c r="I1684" i="2" a="1"/>
  <c r="I1346" i="2" a="1"/>
  <c r="I1640" i="2" a="1"/>
  <c r="I1322" i="2" a="1"/>
  <c r="I1544" i="2" a="1"/>
  <c r="I1123" i="2" a="1"/>
  <c r="I1077" i="2" a="1"/>
  <c r="I855" i="2" a="1"/>
  <c r="I880" i="2" a="1"/>
  <c r="I1059" i="2" a="1"/>
  <c r="I801" i="2" a="1"/>
  <c r="I617" i="2" a="1"/>
  <c r="I361" i="2" a="1"/>
  <c r="I666" i="2" a="1"/>
  <c r="I766" i="2" a="1"/>
  <c r="I564" i="2" a="1"/>
  <c r="I1517" i="2" a="1"/>
  <c r="I1405" i="2" a="1"/>
  <c r="I1162" i="2" a="1"/>
  <c r="I1068" i="2" a="1"/>
  <c r="I1011" i="2" a="1"/>
  <c r="I1035" i="2" a="1"/>
  <c r="I780" i="2" a="1"/>
  <c r="I957" i="2" a="1"/>
  <c r="I701" i="2" a="1"/>
  <c r="I517" i="2" a="1"/>
  <c r="I834" i="2" a="1"/>
  <c r="I567" i="2" a="1"/>
  <c r="I642" i="2" a="1"/>
  <c r="I1493" i="2" a="1"/>
  <c r="I1397" i="2" a="1"/>
  <c r="I903" i="2" a="1"/>
  <c r="I665" i="2" a="1"/>
  <c r="I588" i="2" a="1"/>
  <c r="I1164" i="2" a="1"/>
  <c r="I1005" i="2" a="1"/>
  <c r="I615" i="2" a="1"/>
  <c r="I466" i="2" a="1"/>
  <c r="I1701" i="2" a="1"/>
  <c r="I1543" i="2" a="1"/>
  <c r="I1230" i="2" a="1"/>
  <c r="I1107" i="2" a="1"/>
  <c r="I1101" i="2" a="1"/>
  <c r="I879" i="2" a="1"/>
  <c r="I904" i="2" a="1"/>
  <c r="I1099" i="2" a="1"/>
  <c r="I1280" i="2" a="1"/>
  <c r="I779" i="2" a="1"/>
  <c r="I709" i="2" a="1"/>
  <c r="I850" i="2" a="1"/>
  <c r="I646" i="2" a="1"/>
  <c r="I375" i="2" a="1"/>
  <c r="I422" i="2" a="1"/>
  <c r="I308" i="2" a="1"/>
  <c r="I76" i="2" a="1"/>
  <c r="I217" i="2" a="1"/>
  <c r="I226" i="2" a="1"/>
  <c r="I265" i="2" a="1"/>
  <c r="I1756" i="1" a="1"/>
  <c r="I1590" i="1" a="1"/>
  <c r="I1776" i="2" a="1"/>
  <c r="I1705" i="2" a="1"/>
  <c r="I1061" i="2" a="1"/>
  <c r="I785" i="2" a="1"/>
  <c r="I1725" i="2" a="1"/>
  <c r="I1633" i="2" a="1"/>
  <c r="I1284" i="2" a="1"/>
  <c r="I1558" i="2" a="1"/>
  <c r="I1094" i="2" a="1"/>
  <c r="I1534" i="2" a="1"/>
  <c r="I1074" i="2" a="1"/>
  <c r="I1378" i="2" a="1"/>
  <c r="I1619" i="2" a="1"/>
  <c r="I1525" i="2" a="1"/>
  <c r="I1254" i="2" a="1"/>
  <c r="I1276" i="2" a="1"/>
  <c r="I1112" i="2" a="1"/>
  <c r="I1437" i="2" a="1"/>
  <c r="I1092" i="2" a="1"/>
  <c r="I1136" i="2" a="1"/>
  <c r="I1759" i="2" a="1"/>
  <c r="I1514" i="2" a="1"/>
  <c r="I1683" i="2" a="1"/>
  <c r="I1455" i="2" a="1"/>
  <c r="I1639" i="2" a="1"/>
  <c r="I1426" i="2" a="1"/>
  <c r="I1604" i="2" a="1"/>
  <c r="I1460" i="2" a="1"/>
  <c r="I1461" i="2" a="1"/>
  <c r="I951" i="2" a="1"/>
  <c r="I982" i="2" a="1"/>
  <c r="I612" i="2" a="1"/>
  <c r="I1260" i="2" a="1"/>
  <c r="I1055" i="2" a="1"/>
  <c r="I661" i="2" a="1"/>
  <c r="I1491" i="2" a="1"/>
  <c r="I1331" i="2" a="1"/>
  <c r="I1516" i="2" a="1"/>
  <c r="I1311" i="2" a="1"/>
  <c r="I1563" i="2" a="1"/>
  <c r="I1200" i="2" a="1"/>
  <c r="I1071" i="2" a="1"/>
  <c r="I807" i="2" a="1"/>
  <c r="I832" i="2" a="1"/>
  <c r="I1009" i="2" a="1"/>
  <c r="I753" i="2" a="1"/>
  <c r="I569" i="2" a="1"/>
  <c r="I938" i="2" a="1"/>
  <c r="I619" i="2" a="1"/>
  <c r="I715" i="2" a="1"/>
  <c r="I1687" i="2" a="1"/>
  <c r="I1522" i="2" a="1"/>
  <c r="I1467" i="2" a="1"/>
  <c r="I1066" i="2" a="1"/>
  <c r="I1185" i="2" a="1"/>
  <c r="I963" i="2" a="1"/>
  <c r="I988" i="2" a="1"/>
  <c r="I732" i="2" a="1"/>
  <c r="I909" i="2" a="1"/>
  <c r="I994" i="2" a="1"/>
  <c r="I469" i="2" a="1"/>
  <c r="I750" i="2" a="1"/>
  <c r="I519" i="2" a="1"/>
  <c r="I618" i="2" a="1"/>
  <c r="I1676" i="2" a="1"/>
  <c r="I1777" i="2" a="1"/>
  <c r="I1428" i="2" a="1"/>
  <c r="I1682" i="2" a="1"/>
  <c r="I1240" i="2" a="1"/>
  <c r="I1615" i="2" a="1"/>
  <c r="I1218" i="2" a="1"/>
  <c r="I1392" i="2" a="1"/>
  <c r="I1168" i="2" a="1"/>
  <c r="I1052" i="2" a="1"/>
  <c r="I791" i="2" a="1"/>
  <c r="I816" i="2" a="1"/>
  <c r="I993" i="2" a="1"/>
  <c r="I737" i="2" a="1"/>
  <c r="I553" i="2" a="1"/>
  <c r="I906" i="2" a="1"/>
  <c r="I603" i="2" a="1"/>
  <c r="I699" i="2" a="1"/>
  <c r="I1784" i="2" a="1"/>
  <c r="I1478" i="2" a="1"/>
  <c r="I1418" i="2" a="1"/>
  <c r="I1034" i="2" a="1"/>
  <c r="I1169" i="2" a="1"/>
  <c r="I947" i="2" a="1"/>
  <c r="I972" i="2" a="1"/>
  <c r="I716" i="2" a="1"/>
  <c r="I893" i="2" a="1"/>
  <c r="I978" i="2" a="1"/>
  <c r="I453" i="2" a="1"/>
  <c r="I734" i="2" a="1"/>
  <c r="I950" i="2" a="1"/>
  <c r="I610" i="2" a="1"/>
  <c r="I1445" i="2" a="1"/>
  <c r="I1253" i="2" a="1"/>
  <c r="I928" i="2" a="1"/>
  <c r="I409" i="2" a="1"/>
  <c r="I1468" i="2" a="1"/>
  <c r="I1064" i="2" a="1"/>
  <c r="I749" i="2" a="1"/>
  <c r="I711" i="2" a="1"/>
  <c r="I402" i="2" a="1"/>
  <c r="I1512" i="2" a="1"/>
  <c r="I1372" i="2" a="1"/>
  <c r="I1307" i="2" a="1"/>
  <c r="I1184" i="2" a="1"/>
  <c r="I1087" i="2" a="1"/>
  <c r="I815" i="2" a="1"/>
  <c r="I840" i="2" a="1"/>
  <c r="I1017" i="2" a="1"/>
  <c r="I1210" i="2" a="1"/>
  <c r="I804" i="2" a="1"/>
  <c r="I654" i="2" a="1"/>
  <c r="I655" i="2" a="1"/>
  <c r="I582" i="2" a="1"/>
  <c r="I295" i="2" a="1"/>
  <c r="I358" i="2" a="1"/>
  <c r="I276" i="2" a="1"/>
  <c r="I133" i="2" a="1"/>
  <c r="I129" i="2" a="1"/>
  <c r="I162" i="2" a="1"/>
  <c r="I139" i="2" a="1"/>
  <c r="I1755" i="1" a="1"/>
  <c r="I1769" i="1" a="1"/>
  <c r="I1618" i="2" a="1"/>
  <c r="I1234" i="2" a="1"/>
  <c r="I839" i="2" a="1"/>
  <c r="I601" i="2" a="1"/>
  <c r="I1536" i="2" a="1"/>
  <c r="I1706" i="2" a="1"/>
  <c r="I1398" i="2" a="1"/>
  <c r="I1463" i="2" a="1"/>
  <c r="I1255" i="2" a="1"/>
  <c r="I1440" i="2" a="1"/>
  <c r="I1236" i="2" a="1"/>
  <c r="I1739" i="2" a="1"/>
  <c r="I1647" i="2" a="1"/>
  <c r="I1662" i="2" a="1"/>
  <c r="I1620" i="2" a="1"/>
  <c r="I1306" i="2" a="1"/>
  <c r="I1769" i="2" a="1"/>
  <c r="I1278" i="2" a="1"/>
  <c r="I1650" i="2" a="1"/>
  <c r="I1756" i="2" a="1"/>
  <c r="I1664" i="2" a="1"/>
  <c r="I1507" i="2" a="1"/>
  <c r="I1592" i="2" a="1"/>
  <c r="I1347" i="2" a="1"/>
  <c r="I1548" i="2" a="1"/>
  <c r="I1327" i="2" a="1"/>
  <c r="I1606" i="2" a="1"/>
  <c r="I1414" i="2" a="1"/>
  <c r="I1252" i="2" a="1"/>
  <c r="I976" i="2" a="1"/>
  <c r="I457" i="2" a="1"/>
  <c r="I1593" i="2" a="1"/>
  <c r="I1073" i="2" a="1"/>
  <c r="I797" i="2" a="1"/>
  <c r="I759" i="2" a="1"/>
  <c r="I1560" i="2" a="1"/>
  <c r="I1046" i="2" a="1"/>
  <c r="I1470" i="2" a="1"/>
  <c r="I1249" i="2" a="1"/>
  <c r="I1250" i="2" a="1"/>
  <c r="I1221" i="2" a="1"/>
  <c r="I999" i="2" a="1"/>
  <c r="I1024" i="2" a="1"/>
  <c r="I768" i="2" a="1"/>
  <c r="I945" i="2" a="1"/>
  <c r="I1030" i="2" a="1"/>
  <c r="I505" i="2" a="1"/>
  <c r="I810" i="2" a="1"/>
  <c r="I555" i="2" a="1"/>
  <c r="I636" i="2" a="1"/>
  <c r="I1785" i="2" a="1"/>
  <c r="I1599" i="2" a="1"/>
  <c r="I1290" i="2" a="1"/>
  <c r="I1151" i="2" a="1"/>
  <c r="I1121" i="2" a="1"/>
  <c r="I899" i="2" a="1"/>
  <c r="I924" i="2" a="1"/>
  <c r="I668" i="2" a="1"/>
  <c r="I845" i="2" a="1"/>
  <c r="I662" i="2" a="1"/>
  <c r="I405" i="2" a="1"/>
  <c r="I671" i="2" a="1"/>
  <c r="I854" i="2" a="1"/>
  <c r="I586" i="2" a="1"/>
  <c r="I1613" i="2" a="1"/>
  <c r="I1588" i="2" a="1"/>
  <c r="I1361" i="2" a="1"/>
  <c r="I1678" i="2" a="1"/>
  <c r="I1195" i="2" a="1"/>
  <c r="I1630" i="2" a="1"/>
  <c r="I1175" i="2" a="1"/>
  <c r="I1323" i="2" a="1"/>
  <c r="I1205" i="2" a="1"/>
  <c r="I983" i="2" a="1"/>
  <c r="I1008" i="2" a="1"/>
  <c r="I752" i="2" a="1"/>
  <c r="I929" i="2" a="1"/>
  <c r="I1014" i="2" a="1"/>
  <c r="I489" i="2" a="1"/>
  <c r="I778" i="2" a="1"/>
  <c r="I539" i="2" a="1"/>
  <c r="I628" i="2" a="1"/>
  <c r="I1721" i="2" a="1"/>
  <c r="I1559" i="2" a="1"/>
  <c r="I1246" i="2" a="1"/>
  <c r="I1119" i="2" a="1"/>
  <c r="I1105" i="2" a="1"/>
  <c r="I883" i="2" a="1"/>
  <c r="I908" i="2" a="1"/>
  <c r="I652" i="2" a="1"/>
  <c r="I829" i="2" a="1"/>
  <c r="I645" i="2" a="1"/>
  <c r="I389" i="2" a="1"/>
  <c r="I693" i="2" a="1"/>
  <c r="I822" i="2" a="1"/>
  <c r="I578" i="2" a="1"/>
  <c r="I1421" i="2" a="1"/>
  <c r="I1038" i="2" a="1"/>
  <c r="I672" i="2" a="1"/>
  <c r="I679" i="2" a="1"/>
  <c r="I1344" i="2" a="1"/>
  <c r="I803" i="2" a="1"/>
  <c r="I565" i="2" a="1"/>
  <c r="I562" i="2" a="1"/>
  <c r="I338" i="2" a="1"/>
  <c r="I1501" i="2" a="1"/>
  <c r="I1389" i="2" a="1"/>
  <c r="I1150" i="2" a="1"/>
  <c r="I1245" i="2" a="1"/>
  <c r="I1007" i="2" a="1"/>
  <c r="I1032" i="2" a="1"/>
  <c r="I776" i="2" a="1"/>
  <c r="I953" i="2" a="1"/>
  <c r="I1116" i="2" a="1"/>
  <c r="I981" i="2" a="1"/>
  <c r="I525" i="2" a="1"/>
  <c r="I575" i="2" a="1"/>
  <c r="I528" i="2" a="1"/>
  <c r="I231" i="2" a="1"/>
  <c r="I293" i="2" a="1"/>
  <c r="I204" i="2" a="1"/>
  <c r="I122" i="2" a="1"/>
  <c r="I46" i="2" a="1"/>
  <c r="I38" i="2" a="1"/>
  <c r="I35" i="2" a="1"/>
  <c r="I1681" i="1" a="1"/>
  <c r="I1688" i="1" a="1"/>
  <c r="I1791" i="2" a="1"/>
  <c r="I1703" i="2" a="1"/>
  <c r="I1745" i="2" a="1"/>
  <c r="I1549" i="2" a="1"/>
  <c r="I1601" i="2" a="1"/>
  <c r="I1490" i="2" a="1"/>
  <c r="I1166" i="2" a="1"/>
  <c r="I851" i="2" a="1"/>
  <c r="I1208" i="2" a="1"/>
  <c r="I1157" i="2" a="1"/>
  <c r="I881" i="2" a="1"/>
  <c r="I926" i="2" a="1"/>
  <c r="I1351" i="2" a="1"/>
  <c r="I860" i="2" a="1"/>
  <c r="I341" i="2" a="1"/>
  <c r="I1666" i="2" a="1"/>
  <c r="I1144" i="2" a="1"/>
  <c r="I1141" i="2" a="1"/>
  <c r="I865" i="2" a="1"/>
  <c r="I894" i="2" a="1"/>
  <c r="I1319" i="2" a="1"/>
  <c r="I844" i="2" a="1"/>
  <c r="I962" i="2" a="1"/>
  <c r="I1080" i="2" a="1"/>
  <c r="I1259" i="2" a="1"/>
  <c r="I1764" i="2" a="1"/>
  <c r="I1165" i="2" a="1"/>
  <c r="I1598" i="2" a="1"/>
  <c r="I838" i="2" a="1"/>
  <c r="I140" i="2" a="1"/>
  <c r="I1788" i="1" a="1"/>
  <c r="I1262" i="2" a="1"/>
  <c r="I1043" i="2" a="1"/>
  <c r="I556" i="2" a="1"/>
  <c r="I1217" i="2" a="1"/>
  <c r="I941" i="2" a="1"/>
  <c r="I551" i="2" a="1"/>
  <c r="I450" i="2" a="1"/>
  <c r="I1637" i="2" a="1"/>
  <c r="I1499" i="2" a="1"/>
  <c r="I1407" i="2" a="1"/>
  <c r="I1271" i="2" a="1"/>
  <c r="I1085" i="2" a="1"/>
  <c r="I863" i="2" a="1"/>
  <c r="I888" i="2" a="1"/>
  <c r="I1067" i="2" a="1"/>
  <c r="I1301" i="2" a="1"/>
  <c r="I996" i="2" a="1"/>
  <c r="I1018" i="2" a="1"/>
  <c r="I786" i="2" a="1"/>
  <c r="I630" i="2" a="1"/>
  <c r="I351" i="2" a="1"/>
  <c r="I406" i="2" a="1"/>
  <c r="I300" i="2" a="1"/>
  <c r="I60" i="2" a="1"/>
  <c r="I201" i="2" a="1"/>
  <c r="I210" i="2" a="1"/>
  <c r="I249" i="2" a="1"/>
  <c r="I1748" i="1" a="1"/>
  <c r="I1582" i="1" a="1"/>
  <c r="I1364" i="2" a="1"/>
  <c r="I1154" i="2" a="1"/>
  <c r="I775" i="2" a="1"/>
  <c r="I537" i="2" a="1"/>
  <c r="I1720" i="2" a="1"/>
  <c r="I1153" i="2" a="1"/>
  <c r="I877" i="2" a="1"/>
  <c r="I918" i="2" a="1"/>
  <c r="I434" i="2" a="1"/>
  <c r="I1778" i="2" a="1"/>
  <c r="I1456" i="2" a="1"/>
  <c r="I1371" i="2" a="1"/>
  <c r="I1247" i="2" a="1"/>
  <c r="I1069" i="2" a="1"/>
  <c r="I847" i="2" a="1"/>
  <c r="I872" i="2" a="1"/>
  <c r="I1051" i="2" a="1"/>
  <c r="I1310" i="2" a="1"/>
  <c r="I932" i="2" a="1"/>
  <c r="I986" i="2" a="1"/>
  <c r="I742" i="2" a="1"/>
  <c r="I614" i="2" a="1"/>
  <c r="I330" i="2" a="1"/>
  <c r="I390" i="2" a="1"/>
  <c r="I292" i="2" a="1"/>
  <c r="I44" i="2" a="1"/>
  <c r="I185" i="2" a="1"/>
  <c r="I194" i="2" a="1"/>
  <c r="I233" i="2" a="1"/>
  <c r="I1740" i="1" a="1"/>
  <c r="I1574" i="1" a="1"/>
  <c r="I1599" i="1" a="1"/>
  <c r="I913" i="2" a="1"/>
  <c r="I373" i="2" a="1"/>
  <c r="I1444" i="2" a="1"/>
  <c r="I984" i="2" a="1"/>
  <c r="I869" i="2" a="1"/>
  <c r="I502" i="2" a="1"/>
  <c r="I444" i="2" a="1"/>
  <c r="I1672" i="1" a="1"/>
  <c r="I1526" i="1" a="1"/>
  <c r="I1502" i="2" a="1"/>
  <c r="I955" i="2" a="1"/>
  <c r="I793" i="2" a="1"/>
  <c r="I353" i="2" a="1"/>
  <c r="I755" i="2" a="1"/>
  <c r="I431" i="2" a="1"/>
  <c r="I467" i="2" a="1"/>
  <c r="I336" i="2" a="1"/>
  <c r="I120" i="2" a="1"/>
  <c r="I261" i="2" a="1"/>
  <c r="I372" i="2" a="1"/>
  <c r="I12" i="2" a="1"/>
  <c r="I1778" i="1" a="1"/>
  <c r="I1612" i="1" a="1"/>
  <c r="I1385" i="2" a="1"/>
  <c r="I1028" i="2" a="1"/>
  <c r="I1036" i="2" a="1"/>
  <c r="I818" i="2" a="1"/>
  <c r="I638" i="2" a="1"/>
  <c r="I362" i="2" a="1"/>
  <c r="I414" i="2" a="1"/>
  <c r="I304" i="2" a="1"/>
  <c r="I68" i="2" a="1"/>
  <c r="I209" i="2" a="1"/>
  <c r="I643" i="2" a="1"/>
  <c r="I250" i="2" a="1"/>
  <c r="I170" i="2" a="1"/>
  <c r="I1546" i="2" a="1"/>
  <c r="I1289" i="2" a="1"/>
  <c r="I1396" i="2" a="1"/>
  <c r="I1186" i="2" a="1"/>
  <c r="I1441" i="2" a="1"/>
  <c r="I1042" i="2" a="1"/>
  <c r="I720" i="2" a="1"/>
  <c r="I613" i="2" a="1"/>
  <c r="I1376" i="2" a="1"/>
  <c r="I935" i="2" a="1"/>
  <c r="I697" i="2" a="1"/>
  <c r="I604" i="2" a="1"/>
  <c r="I1228" i="2" a="1"/>
  <c r="I1041" i="2" a="1"/>
  <c r="I647" i="2" a="1"/>
  <c r="I1557" i="2" a="1"/>
  <c r="I1292" i="2" a="1"/>
  <c r="I919" i="2" a="1"/>
  <c r="I681" i="2" a="1"/>
  <c r="I596" i="2" a="1"/>
  <c r="I1196" i="2" a="1"/>
  <c r="I1021" i="2" a="1"/>
  <c r="I631" i="2" a="1"/>
  <c r="I1125" i="2" a="1"/>
  <c r="I828" i="2" a="1"/>
  <c r="I1462" i="2" a="1"/>
  <c r="I943" i="2" a="1"/>
  <c r="I1037" i="2" a="1"/>
  <c r="I458" i="2" a="1"/>
  <c r="I508" i="2" a="1"/>
  <c r="I1622" i="1" a="1"/>
  <c r="I1521" i="2" a="1"/>
  <c r="I345" i="2" a="1"/>
  <c r="I1473" i="2" a="1"/>
  <c r="I995" i="2" a="1"/>
  <c r="I1026" i="2" a="1"/>
  <c r="I634" i="2" a="1"/>
  <c r="I386" i="2" a="1"/>
  <c r="I1714" i="2" a="1"/>
  <c r="I1328" i="2" a="1"/>
  <c r="I1248" i="2" a="1"/>
  <c r="I1152" i="2" a="1"/>
  <c r="I1060" i="2" a="1"/>
  <c r="I799" i="2" a="1"/>
  <c r="I824" i="2" a="1"/>
  <c r="I1001" i="2" a="1"/>
  <c r="I1082" i="2" a="1"/>
  <c r="I740" i="2" a="1"/>
  <c r="I621" i="2" a="1"/>
  <c r="I669" i="2" a="1"/>
  <c r="I566" i="2" a="1"/>
  <c r="I279" i="2" a="1"/>
  <c r="I342" i="2" a="1"/>
  <c r="I268" i="2" a="1"/>
  <c r="I101" i="2" a="1"/>
  <c r="I93" i="2" a="1"/>
  <c r="I146" i="2" a="1"/>
  <c r="I468" i="2" a="1"/>
  <c r="I1729" i="1" a="1"/>
  <c r="I1737" i="1" a="1"/>
  <c r="I1533" i="2" a="1"/>
  <c r="I1413" i="2" a="1"/>
  <c r="I800" i="2" a="1"/>
  <c r="I874" i="2" a="1"/>
  <c r="I1734" i="2" a="1"/>
  <c r="I931" i="2" a="1"/>
  <c r="I694" i="2" a="1"/>
  <c r="I602" i="2" a="1"/>
  <c r="I370" i="2" a="1"/>
  <c r="I1611" i="2" a="1"/>
  <c r="I1288" i="2" a="1"/>
  <c r="I1214" i="2" a="1"/>
  <c r="I1120" i="2" a="1"/>
  <c r="I1044" i="2" a="1"/>
  <c r="I783" i="2" a="1"/>
  <c r="I808" i="2" a="1"/>
  <c r="I985" i="2" a="1"/>
  <c r="I1167" i="2" a="1"/>
  <c r="I676" i="2" a="1"/>
  <c r="I589" i="2" a="1"/>
  <c r="I639" i="2" a="1"/>
  <c r="I550" i="2" a="1"/>
  <c r="I263" i="2" a="1"/>
  <c r="I325" i="2" a="1"/>
  <c r="I242" i="2" a="1"/>
  <c r="I73" i="2" a="1"/>
  <c r="I53" i="2" a="1"/>
  <c r="I118" i="2" a="1"/>
  <c r="I99" i="2" a="1"/>
  <c r="I1713" i="1" a="1"/>
  <c r="I1720" i="1" a="1"/>
  <c r="I1754" i="2" a="1"/>
  <c r="I523" i="2" a="1"/>
  <c r="I530" i="2" a="1"/>
  <c r="I1054" i="2" a="1"/>
  <c r="I728" i="2" a="1"/>
  <c r="I429" i="2" a="1"/>
  <c r="I408" i="2" a="1"/>
  <c r="I21" i="2" a="1"/>
  <c r="I1667" i="1" a="1"/>
  <c r="I1482" i="1" a="1"/>
  <c r="I1438" i="2" a="1"/>
  <c r="I980" i="2" a="1"/>
  <c r="I1006" i="2" a="1"/>
  <c r="I762" i="2" a="1"/>
  <c r="I624" i="2" a="1"/>
  <c r="I346" i="2" a="1"/>
  <c r="I403" i="2" a="1"/>
  <c r="I298" i="2" a="1"/>
  <c r="I56" i="2" a="1"/>
  <c r="I197" i="2" a="1"/>
  <c r="I206" i="2" a="1"/>
  <c r="I244" i="2" a="1"/>
  <c r="I1746" i="1" a="1"/>
  <c r="I1580" i="1" a="1"/>
  <c r="I1146" i="2" a="1"/>
  <c r="I772" i="2" a="1"/>
  <c r="I637" i="2" a="1"/>
  <c r="I685" i="2" a="1"/>
  <c r="I574" i="2" a="1"/>
  <c r="I287" i="2" a="1"/>
  <c r="I350" i="2" a="1"/>
  <c r="I272" i="2" a="1"/>
  <c r="I121" i="2" a="1"/>
  <c r="I1199" i="2" a="1"/>
  <c r="I552" i="2" a="1"/>
  <c r="I1747" i="2" a="1"/>
  <c r="I1732" i="2" a="1"/>
  <c r="I1595" i="2" a="1"/>
  <c r="I1308" i="2" a="1"/>
  <c r="I1518" i="2" a="1"/>
  <c r="I1294" i="2" a="1"/>
  <c r="I738" i="2" a="1"/>
  <c r="I1740" i="2" a="1"/>
  <c r="I1188" i="2" a="1"/>
  <c r="I960" i="2" a="1"/>
  <c r="I441" i="2" a="1"/>
  <c r="I1600" i="2" a="1"/>
  <c r="I1057" i="2" a="1"/>
  <c r="I781" i="2" a="1"/>
  <c r="I743" i="2" a="1"/>
  <c r="I1286" i="2" a="1"/>
  <c r="I1124" i="2" a="1"/>
  <c r="I944" i="2" a="1"/>
  <c r="I425" i="2" a="1"/>
  <c r="I1532" i="2" a="1"/>
  <c r="I1095" i="2" a="1"/>
  <c r="I765" i="2" a="1"/>
  <c r="I727" i="2" a="1"/>
  <c r="I849" i="2" a="1"/>
  <c r="I930" i="2" a="1"/>
  <c r="I1402" i="2" a="1"/>
  <c r="I968" i="2" a="1"/>
  <c r="I837" i="2" a="1"/>
  <c r="I486" i="2" a="1"/>
  <c r="I412" i="2" a="1"/>
  <c r="I1707" i="2" a="1"/>
  <c r="I1279" i="2" a="1"/>
  <c r="I650" i="2" a="1"/>
  <c r="I1365" i="2" a="1"/>
  <c r="I1020" i="2" a="1"/>
  <c r="I501" i="2" a="1"/>
  <c r="I546" i="2" a="1"/>
  <c r="I323" i="2" a="1"/>
  <c r="I1590" i="2" a="1"/>
  <c r="I1349" i="2" a="1"/>
  <c r="I1118" i="2" a="1"/>
  <c r="I1213" i="2" a="1"/>
  <c r="I991" i="2" a="1"/>
  <c r="I1016" i="2" a="1"/>
  <c r="I760" i="2" a="1"/>
  <c r="I1719" i="2" a="1"/>
  <c r="I1193" i="2" a="1"/>
  <c r="I933" i="2" a="1"/>
  <c r="I493" i="2" a="1"/>
  <c r="I543" i="2" a="1"/>
  <c r="I518" i="2" a="1"/>
  <c r="I496" i="2" a="1"/>
  <c r="I277" i="2" a="1"/>
  <c r="I188" i="2" a="1"/>
  <c r="I86" i="2" a="1"/>
  <c r="I199" i="2" a="1"/>
  <c r="I29" i="2" a="1"/>
  <c r="I119" i="2" a="1"/>
  <c r="I1665" i="1" a="1"/>
  <c r="I1612" i="2" a="1"/>
  <c r="I1174" i="2" a="1"/>
  <c r="I1104" i="2" a="1"/>
  <c r="I977" i="2" a="1"/>
  <c r="I587" i="2" a="1"/>
  <c r="I1374" i="2" a="1"/>
  <c r="I956" i="2" a="1"/>
  <c r="I437" i="2" a="1"/>
  <c r="I538" i="2" a="1"/>
  <c r="I1731" i="2" a="1"/>
  <c r="I1550" i="2" a="1"/>
  <c r="I1305" i="2" a="1"/>
  <c r="I1086" i="2" a="1"/>
  <c r="I1197" i="2" a="1"/>
  <c r="I975" i="2" a="1"/>
  <c r="I1000" i="2" a="1"/>
  <c r="I744" i="2" a="1"/>
  <c r="I1624" i="2" a="1"/>
  <c r="I1129" i="2" a="1"/>
  <c r="I901" i="2" a="1"/>
  <c r="I461" i="2" a="1"/>
  <c r="I966" i="2" a="1"/>
  <c r="I503" i="2" a="1"/>
  <c r="I464" i="2" a="1"/>
  <c r="I440" i="2" a="1"/>
  <c r="I172" i="2" a="1"/>
  <c r="I223" i="2" a="1"/>
  <c r="I155" i="2" a="1"/>
  <c r="I25" i="2" a="1"/>
  <c r="I87" i="2" a="1"/>
  <c r="I1649" i="1" a="1"/>
  <c r="I1656" i="1" a="1"/>
  <c r="I1131" i="2" a="1"/>
  <c r="I1423" i="2" a="1"/>
  <c r="I1667" i="2" a="1"/>
  <c r="I1181" i="2" a="1"/>
  <c r="I1766" i="2" a="1"/>
  <c r="I902" i="2" a="1"/>
  <c r="I156" i="2" a="1"/>
  <c r="I1796" i="1" a="1"/>
  <c r="I1567" i="1" a="1"/>
  <c r="I1450" i="1" a="1"/>
  <c r="I1050" i="2" a="1"/>
  <c r="I724" i="2" a="1"/>
  <c r="I609" i="2" a="1"/>
  <c r="I658" i="2" a="1"/>
  <c r="I560" i="2" a="1"/>
  <c r="I275" i="2" a="1"/>
  <c r="I339" i="2" a="1"/>
  <c r="I266" i="2" a="1"/>
  <c r="I97" i="2" a="1"/>
  <c r="I85" i="2" a="1"/>
  <c r="I142" i="2" a="1"/>
  <c r="I452" i="2" a="1"/>
  <c r="I1725" i="1" a="1"/>
  <c r="I1732" i="1" a="1"/>
  <c r="I1237" i="2" a="1"/>
  <c r="I949" i="2" a="1"/>
  <c r="I509" i="2" a="1"/>
  <c r="I559" i="2" a="1"/>
  <c r="I524" i="2" a="1"/>
  <c r="I512" i="2" a="1"/>
  <c r="I285" i="2" a="1"/>
  <c r="I196" i="2" a="1"/>
  <c r="I106" i="2" a="1"/>
  <c r="I692" i="2" a="1"/>
  <c r="I267" i="2" a="1"/>
  <c r="I149" i="2" a="1"/>
  <c r="I1317" i="2" a="1"/>
  <c r="I1062" i="2" a="1"/>
  <c r="I1134" i="2" a="1"/>
  <c r="I835" i="2" a="1"/>
  <c r="I1070" i="2" a="1"/>
  <c r="I819" i="2" a="1"/>
  <c r="I522" i="2" a="1"/>
  <c r="I376" i="2" a="1"/>
  <c r="I747" i="2" a="1"/>
  <c r="I514" i="2" a="1"/>
  <c r="I1203" i="2" a="1"/>
  <c r="I696" i="2" a="1"/>
  <c r="I365" i="2" a="1"/>
  <c r="I344" i="2" a="1"/>
  <c r="I13" i="2" a="1"/>
  <c r="I1505" i="2" a="1"/>
  <c r="I1215" i="2" a="1"/>
  <c r="I1636" i="2" a="1"/>
  <c r="I1133" i="2" a="1"/>
  <c r="I1622" i="2" a="1"/>
  <c r="I735" i="2" a="1"/>
  <c r="I108" i="2" a="1"/>
  <c r="I1772" i="1" a="1"/>
  <c r="I892" i="2" a="1"/>
  <c r="I479" i="2" a="1"/>
  <c r="I1655" i="2" a="1"/>
  <c r="I531" i="2" a="1"/>
  <c r="I184" i="2" a="1"/>
  <c r="I111" i="2" a="1"/>
  <c r="I821" i="2" a="1"/>
  <c r="I478" i="2" a="1"/>
  <c r="I593" i="2" a="1"/>
  <c r="I19" i="2" a="1"/>
  <c r="I1626" i="1" a="1"/>
  <c r="I1564" i="1" a="1"/>
  <c r="I1655" i="1" a="1"/>
  <c r="I1506" i="1" a="1"/>
  <c r="I1331" i="1" a="1"/>
  <c r="I1155" i="1" a="1"/>
  <c r="I1104" i="1" a="1"/>
  <c r="I848" i="1" a="1"/>
  <c r="I1138" i="1" a="1"/>
  <c r="I882" i="1" a="1"/>
  <c r="I1233" i="1" a="1"/>
  <c r="I956" i="1" a="1"/>
  <c r="I1081" i="2" a="1"/>
  <c r="I487" i="2" a="1"/>
  <c r="I175" i="2" a="1"/>
  <c r="I10" i="2" a="1"/>
  <c r="I1608" i="1" a="1"/>
  <c r="I1773" i="1" a="1"/>
  <c r="I1621" i="1" a="1"/>
  <c r="I1485" i="1" a="1"/>
  <c r="I1321" i="1" a="1"/>
  <c r="I1487" i="1" a="1"/>
  <c r="I1085" i="1" a="1"/>
  <c r="I829" i="1" a="1"/>
  <c r="I1119" i="1" a="1"/>
  <c r="I863" i="1" a="1"/>
  <c r="I1208" i="1" a="1"/>
  <c r="I1547" i="2" a="1"/>
  <c r="I1277" i="2" a="1"/>
  <c r="I1765" i="2" a="1"/>
  <c r="I1117" i="2" a="1"/>
  <c r="I1451" i="2" a="1"/>
  <c r="I703" i="2" a="1"/>
  <c r="I92" i="2" a="1"/>
  <c r="I1764" i="1" a="1"/>
  <c r="I1553" i="1" a="1"/>
  <c r="I1442" i="1" a="1"/>
  <c r="I1135" i="2" a="1"/>
  <c r="I660" i="2" a="1"/>
  <c r="I577" i="2" a="1"/>
  <c r="I627" i="2" a="1"/>
  <c r="I548" i="2" a="1"/>
  <c r="I259" i="2" a="1"/>
  <c r="I321" i="2" a="1"/>
  <c r="I234" i="2" a="1"/>
  <c r="I69" i="2" a="1"/>
  <c r="I45" i="2" a="1"/>
  <c r="I110" i="2" a="1"/>
  <c r="I91" i="2" a="1"/>
  <c r="I1709" i="1" a="1"/>
  <c r="I1752" i="2" a="1"/>
  <c r="I1161" i="2" a="1"/>
  <c r="I917" i="2" a="1"/>
  <c r="I477" i="2" a="1"/>
  <c r="I527" i="2" a="1"/>
  <c r="I511" i="2" a="1"/>
  <c r="I480" i="2" a="1"/>
  <c r="I269" i="2" a="1"/>
  <c r="I180" i="2" a="1"/>
  <c r="I50" i="2" a="1"/>
  <c r="I905" i="2" a="1"/>
  <c r="I472" i="2" a="1"/>
  <c r="I77" i="2" a="1"/>
  <c r="I115" i="2" a="1"/>
  <c r="I1728" i="1" a="1"/>
  <c r="I1547" i="1" a="1"/>
  <c r="I1560" i="1" a="1"/>
  <c r="I1424" i="1" a="1"/>
  <c r="I1291" i="1" a="1"/>
  <c r="I1344" i="1" a="1"/>
  <c r="I1024" i="1" a="1"/>
  <c r="I1412" i="1" a="1"/>
  <c r="I1058" i="1" a="1"/>
  <c r="I802" i="1" a="1"/>
  <c r="I1132" i="1" a="1"/>
  <c r="I1302" i="1" a="1"/>
  <c r="I745" i="2" a="1"/>
  <c r="I443" i="2" a="1"/>
  <c r="I66" i="2" a="1"/>
  <c r="I43" i="2" a="1"/>
  <c r="I1700" i="1" a="1"/>
  <c r="I1518" i="1" a="1"/>
  <c r="I1541" i="1" a="1"/>
  <c r="I1409" i="1" a="1"/>
  <c r="I1678" i="1" a="1"/>
  <c r="I1306" i="1" a="1"/>
  <c r="I1005" i="1" a="1"/>
  <c r="I1374" i="1" a="1"/>
  <c r="I1039" i="1" a="1"/>
  <c r="I1297" i="2" a="1"/>
  <c r="I1657" i="2" a="1"/>
  <c r="I418" i="2" a="1"/>
  <c r="I1216" i="2" a="1"/>
  <c r="I1033" i="2" a="1"/>
  <c r="I710" i="2" a="1"/>
  <c r="I284" i="2" a="1"/>
  <c r="I195" i="2" a="1"/>
  <c r="I1615" i="1" a="1"/>
  <c r="I1466" i="1" a="1"/>
  <c r="I1335" i="2" a="1"/>
  <c r="I852" i="2" a="1"/>
  <c r="I673" i="2" a="1"/>
  <c r="I695" i="2" a="1"/>
  <c r="I592" i="2" a="1"/>
  <c r="I307" i="2" a="1"/>
  <c r="I371" i="2" a="1"/>
  <c r="I282" i="2" a="1"/>
  <c r="I153" i="2" a="1"/>
  <c r="I161" i="2" a="1"/>
  <c r="I174" i="2" a="1"/>
  <c r="I183" i="2" a="1"/>
  <c r="I1779" i="1" a="1"/>
  <c r="I1793" i="1" a="1"/>
  <c r="I1103" i="2" a="1"/>
  <c r="I1091" i="2" a="1"/>
  <c r="I354" i="2" a="1"/>
  <c r="I220" i="2" a="1"/>
  <c r="I1178" i="2" a="1"/>
  <c r="I576" i="2" a="1"/>
  <c r="I125" i="2" a="1"/>
  <c r="I1747" i="1" a="1"/>
  <c r="I970" i="2" a="1"/>
  <c r="I606" i="2" a="1"/>
  <c r="I382" i="2" a="1"/>
  <c r="I36" i="2" a="1"/>
  <c r="I739" i="2" a="1"/>
  <c r="I62" i="2" a="1"/>
  <c r="I1607" i="1" a="1"/>
  <c r="I1654" i="1" a="1"/>
  <c r="I1187" i="1" a="1"/>
  <c r="I880" i="1" a="1"/>
  <c r="I914" i="1" a="1"/>
  <c r="I988" i="1" a="1"/>
  <c r="I600" i="2" a="1"/>
  <c r="I26" i="2" a="1"/>
  <c r="I1579" i="1" a="1"/>
  <c r="I1527" i="1" a="1"/>
  <c r="I1166" i="1" a="1"/>
  <c r="I861" i="1" a="1"/>
  <c r="I895" i="1" a="1"/>
  <c r="I1113" i="1" a="1"/>
  <c r="I1131" i="1" a="1"/>
  <c r="I867" i="2" a="1"/>
  <c r="I540" i="2" a="1"/>
  <c r="I1719" i="1" a="1"/>
  <c r="I563" i="2" a="1"/>
  <c r="I200" i="2" a="1"/>
  <c r="I47" i="2" a="1"/>
  <c r="I853" i="2" a="1"/>
  <c r="I870" i="2" a="1"/>
  <c r="I494" i="2" a="1"/>
  <c r="I148" i="2" a="1"/>
  <c r="I990" i="2" a="1"/>
  <c r="I179" i="2" a="1"/>
  <c r="I1684" i="1" a="1"/>
  <c r="I1528" i="1" a="1"/>
  <c r="I1521" i="1" a="1"/>
  <c r="I992" i="1" a="1"/>
  <c r="I1026" i="1" a="1"/>
  <c r="I1100" i="1" a="1"/>
  <c r="I561" i="2" a="1"/>
  <c r="I420" i="2" a="1"/>
  <c r="I1660" i="1" a="1"/>
  <c r="I1509" i="1" a="1"/>
  <c r="I1278" i="1" a="1"/>
  <c r="I973" i="1" a="1"/>
  <c r="I1007" i="1" a="1"/>
  <c r="I1183" i="1" a="1"/>
  <c r="I1388" i="1" a="1"/>
  <c r="I841" i="2" a="1"/>
  <c r="I491" i="2" a="1"/>
  <c r="I37" i="2" a="1"/>
  <c r="I83" i="2" a="1"/>
  <c r="I1716" i="1" a="1"/>
  <c r="I1534" i="1" a="1"/>
  <c r="I1552" i="1" a="1"/>
  <c r="I1416" i="1" a="1"/>
  <c r="I1287" i="1" a="1"/>
  <c r="I1328" i="1" a="1"/>
  <c r="I1016" i="1" a="1"/>
  <c r="I1396" i="1" a="1"/>
  <c r="I1050" i="1" a="1"/>
  <c r="I794" i="1" a="1"/>
  <c r="I1124" i="1" a="1"/>
  <c r="I1268" i="1" a="1"/>
  <c r="I460" i="2" a="1"/>
  <c r="I1613" i="1" a="1"/>
  <c r="I1077" i="1" a="1"/>
  <c r="I1197" i="1" a="1"/>
  <c r="I685" i="1" a="1"/>
  <c r="I538" i="1" a="1"/>
  <c r="I1221" i="1" a="1"/>
  <c r="I666" i="1" a="1"/>
  <c r="I713" i="1" a="1"/>
  <c r="I553" i="1" a="1"/>
  <c r="I1186" i="1" a="1"/>
  <c r="I403" i="1" a="1"/>
  <c r="I148" i="1" a="1"/>
  <c r="I304" i="1" a="1"/>
  <c r="I736" i="2" a="1"/>
  <c r="I1047" i="2" a="1"/>
  <c r="I1542" i="1" a="1"/>
  <c r="I385" i="2" a="1"/>
  <c r="I368" i="2" a="1"/>
  <c r="I16" i="2" a="1"/>
  <c r="I811" i="2" a="1"/>
  <c r="I623" i="2" a="1"/>
  <c r="I255" i="2" a="1"/>
  <c r="I228" i="2" a="1"/>
  <c r="I923" i="2" a="1"/>
  <c r="I253" i="2" a="1"/>
  <c r="I1594" i="1" a="1"/>
  <c r="I1609" i="1" a="1"/>
  <c r="I1315" i="1" a="1"/>
  <c r="I1072" i="1" a="1"/>
  <c r="I1106" i="1" a="1"/>
  <c r="I1194" i="1" a="1"/>
  <c r="I884" i="2" a="1"/>
  <c r="I189" i="2" a="1"/>
  <c r="I1576" i="1" a="1"/>
  <c r="I1644" i="2" a="1"/>
  <c r="I1487" i="2" a="1"/>
  <c r="I704" i="2" a="1"/>
  <c r="I597" i="2" a="1"/>
  <c r="I688" i="2" a="1"/>
  <c r="I581" i="2" a="1"/>
  <c r="I1241" i="2" a="1"/>
  <c r="I17" i="2" a="1"/>
  <c r="I1130" i="2" a="1"/>
  <c r="I1700" i="2" a="1"/>
  <c r="I1149" i="2" a="1"/>
  <c r="I1542" i="2" a="1"/>
  <c r="I774" i="2" a="1"/>
  <c r="I124" i="2" a="1"/>
  <c r="I1780" i="1" a="1"/>
  <c r="I1031" i="2" a="1"/>
  <c r="I700" i="2" a="1"/>
  <c r="I1626" i="2" a="1"/>
  <c r="I911" i="2" a="1"/>
  <c r="I907" i="2" a="1"/>
  <c r="I415" i="2" a="1"/>
  <c r="I248" i="2" a="1"/>
  <c r="I1606" i="1" a="1"/>
  <c r="I1506" i="2" a="1"/>
  <c r="I171" i="2" a="1"/>
  <c r="I1177" i="2" a="1"/>
  <c r="I516" i="2" a="1"/>
  <c r="I58" i="2" a="1"/>
  <c r="I1661" i="1" a="1"/>
  <c r="I381" i="2" a="1"/>
  <c r="I360" i="2" a="1"/>
  <c r="I331" i="2" a="1"/>
  <c r="I163" i="2" a="1"/>
  <c r="I1785" i="1" a="1"/>
  <c r="I1634" i="1" a="1"/>
  <c r="I1577" i="1" a="1"/>
  <c r="I1441" i="1" a="1"/>
  <c r="I1299" i="1" a="1"/>
  <c r="I1376" i="1" a="1"/>
  <c r="I1040" i="1" a="1"/>
  <c r="I1451" i="1" a="1"/>
  <c r="I1074" i="1" a="1"/>
  <c r="I818" i="1" a="1"/>
  <c r="I1148" i="1" a="1"/>
  <c r="I1436" i="1" a="1"/>
  <c r="I873" i="2" a="1"/>
  <c r="I507" i="2" a="1"/>
  <c r="I61" i="2" a="1"/>
  <c r="I107" i="2" a="1"/>
  <c r="I1724" i="1" a="1"/>
  <c r="I1539" i="1" a="1"/>
  <c r="I1557" i="1" a="1"/>
  <c r="I1421" i="1" a="1"/>
  <c r="I1289" i="1" a="1"/>
  <c r="I1338" i="1" a="1"/>
  <c r="I1021" i="1" a="1"/>
  <c r="I1406" i="1" a="1"/>
  <c r="I1055" i="1" a="1"/>
  <c r="I799" i="1" a="1"/>
  <c r="I1129" i="1" a="1"/>
  <c r="I967" i="2" a="1"/>
  <c r="I1075" i="2" a="1"/>
  <c r="I1583" i="2" a="1"/>
  <c r="I895" i="2" a="1"/>
  <c r="I843" i="2" a="1"/>
  <c r="I394" i="2" a="1"/>
  <c r="I232" i="2" a="1"/>
  <c r="I1598" i="1" a="1"/>
  <c r="I1650" i="1" a="1"/>
  <c r="I1753" i="2" a="1"/>
  <c r="I1113" i="2" a="1"/>
  <c r="I889" i="2" a="1"/>
  <c r="I449" i="2" a="1"/>
  <c r="I942" i="2" a="1"/>
  <c r="I495" i="2" a="1"/>
  <c r="I456" i="2" a="1"/>
  <c r="I432" i="2" a="1"/>
  <c r="I168" i="2" a="1"/>
  <c r="I219" i="2" a="1"/>
  <c r="I147" i="2" a="1"/>
  <c r="I24" i="2" a="1"/>
  <c r="I79" i="2" a="1"/>
  <c r="I1645" i="1" a="1"/>
  <c r="I1458" i="2" a="1"/>
  <c r="I939" i="2" a="1"/>
  <c r="I789" i="2" a="1"/>
  <c r="I349" i="2" a="1"/>
  <c r="I751" i="2" a="1"/>
  <c r="I426" i="2" a="1"/>
  <c r="I462" i="2" a="1"/>
  <c r="I328" i="2" a="1"/>
  <c r="I116" i="2" a="1"/>
  <c r="I256" i="2" a="1"/>
  <c r="I465" i="2" a="1"/>
  <c r="I448" i="2" a="1"/>
  <c r="I364" i="2" a="1"/>
  <c r="I1776" i="1" a="1"/>
  <c r="I1644" i="1" a="1"/>
  <c r="I1480" i="1" a="1"/>
  <c r="I1726" i="1" a="1"/>
  <c r="I1387" i="1" a="1"/>
  <c r="I1267" i="1" a="1"/>
  <c r="I1242" i="1" a="1"/>
  <c r="I960" i="1" a="1"/>
  <c r="I1284" i="1" a="1"/>
  <c r="I994" i="1" a="1"/>
  <c r="I1439" i="1" a="1"/>
  <c r="I1068" i="1" a="1"/>
  <c r="I1014" i="1" a="1"/>
  <c r="I922" i="2" a="1"/>
  <c r="I318" i="2" a="1"/>
  <c r="I230" i="2" a="1"/>
  <c r="I1758" i="1" a="1"/>
  <c r="I1759" i="1" a="1"/>
  <c r="I1468" i="1" a="1"/>
  <c r="I1545" i="1" a="1"/>
  <c r="I1377" i="1" a="1"/>
  <c r="I1246" i="1" a="1"/>
  <c r="I1213" i="1" a="1"/>
  <c r="I941" i="1" a="1"/>
  <c r="I1255" i="1" a="1"/>
  <c r="I975" i="1" a="1"/>
  <c r="I1111" i="2" a="1"/>
  <c r="I1089" i="2" a="1"/>
  <c r="I1576" i="2" a="1"/>
  <c r="I1053" i="2" a="1"/>
  <c r="I1367" i="2" a="1"/>
  <c r="I598" i="2" a="1"/>
  <c r="I157" i="2" a="1"/>
  <c r="I1787" i="1" a="1"/>
  <c r="I1757" i="1" a="1"/>
  <c r="I1767" i="1" a="1"/>
  <c r="I1212" i="2" a="1"/>
  <c r="I1029" i="2" a="1"/>
  <c r="I545" i="2" a="1"/>
  <c r="I595" i="2" a="1"/>
  <c r="I536" i="2" a="1"/>
  <c r="I243" i="2" a="1"/>
  <c r="I305" i="2" a="1"/>
  <c r="I216" i="2" a="1"/>
  <c r="I41" i="2" a="1"/>
  <c r="I82" i="2" a="1"/>
  <c r="I70" i="2" a="1"/>
  <c r="I59" i="2" a="1"/>
  <c r="I1693" i="1" a="1"/>
  <c r="I1689" i="2" a="1"/>
  <c r="I1097" i="2" a="1"/>
  <c r="I885" i="2" a="1"/>
  <c r="I1088" i="2" a="1"/>
  <c r="I67" i="2" a="1"/>
  <c r="I788" i="2" a="1"/>
  <c r="I291" i="2" a="1"/>
  <c r="I117" i="2" a="1"/>
  <c r="I1761" i="1" a="1"/>
  <c r="I445" i="2" a="1"/>
  <c r="I490" i="2" a="1"/>
  <c r="I424" i="2" a="1"/>
  <c r="I187" i="2" a="1"/>
  <c r="I459" i="2" a="1"/>
  <c r="I51" i="2" a="1"/>
  <c r="I1523" i="1" a="1"/>
  <c r="I1411" i="1" a="1"/>
  <c r="I1312" i="1" a="1"/>
  <c r="I1380" i="1" a="1"/>
  <c r="I786" i="1" a="1"/>
  <c r="I1239" i="1" a="1"/>
  <c r="I379" i="2" a="1"/>
  <c r="I95" i="2" a="1"/>
  <c r="I1500" i="1" a="1"/>
  <c r="I1401" i="1" a="1"/>
  <c r="I1277" i="1" a="1"/>
  <c r="I1342" i="1" a="1"/>
  <c r="I783" i="1" a="1"/>
  <c r="I1033" i="1" a="1"/>
  <c r="I889" i="1" a="1"/>
  <c r="I1545" i="2" a="1"/>
  <c r="I49" i="2" a="1"/>
  <c r="I1084" i="2" a="1"/>
  <c r="I526" i="2" a="1"/>
  <c r="I114" i="2" a="1"/>
  <c r="I1677" i="1" a="1"/>
  <c r="I670" i="2" a="1"/>
  <c r="I590" i="2" a="1"/>
  <c r="I366" i="2" a="1"/>
  <c r="I145" i="2" a="1"/>
  <c r="I616" i="2" a="1"/>
  <c r="I27" i="2" a="1"/>
  <c r="I1587" i="1" a="1"/>
  <c r="I1538" i="1" a="1"/>
  <c r="I1171" i="1" a="1"/>
  <c r="I864" i="1" a="1"/>
  <c r="I898" i="1" a="1"/>
  <c r="I972" i="1" a="1"/>
  <c r="I542" i="2" a="1"/>
  <c r="I18" i="2" a="1"/>
  <c r="I1561" i="1" a="1"/>
  <c r="I1501" i="1" a="1"/>
  <c r="I1150" i="1" a="1"/>
  <c r="I845" i="1" a="1"/>
  <c r="I879" i="1" a="1"/>
  <c r="I1097" i="1" a="1"/>
  <c r="I1067" i="1" a="1"/>
  <c r="I401" i="2" a="1"/>
  <c r="I384" i="2" a="1"/>
  <c r="I332" i="2" a="1"/>
  <c r="I1768" i="1" a="1"/>
  <c r="I1632" i="1" a="1"/>
  <c r="I1476" i="1" a="1"/>
  <c r="I1662" i="1" a="1"/>
  <c r="I1383" i="1" a="1"/>
  <c r="I1259" i="1" a="1"/>
  <c r="I1228" i="1" a="1"/>
  <c r="I952" i="1" a="1"/>
  <c r="I1273" i="1" a="1"/>
  <c r="I986" i="1" a="1"/>
  <c r="I1417" i="1" a="1"/>
  <c r="I1060" i="1" a="1"/>
  <c r="I982" i="1" a="1"/>
  <c r="I6" i="2" a="1"/>
  <c r="I1477" i="1" a="1"/>
  <c r="I821" i="1" a="1"/>
  <c r="I929" i="1" a="1"/>
  <c r="I634" i="1" a="1"/>
  <c r="I506" i="1" a="1"/>
  <c r="I926" i="1" a="1"/>
  <c r="I1147" i="1" a="1"/>
  <c r="I649" i="1" a="1"/>
  <c r="I521" i="1" a="1"/>
  <c r="I931" i="1" a="1"/>
  <c r="I339" i="1" a="1"/>
  <c r="I116" i="1" a="1"/>
  <c r="I240" i="1" a="1"/>
  <c r="I629" i="2" a="1"/>
  <c r="I247" i="2" a="1"/>
  <c r="I1537" i="2" a="1"/>
  <c r="I814" i="2" a="1"/>
  <c r="I136" i="2" a="1"/>
  <c r="I1786" i="1" a="1"/>
  <c r="I757" i="2" a="1"/>
  <c r="I719" i="2" a="1"/>
  <c r="I446" i="2" a="1"/>
  <c r="I100" i="2" a="1"/>
  <c r="I337" i="2" a="1"/>
  <c r="I238" i="2" a="1"/>
  <c r="I1775" i="1" a="1"/>
  <c r="I1554" i="1" a="1"/>
  <c r="I1251" i="1" a="1"/>
  <c r="I944" i="1" a="1"/>
  <c r="I978" i="1" a="1"/>
  <c r="I1052" i="1" a="1"/>
  <c r="I714" i="2" a="1"/>
  <c r="I198" i="2" a="1"/>
  <c r="I1707" i="1" a="1"/>
  <c r="I1513" i="1" a="1"/>
  <c r="I1230" i="1" a="1"/>
  <c r="I1206" i="2" a="1"/>
  <c r="I1471" i="2" a="1"/>
  <c r="I722" i="2" a="1"/>
  <c r="I554" i="2" a="1"/>
  <c r="I706" i="2" a="1"/>
  <c r="I1585" i="2" a="1"/>
  <c r="I712" i="2" a="1"/>
  <c r="I1749" i="2" a="1"/>
  <c r="I764" i="2" a="1"/>
  <c r="I1702" i="2" a="1"/>
  <c r="I927" i="2" a="1"/>
  <c r="I971" i="2" a="1"/>
  <c r="I439" i="2" a="1"/>
  <c r="I264" i="2" a="1"/>
  <c r="I1614" i="1" a="1"/>
  <c r="I721" i="2" a="1"/>
  <c r="I718" i="2" a="1"/>
  <c r="I1314" i="2" a="1"/>
  <c r="I936" i="2" a="1"/>
  <c r="I773" i="2" a="1"/>
  <c r="I454" i="2" a="1"/>
  <c r="I348" i="2" a="1"/>
  <c r="I1699" i="1" a="1"/>
  <c r="I959" i="2" a="1"/>
  <c r="I1633" i="1" a="1"/>
  <c r="I921" i="2" a="1"/>
  <c r="I488" i="2" a="1"/>
  <c r="I191" i="2" a="1"/>
  <c r="I1497" i="2" a="1"/>
  <c r="I806" i="2" a="1"/>
  <c r="I132" i="2" a="1"/>
  <c r="I81" i="2" a="1"/>
  <c r="I1792" i="1" a="1"/>
  <c r="I1664" i="1" a="1"/>
  <c r="I1492" i="1" a="1"/>
  <c r="I1512" i="1" a="1"/>
  <c r="I1395" i="1" a="1"/>
  <c r="I1283" i="1" a="1"/>
  <c r="I1260" i="1" a="1"/>
  <c r="I976" i="1" a="1"/>
  <c r="I1316" i="1" a="1"/>
  <c r="I1010" i="1" a="1"/>
  <c r="I1503" i="1" a="1"/>
  <c r="I1084" i="1" a="1"/>
  <c r="I1078" i="1" a="1"/>
  <c r="I433" i="2" a="1"/>
  <c r="I416" i="2" a="1"/>
  <c r="I356" i="2" a="1"/>
  <c r="I1774" i="1" a="1"/>
  <c r="I1636" i="1" a="1"/>
  <c r="I1478" i="1" a="1"/>
  <c r="I1694" i="1" a="1"/>
  <c r="I1385" i="1" a="1"/>
  <c r="I1262" i="1" a="1"/>
  <c r="I1231" i="1" a="1"/>
  <c r="I957" i="1" a="1"/>
  <c r="I1280" i="1" a="1"/>
  <c r="I991" i="1" a="1"/>
  <c r="I1423" i="1" a="1"/>
  <c r="I1065" i="1" a="1"/>
  <c r="I998" i="2" a="1"/>
  <c r="I677" i="2" a="1"/>
  <c r="I1274" i="2" a="1"/>
  <c r="I920" i="2" a="1"/>
  <c r="I741" i="2" a="1"/>
  <c r="I438" i="2" a="1"/>
  <c r="I254" i="2" a="1"/>
  <c r="I1640" i="1" a="1"/>
  <c r="I1510" i="1" a="1"/>
  <c r="I1579" i="2" a="1"/>
  <c r="I891" i="2" a="1"/>
  <c r="I761" i="2" a="1"/>
  <c r="I954" i="2" a="1"/>
  <c r="I723" i="2" a="1"/>
  <c r="I410" i="2" a="1"/>
  <c r="I451" i="2" a="1"/>
  <c r="I322" i="2" a="1"/>
  <c r="I104" i="2" a="1"/>
  <c r="I245" i="2" a="1"/>
  <c r="I340" i="2" a="1"/>
  <c r="I8" i="2" a="1"/>
  <c r="I1770" i="1" a="1"/>
  <c r="I1604" i="1" a="1"/>
  <c r="I1394" i="2" a="1"/>
  <c r="I964" i="2" a="1"/>
  <c r="I1002" i="2" a="1"/>
  <c r="I758" i="2" a="1"/>
  <c r="I622" i="2" a="1"/>
  <c r="I343" i="2" a="1"/>
  <c r="I398" i="2" a="1"/>
  <c r="I296" i="2" a="1"/>
  <c r="I52" i="2" a="1"/>
  <c r="I1688" i="2" a="1"/>
  <c r="I515" i="2" a="1"/>
  <c r="I176" i="2" a="1"/>
  <c r="I134" i="2" a="1"/>
  <c r="I1721" i="1" a="1"/>
  <c r="I1627" i="1" a="1"/>
  <c r="I1438" i="1" a="1"/>
  <c r="I1414" i="1" a="1"/>
  <c r="I1355" i="1" a="1"/>
  <c r="I1203" i="1" a="1"/>
  <c r="I1153" i="1" a="1"/>
  <c r="I896" i="1" a="1"/>
  <c r="I1202" i="1" a="1"/>
  <c r="I930" i="1" a="1"/>
  <c r="I1304" i="1" a="1"/>
  <c r="I1004" i="1" a="1"/>
  <c r="I1495" i="2" a="1"/>
  <c r="I707" i="2" a="1"/>
  <c r="I96" i="2" a="1"/>
  <c r="I54" i="2" a="1"/>
  <c r="I1685" i="1" a="1"/>
  <c r="I1603" i="1" a="1"/>
  <c r="I1711" i="1" a="1"/>
  <c r="I1562" i="1" a="1"/>
  <c r="I1345" i="1" a="1"/>
  <c r="I1182" i="1" a="1"/>
  <c r="I1133" i="1" a="1"/>
  <c r="I877" i="1" a="1"/>
  <c r="I1173" i="1" a="1"/>
  <c r="I911" i="1" a="1"/>
  <c r="I992" i="2" a="1"/>
  <c r="I813" i="2" a="1"/>
  <c r="I1416" i="2" a="1"/>
  <c r="I831" i="2" a="1"/>
  <c r="I868" i="2" a="1"/>
  <c r="I311" i="2" a="1"/>
  <c r="I169" i="2" a="1"/>
  <c r="I1566" i="1" a="1"/>
  <c r="I1558" i="1" a="1"/>
  <c r="I1564" i="2" a="1"/>
  <c r="I1049" i="2" a="1"/>
  <c r="I857" i="2" a="1"/>
  <c r="I417" i="2" a="1"/>
  <c r="I878" i="2" a="1"/>
  <c r="I474" i="2" a="1"/>
  <c r="I499" i="2" a="1"/>
  <c r="I400" i="2" a="1"/>
  <c r="I152" i="2" a="1"/>
  <c r="I159" i="2" a="1"/>
  <c r="I436" i="2" a="1"/>
  <c r="I20" i="2" a="1"/>
  <c r="I1794" i="1" a="1"/>
  <c r="I1629" i="1" a="1"/>
  <c r="I1535" i="2" a="1"/>
  <c r="I875" i="2" a="1"/>
  <c r="I1575" i="2" a="1"/>
  <c r="I969" i="2" a="1"/>
  <c r="I1583" i="1" a="1"/>
  <c r="I641" i="2" a="1"/>
  <c r="I355" i="2" a="1"/>
  <c r="I158" i="2" a="1"/>
  <c r="I1180" i="2" a="1"/>
  <c r="I726" i="2" a="1"/>
  <c r="I319" i="2" a="1"/>
  <c r="I288" i="2" a="1"/>
  <c r="I1686" i="2" a="1"/>
  <c r="I112" i="2" a="1"/>
  <c r="I1689" i="1" a="1"/>
  <c r="I1727" i="1" a="1"/>
  <c r="I1347" i="1" a="1"/>
  <c r="I1136" i="1" a="1"/>
  <c r="I1177" i="1" a="1"/>
  <c r="I1276" i="1" a="1"/>
  <c r="I1403" i="2" a="1"/>
  <c r="I165" i="2" a="1"/>
  <c r="I1653" i="1" a="1"/>
  <c r="I1679" i="1" a="1"/>
  <c r="I1337" i="1" a="1"/>
  <c r="I1117" i="1" a="1"/>
  <c r="I1152" i="1" a="1"/>
  <c r="I1362" i="1" a="1"/>
  <c r="I969" i="1" a="1"/>
  <c r="I1148" i="2" a="1"/>
  <c r="I1023" i="2" a="1"/>
  <c r="I1697" i="1" a="1"/>
  <c r="I965" i="2" a="1"/>
  <c r="I659" i="2" a="1"/>
  <c r="I34" i="2" a="1"/>
  <c r="I1500" i="2" a="1"/>
  <c r="I413" i="2" a="1"/>
  <c r="I471" i="2" a="1"/>
  <c r="I392" i="2" a="1"/>
  <c r="I143" i="2" a="1"/>
  <c r="I395" i="2" a="1"/>
  <c r="I103" i="2" a="1"/>
  <c r="I1502" i="1" a="1"/>
  <c r="I1403" i="1" a="1"/>
  <c r="I1281" i="1" a="1"/>
  <c r="I1348" i="1" a="1"/>
  <c r="I1702" i="1" a="1"/>
  <c r="I1142" i="1" a="1"/>
  <c r="I313" i="2" a="1"/>
  <c r="I1790" i="1" a="1"/>
  <c r="I1488" i="1" a="1"/>
  <c r="I1393" i="1" a="1"/>
  <c r="I1256" i="1" a="1"/>
  <c r="I1310" i="1" a="1"/>
  <c r="I1546" i="1" a="1"/>
  <c r="I1017" i="1" a="1"/>
  <c r="I1690" i="2" a="1"/>
  <c r="I846" i="2" a="1"/>
  <c r="I144" i="2" a="1"/>
  <c r="I98" i="2" a="1"/>
  <c r="I1705" i="1" a="1"/>
  <c r="I1619" i="1" a="1"/>
  <c r="I1751" i="1" a="1"/>
  <c r="I1718" i="1" a="1"/>
  <c r="I1351" i="1" a="1"/>
  <c r="I1195" i="1" a="1"/>
  <c r="I1144" i="1" a="1"/>
  <c r="I888" i="1" a="1"/>
  <c r="I1188" i="1" a="1"/>
  <c r="I922" i="1" a="1"/>
  <c r="I1288" i="1" a="1"/>
  <c r="I996" i="1" a="1"/>
  <c r="I987" i="2" a="1"/>
  <c r="I1600" i="1" a="1"/>
  <c r="I1317" i="1" a="1"/>
  <c r="I1111" i="1" a="1"/>
  <c r="I825" i="1" a="1"/>
  <c r="I602" i="1" a="1"/>
  <c r="I474" i="1" a="1"/>
  <c r="I801" i="1" a="1"/>
  <c r="I892" i="1" a="1"/>
  <c r="I617" i="1" a="1"/>
  <c r="I489" i="1" a="1"/>
  <c r="I800" i="1" a="1"/>
  <c r="I275" i="1" a="1"/>
  <c r="I433" i="1" a="1"/>
  <c r="I176" i="1" a="1"/>
  <c r="I1433" i="2" a="1"/>
  <c r="I102" i="2" a="1"/>
  <c r="I1019" i="2" a="1"/>
  <c r="I455" i="2" a="1"/>
  <c r="I492" i="2" a="1"/>
  <c r="I1620" i="1" a="1"/>
  <c r="I573" i="2" a="1"/>
  <c r="I544" i="2" a="1"/>
  <c r="I317" i="2" a="1"/>
  <c r="I65" i="2" a="1"/>
  <c r="I423" i="2" a="1"/>
  <c r="I3" i="2" a="1"/>
  <c r="I1722" i="1" a="1"/>
  <c r="I1473" i="1" a="1"/>
  <c r="I1443" i="1" a="1"/>
  <c r="I1710" i="1" a="1"/>
  <c r="I850" i="1" a="1"/>
  <c r="I924" i="1" a="1"/>
  <c r="I315" i="2" a="1"/>
  <c r="I236" i="2" a="1"/>
  <c r="I1666" i="1" a="1"/>
  <c r="I1453" i="1" a="1"/>
  <c r="I1402" i="1" a="1"/>
  <c r="I1693" i="2" a="1"/>
  <c r="I1388" i="2" a="1"/>
  <c r="I802" i="2" a="1"/>
  <c r="I470" i="2" a="1"/>
  <c r="I498" i="2" a="1"/>
  <c r="I324" i="2" a="1"/>
  <c r="I1682" i="1" a="1"/>
  <c r="I1003" i="2" a="1"/>
  <c r="I1771" i="1" a="1"/>
  <c r="I1363" i="1" a="1"/>
  <c r="I1220" i="1" a="1"/>
  <c r="I1625" i="2" a="1"/>
  <c r="I1717" i="1" a="1"/>
  <c r="I1353" i="1" a="1"/>
  <c r="I1191" i="1" a="1"/>
  <c r="I620" i="2" a="1"/>
  <c r="I914" i="2" a="1"/>
  <c r="I1474" i="1" a="1"/>
  <c r="I730" i="2" a="1"/>
  <c r="I290" i="2" a="1"/>
  <c r="I227" i="2" a="1"/>
  <c r="I708" i="2" a="1"/>
  <c r="I271" i="2" a="1"/>
  <c r="I1145" i="2" a="1"/>
  <c r="I1610" i="1" a="1"/>
  <c r="I1323" i="1" a="1"/>
  <c r="I1122" i="1" a="1"/>
  <c r="I859" i="2" a="1"/>
  <c r="I1592" i="1" a="1"/>
  <c r="I1313" i="1" a="1"/>
  <c r="I1103" i="1" a="1"/>
  <c r="I1339" i="2" a="1"/>
  <c r="I178" i="2" a="1"/>
  <c r="I827" i="2" a="1"/>
  <c r="I391" i="2" a="1"/>
  <c r="I229" i="2" a="1"/>
  <c r="I1596" i="1" a="1"/>
  <c r="I607" i="2" a="1"/>
  <c r="I123" i="2" a="1"/>
  <c r="I164" i="2" a="1"/>
  <c r="I1544" i="1" a="1"/>
  <c r="I1116" i="1" a="1"/>
  <c r="I1525" i="1" a="1"/>
  <c r="I1229" i="1" a="1"/>
  <c r="I1714" i="1" a="1"/>
  <c r="I1079" i="2" a="1"/>
  <c r="I1354" i="2" a="1"/>
  <c r="I1339" i="1" a="1"/>
  <c r="I1269" i="2" a="1"/>
  <c r="I1329" i="1" a="1"/>
  <c r="I953" i="1" a="1"/>
  <c r="I7" i="2" a="1"/>
  <c r="I1481" i="1" a="1"/>
  <c r="I824" i="1" a="1"/>
  <c r="I932" i="1" a="1"/>
  <c r="I855" i="1" a="1"/>
  <c r="I730" i="1" a="1"/>
  <c r="I726" i="1" a="1"/>
  <c r="I767" i="2" a="1"/>
  <c r="I404" i="2" a="1"/>
  <c r="I320" i="2" a="1"/>
  <c r="I1470" i="1" a="1"/>
  <c r="I1400" i="1" a="1"/>
  <c r="I1456" i="1" a="1"/>
  <c r="I1192" i="1" a="1"/>
  <c r="I1237" i="1" a="1"/>
  <c r="I1491" i="1" a="1"/>
  <c r="I1001" i="1" a="1"/>
  <c r="I1324" i="2" a="1"/>
  <c r="I648" i="2" a="1"/>
  <c r="I80" i="2" a="1"/>
  <c r="I31" i="2" a="1"/>
  <c r="I1673" i="1" a="1"/>
  <c r="I1595" i="1" a="1"/>
  <c r="I1703" i="1" a="1"/>
  <c r="I1551" i="1" a="1"/>
  <c r="I1343" i="1" a="1"/>
  <c r="I1179" i="1" a="1"/>
  <c r="I1128" i="1" a="1"/>
  <c r="I872" i="1" a="1"/>
  <c r="I1170" i="1" a="1"/>
  <c r="I906" i="1" a="1"/>
  <c r="I792" i="2" a="1"/>
  <c r="I1731" i="1" a="1"/>
  <c r="I1039" i="2" a="1"/>
  <c r="I419" i="2" a="1"/>
  <c r="I222" i="2" a="1"/>
  <c r="I1303" i="2" a="1"/>
  <c r="I882" i="2" a="1"/>
  <c r="I383" i="2" a="1"/>
  <c r="I312" i="2" a="1"/>
  <c r="I225" i="2" a="1"/>
  <c r="I294" i="2" a="1"/>
  <c r="I1744" i="1" a="1"/>
  <c r="I1460" i="1" a="1"/>
  <c r="I1371" i="1" a="1"/>
  <c r="I1196" i="1" a="1"/>
  <c r="I1241" i="1" a="1"/>
  <c r="I1368" i="1" a="1"/>
  <c r="I900" i="1" a="1"/>
  <c r="I224" i="2" a="1"/>
  <c r="I1763" i="1" a="1"/>
  <c r="I1446" i="1" a="1"/>
  <c r="I1361" i="1" a="1"/>
  <c r="I1167" i="1" a="1"/>
  <c r="I1216" i="1" a="1"/>
  <c r="I1394" i="1" a="1"/>
  <c r="I985" i="1" a="1"/>
  <c r="I1243" i="2" a="1"/>
  <c r="I584" i="2" a="1"/>
  <c r="I137" i="2" a="1"/>
  <c r="I23" i="2" a="1"/>
  <c r="I1641" i="1" a="1"/>
  <c r="I997" i="2" a="1"/>
  <c r="I1753" i="1" a="1"/>
  <c r="I1504" i="1" a="1"/>
  <c r="I1275" i="1" a="1"/>
  <c r="I968" i="1" a="1"/>
  <c r="I1002" i="1" a="1"/>
  <c r="I1226" i="1" a="1"/>
  <c r="I1168" i="1" a="1"/>
  <c r="I1766" i="1" a="1"/>
  <c r="I1190" i="1" a="1"/>
  <c r="I1121" i="1" a="1"/>
  <c r="I618" i="1" a="1"/>
  <c r="I450" i="1" a="1"/>
  <c r="I650" i="1" a="1"/>
  <c r="I633" i="1" a="1"/>
  <c r="I465" i="1" a="1"/>
  <c r="I387" i="1" a="1"/>
  <c r="I100" i="1" a="1"/>
  <c r="I418" i="1" a="1"/>
  <c r="I30" i="2" a="1"/>
  <c r="I1543" i="1" a="1"/>
  <c r="I869" i="1" a="1"/>
  <c r="I977" i="1" a="1"/>
  <c r="I640" i="1" a="1"/>
  <c r="I512" i="1" a="1"/>
  <c r="I979" i="1" a="1"/>
  <c r="I1189" i="1" a="1"/>
  <c r="I660" i="1" a="1"/>
  <c r="I527" i="1" a="1"/>
  <c r="I974" i="1" a="1"/>
  <c r="I350" i="1" a="1"/>
  <c r="I122" i="1" a="1"/>
  <c r="I253" i="1" a="1"/>
  <c r="I287" i="1" a="1"/>
  <c r="I270" i="2" a="1"/>
  <c r="I1452" i="1" a="1"/>
  <c r="I1181" i="1" a="1"/>
  <c r="I1346" i="1" a="1"/>
  <c r="I709" i="1" a="1"/>
  <c r="I550" i="1" a="1"/>
  <c r="I1382" i="1" a="1"/>
  <c r="I690" i="1" a="1"/>
  <c r="I737" i="1" a="1"/>
  <c r="I565" i="1" a="1"/>
  <c r="I1350" i="1" a="1"/>
  <c r="I427" i="1" a="1"/>
  <c r="I171" i="1" a="1"/>
  <c r="I328" i="1" a="1"/>
  <c r="I362" i="1" a="1"/>
  <c r="I129" i="1" a="1"/>
  <c r="I1325" i="1" a="1"/>
  <c r="I476" i="1" a="1"/>
  <c r="I491" i="1" a="1"/>
  <c r="I181" i="1" a="1"/>
  <c r="I393" i="1" a="1"/>
  <c r="I29" i="1" a="1"/>
  <c r="I196" i="1" a="1"/>
  <c r="I516" i="1" a="1"/>
  <c r="I396" i="1" a="1"/>
  <c r="I105" i="2" a="1"/>
  <c r="I672" i="1" a="1"/>
  <c r="I700" i="1" a="1"/>
  <c r="I142" i="1" a="1"/>
  <c r="I127" i="1" a="1"/>
  <c r="I529" i="2" a="1"/>
  <c r="I1652" i="1" a="1"/>
  <c r="I1508" i="1" a="1"/>
  <c r="I1227" i="1" a="1"/>
  <c r="I920" i="1" a="1"/>
  <c r="I954" i="1" a="1"/>
  <c r="I1180" i="1" a="1"/>
  <c r="I1110" i="1" a="1"/>
  <c r="I1701" i="1" a="1"/>
  <c r="I1322" i="1" a="1"/>
  <c r="I1057" i="1" a="1"/>
  <c r="I610" i="1" a="1"/>
  <c r="I434" i="1" a="1"/>
  <c r="I1334" i="1" a="1"/>
  <c r="I625" i="1" a="1"/>
  <c r="I449" i="1" a="1"/>
  <c r="I371" i="1" a="1"/>
  <c r="I670" i="1" a="1"/>
  <c r="I386" i="1" a="1"/>
  <c r="I252" i="2" a="1"/>
  <c r="I1461" i="1" a="1"/>
  <c r="I1519" i="1" a="1"/>
  <c r="I913" i="1" a="1"/>
  <c r="I632" i="1" a="1"/>
  <c r="I504" i="1" a="1"/>
  <c r="I915" i="1" a="1"/>
  <c r="I1126" i="1" a="1"/>
  <c r="I647" i="1" a="1"/>
  <c r="I519" i="1" a="1"/>
  <c r="I910" i="1" a="1"/>
  <c r="I334" i="1" a="1"/>
  <c r="I114" i="1" a="1"/>
  <c r="I237" i="1" a="1"/>
  <c r="I271" i="1" a="1"/>
  <c r="I109" i="2" a="1"/>
  <c r="I1663" i="1" a="1"/>
  <c r="I1109" i="1" a="1"/>
  <c r="I1240" i="1" a="1"/>
  <c r="I693" i="1" a="1"/>
  <c r="I542" i="1" a="1"/>
  <c r="I1250" i="1" a="1"/>
  <c r="I674" i="1" a="1"/>
  <c r="I721" i="1" a="1"/>
  <c r="I557" i="1" a="1"/>
  <c r="I1257" i="1" a="1"/>
  <c r="I411" i="1" a="1"/>
  <c r="I155" i="1" a="1"/>
  <c r="I312" i="1" a="1"/>
  <c r="I346" i="1" a="1"/>
  <c r="I121" i="1" a="1"/>
  <c r="I1646" i="1" a="1"/>
  <c r="I444" i="1" a="1"/>
  <c r="I459" i="1" a="1"/>
  <c r="I407" i="1" a="1"/>
  <c r="I377" i="1" a="1"/>
  <c r="I11" i="1" a="1"/>
  <c r="I87" i="1" a="1"/>
  <c r="I1340" i="1" a="1"/>
  <c r="I348" i="1" a="1"/>
  <c r="I484" i="2" a="1"/>
  <c r="I628" i="1" a="1"/>
  <c r="I643" i="1" a="1"/>
  <c r="I110" i="1" a="1"/>
  <c r="I117" i="1" a="1"/>
  <c r="I208" i="2" a="1"/>
  <c r="I1555" i="1" a="1"/>
  <c r="I1432" i="1" a="1"/>
  <c r="I1360" i="1" a="1"/>
  <c r="I1425" i="1" a="1"/>
  <c r="I826" i="1" a="1"/>
  <c r="I1076" i="1" a="1"/>
  <c r="I809" i="2" a="1"/>
  <c r="I1472" i="1" a="1"/>
  <c r="I885" i="1" a="1"/>
  <c r="I806" i="1" a="1"/>
  <c r="I554" i="1" a="1"/>
  <c r="I990" i="1" a="1"/>
  <c r="I1404" i="2" a="1"/>
  <c r="I862" i="2" a="1"/>
  <c r="I1358" i="2" a="1"/>
  <c r="I380" i="2" a="1"/>
  <c r="I1171" i="2" a="1"/>
  <c r="I9" i="2" a="1"/>
  <c r="I481" i="2" a="1"/>
  <c r="I447" i="2" a="1"/>
  <c r="I1675" i="1" a="1"/>
  <c r="I1219" i="1" a="1"/>
  <c r="I946" i="1" a="1"/>
  <c r="I910" i="2" a="1"/>
  <c r="I1623" i="1" a="1"/>
  <c r="I1198" i="1" a="1"/>
  <c r="I927" i="1" a="1"/>
  <c r="I482" i="2" a="1"/>
  <c r="I316" i="2" a="1"/>
  <c r="I1266" i="2" a="1"/>
  <c r="I608" i="2" a="1"/>
  <c r="I40" i="2" a="1"/>
  <c r="I1738" i="1" a="1"/>
  <c r="I605" i="2" a="1"/>
  <c r="I334" i="2" a="1"/>
  <c r="I506" i="2" a="1"/>
  <c r="I1789" i="1" a="1"/>
  <c r="I1537" i="1" a="1"/>
  <c r="I866" i="1" a="1"/>
  <c r="I399" i="2" a="1"/>
  <c r="I1706" i="1" a="1"/>
  <c r="I1434" i="1" a="1"/>
  <c r="I847" i="1" a="1"/>
  <c r="I856" i="2" a="1"/>
  <c r="I1791" i="1" a="1"/>
  <c r="I729" i="2" a="1"/>
  <c r="I435" i="2" a="1"/>
  <c r="I246" i="2" a="1"/>
  <c r="I1453" i="2" a="1"/>
  <c r="I1458" i="1" a="1"/>
  <c r="I1013" i="2" a="1"/>
  <c r="I777" i="2" a="1"/>
  <c r="I1749" i="1" a="1"/>
  <c r="I689" i="2" a="1"/>
  <c r="I1431" i="1" a="1"/>
  <c r="I905" i="1" a="1"/>
  <c r="I513" i="2" a="1"/>
  <c r="I687" i="2" a="1"/>
  <c r="I48" i="2" a="1"/>
  <c r="I1120" i="1" a="1"/>
  <c r="I57" i="2" a="1"/>
  <c r="I1101" i="1" a="1"/>
  <c r="I1056" i="2" a="1"/>
  <c r="I1602" i="1" a="1"/>
  <c r="I1319" i="1" a="1"/>
  <c r="I1114" i="1" a="1"/>
  <c r="I442" i="2" a="1"/>
  <c r="I749" i="1" a="1"/>
  <c r="I776" i="1" a="1"/>
  <c r="I211" i="1" a="1"/>
  <c r="I1704" i="1" a="1"/>
  <c r="I1368" i="2" a="1"/>
  <c r="I240" i="2" a="1"/>
  <c r="I1379" i="1" a="1"/>
  <c r="I950" i="1" a="1"/>
  <c r="I1589" i="1" a="1"/>
  <c r="I1053" i="1" a="1"/>
  <c r="I1087" i="1" a="1"/>
  <c r="I1272" i="1" a="1"/>
  <c r="I937" i="1" a="1"/>
  <c r="I795" i="2" a="1"/>
  <c r="I378" i="2" a="1"/>
  <c r="I221" i="2" a="1"/>
  <c r="I257" i="2" a="1"/>
  <c r="I1586" i="1" a="1"/>
  <c r="I1698" i="1" a="1"/>
  <c r="I1601" i="1" a="1"/>
  <c r="I1465" i="1" a="1"/>
  <c r="I1311" i="1" a="1"/>
  <c r="I1428" i="1" a="1"/>
  <c r="I1064" i="1" a="1"/>
  <c r="I1535" i="1" a="1"/>
  <c r="I1098" i="1" a="1"/>
  <c r="I754" i="2" a="1"/>
  <c r="I557" i="2" a="1"/>
  <c r="I1490" i="1" a="1"/>
  <c r="I826" i="2" a="1"/>
  <c r="I306" i="2" a="1"/>
  <c r="I260" i="2" a="1"/>
  <c r="I836" i="2" a="1"/>
  <c r="I591" i="2" a="1"/>
  <c r="I239" i="2" a="1"/>
  <c r="I212" i="2" a="1"/>
  <c r="I948" i="2" a="1"/>
  <c r="I193" i="2" a="1"/>
  <c r="I1578" i="1" a="1"/>
  <c r="I1593" i="1" a="1"/>
  <c r="I1307" i="1" a="1"/>
  <c r="I1056" i="1" a="1"/>
  <c r="I1090" i="1" a="1"/>
  <c r="I1169" i="1" a="1"/>
  <c r="I1063" i="2" a="1"/>
  <c r="I141" i="2" a="1"/>
  <c r="I1777" i="1" a="1"/>
  <c r="I1573" i="1" a="1"/>
  <c r="I1297" i="1" a="1"/>
  <c r="I1037" i="1" a="1"/>
  <c r="I1071" i="1" a="1"/>
  <c r="I1247" i="1" a="1"/>
  <c r="I921" i="1" a="1"/>
  <c r="I820" i="2" a="1"/>
  <c r="I299" i="2" a="1"/>
  <c r="I177" i="2" a="1"/>
  <c r="I215" i="2" a="1"/>
  <c r="I1570" i="1" a="1"/>
  <c r="I235" i="2" a="1"/>
  <c r="I1556" i="1" a="1"/>
  <c r="I1497" i="1" a="1"/>
  <c r="I1734" i="1" a="1"/>
  <c r="I840" i="1" a="1"/>
  <c r="I874" i="1" a="1"/>
  <c r="I1108" i="1" a="1"/>
  <c r="I884" i="1" a="1"/>
  <c r="I1611" i="1" a="1"/>
  <c r="I1013" i="1" a="1"/>
  <c r="I971" i="1" a="1"/>
  <c r="I578" i="1" a="1"/>
  <c r="I1118" i="1" a="1"/>
  <c r="I1019" i="1" a="1"/>
  <c r="I593" i="1" a="1"/>
  <c r="I1123" i="1" a="1"/>
  <c r="I307" i="1" a="1"/>
  <c r="I384" i="1" a="1"/>
  <c r="I1341" i="2" a="1"/>
  <c r="I1669" i="1" a="1"/>
  <c r="I1341" i="1" a="1"/>
  <c r="I1159" i="1" a="1"/>
  <c r="I852" i="1" a="1"/>
  <c r="I608" i="1" a="1"/>
  <c r="I480" i="1" a="1"/>
  <c r="I816" i="1" a="1"/>
  <c r="I934" i="1" a="1"/>
  <c r="I623" i="1" a="1"/>
  <c r="I495" i="1" a="1"/>
  <c r="I817" i="1" a="1"/>
  <c r="I286" i="1" a="1"/>
  <c r="I659" i="1" a="1"/>
  <c r="I189" i="1" a="1"/>
  <c r="I223" i="1" a="1"/>
  <c r="I182" i="2" a="1"/>
  <c r="I1435" i="1" a="1"/>
  <c r="I917" i="1" a="1"/>
  <c r="I1025" i="1" a="1"/>
  <c r="I646" i="1" a="1"/>
  <c r="I518" i="1" a="1"/>
  <c r="I1022" i="1" a="1"/>
  <c r="I1232" i="1" a="1"/>
  <c r="I673" i="1" a="1"/>
  <c r="I533" i="1" a="1"/>
  <c r="I1027" i="1" a="1"/>
  <c r="I363" i="1" a="1"/>
  <c r="I128" i="1" a="1"/>
  <c r="I264" i="1" a="1"/>
  <c r="I298" i="1" a="1"/>
  <c r="I686" i="1" a="1"/>
  <c r="I1127" i="1" a="1"/>
  <c r="I805" i="1" a="1"/>
  <c r="I803" i="1" a="1"/>
  <c r="I279" i="1" a="1"/>
  <c r="I329" i="1" a="1"/>
  <c r="I86" i="1" a="1"/>
  <c r="I45" i="1" a="1"/>
  <c r="I668" i="1" a="1"/>
  <c r="I89" i="1" a="1"/>
  <c r="I1565" i="1" a="1"/>
  <c r="I532" i="1" a="1"/>
  <c r="I547" i="1" a="1"/>
  <c r="I293" i="1" a="1"/>
  <c r="I428" i="1" a="1"/>
  <c r="I297" i="2" a="1"/>
  <c r="I1658" i="1" a="1"/>
  <c r="I1449" i="1" a="1"/>
  <c r="I1392" i="1" a="1"/>
  <c r="I1483" i="1" a="1"/>
  <c r="I842" i="1" a="1"/>
  <c r="I1092" i="1" a="1"/>
  <c r="I1586" i="2" a="1"/>
  <c r="I1531" i="1" a="1"/>
  <c r="I949" i="1" a="1"/>
  <c r="I857" i="1" a="1"/>
  <c r="I562" i="1" a="1"/>
  <c r="I1054" i="1" a="1"/>
  <c r="I955" i="1" a="1"/>
  <c r="I577" i="1" a="1"/>
  <c r="I1059" i="1" a="1"/>
  <c r="I291" i="1" a="1"/>
  <c r="I352" i="1" a="1"/>
  <c r="I1012" i="2" a="1"/>
  <c r="I1584" i="1" a="1"/>
  <c r="I1309" i="1" a="1"/>
  <c r="I1095" i="1" a="1"/>
  <c r="I820" i="1" a="1"/>
  <c r="I600" i="1" a="1"/>
  <c r="I472" i="1" a="1"/>
  <c r="I798" i="1" a="1"/>
  <c r="I881" i="1" a="1"/>
  <c r="I615" i="1" a="1"/>
  <c r="I487" i="1" a="1"/>
  <c r="I796" i="1" a="1"/>
  <c r="I270" i="1" a="1"/>
  <c r="I429" i="1" a="1"/>
  <c r="I173" i="1" a="1"/>
  <c r="I207" i="1" a="1"/>
  <c r="I22" i="2" a="1"/>
  <c r="I1511" i="1" a="1"/>
  <c r="I853" i="1" a="1"/>
  <c r="I961" i="1" a="1"/>
  <c r="I638" i="1" a="1"/>
  <c r="I510" i="1" a="1"/>
  <c r="I958" i="1" a="1"/>
  <c r="I1175" i="1" a="1"/>
  <c r="I657" i="1" a="1"/>
  <c r="I525" i="1" a="1"/>
  <c r="I963" i="1" a="1"/>
  <c r="I347" i="1" a="1"/>
  <c r="I120" i="1" a="1"/>
  <c r="I248" i="1" a="1"/>
  <c r="I282" i="1" a="1"/>
  <c r="I435" i="1" a="1"/>
  <c r="I871" i="1" a="1"/>
  <c r="I735" i="1" a="1"/>
  <c r="I731" i="1" a="1"/>
  <c r="I247" i="1" a="1"/>
  <c r="I313" i="1" a="1"/>
  <c r="I78" i="1" a="1"/>
  <c r="I33" i="1" a="1"/>
  <c r="I563" i="1" a="1"/>
  <c r="I31" i="1" a="1"/>
  <c r="I1429" i="1" a="1"/>
  <c r="I500" i="1" a="1"/>
  <c r="I515" i="1" a="1"/>
  <c r="I229" i="1" a="1"/>
  <c r="I409" i="1" a="1"/>
  <c r="I154" i="2" a="1"/>
  <c r="I1444" i="1" a="1"/>
  <c r="I1359" i="1" a="1"/>
  <c r="I1164" i="1" a="1"/>
  <c r="I1209" i="1" a="1"/>
  <c r="I1471" i="1" a="1"/>
  <c r="I980" i="1" a="1"/>
  <c r="I352" i="2" a="1"/>
  <c r="I1686" i="1" a="1"/>
  <c r="I1047" i="1" a="1"/>
  <c r="I717" i="1" a="1"/>
  <c r="I514" i="1" a="1"/>
  <c r="I780" i="1" a="1"/>
  <c r="I745" i="1" a="1"/>
  <c r="I529" i="1" a="1"/>
  <c r="I1432" i="2" a="1"/>
  <c r="I397" i="2" a="1"/>
  <c r="I952" i="2" a="1"/>
  <c r="I1713" i="2" a="1"/>
  <c r="I680" i="2" a="1"/>
  <c r="I1189" i="2" a="1"/>
  <c r="I273" i="2" a="1"/>
  <c r="I476" i="2" a="1"/>
  <c r="I1448" i="1" a="1"/>
  <c r="I1178" i="1" a="1"/>
  <c r="I1336" i="1" a="1"/>
  <c r="I160" i="2" a="1"/>
  <c r="I1783" i="1" a="1"/>
  <c r="I1149" i="1" a="1"/>
  <c r="I1298" i="1" a="1"/>
  <c r="I1139" i="2" a="1"/>
  <c r="I5" i="2" a="1"/>
  <c r="I916" i="2" a="1"/>
  <c r="I327" i="2" a="1"/>
  <c r="I181" i="2" a="1"/>
  <c r="I1572" i="1" a="1"/>
  <c r="I653" i="2" a="1"/>
  <c r="I258" i="2" a="1"/>
  <c r="I42" i="2" a="1"/>
  <c r="I1625" i="1" a="1"/>
  <c r="I1088" i="1" a="1"/>
  <c r="I1212" i="1" a="1"/>
  <c r="I237" i="2" a="1"/>
  <c r="I1605" i="1" a="1"/>
  <c r="I1069" i="1" a="1"/>
  <c r="I473" i="2" a="1"/>
  <c r="I686" i="2" a="1"/>
  <c r="I1498" i="1" a="1"/>
  <c r="I890" i="2" a="1"/>
  <c r="I314" i="2" a="1"/>
  <c r="I4" i="2" a="1"/>
  <c r="I900" i="2" a="1"/>
  <c r="I690" i="2" a="1"/>
  <c r="I934" i="2" a="1"/>
  <c r="I74" i="2" a="1"/>
  <c r="I1008" i="1" a="1"/>
  <c r="I167" i="2" a="1"/>
  <c r="I989" i="1" a="1"/>
  <c r="I1198" i="2" a="1"/>
  <c r="I289" i="2" a="1"/>
  <c r="I303" i="2" a="1"/>
  <c r="I1657" i="1" a="1"/>
  <c r="I1156" i="1" a="1"/>
  <c r="I1624" i="1" a="1"/>
  <c r="I1135" i="1" a="1"/>
  <c r="I463" i="2" a="1"/>
  <c r="I1741" i="1" a="1"/>
  <c r="I1475" i="1" a="1"/>
  <c r="I858" i="1" a="1"/>
  <c r="I1730" i="1" a="1"/>
  <c r="I570" i="1" a="1"/>
  <c r="I585" i="1" a="1"/>
  <c r="I368" i="1" a="1"/>
  <c r="I825" i="2" a="1"/>
  <c r="I946" i="2" a="1"/>
  <c r="I326" i="2" a="1"/>
  <c r="I1217" i="1" a="1"/>
  <c r="I286" i="2" a="1"/>
  <c r="I1369" i="1" a="1"/>
  <c r="I925" i="1" a="1"/>
  <c r="I959" i="1" a="1"/>
  <c r="I1165" i="1" a="1"/>
  <c r="I1282" i="1" a="1"/>
  <c r="I713" i="2" a="1"/>
  <c r="I427" i="2" a="1"/>
  <c r="I211" i="2" a="1"/>
  <c r="I39" i="2" a="1"/>
  <c r="I1696" i="1" a="1"/>
  <c r="I1515" i="1" a="1"/>
  <c r="I1536" i="1" a="1"/>
  <c r="I1407" i="1" a="1"/>
  <c r="I1559" i="1" a="1"/>
  <c r="I1296" i="1" a="1"/>
  <c r="I1000" i="1" a="1"/>
  <c r="I1364" i="1" a="1"/>
  <c r="I1034" i="1" a="1"/>
  <c r="I570" i="2" a="1"/>
  <c r="I309" i="2" a="1"/>
  <c r="I1429" i="2" a="1"/>
  <c r="I640" i="2" a="1"/>
  <c r="I72" i="2" a="1"/>
  <c r="I1754" i="1" a="1"/>
  <c r="I725" i="2" a="1"/>
  <c r="I675" i="2" a="1"/>
  <c r="I430" i="2" a="1"/>
  <c r="I84" i="2" a="1"/>
  <c r="I746" i="2" a="1"/>
  <c r="I202" i="2" a="1"/>
  <c r="I1715" i="1" a="1"/>
  <c r="I1524" i="1" a="1"/>
  <c r="I1235" i="1" a="1"/>
  <c r="I928" i="1" a="1"/>
  <c r="I962" i="1" a="1"/>
  <c r="I1036" i="1" a="1"/>
  <c r="I611" i="2" a="1"/>
  <c r="I166" i="2" a="1"/>
  <c r="I1659" i="1" a="1"/>
  <c r="I1427" i="1" a="1"/>
  <c r="I1214" i="1" a="1"/>
  <c r="I909" i="1" a="1"/>
  <c r="I943" i="1" a="1"/>
  <c r="I1145" i="1" a="1"/>
  <c r="I1225" i="1" a="1"/>
  <c r="I657" i="2" a="1"/>
  <c r="I363" i="2" a="1"/>
  <c r="I135" i="2" a="1"/>
  <c r="I71" i="2" a="1"/>
  <c r="I1676" i="1" a="1"/>
  <c r="I113" i="2" a="1"/>
  <c r="I1486" i="1" a="1"/>
  <c r="I1391" i="1" a="1"/>
  <c r="I1249" i="1" a="1"/>
  <c r="I1300" i="1" a="1"/>
  <c r="I778" i="1" a="1"/>
  <c r="I1028" i="1" a="1"/>
  <c r="I782" i="2" a="1"/>
  <c r="I1549" i="1" a="1"/>
  <c r="I1269" i="1" a="1"/>
  <c r="I765" i="1" a="1"/>
  <c r="I530" i="1" a="1"/>
  <c r="I851" i="1" a="1"/>
  <c r="I797" i="1" a="1"/>
  <c r="I545" i="1" a="1"/>
  <c r="I854" i="1" a="1"/>
  <c r="I227" i="1" a="1"/>
  <c r="I288" i="1" a="1"/>
  <c r="I632" i="2" a="1"/>
  <c r="I1591" i="1" a="1"/>
  <c r="I1174" i="1" a="1"/>
  <c r="I903" i="1" a="1"/>
  <c r="I760" i="1" a="1"/>
  <c r="I576" i="1" a="1"/>
  <c r="I448" i="1" a="1"/>
  <c r="I743" i="1" a="1"/>
  <c r="I793" i="1" a="1"/>
  <c r="I591" i="1" a="1"/>
  <c r="I463" i="1" a="1"/>
  <c r="I739" i="1" a="1"/>
  <c r="I222" i="1" a="1"/>
  <c r="I381" i="1" a="1"/>
  <c r="I415" i="1" a="1"/>
  <c r="I159" i="1" a="1"/>
  <c r="I1795" i="1" a="1"/>
  <c r="I1365" i="1" a="1"/>
  <c r="I1223" i="1" a="1"/>
  <c r="I873" i="1" a="1"/>
  <c r="I614" i="1" a="1"/>
  <c r="I486" i="1" a="1"/>
  <c r="I835" i="1" a="1"/>
  <c r="I987" i="1" a="1"/>
  <c r="I629" i="1" a="1"/>
  <c r="I501" i="1" a="1"/>
  <c r="I838" i="1" a="1"/>
  <c r="I299" i="1" a="1"/>
  <c r="I702" i="1" a="1"/>
  <c r="I200" i="1" a="1"/>
  <c r="I234" i="1" a="1"/>
  <c r="I1209" i="2" a="1"/>
  <c r="I836" i="1" a="1"/>
  <c r="I897" i="1" a="1"/>
  <c r="I278" i="1" a="1"/>
  <c r="I151" i="1" a="1"/>
  <c r="I265" i="1" a="1"/>
  <c r="I54" i="1" a="1"/>
  <c r="I13" i="1" a="1"/>
  <c r="I358" i="1" a="1"/>
  <c r="I64" i="1" a="1"/>
  <c r="I1029" i="1" a="1"/>
  <c r="I1139" i="1" a="1"/>
  <c r="I1134" i="1" a="1"/>
  <c r="I338" i="1" a="1"/>
  <c r="I356" i="1" a="1"/>
  <c r="I396" i="2" a="1"/>
  <c r="I1454" i="1" a="1"/>
  <c r="I1367" i="1" a="1"/>
  <c r="I1185" i="1" a="1"/>
  <c r="I1234" i="1" a="1"/>
  <c r="I1530" i="1" a="1"/>
  <c r="I1012" i="1" a="1"/>
  <c r="I475" i="2" a="1"/>
  <c r="I1630" i="1" a="1"/>
  <c r="I1184" i="1" a="1"/>
  <c r="I733" i="1" a="1"/>
  <c r="I522" i="1" a="1"/>
  <c r="I819" i="1" a="1"/>
  <c r="I761" i="1" a="1"/>
  <c r="I537" i="1" a="1"/>
  <c r="I822" i="1" a="1"/>
  <c r="I195" i="1" a="1"/>
  <c r="I272" i="1" a="1"/>
  <c r="I359" i="2" a="1"/>
  <c r="I1690" i="1" a="1"/>
  <c r="I1420" i="1" a="1"/>
  <c r="I839" i="1" a="1"/>
  <c r="I744" i="1" a="1"/>
  <c r="I568" i="1" a="1"/>
  <c r="I440" i="1" a="1"/>
  <c r="I727" i="1" a="1"/>
  <c r="I772" i="1" a="1"/>
  <c r="I583" i="1" a="1"/>
  <c r="I455" i="1" a="1"/>
  <c r="I723" i="1" a="1"/>
  <c r="I206" i="1" a="1"/>
  <c r="I365" i="1" a="1"/>
  <c r="I399" i="1" a="1"/>
  <c r="I1114" i="2" a="1"/>
  <c r="I1637" i="1" a="1"/>
  <c r="I1333" i="1" a="1"/>
  <c r="I1143" i="1" a="1"/>
  <c r="I841" i="1" a="1"/>
  <c r="I606" i="1" a="1"/>
  <c r="I478" i="1" a="1"/>
  <c r="I812" i="1" a="1"/>
  <c r="I923" i="1" a="1"/>
  <c r="I621" i="1" a="1"/>
  <c r="I493" i="1" a="1"/>
  <c r="I814" i="1" a="1"/>
  <c r="I283" i="1" a="1"/>
  <c r="I441" i="1" a="1"/>
  <c r="I184" i="1" a="1"/>
  <c r="I218" i="1" a="1"/>
  <c r="I520" i="2" a="1"/>
  <c r="I752" i="1" a="1"/>
  <c r="I779" i="1" a="1"/>
  <c r="I214" i="1" a="1"/>
  <c r="I141" i="1" a="1"/>
  <c r="I249" i="1" a="1"/>
  <c r="I46" i="1" a="1"/>
  <c r="I49" i="1" a="1"/>
  <c r="I166" i="1" a="1"/>
  <c r="I40" i="1" a="1"/>
  <c r="I1418" i="1" a="1"/>
  <c r="I894" i="1" a="1"/>
  <c r="I891" i="1" a="1"/>
  <c r="I306" i="1" a="1"/>
  <c r="I340" i="1" a="1"/>
  <c r="I1739" i="1" a="1"/>
  <c r="I1569" i="1" a="1"/>
  <c r="I1295" i="1" a="1"/>
  <c r="I1032" i="1" a="1"/>
  <c r="I1066" i="1" a="1"/>
  <c r="I1265" i="1" a="1"/>
  <c r="I1670" i="1" a="1"/>
  <c r="I90" i="2" a="1"/>
  <c r="I1285" i="1" a="1"/>
  <c r="I1410" i="1" a="1"/>
  <c r="I642" i="1" a="1"/>
  <c r="I466" i="1" a="1"/>
  <c r="I698" i="1" a="1"/>
  <c r="I665" i="1" a="1"/>
  <c r="I1320" i="2" a="1"/>
  <c r="I333" i="2" a="1"/>
  <c r="I1430" i="1" a="1"/>
  <c r="I1765" i="1" a="1"/>
  <c r="I1635" i="1" a="1"/>
  <c r="I1233" i="2" a="1"/>
  <c r="I1489" i="1" a="1"/>
  <c r="I1469" i="1" a="1"/>
  <c r="I1408" i="2" a="1"/>
  <c r="I1515" i="2" a="1"/>
  <c r="I1042" i="1" a="1"/>
  <c r="I32" i="2" a="1"/>
  <c r="I1647" i="1" a="1"/>
  <c r="I1080" i="1" a="1"/>
  <c r="I457" i="1" a="1"/>
  <c r="I1760" i="1" a="1"/>
  <c r="I1495" i="1" a="1"/>
  <c r="I858" i="2" a="1"/>
  <c r="I1743" i="1" a="1"/>
  <c r="I1243" i="1" a="1"/>
  <c r="I970" i="1" a="1"/>
  <c r="I367" i="2" a="1"/>
  <c r="I534" i="2" a="1"/>
  <c r="I241" i="2" a="1"/>
  <c r="I1505" i="1" a="1"/>
  <c r="I151" i="2" a="1"/>
  <c r="I1433" i="1" a="1"/>
  <c r="I663" i="2" a="1"/>
  <c r="I1691" i="1" a="1"/>
  <c r="I1096" i="1" a="1"/>
  <c r="I138" i="2" a="1"/>
  <c r="I490" i="1" a="1"/>
  <c r="I742" i="1" a="1"/>
  <c r="I1695" i="1" a="1"/>
  <c r="I544" i="1" a="1"/>
  <c r="I559" i="1" a="1"/>
  <c r="I317" i="1" a="1"/>
  <c r="I1222" i="1" a="1"/>
  <c r="I454" i="1" a="1"/>
  <c r="I469" i="1" a="1"/>
  <c r="I426" i="1" a="1"/>
  <c r="I619" i="1" a="1"/>
  <c r="I22" i="1" a="1"/>
  <c r="I1137" i="1" a="1"/>
  <c r="I292" i="1" a="1"/>
  <c r="I1048" i="1" a="1"/>
  <c r="I262" i="2" a="1"/>
  <c r="I482" i="1" a="1"/>
  <c r="I710" i="1" a="1"/>
  <c r="I1597" i="1" a="1"/>
  <c r="I536" i="1" a="1"/>
  <c r="I551" i="1" a="1"/>
  <c r="I301" i="1" a="1"/>
  <c r="I1158" i="1" a="1"/>
  <c r="I446" i="1" a="1"/>
  <c r="I461" i="1" a="1"/>
  <c r="I410" i="1" a="1"/>
  <c r="I587" i="1" a="1"/>
  <c r="I14" i="1" a="1"/>
  <c r="I1324" i="1" a="1"/>
  <c r="I579" i="2" a="1"/>
  <c r="I904" i="1" a="1"/>
  <c r="I1712" i="1" a="1"/>
  <c r="I1467" i="1" a="1"/>
  <c r="I569" i="1" a="1"/>
  <c r="I782" i="1" a="1"/>
  <c r="I179" i="1" a="1"/>
  <c r="I256" i="1" a="1"/>
  <c r="I411" i="2" a="1"/>
  <c r="I1507" i="1" a="1"/>
  <c r="I1290" i="1" a="1"/>
  <c r="I775" i="1" a="1"/>
  <c r="I728" i="1" a="1"/>
  <c r="I560" i="1" a="1"/>
  <c r="I432" i="1" a="1"/>
  <c r="I711" i="1" a="1"/>
  <c r="I756" i="1" a="1"/>
  <c r="I575" i="1" a="1"/>
  <c r="I447" i="1" a="1"/>
  <c r="I707" i="1" a="1"/>
  <c r="I190" i="1" a="1"/>
  <c r="I349" i="1" a="1"/>
  <c r="I383" i="1" a="1"/>
  <c r="I756" i="2" a="1"/>
  <c r="I1568" i="1" a="1"/>
  <c r="I1301" i="1" a="1"/>
  <c r="I1079" i="1" a="1"/>
  <c r="I813" i="1" a="1"/>
  <c r="I598" i="1" a="1"/>
  <c r="I470" i="1" a="1"/>
  <c r="I787" i="1" a="1"/>
  <c r="I876" i="1" a="1"/>
  <c r="I613" i="1" a="1"/>
  <c r="I485" i="1" a="1"/>
  <c r="I789" i="1" a="1"/>
  <c r="I267" i="1" a="1"/>
  <c r="I424" i="1" a="1"/>
  <c r="I168" i="1" a="1"/>
  <c r="I202" i="1" a="1"/>
  <c r="I94" i="2" a="1"/>
  <c r="I688" i="1" a="1"/>
  <c r="I716" i="1" a="1"/>
  <c r="I150" i="1" a="1"/>
  <c r="I131" i="1" a="1"/>
  <c r="I193" i="1" a="1"/>
  <c r="I38" i="1" a="1"/>
  <c r="I9" i="1" a="1"/>
  <c r="I325" i="1" a="1"/>
  <c r="I16" i="1" a="1"/>
  <c r="I1063" i="1" a="1"/>
  <c r="I130" i="2" a="1"/>
  <c r="I1496" i="1" a="1"/>
  <c r="I1399" i="1" a="1"/>
  <c r="I1274" i="1" a="1"/>
  <c r="I1332" i="1" a="1"/>
  <c r="I810" i="1" a="1"/>
  <c r="I1044" i="1" a="1"/>
  <c r="I369" i="2" a="1"/>
  <c r="I1735" i="1" a="1"/>
  <c r="I1390" i="1" a="1"/>
  <c r="I781" i="1" a="1"/>
  <c r="I546" i="1" a="1"/>
  <c r="I883" i="1" a="1"/>
  <c r="I828" i="1" a="1"/>
  <c r="I561" i="1" a="1"/>
  <c r="I886" i="1" a="1"/>
  <c r="I243" i="1" a="1"/>
  <c r="I320" i="1" a="1"/>
  <c r="I794" i="2" a="1"/>
  <c r="I1723" i="1" a="1"/>
  <c r="I1238" i="1" a="1"/>
  <c r="I967" i="1" a="1"/>
  <c r="I777" i="1" a="1"/>
  <c r="I584" i="1" a="1"/>
  <c r="I456" i="1" a="1"/>
  <c r="I759" i="1" a="1"/>
  <c r="I811" i="1" a="1"/>
  <c r="I599" i="1" a="1"/>
  <c r="I471" i="1" a="1"/>
  <c r="I755" i="1" a="1"/>
  <c r="I238" i="1" a="1"/>
  <c r="I397" i="1" a="1"/>
  <c r="I667" i="1" a="1"/>
  <c r="I175" i="1" a="1"/>
  <c r="I63" i="2" a="1"/>
  <c r="I1397" i="1" a="1"/>
  <c r="I1326" i="1" a="1"/>
  <c r="I1099" i="1" a="1"/>
  <c r="I622" i="1" a="1"/>
  <c r="I494" i="1" a="1"/>
  <c r="I867" i="1" a="1"/>
  <c r="I1051" i="1" a="1"/>
  <c r="I637" i="1" a="1"/>
  <c r="I509" i="1" a="1"/>
  <c r="I870" i="1" a="1"/>
  <c r="I315" i="1" a="1"/>
  <c r="I104" i="1" a="1"/>
  <c r="I216" i="1" a="1"/>
  <c r="I250" i="1" a="1"/>
  <c r="I404" i="1" a="1"/>
  <c r="I945" i="1" a="1"/>
  <c r="I1161" i="1" a="1"/>
  <c r="I342" i="1" a="1"/>
  <c r="I183" i="1" a="1"/>
  <c r="I281" i="1" a="1"/>
  <c r="I62" i="1" a="1"/>
  <c r="I27" i="1" a="1"/>
  <c r="I827" i="1" a="1"/>
  <c r="I80" i="1" a="1"/>
  <c r="I1354" i="1" a="1"/>
  <c r="I719" i="1" a="1"/>
  <c r="I242" i="1" a="1"/>
  <c r="I65" i="1" a="1"/>
  <c r="I4" i="1" a="1"/>
  <c r="I1160" i="1" a="1"/>
  <c r="I261" i="1" a="1"/>
  <c r="I47" i="1" a="1"/>
  <c r="I1035" i="1" a="1"/>
  <c r="I1030" i="1" a="1"/>
  <c r="I310" i="1" a="1"/>
  <c r="I167" i="1" a="1"/>
  <c r="I273" i="1" a="1"/>
  <c r="I58" i="1" a="1"/>
  <c r="I452" i="1" a="1"/>
  <c r="I439" i="1" a="1"/>
  <c r="I830" i="1" a="1"/>
  <c r="I75" i="1" a="1"/>
  <c r="I483" i="1" a="1"/>
  <c r="I388" i="1" a="1"/>
  <c r="I96" i="1" a="1"/>
  <c r="I53" i="1" a="1"/>
  <c r="I580" i="1" a="1"/>
  <c r="I417" i="1" a="1"/>
  <c r="I1648" i="1" a="1"/>
  <c r="I588" i="1" a="1"/>
  <c r="I603" i="1" a="1"/>
  <c r="I405" i="1" a="1"/>
  <c r="I103" i="1" a="1"/>
  <c r="I97" i="1" a="1"/>
  <c r="I18" i="1" a="1"/>
  <c r="I226" i="1" a="1"/>
  <c r="I764" i="1" a="1"/>
  <c r="I139" i="1" a="1"/>
  <c r="I25" i="1" a="1"/>
  <c r="I185" i="1" a="1"/>
  <c r="I935" i="1" a="1"/>
  <c r="I258" i="1" a="1"/>
  <c r="I281" i="2" a="1"/>
  <c r="I720" i="1" a="1"/>
  <c r="I748" i="1" a="1"/>
  <c r="I182" i="1" a="1"/>
  <c r="I135" i="1" a="1"/>
  <c r="I225" i="1" a="1"/>
  <c r="I42" i="1" a="1"/>
  <c r="I1218" i="1" a="1"/>
  <c r="I35" i="1" a="1"/>
  <c r="I421" i="1" a="1"/>
  <c r="I236" i="1" a="1"/>
  <c r="I44" i="1" a="1"/>
  <c r="I1643" i="1" a="1"/>
  <c r="I531" i="1" a="1"/>
  <c r="I15" i="1" a="1"/>
  <c r="I965" i="1" a="1"/>
  <c r="I1075" i="1" a="1"/>
  <c r="I1070" i="1" a="1"/>
  <c r="I327" i="1" a="1"/>
  <c r="I353" i="1" a="1"/>
  <c r="I201" i="1" a="1"/>
  <c r="I23" i="1" a="1"/>
  <c r="I197" i="1" a="1"/>
  <c r="I24" i="1" a="1"/>
  <c r="I28" i="2" a="1"/>
  <c r="I790" i="2" a="1"/>
  <c r="I510" i="2" a="1"/>
  <c r="I1687" i="1" a="1"/>
  <c r="I1455" i="1" a="1"/>
  <c r="I483" i="2" a="1"/>
  <c r="I218" i="2" a="1"/>
  <c r="I936" i="1" a="1"/>
  <c r="I1588" i="1" a="1"/>
  <c r="I33" i="2" a="1"/>
  <c r="I1437" i="1" a="1"/>
  <c r="I186" i="2" a="1"/>
  <c r="I919" i="1" a="1"/>
  <c r="I1261" i="1" a="1"/>
  <c r="I864" i="2" a="1"/>
  <c r="I1065" i="2" a="1"/>
  <c r="I912" i="1" a="1"/>
  <c r="I893" i="1" a="1"/>
  <c r="I974" i="2" a="1"/>
  <c r="I558" i="2" a="1"/>
  <c r="I832" i="1" a="1"/>
  <c r="I1638" i="1" a="1"/>
  <c r="I683" i="2" a="1"/>
  <c r="I274" i="2" a="1"/>
  <c r="I1680" i="1" a="1"/>
  <c r="I280" i="2" a="1"/>
  <c r="I1330" i="1" a="1"/>
  <c r="I1201" i="1" a="1"/>
  <c r="I402" i="1" a="1"/>
  <c r="I1266" i="1" a="1"/>
  <c r="I831" i="1" a="1"/>
  <c r="I310" i="2" a="1"/>
  <c r="I1464" i="1" a="1"/>
  <c r="I1210" i="1" a="1"/>
  <c r="I1182" i="2" a="1"/>
  <c r="I213" i="2" a="1"/>
  <c r="I301" i="2" a="1"/>
  <c r="I1674" i="1" a="1"/>
  <c r="I834" i="1" a="1"/>
  <c r="I1563" i="1" a="1"/>
  <c r="I815" i="1" a="1"/>
  <c r="I278" i="2" a="1"/>
  <c r="I500" i="2" a="1"/>
  <c r="I1130" i="1" a="1"/>
  <c r="I1381" i="1" a="1"/>
  <c r="I746" i="1" a="1"/>
  <c r="I140" i="1" a="1"/>
  <c r="I1125" i="1" a="1"/>
  <c r="I1264" i="1" a="1"/>
  <c r="I1271" i="1" a="1"/>
  <c r="I351" i="1" a="1"/>
  <c r="I951" i="1" a="1"/>
  <c r="I754" i="1" a="1"/>
  <c r="I750" i="1" a="1"/>
  <c r="I170" i="1" a="1"/>
  <c r="I437" i="1" a="1"/>
  <c r="I901" i="1" a="1"/>
  <c r="I655" i="1" a="1"/>
  <c r="I1784" i="1" a="1"/>
  <c r="I1082" i="1" a="1"/>
  <c r="I1349" i="1" a="1"/>
  <c r="I714" i="1" a="1"/>
  <c r="I132" i="1" a="1"/>
  <c r="I1061" i="1" a="1"/>
  <c r="I1207" i="1" a="1"/>
  <c r="I1172" i="1" a="1"/>
  <c r="I335" i="1" a="1"/>
  <c r="I887" i="1" a="1"/>
  <c r="I738" i="1" a="1"/>
  <c r="I734" i="1" a="1"/>
  <c r="I154" i="1" a="1"/>
  <c r="I373" i="1" a="1"/>
  <c r="I868" i="1" a="1"/>
  <c r="I1094" i="1" a="1"/>
  <c r="I1651" i="1" a="1"/>
  <c r="I938" i="1" a="1"/>
  <c r="I1224" i="1" a="1"/>
  <c r="I1204" i="1" a="1"/>
  <c r="I481" i="1" a="1"/>
  <c r="I662" i="1" a="1"/>
  <c r="I124" i="1" a="1"/>
  <c r="I160" i="1" a="1"/>
  <c r="I207" i="2" a="1"/>
  <c r="I1533" i="1" a="1"/>
  <c r="I997" i="1" a="1"/>
  <c r="I1105" i="1" a="1"/>
  <c r="I664" i="1" a="1"/>
  <c r="I528" i="1" a="1"/>
  <c r="I1107" i="1" a="1"/>
  <c r="I1499" i="1" a="1"/>
  <c r="I692" i="1" a="1"/>
  <c r="I543" i="1" a="1"/>
  <c r="I1102" i="1" a="1"/>
  <c r="I382" i="1" a="1"/>
  <c r="I138" i="1" a="1"/>
  <c r="I285" i="1" a="1"/>
  <c r="I319" i="1" a="1"/>
  <c r="I283" i="2" a="1"/>
  <c r="I1642" i="1" a="1"/>
  <c r="I1386" i="1" a="1"/>
  <c r="I823" i="1" a="1"/>
  <c r="I741" i="1" a="1"/>
  <c r="I566" i="1" a="1"/>
  <c r="I438" i="1" a="1"/>
  <c r="I722" i="1" a="1"/>
  <c r="I769" i="1" a="1"/>
  <c r="I581" i="1" a="1"/>
  <c r="I453" i="1" a="1"/>
  <c r="I718" i="1" a="1"/>
  <c r="I203" i="1" a="1"/>
  <c r="I360" i="1" a="1"/>
  <c r="I394" i="1" a="1"/>
  <c r="I145" i="1" a="1"/>
  <c r="I1631" i="1" a="1"/>
  <c r="I540" i="1" a="1"/>
  <c r="I555" i="1" a="1"/>
  <c r="I309" i="1" a="1"/>
  <c r="I431" i="1" a="1"/>
  <c r="I69" i="1" a="1"/>
  <c r="I6" i="1" a="1"/>
  <c r="I704" i="1" a="1"/>
  <c r="I133" i="1" a="1"/>
  <c r="I937" i="2" a="1"/>
  <c r="I809" i="1" a="1"/>
  <c r="I15" i="2" a="1"/>
  <c r="I1671" i="1" a="1"/>
  <c r="I1335" i="1" a="1"/>
  <c r="I1112" i="1" a="1"/>
  <c r="I1146" i="1" a="1"/>
  <c r="I1384" i="1" a="1"/>
  <c r="I964" i="1" a="1"/>
  <c r="I128" i="2" a="1"/>
  <c r="I1413" i="1" a="1"/>
  <c r="I983" i="1" a="1"/>
  <c r="I701" i="1" a="1"/>
  <c r="I498" i="1" a="1"/>
  <c r="I762" i="1" a="1"/>
  <c r="I729" i="1" a="1"/>
  <c r="I513" i="1" a="1"/>
  <c r="I758" i="1" a="1"/>
  <c r="I163" i="1" a="1"/>
  <c r="I224" i="1" a="1"/>
  <c r="I302" i="2" a="1"/>
  <c r="I1462" i="1" a="1"/>
  <c r="I1199" i="1" a="1"/>
  <c r="I1378" i="1" a="1"/>
  <c r="I712" i="1" a="1"/>
  <c r="I552" i="1" a="1"/>
  <c r="I1404" i="1" a="1"/>
  <c r="I695" i="1" a="1"/>
  <c r="I740" i="1" a="1"/>
  <c r="I567" i="1" a="1"/>
  <c r="I1372" i="1" a="1"/>
  <c r="I651" i="1" a="1"/>
  <c r="I174" i="1" a="1"/>
  <c r="I333" i="1" a="1"/>
  <c r="I367" i="1" a="1"/>
  <c r="I625" i="2" a="1"/>
  <c r="I1668" i="1" a="1"/>
  <c r="I1415" i="1" a="1"/>
  <c r="I1015" i="1" a="1"/>
  <c r="I792" i="1" a="1"/>
  <c r="I590" i="1" a="1"/>
  <c r="I462" i="1" a="1"/>
  <c r="I770" i="1" a="1"/>
  <c r="I844" i="1" a="1"/>
  <c r="I605" i="1" a="1"/>
  <c r="I477" i="1" a="1"/>
  <c r="I766" i="1" a="1"/>
  <c r="I251" i="1" a="1"/>
  <c r="I408" i="1" a="1"/>
  <c r="I152" i="1" a="1"/>
  <c r="I186" i="1" a="1"/>
  <c r="I14" i="2" a="1"/>
  <c r="I636" i="1" a="1"/>
  <c r="I652" i="1" a="1"/>
  <c r="I118" i="1" a="1"/>
  <c r="I119" i="1" a="1"/>
  <c r="I91" i="1" a="1"/>
  <c r="I30" i="1" a="1"/>
  <c r="I150" i="2" a="1"/>
  <c r="I423" i="1" a="1"/>
  <c r="I217" i="1" a="1"/>
  <c r="I807" i="1" a="1"/>
  <c r="I579" i="1" a="1"/>
  <c r="I675" i="1" a="1"/>
  <c r="I212" i="1" a="1"/>
  <c r="I67" i="1" a="1"/>
  <c r="I768" i="1" a="1"/>
  <c r="I123" i="1" a="1"/>
  <c r="I1782" i="1" a="1"/>
  <c r="I620" i="1" a="1"/>
  <c r="I635" i="1" a="1"/>
  <c r="I102" i="1" a="1"/>
  <c r="I115" i="1" a="1"/>
  <c r="I177" i="1" a="1"/>
  <c r="I26" i="1" a="1"/>
  <c r="I595" i="1" a="1"/>
  <c r="I252" i="1" a="1"/>
  <c r="I126" i="1" a="1"/>
  <c r="I48" i="1" a="1"/>
  <c r="I262" i="1" a="1"/>
  <c r="I276" i="1" a="1"/>
  <c r="I60" i="1" a="1"/>
  <c r="I547" i="2" a="1"/>
  <c r="I804" i="1" a="1"/>
  <c r="I94" i="1" a="1"/>
  <c r="I1270" i="1" a="1"/>
  <c r="I460" i="1" a="1"/>
  <c r="I475" i="1" a="1"/>
  <c r="I699" i="1" a="1"/>
  <c r="I385" i="1" a="1"/>
  <c r="I19" i="1" a="1"/>
  <c r="I164" i="1" a="1"/>
  <c r="I95" i="1" a="1"/>
  <c r="I451" i="1" a="1"/>
  <c r="I372" i="1" a="1"/>
  <c r="I84" i="1" a="1"/>
  <c r="I43" i="1" a="1"/>
  <c r="I484" i="1" a="1"/>
  <c r="I364" i="1" a="1"/>
  <c r="I1484" i="1" a="1"/>
  <c r="I556" i="1" a="1"/>
  <c r="I571" i="1" a="1"/>
  <c r="I341" i="1" a="1"/>
  <c r="I654" i="1" a="1"/>
  <c r="I77" i="1" a="1"/>
  <c r="I10" i="1" a="1"/>
  <c r="I1308" i="1" a="1"/>
  <c r="I784" i="1" a="1"/>
  <c r="I274" i="1" a="1"/>
  <c r="I81" i="1" a="1"/>
  <c r="I12" i="1" a="1"/>
  <c r="I1206" i="1" a="1"/>
  <c r="I691" i="1" a="1"/>
  <c r="I92" i="1" a="1"/>
  <c r="I1073" i="1" a="1"/>
  <c r="I1356" i="1" a="1"/>
  <c r="I374" i="1" a="1"/>
  <c r="I199" i="1" a="1"/>
  <c r="I289" i="1" a="1"/>
  <c r="I66" i="1" a="1"/>
  <c r="I548" i="1" a="1"/>
  <c r="I111" i="1" a="1"/>
  <c r="I5" i="1" a="1"/>
  <c r="I805" i="2" a="1"/>
  <c r="I1020" i="1" a="1"/>
  <c r="I1524" i="2" a="1"/>
  <c r="I387" i="2" a="1"/>
  <c r="I89" i="2" a="1"/>
  <c r="I940" i="1" a="1"/>
  <c r="I88" i="2" a="1"/>
  <c r="I1023" i="1" a="1"/>
  <c r="I131" i="2" a="1"/>
  <c r="I1742" i="1" a="1"/>
  <c r="I1081" i="1" a="1"/>
  <c r="I1540" i="1" a="1"/>
  <c r="I78" i="2" a="1"/>
  <c r="I1457" i="1" a="1"/>
  <c r="I908" i="1" a="1"/>
  <c r="I1049" i="1" a="1"/>
  <c r="I1639" i="1" a="1"/>
  <c r="I1352" i="1" a="1"/>
  <c r="I697" i="1" a="1"/>
  <c r="I208" i="1" a="1"/>
  <c r="I679" i="1" a="1"/>
  <c r="I414" i="1" a="1"/>
  <c r="I674" i="2" a="1"/>
  <c r="I774" i="1" a="1"/>
  <c r="I808" i="1" a="1"/>
  <c r="I235" i="1" a="1"/>
  <c r="I1616" i="1" a="1"/>
  <c r="I109" i="1" a="1"/>
  <c r="I290" i="1" a="1"/>
  <c r="I390" i="1" a="1"/>
  <c r="I1585" i="1" a="1"/>
  <c r="I1320" i="1" a="1"/>
  <c r="I791" i="1" a="1"/>
  <c r="I681" i="1" a="1"/>
  <c r="I192" i="1" a="1"/>
  <c r="I1176" i="1" a="1"/>
  <c r="I663" i="1" a="1"/>
  <c r="I398" i="1" a="1"/>
  <c r="I568" i="2" a="1"/>
  <c r="I757" i="1" a="1"/>
  <c r="I790" i="1" a="1"/>
  <c r="I219" i="1" a="1"/>
  <c r="I1548" i="1" a="1"/>
  <c r="I99" i="1" a="1"/>
  <c r="I194" i="1" a="1"/>
  <c r="I326" i="1" a="1"/>
  <c r="I1422" i="1" a="1"/>
  <c r="I1162" i="1" a="1"/>
  <c r="I993" i="1" a="1"/>
  <c r="I860" i="1" a="1"/>
  <c r="I1447" i="1" a="1"/>
  <c r="I355" i="1" a="1"/>
  <c r="I416" i="1" a="1"/>
  <c r="I370" i="1" a="1"/>
  <c r="I55" i="2" a="1"/>
  <c r="I1405" i="1" a="1"/>
  <c r="I1358" i="1" a="1"/>
  <c r="I1154" i="1" a="1"/>
  <c r="I624" i="1" a="1"/>
  <c r="I496" i="1" a="1"/>
  <c r="I878" i="1" a="1"/>
  <c r="I1062" i="1" a="1"/>
  <c r="I639" i="1" a="1"/>
  <c r="I511" i="1" a="1"/>
  <c r="I875" i="1" a="1"/>
  <c r="I318" i="1" a="1"/>
  <c r="I106" i="1" a="1"/>
  <c r="I221" i="1" a="1"/>
  <c r="I255" i="1" a="1"/>
  <c r="I173" i="2" a="1"/>
  <c r="I1581" i="1" a="1"/>
  <c r="I1045" i="1" a="1"/>
  <c r="I1151" i="1" a="1"/>
  <c r="I677" i="1" a="1"/>
  <c r="I534" i="1" a="1"/>
  <c r="I1193" i="1" a="1"/>
  <c r="I658" i="1" a="1"/>
  <c r="I705" i="1" a="1"/>
  <c r="I549" i="1" a="1"/>
  <c r="I1157" i="1" a="1"/>
  <c r="I395" i="1" a="1"/>
  <c r="I144" i="1" a="1"/>
  <c r="I296" i="1" a="1"/>
  <c r="I330" i="1" a="1"/>
  <c r="I113" i="1" a="1"/>
  <c r="I1093" i="1" a="1"/>
  <c r="I1236" i="1" a="1"/>
  <c r="I1200" i="1" a="1"/>
  <c r="I343" i="1" a="1"/>
  <c r="I361" i="1" a="1"/>
  <c r="I233" i="1" a="1"/>
  <c r="I71" i="1" a="1"/>
  <c r="I751" i="1" a="1"/>
  <c r="I284" i="1" a="1"/>
  <c r="I1745" i="1" a="1"/>
  <c r="I596" i="1" a="1"/>
  <c r="I1618" i="1" a="1"/>
  <c r="I1520" i="1" a="1"/>
  <c r="I1426" i="1" a="1"/>
  <c r="I984" i="1" a="1"/>
  <c r="I1018" i="1" a="1"/>
  <c r="I1244" i="1" a="1"/>
  <c r="I1366" i="1" a="1"/>
  <c r="I75" i="2" a="1"/>
  <c r="I1254" i="1" a="1"/>
  <c r="I1279" i="1" a="1"/>
  <c r="I626" i="1" a="1"/>
  <c r="I458" i="1" a="1"/>
  <c r="I682" i="1" a="1"/>
  <c r="I641" i="1" a="1"/>
  <c r="I473" i="1" a="1"/>
  <c r="I419" i="1" a="1"/>
  <c r="I108" i="1" a="1"/>
  <c r="I678" i="1" a="1"/>
  <c r="I214" i="2" a="1"/>
  <c r="I1529" i="1" a="1"/>
  <c r="I933" i="1" a="1"/>
  <c r="I1041" i="1" a="1"/>
  <c r="I648" i="1" a="1"/>
  <c r="I520" i="1" a="1"/>
  <c r="I1043" i="1" a="1"/>
  <c r="I1292" i="1" a="1"/>
  <c r="I676" i="1" a="1"/>
  <c r="I535" i="1" a="1"/>
  <c r="I1038" i="1" a="1"/>
  <c r="I366" i="1" a="1"/>
  <c r="I130" i="1" a="1"/>
  <c r="I269" i="1" a="1"/>
  <c r="I303" i="1" a="1"/>
  <c r="I347" i="2" a="1"/>
  <c r="I1494" i="1" a="1"/>
  <c r="I1263" i="1" a="1"/>
  <c r="I1516" i="1" a="1"/>
  <c r="I725" i="1" a="1"/>
  <c r="I558" i="1" a="1"/>
  <c r="I430" i="1" a="1"/>
  <c r="I706" i="1" a="1"/>
  <c r="I753" i="1" a="1"/>
  <c r="I573" i="1" a="1"/>
  <c r="I445" i="1" a="1"/>
  <c r="I694" i="1" a="1"/>
  <c r="I187" i="1" a="1"/>
  <c r="I344" i="1" a="1"/>
  <c r="I378" i="1" a="1"/>
  <c r="I137" i="1" a="1"/>
  <c r="I1493" i="1" a="1"/>
  <c r="I508" i="1" a="1"/>
  <c r="I523" i="1" a="1"/>
  <c r="I245" i="1" a="1"/>
  <c r="I412" i="1" a="1"/>
  <c r="I51" i="1" a="1"/>
  <c r="I188" i="1" a="1"/>
  <c r="I612" i="1" a="1"/>
  <c r="I101" i="1" a="1"/>
  <c r="I504" i="2" a="1"/>
  <c r="I736" i="1" a="1"/>
  <c r="I715" i="1" a="1"/>
  <c r="I308" i="1" a="1"/>
  <c r="I68" i="1" a="1"/>
  <c r="I39" i="1" a="1"/>
  <c r="I687" i="1" a="1"/>
  <c r="I268" i="1" a="1"/>
  <c r="I1389" i="1" a="1"/>
  <c r="I492" i="1" a="1"/>
  <c r="I507" i="1" a="1"/>
  <c r="I213" i="1" a="1"/>
  <c r="I401" i="1" a="1"/>
  <c r="I37" i="1" a="1"/>
  <c r="I90" i="1" a="1"/>
  <c r="I294" i="1" a="1"/>
  <c r="I88" i="1" a="1"/>
  <c r="I380" i="1" a="1"/>
  <c r="I468" i="1" a="1"/>
  <c r="I165" i="1" a="1"/>
  <c r="I220" i="1" a="1"/>
  <c r="I28" i="1" a="1"/>
  <c r="I1419" i="1" a="1"/>
  <c r="I422" i="1" a="1"/>
  <c r="I32" i="1" a="1"/>
  <c r="I999" i="1" a="1"/>
  <c r="I767" i="1" a="1"/>
  <c r="I763" i="1" a="1"/>
  <c r="I263" i="1" a="1"/>
  <c r="I321" i="1" a="1"/>
  <c r="I82" i="1" a="1"/>
  <c r="I1314" i="1" a="1"/>
  <c r="I57" i="1" a="1"/>
  <c r="I198" i="1" a="1"/>
  <c r="I260" i="1" a="1"/>
  <c r="I52" i="1" a="1"/>
  <c r="I1733" i="1" a="1"/>
  <c r="I627" i="1" a="1"/>
  <c r="I73" i="1" a="1"/>
  <c r="I1245" i="1" a="1"/>
  <c r="I1514" i="1" a="1"/>
  <c r="I443" i="1" a="1"/>
  <c r="I375" i="1" a="1"/>
  <c r="I369" i="1" a="1"/>
  <c r="I3" i="1" a="1"/>
  <c r="I79" i="1" a="1"/>
  <c r="I389" i="1" a="1"/>
  <c r="I611" i="1" a="1"/>
  <c r="I107" i="1" a="1"/>
  <c r="I7" i="1" a="1"/>
  <c r="I83" i="1" a="1"/>
  <c r="I1009" i="1" a="1"/>
  <c r="I162" i="1" a="1"/>
  <c r="I388" i="2" a="1"/>
  <c r="I656" i="1" a="1"/>
  <c r="I684" i="1" a="1"/>
  <c r="I134" i="1" a="1"/>
  <c r="I125" i="1" a="1"/>
  <c r="I161" i="1" a="1"/>
  <c r="I34" i="1" a="1"/>
  <c r="I732" i="1" a="1"/>
  <c r="I300" i="1" a="1"/>
  <c r="I332" i="1" a="1"/>
  <c r="I667" i="2" a="1"/>
  <c r="I428" i="2" a="1"/>
  <c r="I126" i="2" a="1"/>
  <c r="I664" i="2" a="1"/>
  <c r="I190" i="2" a="1"/>
  <c r="I11" i="2" a="1"/>
  <c r="I2" i="2" a="1"/>
  <c r="I374" i="2" a="1"/>
  <c r="I1762" i="1" a="1"/>
  <c r="I1708" i="1" a="1"/>
  <c r="I1244" i="2" a="1"/>
  <c r="I1258" i="1" a="1"/>
  <c r="I1617" i="1" a="1"/>
  <c r="I442" i="1" a="1"/>
  <c r="I407" i="2" a="1"/>
  <c r="I1305" i="1" a="1"/>
  <c r="I1003" i="1" a="1"/>
  <c r="I1752" i="1" a="1"/>
  <c r="I1375" i="1" a="1"/>
  <c r="I1252" i="1" a="1"/>
  <c r="I763" i="2" a="1"/>
  <c r="I541" i="2" a="1"/>
  <c r="I335" i="2" a="1"/>
  <c r="I1408" i="1" a="1"/>
  <c r="I251" i="2" a="1"/>
  <c r="I1370" i="1" a="1"/>
  <c r="I939" i="1" a="1"/>
  <c r="I1736" i="1" a="1"/>
  <c r="I1327" i="1" a="1"/>
  <c r="I948" i="1" a="1"/>
  <c r="I669" i="1" a="1"/>
  <c r="I505" i="1" a="1"/>
  <c r="I64" i="2" a="1"/>
  <c r="I696" i="1" a="1"/>
  <c r="I724" i="1" a="1"/>
  <c r="I158" i="1" a="1"/>
  <c r="I1683" i="1" a="1"/>
  <c r="I582" i="1" a="1"/>
  <c r="I597" i="1" a="1"/>
  <c r="I392" i="1" a="1"/>
  <c r="I604" i="1" a="1"/>
  <c r="I228" i="1" a="1"/>
  <c r="I59" i="1" a="1"/>
  <c r="I210" i="1" a="1"/>
  <c r="I1303" i="1" a="1"/>
  <c r="I916" i="1" a="1"/>
  <c r="I653" i="1" a="1"/>
  <c r="I497" i="1" a="1"/>
  <c r="I205" i="2" a="1"/>
  <c r="I680" i="1" a="1"/>
  <c r="I708" i="1" a="1"/>
  <c r="I146" i="1" a="1"/>
  <c r="I1571" i="1" a="1"/>
  <c r="I574" i="1" a="1"/>
  <c r="I589" i="1" a="1"/>
  <c r="I376" i="1" a="1"/>
  <c r="I572" i="1" a="1"/>
  <c r="I85" i="1" a="1"/>
  <c r="I21" i="1" a="1"/>
  <c r="I178" i="1" a="1"/>
  <c r="I1211" i="1" a="1"/>
  <c r="I1046" i="1" a="1"/>
  <c r="I594" i="1" a="1"/>
  <c r="I609" i="1" a="1"/>
  <c r="I1022" i="2" a="1"/>
  <c r="I795" i="1" a="1"/>
  <c r="I849" i="1" a="1"/>
  <c r="I254" i="1" a="1"/>
  <c r="I203" i="2" a="1"/>
  <c r="I630" i="1" a="1"/>
  <c r="I645" i="1" a="1"/>
  <c r="I112" i="1" a="1"/>
  <c r="I1215" i="1" a="1"/>
  <c r="I297" i="1" a="1"/>
  <c r="I180" i="1" a="1"/>
  <c r="I1522" i="1" a="1"/>
  <c r="I1140" i="1" a="1"/>
  <c r="I1253" i="1" a="1"/>
  <c r="I601" i="1" a="1"/>
  <c r="I354" i="1" a="1"/>
  <c r="I907" i="1" a="1"/>
  <c r="I998" i="1" a="1"/>
  <c r="I302" i="1" a="1"/>
  <c r="I127" i="2" a="1"/>
  <c r="I661" i="1" a="1"/>
  <c r="I689" i="1" a="1"/>
  <c r="I136" i="1" a="1"/>
  <c r="I837" i="1" a="1"/>
  <c r="I345" i="1" a="1"/>
  <c r="I204" i="1" a="1"/>
  <c r="I172" i="1" a="1"/>
  <c r="I56" i="1" a="1"/>
  <c r="I295" i="1" a="1"/>
  <c r="I322" i="1" a="1"/>
  <c r="I149" i="1" a="1"/>
  <c r="I359" i="1" a="1"/>
  <c r="I246" i="1" a="1"/>
  <c r="I499" i="1" a="1"/>
  <c r="I20" i="1" a="1"/>
  <c r="I1459" i="1" a="1"/>
  <c r="I305" i="1" a="1"/>
  <c r="I785" i="1" a="1"/>
  <c r="I1011" i="1" a="1"/>
  <c r="I539" i="1" a="1"/>
  <c r="I241" i="1" a="1"/>
  <c r="I995" i="1" a="1"/>
  <c r="I592" i="1" a="1"/>
  <c r="I607" i="1" a="1"/>
  <c r="I413" i="1" a="1"/>
  <c r="I1445" i="1" a="1"/>
  <c r="I502" i="1" a="1"/>
  <c r="I517" i="1" a="1"/>
  <c r="I671" i="1" a="1"/>
  <c r="I70" i="1" a="1"/>
  <c r="I1293" i="1" a="1"/>
  <c r="I918" i="1" a="1"/>
  <c r="I586" i="1" a="1"/>
  <c r="I1750" i="1" a="1"/>
  <c r="I616" i="1" a="1"/>
  <c r="I98" i="1" a="1"/>
  <c r="I1517" i="1" a="1"/>
  <c r="I541" i="1" a="1"/>
  <c r="I947" i="1" a="1"/>
  <c r="I169" i="1" a="1"/>
  <c r="I36" i="1" a="1"/>
  <c r="I337" i="1" a="1"/>
  <c r="I8" i="1" a="1"/>
  <c r="I497" i="2" a="1"/>
  <c r="I436" i="1" a="1"/>
  <c r="I74" i="1" a="1"/>
  <c r="I324" i="1" a="1"/>
  <c r="I277" i="1" a="1"/>
  <c r="I747" i="1" a="1"/>
  <c r="I259" i="1" a="1"/>
  <c r="I1463" i="1" a="1"/>
  <c r="I902" i="1" a="1"/>
  <c r="I406" i="1" a="1"/>
  <c r="I532" i="2" a="1"/>
  <c r="I1628" i="1" a="1"/>
  <c r="I1373" i="1" a="1"/>
  <c r="I503" i="1" a="1"/>
  <c r="I1086" i="1" a="1"/>
  <c r="I942" i="1" a="1"/>
  <c r="I55" i="1" a="1"/>
  <c r="I1440" i="1" a="1"/>
  <c r="I93" i="1" a="1"/>
  <c r="I156" i="1" a="1"/>
  <c r="I391" i="1" a="1"/>
  <c r="I683" i="1" a="1"/>
  <c r="I76" i="1" a="1"/>
  <c r="I425" i="1" a="1"/>
  <c r="I336" i="1" a="1"/>
  <c r="I771" i="1" a="1"/>
  <c r="I1479" i="1" a="1"/>
  <c r="I331" i="1" a="1"/>
  <c r="I215" i="1" a="1"/>
  <c r="I1575" i="1" a="1"/>
  <c r="I1141" i="1" a="1"/>
  <c r="I400" i="1" a="1"/>
  <c r="I846" i="1" a="1"/>
  <c r="I1089" i="1" a="1"/>
  <c r="I379" i="1" a="1"/>
  <c r="I311" i="1" a="1"/>
  <c r="I966" i="1" a="1"/>
  <c r="I1006" i="1" a="1"/>
  <c r="I865" i="1" a="1"/>
  <c r="I1205" i="1" a="1"/>
  <c r="I833" i="1" a="1"/>
  <c r="I50" i="1" a="1"/>
  <c r="I153" i="1" a="1"/>
  <c r="I231" i="1" a="1"/>
  <c r="I143" i="1" a="1"/>
  <c r="I524" i="1" a="1"/>
  <c r="I1692" i="1" a="1"/>
  <c r="I232" i="1" a="1"/>
  <c r="I1163" i="1" a="1"/>
  <c r="I1286" i="1" a="1"/>
  <c r="I631" i="1" a="1"/>
  <c r="I526" i="1" a="1"/>
  <c r="I280" i="1" a="1"/>
  <c r="I1550" i="1" a="1"/>
  <c r="I1294" i="1" a="1"/>
  <c r="I41" i="1" a="1"/>
  <c r="I147" i="1" a="1"/>
  <c r="I1357" i="1" a="1"/>
  <c r="I703" i="1" a="1"/>
  <c r="I316" i="1" a="1"/>
  <c r="I1532" i="1" a="1"/>
  <c r="I464" i="1" a="1"/>
  <c r="I479" i="1" a="1"/>
  <c r="I157" i="1" a="1"/>
  <c r="I899" i="1" a="1"/>
  <c r="I266" i="1" a="1"/>
  <c r="I17" i="1" a="1"/>
  <c r="I856" i="1" a="1"/>
  <c r="I1318" i="1" a="1"/>
  <c r="I323" i="1" a="1"/>
  <c r="I488" i="1" a="1"/>
  <c r="I205" i="1" a="1"/>
  <c r="I981" i="1" a="1"/>
  <c r="I1091" i="1" a="1"/>
  <c r="I314" i="1" a="1"/>
  <c r="I564" i="1" a="1"/>
  <c r="I862" i="1" a="1"/>
  <c r="I72" i="1" a="1"/>
  <c r="I788" i="1" a="1"/>
  <c r="I257" i="1" a="1"/>
  <c r="I230" i="1" a="1"/>
  <c r="I644" i="1" a="1"/>
  <c r="I1781" i="1" a="1"/>
  <c r="I244" i="1" a="1"/>
  <c r="I1031" i="1" a="1"/>
  <c r="I773" i="1" a="1"/>
  <c r="I191" i="1" a="1"/>
  <c r="I1115" i="1" a="1"/>
  <c r="I420" i="1" a="1"/>
  <c r="I467" i="1" a="1"/>
  <c r="I890" i="1" a="1"/>
  <c r="I1083" i="1" a="1"/>
  <c r="I1248" i="1" a="1"/>
  <c r="I843" i="1" a="1"/>
  <c r="I239" i="1" a="1"/>
  <c r="I1398" i="1" a="1"/>
  <c r="I105" i="1" a="1"/>
  <c r="I357" i="1" a="1"/>
  <c r="I859" i="1" a="1"/>
  <c r="I192" i="2" a="1"/>
  <c r="I209" i="1" a="1"/>
  <c r="I63" i="1" a="1"/>
  <c r="I61" i="1" a="1"/>
  <c r="B84" i="23" l="1" a="1"/>
  <c r="B84" i="23" s="1"/>
  <c r="C62" i="23"/>
  <c r="C63" i="23" s="1"/>
  <c r="C64" i="23" s="1"/>
  <c r="C65" i="23" s="1"/>
  <c r="C66" i="23" s="1"/>
  <c r="C67" i="23" s="1"/>
  <c r="C68" i="23" s="1"/>
  <c r="C69" i="23" s="1"/>
  <c r="C70" i="23" s="1"/>
  <c r="C71" i="23" s="1"/>
  <c r="C72" i="23" s="1"/>
  <c r="C73" i="23" s="1"/>
  <c r="C74" i="23" s="1"/>
  <c r="C75" i="23" s="1"/>
  <c r="C76" i="23" s="1"/>
  <c r="C77" i="23" s="1"/>
  <c r="C78" i="23" s="1"/>
  <c r="C79" i="23" s="1"/>
  <c r="C80" i="23" s="1"/>
  <c r="C81" i="23" s="1"/>
  <c r="C82" i="23" s="1"/>
  <c r="I61" i="1"/>
  <c r="I63" i="1"/>
  <c r="I209" i="1"/>
  <c r="I192" i="2"/>
  <c r="I859" i="1"/>
  <c r="I357" i="1"/>
  <c r="I105" i="1"/>
  <c r="I1398" i="1"/>
  <c r="I239" i="1"/>
  <c r="I843" i="1"/>
  <c r="I1248" i="1"/>
  <c r="I1083" i="1"/>
  <c r="I890" i="1"/>
  <c r="I467" i="1"/>
  <c r="I420" i="1"/>
  <c r="I1115" i="1"/>
  <c r="I191" i="1"/>
  <c r="I773" i="1"/>
  <c r="I1031" i="1"/>
  <c r="I244" i="1"/>
  <c r="I1781" i="1"/>
  <c r="I644" i="1"/>
  <c r="I230" i="1"/>
  <c r="I257" i="1"/>
  <c r="I788" i="1"/>
  <c r="I72" i="1"/>
  <c r="I862" i="1"/>
  <c r="I564" i="1"/>
  <c r="I314" i="1"/>
  <c r="I1091" i="1"/>
  <c r="I981" i="1"/>
  <c r="I205" i="1"/>
  <c r="I488" i="1"/>
  <c r="I323" i="1"/>
  <c r="I1318" i="1"/>
  <c r="I856" i="1"/>
  <c r="I17" i="1"/>
  <c r="I266" i="1"/>
  <c r="I899" i="1"/>
  <c r="I157" i="1"/>
  <c r="I479" i="1"/>
  <c r="I464" i="1"/>
  <c r="I1532" i="1"/>
  <c r="I316" i="1"/>
  <c r="I703" i="1"/>
  <c r="I1357" i="1"/>
  <c r="I147" i="1"/>
  <c r="I41" i="1"/>
  <c r="I1294" i="1"/>
  <c r="I1550" i="1"/>
  <c r="I280" i="1"/>
  <c r="I526" i="1"/>
  <c r="I631" i="1"/>
  <c r="I1286" i="1"/>
  <c r="I1163" i="1"/>
  <c r="I232" i="1"/>
  <c r="I1692" i="1"/>
  <c r="I524" i="1"/>
  <c r="I143" i="1"/>
  <c r="I231" i="1"/>
  <c r="I153" i="1"/>
  <c r="I50" i="1"/>
  <c r="I833" i="1"/>
  <c r="I1205" i="1"/>
  <c r="I865" i="1"/>
  <c r="I1006" i="1"/>
  <c r="I966" i="1"/>
  <c r="I311" i="1"/>
  <c r="I379" i="1"/>
  <c r="I1089" i="1"/>
  <c r="I846" i="1"/>
  <c r="I400" i="1"/>
  <c r="I1141" i="1"/>
  <c r="I1575" i="1"/>
  <c r="I215" i="1"/>
  <c r="I331" i="1"/>
  <c r="I1479" i="1"/>
  <c r="I771" i="1"/>
  <c r="I336" i="1"/>
  <c r="I425" i="1"/>
  <c r="I76" i="1"/>
  <c r="I683" i="1"/>
  <c r="I391" i="1"/>
  <c r="I156" i="1"/>
  <c r="I93" i="1"/>
  <c r="I1440" i="1"/>
  <c r="I55" i="1"/>
  <c r="I942" i="1"/>
  <c r="I1086" i="1"/>
  <c r="I503" i="1"/>
  <c r="I1373" i="1"/>
  <c r="I1628" i="1"/>
  <c r="I532" i="2"/>
  <c r="I406" i="1"/>
  <c r="I902" i="1"/>
  <c r="I1463" i="1"/>
  <c r="I259" i="1"/>
  <c r="I747" i="1"/>
  <c r="I277" i="1"/>
  <c r="I324" i="1"/>
  <c r="I74" i="1"/>
  <c r="I436" i="1"/>
  <c r="I497" i="2"/>
  <c r="I8" i="1"/>
  <c r="I337" i="1"/>
  <c r="I36" i="1"/>
  <c r="I169" i="1"/>
  <c r="I947" i="1"/>
  <c r="I541" i="1"/>
  <c r="I1517" i="1"/>
  <c r="I98" i="1"/>
  <c r="I616" i="1"/>
  <c r="I1750" i="1"/>
  <c r="I586" i="1"/>
  <c r="I918" i="1"/>
  <c r="I1293" i="1"/>
  <c r="I70" i="1"/>
  <c r="I671" i="1"/>
  <c r="I517" i="1"/>
  <c r="I502" i="1"/>
  <c r="I1445" i="1"/>
  <c r="I413" i="1"/>
  <c r="I607" i="1"/>
  <c r="I592" i="1"/>
  <c r="I995" i="1"/>
  <c r="I241" i="1"/>
  <c r="I539" i="1"/>
  <c r="I1011" i="1"/>
  <c r="I785" i="1"/>
  <c r="I305" i="1"/>
  <c r="I1459" i="1"/>
  <c r="I20" i="1"/>
  <c r="I499" i="1"/>
  <c r="I246" i="1"/>
  <c r="I359" i="1"/>
  <c r="I149" i="1"/>
  <c r="I322" i="1"/>
  <c r="I295" i="1"/>
  <c r="I56" i="1"/>
  <c r="I172" i="1"/>
  <c r="I204" i="1"/>
  <c r="I345" i="1"/>
  <c r="I837" i="1"/>
  <c r="I136" i="1"/>
  <c r="I689" i="1"/>
  <c r="I661" i="1"/>
  <c r="I127" i="2"/>
  <c r="I302" i="1"/>
  <c r="I998" i="1"/>
  <c r="I907" i="1"/>
  <c r="I354" i="1"/>
  <c r="I601" i="1"/>
  <c r="I1253" i="1"/>
  <c r="I1140" i="1"/>
  <c r="I1522" i="1"/>
  <c r="I180" i="1"/>
  <c r="I297" i="1"/>
  <c r="I1215" i="1"/>
  <c r="I112" i="1"/>
  <c r="I645" i="1"/>
  <c r="I630" i="1"/>
  <c r="I203" i="2"/>
  <c r="I254" i="1"/>
  <c r="I849" i="1"/>
  <c r="I795" i="1"/>
  <c r="I1022" i="2"/>
  <c r="I609" i="1"/>
  <c r="I594" i="1"/>
  <c r="I1046" i="1"/>
  <c r="I1211" i="1"/>
  <c r="I178" i="1"/>
  <c r="I21" i="1"/>
  <c r="I85" i="1"/>
  <c r="I572" i="1"/>
  <c r="I376" i="1"/>
  <c r="I589" i="1"/>
  <c r="I574" i="1"/>
  <c r="I1571" i="1"/>
  <c r="I146" i="1"/>
  <c r="I708" i="1"/>
  <c r="I680" i="1"/>
  <c r="I205" i="2"/>
  <c r="I497" i="1"/>
  <c r="I653" i="1"/>
  <c r="I916" i="1"/>
  <c r="I1303" i="1"/>
  <c r="I210" i="1"/>
  <c r="I59" i="1"/>
  <c r="I228" i="1"/>
  <c r="I604" i="1"/>
  <c r="I392" i="1"/>
  <c r="I597" i="1"/>
  <c r="I582" i="1"/>
  <c r="I1683" i="1"/>
  <c r="I158" i="1"/>
  <c r="I724" i="1"/>
  <c r="I696" i="1"/>
  <c r="I64" i="2"/>
  <c r="I505" i="1"/>
  <c r="I669" i="1"/>
  <c r="I948" i="1"/>
  <c r="I1327" i="1"/>
  <c r="I1736" i="1"/>
  <c r="I939" i="1"/>
  <c r="I1370" i="1"/>
  <c r="I251" i="2"/>
  <c r="I1408" i="1"/>
  <c r="I335" i="2"/>
  <c r="I541" i="2"/>
  <c r="I763" i="2"/>
  <c r="I1252" i="1"/>
  <c r="I1375" i="1"/>
  <c r="I1752" i="1"/>
  <c r="I1003" i="1"/>
  <c r="I1305" i="1"/>
  <c r="I407" i="2"/>
  <c r="I442" i="1"/>
  <c r="I1617" i="1"/>
  <c r="I1258" i="1"/>
  <c r="I1244" i="2"/>
  <c r="I1708" i="1"/>
  <c r="I1762" i="1"/>
  <c r="I374" i="2"/>
  <c r="I2" i="2"/>
  <c r="I11" i="2"/>
  <c r="I190" i="2"/>
  <c r="I664" i="2"/>
  <c r="I126" i="2"/>
  <c r="I428" i="2"/>
  <c r="I667" i="2"/>
  <c r="I332" i="1"/>
  <c r="I300" i="1"/>
  <c r="I732" i="1"/>
  <c r="I34" i="1"/>
  <c r="I161" i="1"/>
  <c r="I125" i="1"/>
  <c r="I134" i="1"/>
  <c r="I684" i="1"/>
  <c r="I656" i="1"/>
  <c r="I388" i="2"/>
  <c r="I162" i="1"/>
  <c r="I1009" i="1"/>
  <c r="I83" i="1"/>
  <c r="I7" i="1"/>
  <c r="I107" i="1"/>
  <c r="I611" i="1"/>
  <c r="I389" i="1"/>
  <c r="I79" i="1"/>
  <c r="I3" i="1"/>
  <c r="I369" i="1"/>
  <c r="I375" i="1"/>
  <c r="I443" i="1"/>
  <c r="I1514" i="1"/>
  <c r="I1245" i="1"/>
  <c r="I73" i="1"/>
  <c r="I627" i="1"/>
  <c r="I1733" i="1"/>
  <c r="I52" i="1"/>
  <c r="I260" i="1"/>
  <c r="I198" i="1"/>
  <c r="I57" i="1"/>
  <c r="I1314" i="1"/>
  <c r="I82" i="1"/>
  <c r="I321" i="1"/>
  <c r="I263" i="1"/>
  <c r="I763" i="1"/>
  <c r="I767" i="1"/>
  <c r="I999" i="1"/>
  <c r="I32" i="1"/>
  <c r="I422" i="1"/>
  <c r="I1419" i="1"/>
  <c r="I28" i="1"/>
  <c r="I220" i="1"/>
  <c r="I165" i="1"/>
  <c r="I468" i="1"/>
  <c r="I380" i="1"/>
  <c r="I88" i="1"/>
  <c r="I294" i="1"/>
  <c r="I90" i="1"/>
  <c r="I37" i="1"/>
  <c r="I401" i="1"/>
  <c r="I213" i="1"/>
  <c r="I507" i="1"/>
  <c r="I492" i="1"/>
  <c r="I1389" i="1"/>
  <c r="I268" i="1"/>
  <c r="I687" i="1"/>
  <c r="I39" i="1"/>
  <c r="I68" i="1"/>
  <c r="I308" i="1"/>
  <c r="I715" i="1"/>
  <c r="I736" i="1"/>
  <c r="I504" i="2"/>
  <c r="I101" i="1"/>
  <c r="I612" i="1"/>
  <c r="I188" i="1"/>
  <c r="I51" i="1"/>
  <c r="I412" i="1"/>
  <c r="I245" i="1"/>
  <c r="I523" i="1"/>
  <c r="I508" i="1"/>
  <c r="I1493" i="1"/>
  <c r="I137" i="1"/>
  <c r="I378" i="1"/>
  <c r="I344" i="1"/>
  <c r="I187" i="1"/>
  <c r="I694" i="1"/>
  <c r="I445" i="1"/>
  <c r="I573" i="1"/>
  <c r="I753" i="1"/>
  <c r="I706" i="1"/>
  <c r="I430" i="1"/>
  <c r="I558" i="1"/>
  <c r="I725" i="1"/>
  <c r="I1516" i="1"/>
  <c r="I1263" i="1"/>
  <c r="I1494" i="1"/>
  <c r="I347" i="2"/>
  <c r="I303" i="1"/>
  <c r="I269" i="1"/>
  <c r="I130" i="1"/>
  <c r="I366" i="1"/>
  <c r="I1038" i="1"/>
  <c r="I535" i="1"/>
  <c r="I676" i="1"/>
  <c r="I1292" i="1"/>
  <c r="I1043" i="1"/>
  <c r="I520" i="1"/>
  <c r="I648" i="1"/>
  <c r="I1041" i="1"/>
  <c r="I933" i="1"/>
  <c r="I1529" i="1"/>
  <c r="I214" i="2"/>
  <c r="I678" i="1"/>
  <c r="I108" i="1"/>
  <c r="I419" i="1"/>
  <c r="I473" i="1"/>
  <c r="I641" i="1"/>
  <c r="I682" i="1"/>
  <c r="I458" i="1"/>
  <c r="I626" i="1"/>
  <c r="I1279" i="1"/>
  <c r="I1254" i="1"/>
  <c r="I75" i="2"/>
  <c r="I1366" i="1"/>
  <c r="I1244" i="1"/>
  <c r="I1018" i="1"/>
  <c r="I984" i="1"/>
  <c r="I1426" i="1"/>
  <c r="I1520" i="1"/>
  <c r="I1618" i="1"/>
  <c r="I596" i="1"/>
  <c r="I1745" i="1"/>
  <c r="I284" i="1"/>
  <c r="I751" i="1"/>
  <c r="I71" i="1"/>
  <c r="I233" i="1"/>
  <c r="I361" i="1"/>
  <c r="I343" i="1"/>
  <c r="I1200" i="1"/>
  <c r="I1236" i="1"/>
  <c r="I1093" i="1"/>
  <c r="I113" i="1"/>
  <c r="I330" i="1"/>
  <c r="I296" i="1"/>
  <c r="I144" i="1"/>
  <c r="I395" i="1"/>
  <c r="I1157" i="1"/>
  <c r="I549" i="1"/>
  <c r="I705" i="1"/>
  <c r="I658" i="1"/>
  <c r="I1193" i="1"/>
  <c r="I534" i="1"/>
  <c r="I677" i="1"/>
  <c r="I1151" i="1"/>
  <c r="I1045" i="1"/>
  <c r="I1581" i="1"/>
  <c r="I173" i="2"/>
  <c r="I255" i="1"/>
  <c r="I221" i="1"/>
  <c r="I106" i="1"/>
  <c r="I318" i="1"/>
  <c r="I875" i="1"/>
  <c r="I511" i="1"/>
  <c r="I639" i="1"/>
  <c r="I1062" i="1"/>
  <c r="I878" i="1"/>
  <c r="I496" i="1"/>
  <c r="I624" i="1"/>
  <c r="I1154" i="1"/>
  <c r="I1358" i="1"/>
  <c r="I1405" i="1"/>
  <c r="I55" i="2"/>
  <c r="I370" i="1"/>
  <c r="I416" i="1"/>
  <c r="I355" i="1"/>
  <c r="I1447" i="1"/>
  <c r="I860" i="1"/>
  <c r="I993" i="1"/>
  <c r="I1162" i="1"/>
  <c r="I1422" i="1"/>
  <c r="I326" i="1"/>
  <c r="I194" i="1"/>
  <c r="I99" i="1"/>
  <c r="I1548" i="1"/>
  <c r="I219" i="1"/>
  <c r="I790" i="1"/>
  <c r="I757" i="1"/>
  <c r="I568" i="2"/>
  <c r="I398" i="1"/>
  <c r="I663" i="1"/>
  <c r="I1176" i="1"/>
  <c r="I192" i="1"/>
  <c r="I681" i="1"/>
  <c r="I791" i="1"/>
  <c r="I1320" i="1"/>
  <c r="I1585" i="1"/>
  <c r="I390" i="1"/>
  <c r="I290" i="1"/>
  <c r="I109" i="1"/>
  <c r="I1616" i="1"/>
  <c r="I235" i="1"/>
  <c r="I808" i="1"/>
  <c r="I774" i="1"/>
  <c r="I674" i="2"/>
  <c r="I414" i="1"/>
  <c r="I679" i="1"/>
  <c r="I208" i="1"/>
  <c r="I697" i="1"/>
  <c r="I1352" i="1"/>
  <c r="I1639" i="1"/>
  <c r="I1049" i="1"/>
  <c r="I908" i="1"/>
  <c r="I1457" i="1"/>
  <c r="I78" i="2"/>
  <c r="I1540" i="1"/>
  <c r="I1081" i="1"/>
  <c r="I1742" i="1"/>
  <c r="I131" i="2"/>
  <c r="I1023" i="1"/>
  <c r="I88" i="2"/>
  <c r="I940" i="1"/>
  <c r="I89" i="2"/>
  <c r="I387" i="2"/>
  <c r="I1524" i="2"/>
  <c r="I1020" i="1"/>
  <c r="I805" i="2"/>
  <c r="I5" i="1"/>
  <c r="I111" i="1"/>
  <c r="I548" i="1"/>
  <c r="I66" i="1"/>
  <c r="I289" i="1"/>
  <c r="I199" i="1"/>
  <c r="I374" i="1"/>
  <c r="I1356" i="1"/>
  <c r="I1073" i="1"/>
  <c r="I92" i="1"/>
  <c r="I691" i="1"/>
  <c r="I1206" i="1"/>
  <c r="I12" i="1"/>
  <c r="I81" i="1"/>
  <c r="I274" i="1"/>
  <c r="I784" i="1"/>
  <c r="I1308" i="1"/>
  <c r="I10" i="1"/>
  <c r="I77" i="1"/>
  <c r="I654" i="1"/>
  <c r="I341" i="1"/>
  <c r="I571" i="1"/>
  <c r="I556" i="1"/>
  <c r="I1484" i="1"/>
  <c r="I364" i="1"/>
  <c r="I484" i="1"/>
  <c r="I43" i="1"/>
  <c r="I84" i="1"/>
  <c r="I372" i="1"/>
  <c r="I451" i="1"/>
  <c r="I95" i="1"/>
  <c r="I164" i="1"/>
  <c r="I19" i="1"/>
  <c r="I385" i="1"/>
  <c r="I699" i="1"/>
  <c r="I475" i="1"/>
  <c r="I460" i="1"/>
  <c r="I1270" i="1"/>
  <c r="I94" i="1"/>
  <c r="I804" i="1"/>
  <c r="I547" i="2"/>
  <c r="I60" i="1"/>
  <c r="I276" i="1"/>
  <c r="I262" i="1"/>
  <c r="I48" i="1"/>
  <c r="I126" i="1"/>
  <c r="I252" i="1"/>
  <c r="I595" i="1"/>
  <c r="I26" i="1"/>
  <c r="I177" i="1"/>
  <c r="I115" i="1"/>
  <c r="I102" i="1"/>
  <c r="I635" i="1"/>
  <c r="I620" i="1"/>
  <c r="I1782" i="1"/>
  <c r="I123" i="1"/>
  <c r="I768" i="1"/>
  <c r="I67" i="1"/>
  <c r="I212" i="1"/>
  <c r="I675" i="1"/>
  <c r="I579" i="1"/>
  <c r="I807" i="1"/>
  <c r="I217" i="1"/>
  <c r="I423" i="1"/>
  <c r="I150" i="2"/>
  <c r="I30" i="1"/>
  <c r="I91" i="1"/>
  <c r="I119" i="1"/>
  <c r="I118" i="1"/>
  <c r="I652" i="1"/>
  <c r="I636" i="1"/>
  <c r="I14" i="2"/>
  <c r="I186" i="1"/>
  <c r="I152" i="1"/>
  <c r="I408" i="1"/>
  <c r="I251" i="1"/>
  <c r="I766" i="1"/>
  <c r="I477" i="1"/>
  <c r="I605" i="1"/>
  <c r="I844" i="1"/>
  <c r="I770" i="1"/>
  <c r="I462" i="1"/>
  <c r="I590" i="1"/>
  <c r="I792" i="1"/>
  <c r="I1015" i="1"/>
  <c r="I1415" i="1"/>
  <c r="I1668" i="1"/>
  <c r="I625" i="2"/>
  <c r="I367" i="1"/>
  <c r="I333" i="1"/>
  <c r="I174" i="1"/>
  <c r="I651" i="1"/>
  <c r="I1372" i="1"/>
  <c r="I567" i="1"/>
  <c r="I740" i="1"/>
  <c r="I695" i="1"/>
  <c r="I1404" i="1"/>
  <c r="I552" i="1"/>
  <c r="I712" i="1"/>
  <c r="I1378" i="1"/>
  <c r="I1199" i="1"/>
  <c r="I1462" i="1"/>
  <c r="I302" i="2"/>
  <c r="I224" i="1"/>
  <c r="I163" i="1"/>
  <c r="I758" i="1"/>
  <c r="I513" i="1"/>
  <c r="I729" i="1"/>
  <c r="I762" i="1"/>
  <c r="I498" i="1"/>
  <c r="I701" i="1"/>
  <c r="I983" i="1"/>
  <c r="I1413" i="1"/>
  <c r="I128" i="2"/>
  <c r="I964" i="1"/>
  <c r="I1384" i="1"/>
  <c r="I1146" i="1"/>
  <c r="I1112" i="1"/>
  <c r="I1335" i="1"/>
  <c r="I1671" i="1"/>
  <c r="I15" i="2"/>
  <c r="I809" i="1"/>
  <c r="I937" i="2"/>
  <c r="I133" i="1"/>
  <c r="I704" i="1"/>
  <c r="I6" i="1"/>
  <c r="I69" i="1"/>
  <c r="I431" i="1"/>
  <c r="I309" i="1"/>
  <c r="I555" i="1"/>
  <c r="I540" i="1"/>
  <c r="I1631" i="1"/>
  <c r="I145" i="1"/>
  <c r="I394" i="1"/>
  <c r="I360" i="1"/>
  <c r="I203" i="1"/>
  <c r="I718" i="1"/>
  <c r="I453" i="1"/>
  <c r="I581" i="1"/>
  <c r="I769" i="1"/>
  <c r="I722" i="1"/>
  <c r="I438" i="1"/>
  <c r="I566" i="1"/>
  <c r="I741" i="1"/>
  <c r="I823" i="1"/>
  <c r="I1386" i="1"/>
  <c r="I1642" i="1"/>
  <c r="I283" i="2"/>
  <c r="I319" i="1"/>
  <c r="I285" i="1"/>
  <c r="I138" i="1"/>
  <c r="I382" i="1"/>
  <c r="I1102" i="1"/>
  <c r="I543" i="1"/>
  <c r="I692" i="1"/>
  <c r="I1499" i="1"/>
  <c r="I1107" i="1"/>
  <c r="I528" i="1"/>
  <c r="I664" i="1"/>
  <c r="I1105" i="1"/>
  <c r="I997" i="1"/>
  <c r="I1533" i="1"/>
  <c r="I207" i="2"/>
  <c r="I160" i="1"/>
  <c r="I124" i="1"/>
  <c r="I662" i="1"/>
  <c r="I481" i="1"/>
  <c r="I1204" i="1"/>
  <c r="I1224" i="1"/>
  <c r="I938" i="1"/>
  <c r="I1651" i="1"/>
  <c r="I1094" i="1"/>
  <c r="I868" i="1"/>
  <c r="I373" i="1"/>
  <c r="I154" i="1"/>
  <c r="I734" i="1"/>
  <c r="I738" i="1"/>
  <c r="I887" i="1"/>
  <c r="I335" i="1"/>
  <c r="I1172" i="1"/>
  <c r="I1207" i="1"/>
  <c r="I1061" i="1"/>
  <c r="I132" i="1"/>
  <c r="I714" i="1"/>
  <c r="I1349" i="1"/>
  <c r="I1082" i="1"/>
  <c r="I1784" i="1"/>
  <c r="I655" i="1"/>
  <c r="I901" i="1"/>
  <c r="I437" i="1"/>
  <c r="I170" i="1"/>
  <c r="I750" i="1"/>
  <c r="I754" i="1"/>
  <c r="I951" i="1"/>
  <c r="I351" i="1"/>
  <c r="I1271" i="1"/>
  <c r="I1264" i="1"/>
  <c r="I1125" i="1"/>
  <c r="I140" i="1"/>
  <c r="I746" i="1"/>
  <c r="I1381" i="1"/>
  <c r="I1130" i="1"/>
  <c r="I500" i="2"/>
  <c r="I278" i="2"/>
  <c r="I815" i="1"/>
  <c r="I1563" i="1"/>
  <c r="I834" i="1"/>
  <c r="I1674" i="1"/>
  <c r="I301" i="2"/>
  <c r="I213" i="2"/>
  <c r="I1182" i="2"/>
  <c r="I1210" i="1"/>
  <c r="I1464" i="1"/>
  <c r="I310" i="2"/>
  <c r="I831" i="1"/>
  <c r="I1266" i="1"/>
  <c r="I402" i="1"/>
  <c r="I1201" i="1"/>
  <c r="I1330" i="1"/>
  <c r="I280" i="2"/>
  <c r="I1680" i="1"/>
  <c r="I274" i="2"/>
  <c r="I683" i="2"/>
  <c r="I1638" i="1"/>
  <c r="I832" i="1"/>
  <c r="I558" i="2"/>
  <c r="I974" i="2"/>
  <c r="I893" i="1"/>
  <c r="I912" i="1"/>
  <c r="I1065" i="2"/>
  <c r="I864" i="2"/>
  <c r="I1261" i="1"/>
  <c r="I919" i="1"/>
  <c r="I186" i="2"/>
  <c r="I1437" i="1"/>
  <c r="I33" i="2"/>
  <c r="I1588" i="1"/>
  <c r="I936" i="1"/>
  <c r="I218" i="2"/>
  <c r="I483" i="2"/>
  <c r="I1455" i="1"/>
  <c r="I1687" i="1"/>
  <c r="I510" i="2"/>
  <c r="I790" i="2"/>
  <c r="I28" i="2"/>
  <c r="I24" i="1"/>
  <c r="I197" i="1"/>
  <c r="I23" i="1"/>
  <c r="I201" i="1"/>
  <c r="I353" i="1"/>
  <c r="I327" i="1"/>
  <c r="I1070" i="1"/>
  <c r="I1075" i="1"/>
  <c r="I965" i="1"/>
  <c r="I15" i="1"/>
  <c r="I531" i="1"/>
  <c r="I1643" i="1"/>
  <c r="I44" i="1"/>
  <c r="I236" i="1"/>
  <c r="I421" i="1"/>
  <c r="I35" i="1"/>
  <c r="I1218" i="1"/>
  <c r="I42" i="1"/>
  <c r="I225" i="1"/>
  <c r="I135" i="1"/>
  <c r="I182" i="1"/>
  <c r="I748" i="1"/>
  <c r="I720" i="1"/>
  <c r="I281" i="2"/>
  <c r="I258" i="1"/>
  <c r="I935" i="1"/>
  <c r="I185" i="1"/>
  <c r="I25" i="1"/>
  <c r="I139" i="1"/>
  <c r="I764" i="1"/>
  <c r="I226" i="1"/>
  <c r="I18" i="1"/>
  <c r="I97" i="1"/>
  <c r="I103" i="1"/>
  <c r="I405" i="1"/>
  <c r="I603" i="1"/>
  <c r="I588" i="1"/>
  <c r="I1648" i="1"/>
  <c r="I417" i="1"/>
  <c r="I580" i="1"/>
  <c r="I53" i="1"/>
  <c r="I96" i="1"/>
  <c r="I388" i="1"/>
  <c r="I483" i="1"/>
  <c r="I75" i="1"/>
  <c r="I830" i="1"/>
  <c r="I439" i="1"/>
  <c r="I452" i="1"/>
  <c r="I58" i="1"/>
  <c r="I273" i="1"/>
  <c r="I167" i="1"/>
  <c r="I310" i="1"/>
  <c r="I1030" i="1"/>
  <c r="I1035" i="1"/>
  <c r="I47" i="1"/>
  <c r="I261" i="1"/>
  <c r="I1160" i="1"/>
  <c r="I4" i="1"/>
  <c r="I65" i="1"/>
  <c r="I242" i="1"/>
  <c r="I719" i="1"/>
  <c r="I1354" i="1"/>
  <c r="I80" i="1"/>
  <c r="I827" i="1"/>
  <c r="I27" i="1"/>
  <c r="I62" i="1"/>
  <c r="I281" i="1"/>
  <c r="I183" i="1"/>
  <c r="I342" i="1"/>
  <c r="I1161" i="1"/>
  <c r="I945" i="1"/>
  <c r="I404" i="1"/>
  <c r="I250" i="1"/>
  <c r="I216" i="1"/>
  <c r="I104" i="1"/>
  <c r="I315" i="1"/>
  <c r="I870" i="1"/>
  <c r="I509" i="1"/>
  <c r="I637" i="1"/>
  <c r="I1051" i="1"/>
  <c r="I867" i="1"/>
  <c r="I494" i="1"/>
  <c r="I622" i="1"/>
  <c r="I1099" i="1"/>
  <c r="I1326" i="1"/>
  <c r="I1397" i="1"/>
  <c r="I63" i="2"/>
  <c r="I175" i="1"/>
  <c r="I667" i="1"/>
  <c r="I397" i="1"/>
  <c r="I238" i="1"/>
  <c r="I755" i="1"/>
  <c r="I471" i="1"/>
  <c r="I599" i="1"/>
  <c r="I811" i="1"/>
  <c r="I759" i="1"/>
  <c r="I456" i="1"/>
  <c r="I584" i="1"/>
  <c r="I777" i="1"/>
  <c r="I967" i="1"/>
  <c r="I1238" i="1"/>
  <c r="I1723" i="1"/>
  <c r="I794" i="2"/>
  <c r="I320" i="1"/>
  <c r="I243" i="1"/>
  <c r="I886" i="1"/>
  <c r="I561" i="1"/>
  <c r="I828" i="1"/>
  <c r="I883" i="1"/>
  <c r="I546" i="1"/>
  <c r="I781" i="1"/>
  <c r="I1390" i="1"/>
  <c r="I1735" i="1"/>
  <c r="I369" i="2"/>
  <c r="I1044" i="1"/>
  <c r="I810" i="1"/>
  <c r="I1332" i="1"/>
  <c r="I1274" i="1"/>
  <c r="I1399" i="1"/>
  <c r="I1496" i="1"/>
  <c r="I130" i="2"/>
  <c r="I1063" i="1"/>
  <c r="I16" i="1"/>
  <c r="I325" i="1"/>
  <c r="I9" i="1"/>
  <c r="I38" i="1"/>
  <c r="I193" i="1"/>
  <c r="I131" i="1"/>
  <c r="I150" i="1"/>
  <c r="I716" i="1"/>
  <c r="I688" i="1"/>
  <c r="I94" i="2"/>
  <c r="I202" i="1"/>
  <c r="I168" i="1"/>
  <c r="I424" i="1"/>
  <c r="I267" i="1"/>
  <c r="I789" i="1"/>
  <c r="I485" i="1"/>
  <c r="I613" i="1"/>
  <c r="I876" i="1"/>
  <c r="I787" i="1"/>
  <c r="I470" i="1"/>
  <c r="I598" i="1"/>
  <c r="I813" i="1"/>
  <c r="I1079" i="1"/>
  <c r="I1301" i="1"/>
  <c r="I1568" i="1"/>
  <c r="I756" i="2"/>
  <c r="I383" i="1"/>
  <c r="I349" i="1"/>
  <c r="I190" i="1"/>
  <c r="I707" i="1"/>
  <c r="I447" i="1"/>
  <c r="I575" i="1"/>
  <c r="I756" i="1"/>
  <c r="I711" i="1"/>
  <c r="I432" i="1"/>
  <c r="I560" i="1"/>
  <c r="I728" i="1"/>
  <c r="I775" i="1"/>
  <c r="I1290" i="1"/>
  <c r="I1507" i="1"/>
  <c r="I411" i="2"/>
  <c r="I256" i="1"/>
  <c r="I179" i="1"/>
  <c r="I782" i="1"/>
  <c r="I569" i="1"/>
  <c r="I1467" i="1"/>
  <c r="I1712" i="1"/>
  <c r="I904" i="1"/>
  <c r="I579" i="2"/>
  <c r="I1324" i="1"/>
  <c r="I14" i="1"/>
  <c r="I587" i="1"/>
  <c r="I410" i="1"/>
  <c r="I461" i="1"/>
  <c r="I446" i="1"/>
  <c r="I1158" i="1"/>
  <c r="I301" i="1"/>
  <c r="I551" i="1"/>
  <c r="I536" i="1"/>
  <c r="I1597" i="1"/>
  <c r="I710" i="1"/>
  <c r="I482" i="1"/>
  <c r="I262" i="2"/>
  <c r="I1048" i="1"/>
  <c r="I292" i="1"/>
  <c r="I1137" i="1"/>
  <c r="I22" i="1"/>
  <c r="I619" i="1"/>
  <c r="I426" i="1"/>
  <c r="I469" i="1"/>
  <c r="I454" i="1"/>
  <c r="I1222" i="1"/>
  <c r="I317" i="1"/>
  <c r="I559" i="1"/>
  <c r="I544" i="1"/>
  <c r="I1695" i="1"/>
  <c r="I742" i="1"/>
  <c r="I490" i="1"/>
  <c r="I138" i="2"/>
  <c r="I1096" i="1"/>
  <c r="I1691" i="1"/>
  <c r="I663" i="2"/>
  <c r="I1433" i="1"/>
  <c r="I151" i="2"/>
  <c r="I1505" i="1"/>
  <c r="I241" i="2"/>
  <c r="I534" i="2"/>
  <c r="I367" i="2"/>
  <c r="I970" i="1"/>
  <c r="I1243" i="1"/>
  <c r="I1743" i="1"/>
  <c r="I858" i="2"/>
  <c r="I1495" i="1"/>
  <c r="I1760" i="1"/>
  <c r="I457" i="1"/>
  <c r="I1080" i="1"/>
  <c r="I1647" i="1"/>
  <c r="I32" i="2"/>
  <c r="I1042" i="1"/>
  <c r="I1515" i="2"/>
  <c r="I1408" i="2"/>
  <c r="I1469" i="1"/>
  <c r="I1489" i="1"/>
  <c r="I1233" i="2"/>
  <c r="I1635" i="1"/>
  <c r="I1765" i="1"/>
  <c r="I1430" i="1"/>
  <c r="I333" i="2"/>
  <c r="I1320" i="2"/>
  <c r="I665" i="1"/>
  <c r="I698" i="1"/>
  <c r="I466" i="1"/>
  <c r="I642" i="1"/>
  <c r="I1410" i="1"/>
  <c r="I1285" i="1"/>
  <c r="I90" i="2"/>
  <c r="I1670" i="1"/>
  <c r="I1265" i="1"/>
  <c r="I1066" i="1"/>
  <c r="I1032" i="1"/>
  <c r="I1295" i="1"/>
  <c r="I1569" i="1"/>
  <c r="I1739" i="1"/>
  <c r="I340" i="1"/>
  <c r="I306" i="1"/>
  <c r="I891" i="1"/>
  <c r="I894" i="1"/>
  <c r="I1418" i="1"/>
  <c r="I40" i="1"/>
  <c r="I166" i="1"/>
  <c r="I49" i="1"/>
  <c r="I46" i="1"/>
  <c r="I249" i="1"/>
  <c r="I141" i="1"/>
  <c r="I214" i="1"/>
  <c r="I779" i="1"/>
  <c r="I752" i="1"/>
  <c r="I520" i="2"/>
  <c r="I218" i="1"/>
  <c r="I184" i="1"/>
  <c r="I441" i="1"/>
  <c r="I283" i="1"/>
  <c r="I814" i="1"/>
  <c r="I493" i="1"/>
  <c r="I621" i="1"/>
  <c r="I923" i="1"/>
  <c r="I812" i="1"/>
  <c r="I478" i="1"/>
  <c r="I606" i="1"/>
  <c r="I841" i="1"/>
  <c r="I1143" i="1"/>
  <c r="I1333" i="1"/>
  <c r="I1637" i="1"/>
  <c r="I1114" i="2"/>
  <c r="I399" i="1"/>
  <c r="I365" i="1"/>
  <c r="I206" i="1"/>
  <c r="I723" i="1"/>
  <c r="I455" i="1"/>
  <c r="I583" i="1"/>
  <c r="I772" i="1"/>
  <c r="I727" i="1"/>
  <c r="I440" i="1"/>
  <c r="I568" i="1"/>
  <c r="I744" i="1"/>
  <c r="I839" i="1"/>
  <c r="I1420" i="1"/>
  <c r="I1690" i="1"/>
  <c r="I359" i="2"/>
  <c r="I272" i="1"/>
  <c r="I195" i="1"/>
  <c r="I822" i="1"/>
  <c r="I537" i="1"/>
  <c r="I761" i="1"/>
  <c r="I819" i="1"/>
  <c r="I522" i="1"/>
  <c r="I733" i="1"/>
  <c r="I1184" i="1"/>
  <c r="I1630" i="1"/>
  <c r="I475" i="2"/>
  <c r="I1012" i="1"/>
  <c r="I1530" i="1"/>
  <c r="I1234" i="1"/>
  <c r="I1185" i="1"/>
  <c r="I1367" i="1"/>
  <c r="I1454" i="1"/>
  <c r="I396" i="2"/>
  <c r="I356" i="1"/>
  <c r="I338" i="1"/>
  <c r="I1134" i="1"/>
  <c r="I1139" i="1"/>
  <c r="I1029" i="1"/>
  <c r="I64" i="1"/>
  <c r="I358" i="1"/>
  <c r="I13" i="1"/>
  <c r="I54" i="1"/>
  <c r="I265" i="1"/>
  <c r="I151" i="1"/>
  <c r="I278" i="1"/>
  <c r="I897" i="1"/>
  <c r="I836" i="1"/>
  <c r="I1209" i="2"/>
  <c r="I234" i="1"/>
  <c r="I200" i="1"/>
  <c r="I702" i="1"/>
  <c r="I299" i="1"/>
  <c r="I838" i="1"/>
  <c r="I501" i="1"/>
  <c r="I629" i="1"/>
  <c r="I987" i="1"/>
  <c r="I835" i="1"/>
  <c r="I486" i="1"/>
  <c r="I614" i="1"/>
  <c r="I873" i="1"/>
  <c r="I1223" i="1"/>
  <c r="I1365" i="1"/>
  <c r="I1795" i="1"/>
  <c r="I159" i="1"/>
  <c r="I415" i="1"/>
  <c r="I381" i="1"/>
  <c r="I222" i="1"/>
  <c r="I739" i="1"/>
  <c r="I463" i="1"/>
  <c r="I591" i="1"/>
  <c r="I793" i="1"/>
  <c r="I743" i="1"/>
  <c r="I448" i="1"/>
  <c r="I576" i="1"/>
  <c r="I760" i="1"/>
  <c r="I903" i="1"/>
  <c r="I1174" i="1"/>
  <c r="I1591" i="1"/>
  <c r="I632" i="2"/>
  <c r="I288" i="1"/>
  <c r="I227" i="1"/>
  <c r="I854" i="1"/>
  <c r="I545" i="1"/>
  <c r="I797" i="1"/>
  <c r="I851" i="1"/>
  <c r="I530" i="1"/>
  <c r="I765" i="1"/>
  <c r="I1269" i="1"/>
  <c r="I1549" i="1"/>
  <c r="I782" i="2"/>
  <c r="I1028" i="1"/>
  <c r="I778" i="1"/>
  <c r="I1300" i="1"/>
  <c r="I1249" i="1"/>
  <c r="I1391" i="1"/>
  <c r="I1486" i="1"/>
  <c r="I113" i="2"/>
  <c r="I1676" i="1"/>
  <c r="I71" i="2"/>
  <c r="I135" i="2"/>
  <c r="I363" i="2"/>
  <c r="I657" i="2"/>
  <c r="I1225" i="1"/>
  <c r="I1145" i="1"/>
  <c r="I943" i="1"/>
  <c r="I909" i="1"/>
  <c r="I1214" i="1"/>
  <c r="I1427" i="1"/>
  <c r="I1659" i="1"/>
  <c r="I166" i="2"/>
  <c r="I611" i="2"/>
  <c r="I1036" i="1"/>
  <c r="I962" i="1"/>
  <c r="I928" i="1"/>
  <c r="I1235" i="1"/>
  <c r="I1524" i="1"/>
  <c r="I1715" i="1"/>
  <c r="I202" i="2"/>
  <c r="I746" i="2"/>
  <c r="I84" i="2"/>
  <c r="I430" i="2"/>
  <c r="I675" i="2"/>
  <c r="I725" i="2"/>
  <c r="I1754" i="1"/>
  <c r="I72" i="2"/>
  <c r="I640" i="2"/>
  <c r="I1429" i="2"/>
  <c r="I309" i="2"/>
  <c r="I570" i="2"/>
  <c r="I1034" i="1"/>
  <c r="I1364" i="1"/>
  <c r="I1000" i="1"/>
  <c r="I1296" i="1"/>
  <c r="I1559" i="1"/>
  <c r="I1407" i="1"/>
  <c r="I1536" i="1"/>
  <c r="I1515" i="1"/>
  <c r="I1696" i="1"/>
  <c r="I39" i="2"/>
  <c r="I211" i="2"/>
  <c r="I427" i="2"/>
  <c r="I713" i="2"/>
  <c r="I1282" i="1"/>
  <c r="I1165" i="1"/>
  <c r="I959" i="1"/>
  <c r="I925" i="1"/>
  <c r="I1369" i="1"/>
  <c r="I286" i="2"/>
  <c r="I1217" i="1"/>
  <c r="I326" i="2"/>
  <c r="I946" i="2"/>
  <c r="I825" i="2"/>
  <c r="I368" i="1"/>
  <c r="I585" i="1"/>
  <c r="I570" i="1"/>
  <c r="I1730" i="1"/>
  <c r="I858" i="1"/>
  <c r="I1475" i="1"/>
  <c r="I1741" i="1"/>
  <c r="I463" i="2"/>
  <c r="I1135" i="1"/>
  <c r="I1624" i="1"/>
  <c r="I1156" i="1"/>
  <c r="I1657" i="1"/>
  <c r="I303" i="2"/>
  <c r="I289" i="2"/>
  <c r="I1198" i="2"/>
  <c r="I989" i="1"/>
  <c r="I167" i="2"/>
  <c r="I1008" i="1"/>
  <c r="I74" i="2"/>
  <c r="I934" i="2"/>
  <c r="I690" i="2"/>
  <c r="I900" i="2"/>
  <c r="I4" i="2"/>
  <c r="I314" i="2"/>
  <c r="I890" i="2"/>
  <c r="I1498" i="1"/>
  <c r="I686" i="2"/>
  <c r="I473" i="2"/>
  <c r="I1069" i="1"/>
  <c r="I1605" i="1"/>
  <c r="I237" i="2"/>
  <c r="I1212" i="1"/>
  <c r="I1088" i="1"/>
  <c r="I1625" i="1"/>
  <c r="I42" i="2"/>
  <c r="I258" i="2"/>
  <c r="I653" i="2"/>
  <c r="I1572" i="1"/>
  <c r="I181" i="2"/>
  <c r="I327" i="2"/>
  <c r="I916" i="2"/>
  <c r="I5" i="2"/>
  <c r="I1139" i="2"/>
  <c r="I1298" i="1"/>
  <c r="I1149" i="1"/>
  <c r="I1783" i="1"/>
  <c r="I160" i="2"/>
  <c r="I1336" i="1"/>
  <c r="I1178" i="1"/>
  <c r="I1448" i="1"/>
  <c r="I476" i="2"/>
  <c r="I273" i="2"/>
  <c r="I1189" i="2"/>
  <c r="I680" i="2"/>
  <c r="I1713" i="2"/>
  <c r="I952" i="2"/>
  <c r="I397" i="2"/>
  <c r="I1432" i="2"/>
  <c r="I529" i="1"/>
  <c r="I745" i="1"/>
  <c r="I780" i="1"/>
  <c r="I514" i="1"/>
  <c r="I717" i="1"/>
  <c r="I1047" i="1"/>
  <c r="I1686" i="1"/>
  <c r="I352" i="2"/>
  <c r="I980" i="1"/>
  <c r="I1471" i="1"/>
  <c r="I1209" i="1"/>
  <c r="I1164" i="1"/>
  <c r="I1359" i="1"/>
  <c r="I1444" i="1"/>
  <c r="I154" i="2"/>
  <c r="I409" i="1"/>
  <c r="I229" i="1"/>
  <c r="I515" i="1"/>
  <c r="I500" i="1"/>
  <c r="I1429" i="1"/>
  <c r="I31" i="1"/>
  <c r="I563" i="1"/>
  <c r="I33" i="1"/>
  <c r="I78" i="1"/>
  <c r="I313" i="1"/>
  <c r="I247" i="1"/>
  <c r="I731" i="1"/>
  <c r="I735" i="1"/>
  <c r="I871" i="1"/>
  <c r="I435" i="1"/>
  <c r="I282" i="1"/>
  <c r="I248" i="1"/>
  <c r="I120" i="1"/>
  <c r="I347" i="1"/>
  <c r="I963" i="1"/>
  <c r="I525" i="1"/>
  <c r="I657" i="1"/>
  <c r="I1175" i="1"/>
  <c r="I958" i="1"/>
  <c r="I510" i="1"/>
  <c r="I638" i="1"/>
  <c r="I961" i="1"/>
  <c r="I853" i="1"/>
  <c r="I1511" i="1"/>
  <c r="I22" i="2"/>
  <c r="I207" i="1"/>
  <c r="I173" i="1"/>
  <c r="I429" i="1"/>
  <c r="I270" i="1"/>
  <c r="I796" i="1"/>
  <c r="I487" i="1"/>
  <c r="I615" i="1"/>
  <c r="I881" i="1"/>
  <c r="I798" i="1"/>
  <c r="I472" i="1"/>
  <c r="I600" i="1"/>
  <c r="I820" i="1"/>
  <c r="I1095" i="1"/>
  <c r="I1309" i="1"/>
  <c r="I1584" i="1"/>
  <c r="I1012" i="2"/>
  <c r="I352" i="1"/>
  <c r="I291" i="1"/>
  <c r="I1059" i="1"/>
  <c r="I577" i="1"/>
  <c r="I955" i="1"/>
  <c r="I1054" i="1"/>
  <c r="I562" i="1"/>
  <c r="I857" i="1"/>
  <c r="I949" i="1"/>
  <c r="I1531" i="1"/>
  <c r="I1586" i="2"/>
  <c r="I1092" i="1"/>
  <c r="I842" i="1"/>
  <c r="I1483" i="1"/>
  <c r="I1392" i="1"/>
  <c r="I1449" i="1"/>
  <c r="I1658" i="1"/>
  <c r="I297" i="2"/>
  <c r="I428" i="1"/>
  <c r="I293" i="1"/>
  <c r="I547" i="1"/>
  <c r="I532" i="1"/>
  <c r="I1565" i="1"/>
  <c r="I89" i="1"/>
  <c r="I668" i="1"/>
  <c r="I45" i="1"/>
  <c r="I86" i="1"/>
  <c r="I329" i="1"/>
  <c r="I279" i="1"/>
  <c r="I803" i="1"/>
  <c r="I805" i="1"/>
  <c r="I1127" i="1"/>
  <c r="I686" i="1"/>
  <c r="I298" i="1"/>
  <c r="I264" i="1"/>
  <c r="I128" i="1"/>
  <c r="I363" i="1"/>
  <c r="I1027" i="1"/>
  <c r="I533" i="1"/>
  <c r="I673" i="1"/>
  <c r="I1232" i="1"/>
  <c r="I1022" i="1"/>
  <c r="I518" i="1"/>
  <c r="I646" i="1"/>
  <c r="I1025" i="1"/>
  <c r="I917" i="1"/>
  <c r="I1435" i="1"/>
  <c r="I182" i="2"/>
  <c r="I223" i="1"/>
  <c r="I189" i="1"/>
  <c r="I659" i="1"/>
  <c r="I286" i="1"/>
  <c r="I817" i="1"/>
  <c r="I495" i="1"/>
  <c r="I623" i="1"/>
  <c r="I934" i="1"/>
  <c r="I816" i="1"/>
  <c r="I480" i="1"/>
  <c r="I608" i="1"/>
  <c r="I852" i="1"/>
  <c r="I1159" i="1"/>
  <c r="I1341" i="1"/>
  <c r="I1669" i="1"/>
  <c r="I1341" i="2"/>
  <c r="I384" i="1"/>
  <c r="I307" i="1"/>
  <c r="I1123" i="1"/>
  <c r="I593" i="1"/>
  <c r="I1019" i="1"/>
  <c r="I1118" i="1"/>
  <c r="I578" i="1"/>
  <c r="I971" i="1"/>
  <c r="I1013" i="1"/>
  <c r="I1611" i="1"/>
  <c r="I884" i="1"/>
  <c r="I1108" i="1"/>
  <c r="I874" i="1"/>
  <c r="I840" i="1"/>
  <c r="I1734" i="1"/>
  <c r="I1497" i="1"/>
  <c r="I1556" i="1"/>
  <c r="I235" i="2"/>
  <c r="I1570" i="1"/>
  <c r="I215" i="2"/>
  <c r="I177" i="2"/>
  <c r="I299" i="2"/>
  <c r="I820" i="2"/>
  <c r="I921" i="1"/>
  <c r="I1247" i="1"/>
  <c r="I1071" i="1"/>
  <c r="I1037" i="1"/>
  <c r="I1297" i="1"/>
  <c r="I1573" i="1"/>
  <c r="I1777" i="1"/>
  <c r="I141" i="2"/>
  <c r="I1063" i="2"/>
  <c r="I1169" i="1"/>
  <c r="I1090" i="1"/>
  <c r="I1056" i="1"/>
  <c r="I1307" i="1"/>
  <c r="I1593" i="1"/>
  <c r="I1578" i="1"/>
  <c r="I193" i="2"/>
  <c r="I948" i="2"/>
  <c r="I212" i="2"/>
  <c r="I239" i="2"/>
  <c r="I591" i="2"/>
  <c r="I836" i="2"/>
  <c r="I260" i="2"/>
  <c r="I306" i="2"/>
  <c r="I826" i="2"/>
  <c r="I1490" i="1"/>
  <c r="I557" i="2"/>
  <c r="I754" i="2"/>
  <c r="I1098" i="1"/>
  <c r="I1535" i="1"/>
  <c r="I1064" i="1"/>
  <c r="I1428" i="1"/>
  <c r="I1311" i="1"/>
  <c r="I1465" i="1"/>
  <c r="I1601" i="1"/>
  <c r="I1698" i="1"/>
  <c r="I1586" i="1"/>
  <c r="I257" i="2"/>
  <c r="I221" i="2"/>
  <c r="I378" i="2"/>
  <c r="I795" i="2"/>
  <c r="I937" i="1"/>
  <c r="I1272" i="1"/>
  <c r="I1087" i="1"/>
  <c r="I1053" i="1"/>
  <c r="I1589" i="1"/>
  <c r="I950" i="1"/>
  <c r="I1379" i="1"/>
  <c r="I240" i="2"/>
  <c r="I1368" i="2"/>
  <c r="I1704" i="1"/>
  <c r="I211" i="1"/>
  <c r="I776" i="1"/>
  <c r="I749" i="1"/>
  <c r="I442" i="2"/>
  <c r="I1114" i="1"/>
  <c r="I1319" i="1"/>
  <c r="I1602" i="1"/>
  <c r="I1056" i="2"/>
  <c r="I1101" i="1"/>
  <c r="I57" i="2"/>
  <c r="I1120" i="1"/>
  <c r="I48" i="2"/>
  <c r="I687" i="2"/>
  <c r="I513" i="2"/>
  <c r="I905" i="1"/>
  <c r="I1431" i="1"/>
  <c r="I689" i="2"/>
  <c r="I1749" i="1"/>
  <c r="I777" i="2"/>
  <c r="I1013" i="2"/>
  <c r="I1458" i="1"/>
  <c r="I1453" i="2"/>
  <c r="I246" i="2"/>
  <c r="I435" i="2"/>
  <c r="I729" i="2"/>
  <c r="I1791" i="1"/>
  <c r="I856" i="2"/>
  <c r="I847" i="1"/>
  <c r="I1434" i="1"/>
  <c r="I1706" i="1"/>
  <c r="I399" i="2"/>
  <c r="I866" i="1"/>
  <c r="I1537" i="1"/>
  <c r="I1789" i="1"/>
  <c r="I506" i="2"/>
  <c r="I334" i="2"/>
  <c r="I605" i="2"/>
  <c r="I1738" i="1"/>
  <c r="I40" i="2"/>
  <c r="I608" i="2"/>
  <c r="I1266" i="2"/>
  <c r="I316" i="2"/>
  <c r="I482" i="2"/>
  <c r="I927" i="1"/>
  <c r="I1198" i="1"/>
  <c r="I1623" i="1"/>
  <c r="I910" i="2"/>
  <c r="I946" i="1"/>
  <c r="I1219" i="1"/>
  <c r="I1675" i="1"/>
  <c r="I447" i="2"/>
  <c r="I481" i="2"/>
  <c r="I9" i="2"/>
  <c r="I1171" i="2"/>
  <c r="I380" i="2"/>
  <c r="I1358" i="2"/>
  <c r="I862" i="2"/>
  <c r="I1404" i="2"/>
  <c r="I990" i="1"/>
  <c r="I554" i="1"/>
  <c r="I806" i="1"/>
  <c r="I885" i="1"/>
  <c r="I1472" i="1"/>
  <c r="I809" i="2"/>
  <c r="I1076" i="1"/>
  <c r="I826" i="1"/>
  <c r="I1425" i="1"/>
  <c r="I1360" i="1"/>
  <c r="I1432" i="1"/>
  <c r="I1555" i="1"/>
  <c r="I208" i="2"/>
  <c r="I117" i="1"/>
  <c r="I110" i="1"/>
  <c r="I643" i="1"/>
  <c r="I628" i="1"/>
  <c r="I484" i="2"/>
  <c r="I348" i="1"/>
  <c r="I1340" i="1"/>
  <c r="I87" i="1"/>
  <c r="I11" i="1"/>
  <c r="I377" i="1"/>
  <c r="I407" i="1"/>
  <c r="I459" i="1"/>
  <c r="I444" i="1"/>
  <c r="I1646" i="1"/>
  <c r="I121" i="1"/>
  <c r="I346" i="1"/>
  <c r="I312" i="1"/>
  <c r="I155" i="1"/>
  <c r="I411" i="1"/>
  <c r="I1257" i="1"/>
  <c r="I557" i="1"/>
  <c r="I721" i="1"/>
  <c r="I674" i="1"/>
  <c r="I1250" i="1"/>
  <c r="I542" i="1"/>
  <c r="I693" i="1"/>
  <c r="I1240" i="1"/>
  <c r="I1109" i="1"/>
  <c r="I1663" i="1"/>
  <c r="I109" i="2"/>
  <c r="I271" i="1"/>
  <c r="I237" i="1"/>
  <c r="I114" i="1"/>
  <c r="I334" i="1"/>
  <c r="I910" i="1"/>
  <c r="I519" i="1"/>
  <c r="I647" i="1"/>
  <c r="I1126" i="1"/>
  <c r="I915" i="1"/>
  <c r="I504" i="1"/>
  <c r="I632" i="1"/>
  <c r="I913" i="1"/>
  <c r="I1519" i="1"/>
  <c r="I1461" i="1"/>
  <c r="I252" i="2"/>
  <c r="I386" i="1"/>
  <c r="I670" i="1"/>
  <c r="I371" i="1"/>
  <c r="I449" i="1"/>
  <c r="I625" i="1"/>
  <c r="I1334" i="1"/>
  <c r="I434" i="1"/>
  <c r="I610" i="1"/>
  <c r="I1057" i="1"/>
  <c r="I1322" i="1"/>
  <c r="I1701" i="1"/>
  <c r="I1110" i="1"/>
  <c r="I1180" i="1"/>
  <c r="I954" i="1"/>
  <c r="I920" i="1"/>
  <c r="I1227" i="1"/>
  <c r="I1508" i="1"/>
  <c r="I1652" i="1"/>
  <c r="I529" i="2"/>
  <c r="I127" i="1"/>
  <c r="I142" i="1"/>
  <c r="I700" i="1"/>
  <c r="I672" i="1"/>
  <c r="I105" i="2"/>
  <c r="I396" i="1"/>
  <c r="I516" i="1"/>
  <c r="I196" i="1"/>
  <c r="I29" i="1"/>
  <c r="I393" i="1"/>
  <c r="I181" i="1"/>
  <c r="I491" i="1"/>
  <c r="I476" i="1"/>
  <c r="I1325" i="1"/>
  <c r="I129" i="1"/>
  <c r="I362" i="1"/>
  <c r="I328" i="1"/>
  <c r="I171" i="1"/>
  <c r="I427" i="1"/>
  <c r="I1350" i="1"/>
  <c r="I565" i="1"/>
  <c r="I737" i="1"/>
  <c r="I690" i="1"/>
  <c r="I1382" i="1"/>
  <c r="I550" i="1"/>
  <c r="I709" i="1"/>
  <c r="I1346" i="1"/>
  <c r="I1181" i="1"/>
  <c r="I1452" i="1"/>
  <c r="I270" i="2"/>
  <c r="I287" i="1"/>
  <c r="I253" i="1"/>
  <c r="I122" i="1"/>
  <c r="I350" i="1"/>
  <c r="I974" i="1"/>
  <c r="I527" i="1"/>
  <c r="I660" i="1"/>
  <c r="I1189" i="1"/>
  <c r="I979" i="1"/>
  <c r="I512" i="1"/>
  <c r="I640" i="1"/>
  <c r="I977" i="1"/>
  <c r="I869" i="1"/>
  <c r="I1543" i="1"/>
  <c r="I30" i="2"/>
  <c r="I418" i="1"/>
  <c r="I100" i="1"/>
  <c r="I387" i="1"/>
  <c r="I465" i="1"/>
  <c r="I633" i="1"/>
  <c r="I650" i="1"/>
  <c r="I450" i="1"/>
  <c r="I618" i="1"/>
  <c r="I1121" i="1"/>
  <c r="I1190" i="1"/>
  <c r="I1766" i="1"/>
  <c r="I1168" i="1"/>
  <c r="I1226" i="1"/>
  <c r="I1002" i="1"/>
  <c r="I968" i="1"/>
  <c r="I1275" i="1"/>
  <c r="I1504" i="1"/>
  <c r="I1753" i="1"/>
  <c r="I997" i="2"/>
  <c r="I1641" i="1"/>
  <c r="I23" i="2"/>
  <c r="I137" i="2"/>
  <c r="I584" i="2"/>
  <c r="I1243" i="2"/>
  <c r="I985" i="1"/>
  <c r="I1394" i="1"/>
  <c r="I1216" i="1"/>
  <c r="I1167" i="1"/>
  <c r="I1361" i="1"/>
  <c r="I1446" i="1"/>
  <c r="I1763" i="1"/>
  <c r="I224" i="2"/>
  <c r="I900" i="1"/>
  <c r="I1368" i="1"/>
  <c r="I1241" i="1"/>
  <c r="I1196" i="1"/>
  <c r="I1371" i="1"/>
  <c r="I1460" i="1"/>
  <c r="I1744" i="1"/>
  <c r="I294" i="2"/>
  <c r="I225" i="2"/>
  <c r="I312" i="2"/>
  <c r="I383" i="2"/>
  <c r="I882" i="2"/>
  <c r="I1303" i="2"/>
  <c r="I222" i="2"/>
  <c r="I419" i="2"/>
  <c r="I1039" i="2"/>
  <c r="I1731" i="1"/>
  <c r="I792" i="2"/>
  <c r="I906" i="1"/>
  <c r="I1170" i="1"/>
  <c r="I872" i="1"/>
  <c r="I1128" i="1"/>
  <c r="I1179" i="1"/>
  <c r="I1343" i="1"/>
  <c r="I1551" i="1"/>
  <c r="I1703" i="1"/>
  <c r="I1595" i="1"/>
  <c r="I1673" i="1"/>
  <c r="I31" i="2"/>
  <c r="I80" i="2"/>
  <c r="I648" i="2"/>
  <c r="I1324" i="2"/>
  <c r="I1001" i="1"/>
  <c r="I1491" i="1"/>
  <c r="I1237" i="1"/>
  <c r="I1192" i="1"/>
  <c r="I1456" i="1"/>
  <c r="I1400" i="1"/>
  <c r="I1470" i="1"/>
  <c r="I320" i="2"/>
  <c r="I404" i="2"/>
  <c r="I767" i="2"/>
  <c r="I726" i="1"/>
  <c r="I730" i="1"/>
  <c r="I855" i="1"/>
  <c r="I932" i="1"/>
  <c r="I824" i="1"/>
  <c r="I1481" i="1"/>
  <c r="I7" i="2"/>
  <c r="I953" i="1"/>
  <c r="I1329" i="1"/>
  <c r="I1269" i="2"/>
  <c r="I1339" i="1"/>
  <c r="I1354" i="2"/>
  <c r="I1079" i="2"/>
  <c r="I1714" i="1"/>
  <c r="I1229" i="1"/>
  <c r="I1525" i="1"/>
  <c r="I1116" i="1"/>
  <c r="I1544" i="1"/>
  <c r="I164" i="2"/>
  <c r="I123" i="2"/>
  <c r="I607" i="2"/>
  <c r="I1596" i="1"/>
  <c r="I229" i="2"/>
  <c r="I391" i="2"/>
  <c r="I827" i="2"/>
  <c r="I178" i="2"/>
  <c r="I1339" i="2"/>
  <c r="I1103" i="1"/>
  <c r="I1313" i="1"/>
  <c r="I1592" i="1"/>
  <c r="I859" i="2"/>
  <c r="I1122" i="1"/>
  <c r="I1323" i="1"/>
  <c r="I1610" i="1"/>
  <c r="I1145" i="2"/>
  <c r="I271" i="2"/>
  <c r="I708" i="2"/>
  <c r="I227" i="2"/>
  <c r="I290" i="2"/>
  <c r="I730" i="2"/>
  <c r="I1474" i="1"/>
  <c r="I914" i="2"/>
  <c r="I620" i="2"/>
  <c r="I1191" i="1"/>
  <c r="I1353" i="1"/>
  <c r="I1717" i="1"/>
  <c r="I1625" i="2"/>
  <c r="I1220" i="1"/>
  <c r="I1363" i="1"/>
  <c r="I1771" i="1"/>
  <c r="I1003" i="2"/>
  <c r="I1682" i="1"/>
  <c r="I324" i="2"/>
  <c r="I498" i="2"/>
  <c r="I470" i="2"/>
  <c r="I802" i="2"/>
  <c r="I1388" i="2"/>
  <c r="I1693" i="2"/>
  <c r="I1402" i="1"/>
  <c r="I1453" i="1"/>
  <c r="I1666" i="1"/>
  <c r="I236" i="2"/>
  <c r="I315" i="2"/>
  <c r="I924" i="1"/>
  <c r="I850" i="1"/>
  <c r="I1710" i="1"/>
  <c r="I1443" i="1"/>
  <c r="I1473" i="1"/>
  <c r="I1722" i="1"/>
  <c r="I3" i="2"/>
  <c r="I423" i="2"/>
  <c r="I65" i="2"/>
  <c r="I317" i="2"/>
  <c r="I544" i="2"/>
  <c r="I573" i="2"/>
  <c r="I1620" i="1"/>
  <c r="I492" i="2"/>
  <c r="I455" i="2"/>
  <c r="I1019" i="2"/>
  <c r="I102" i="2"/>
  <c r="I1433" i="2"/>
  <c r="I176" i="1"/>
  <c r="I433" i="1"/>
  <c r="I275" i="1"/>
  <c r="I800" i="1"/>
  <c r="I489" i="1"/>
  <c r="I617" i="1"/>
  <c r="I892" i="1"/>
  <c r="I801" i="1"/>
  <c r="I474" i="1"/>
  <c r="I602" i="1"/>
  <c r="I825" i="1"/>
  <c r="I1111" i="1"/>
  <c r="I1317" i="1"/>
  <c r="I1600" i="1"/>
  <c r="I987" i="2"/>
  <c r="I996" i="1"/>
  <c r="I1288" i="1"/>
  <c r="I922" i="1"/>
  <c r="I1188" i="1"/>
  <c r="I888" i="1"/>
  <c r="I1144" i="1"/>
  <c r="I1195" i="1"/>
  <c r="I1351" i="1"/>
  <c r="I1718" i="1"/>
  <c r="I1751" i="1"/>
  <c r="I1619" i="1"/>
  <c r="I1705" i="1"/>
  <c r="I98" i="2"/>
  <c r="I144" i="2"/>
  <c r="I846" i="2"/>
  <c r="I1690" i="2"/>
  <c r="I1017" i="1"/>
  <c r="I1546" i="1"/>
  <c r="I1310" i="1"/>
  <c r="I1256" i="1"/>
  <c r="I1393" i="1"/>
  <c r="I1488" i="1"/>
  <c r="I1790" i="1"/>
  <c r="I313" i="2"/>
  <c r="I1142" i="1"/>
  <c r="I1702" i="1"/>
  <c r="I1348" i="1"/>
  <c r="I1281" i="1"/>
  <c r="I1403" i="1"/>
  <c r="I1502" i="1"/>
  <c r="I103" i="2"/>
  <c r="I395" i="2"/>
  <c r="I143" i="2"/>
  <c r="I392" i="2"/>
  <c r="I471" i="2"/>
  <c r="I413" i="2"/>
  <c r="I1500" i="2"/>
  <c r="I34" i="2"/>
  <c r="I659" i="2"/>
  <c r="I965" i="2"/>
  <c r="I1697" i="1"/>
  <c r="I1023" i="2"/>
  <c r="I1148" i="2"/>
  <c r="I969" i="1"/>
  <c r="I1362" i="1"/>
  <c r="I1152" i="1"/>
  <c r="I1117" i="1"/>
  <c r="I1337" i="1"/>
  <c r="I1679" i="1"/>
  <c r="I1653" i="1"/>
  <c r="I165" i="2"/>
  <c r="I1403" i="2"/>
  <c r="I1276" i="1"/>
  <c r="I1177" i="1"/>
  <c r="I1136" i="1"/>
  <c r="I1347" i="1"/>
  <c r="I1727" i="1"/>
  <c r="I1689" i="1"/>
  <c r="I112" i="2"/>
  <c r="I1686" i="2"/>
  <c r="I288" i="2"/>
  <c r="I319" i="2"/>
  <c r="I726" i="2"/>
  <c r="I1180" i="2"/>
  <c r="I158" i="2"/>
  <c r="I355" i="2"/>
  <c r="I641" i="2"/>
  <c r="I1583" i="1"/>
  <c r="I969" i="2"/>
  <c r="I1575" i="2"/>
  <c r="I875" i="2"/>
  <c r="I1535" i="2"/>
  <c r="I1629" i="1"/>
  <c r="I1794" i="1"/>
  <c r="I20" i="2"/>
  <c r="I436" i="2"/>
  <c r="I159" i="2"/>
  <c r="I152" i="2"/>
  <c r="I400" i="2"/>
  <c r="I499" i="2"/>
  <c r="I474" i="2"/>
  <c r="I878" i="2"/>
  <c r="I417" i="2"/>
  <c r="I857" i="2"/>
  <c r="I1049" i="2"/>
  <c r="I1564" i="2"/>
  <c r="I1558" i="1"/>
  <c r="I1566" i="1"/>
  <c r="I169" i="2"/>
  <c r="I311" i="2"/>
  <c r="I868" i="2"/>
  <c r="I831" i="2"/>
  <c r="I1416" i="2"/>
  <c r="I813" i="2"/>
  <c r="I992" i="2"/>
  <c r="I911" i="1"/>
  <c r="I1173" i="1"/>
  <c r="I877" i="1"/>
  <c r="I1133" i="1"/>
  <c r="I1182" i="1"/>
  <c r="I1345" i="1"/>
  <c r="I1562" i="1"/>
  <c r="I1711" i="1"/>
  <c r="I1603" i="1"/>
  <c r="I1685" i="1"/>
  <c r="I54" i="2"/>
  <c r="I96" i="2"/>
  <c r="I707" i="2"/>
  <c r="I1495" i="2"/>
  <c r="I1004" i="1"/>
  <c r="I1304" i="1"/>
  <c r="I930" i="1"/>
  <c r="I1202" i="1"/>
  <c r="I896" i="1"/>
  <c r="I1153" i="1"/>
  <c r="I1203" i="1"/>
  <c r="I1355" i="1"/>
  <c r="I1414" i="1"/>
  <c r="I1438" i="1"/>
  <c r="I1627" i="1"/>
  <c r="I1721" i="1"/>
  <c r="I134" i="2"/>
  <c r="I176" i="2"/>
  <c r="I515" i="2"/>
  <c r="I1688" i="2"/>
  <c r="I52" i="2"/>
  <c r="I296" i="2"/>
  <c r="I398" i="2"/>
  <c r="I343" i="2"/>
  <c r="I622" i="2"/>
  <c r="I758" i="2"/>
  <c r="I1002" i="2"/>
  <c r="I964" i="2"/>
  <c r="I1394" i="2"/>
  <c r="I1604" i="1"/>
  <c r="I1770" i="1"/>
  <c r="I8" i="2"/>
  <c r="I340" i="2"/>
  <c r="I245" i="2"/>
  <c r="I104" i="2"/>
  <c r="I322" i="2"/>
  <c r="I451" i="2"/>
  <c r="I410" i="2"/>
  <c r="I723" i="2"/>
  <c r="I954" i="2"/>
  <c r="I761" i="2"/>
  <c r="I891" i="2"/>
  <c r="I1579" i="2"/>
  <c r="I1510" i="1"/>
  <c r="I1640" i="1"/>
  <c r="I254" i="2"/>
  <c r="I438" i="2"/>
  <c r="I741" i="2"/>
  <c r="I920" i="2"/>
  <c r="I1274" i="2"/>
  <c r="I677" i="2"/>
  <c r="I998" i="2"/>
  <c r="I1065" i="1"/>
  <c r="I1423" i="1"/>
  <c r="I991" i="1"/>
  <c r="I1280" i="1"/>
  <c r="I957" i="1"/>
  <c r="I1231" i="1"/>
  <c r="I1262" i="1"/>
  <c r="I1385" i="1"/>
  <c r="I1694" i="1"/>
  <c r="I1478" i="1"/>
  <c r="I1636" i="1"/>
  <c r="I1774" i="1"/>
  <c r="I356" i="2"/>
  <c r="I416" i="2"/>
  <c r="I433" i="2"/>
  <c r="I1078" i="1"/>
  <c r="I1084" i="1"/>
  <c r="I1503" i="1"/>
  <c r="I1010" i="1"/>
  <c r="I1316" i="1"/>
  <c r="I976" i="1"/>
  <c r="I1260" i="1"/>
  <c r="I1283" i="1"/>
  <c r="I1395" i="1"/>
  <c r="I1512" i="1"/>
  <c r="I1492" i="1"/>
  <c r="I1664" i="1"/>
  <c r="I1792" i="1"/>
  <c r="I81" i="2"/>
  <c r="I132" i="2"/>
  <c r="I806" i="2"/>
  <c r="I1497" i="2"/>
  <c r="I191" i="2"/>
  <c r="I488" i="2"/>
  <c r="I921" i="2"/>
  <c r="I1633" i="1"/>
  <c r="I959" i="2"/>
  <c r="I1699" i="1"/>
  <c r="I348" i="2"/>
  <c r="I454" i="2"/>
  <c r="I773" i="2"/>
  <c r="I936" i="2"/>
  <c r="I1314" i="2"/>
  <c r="I718" i="2"/>
  <c r="I721" i="2"/>
  <c r="I1614" i="1"/>
  <c r="I264" i="2"/>
  <c r="I439" i="2"/>
  <c r="I971" i="2"/>
  <c r="I927" i="2"/>
  <c r="I1702" i="2"/>
  <c r="I764" i="2"/>
  <c r="I1749" i="2"/>
  <c r="I712" i="2"/>
  <c r="I1585" i="2"/>
  <c r="I706" i="2"/>
  <c r="I554" i="2"/>
  <c r="I722" i="2"/>
  <c r="I1471" i="2"/>
  <c r="I1206" i="2"/>
  <c r="I1230" i="1"/>
  <c r="I1513" i="1"/>
  <c r="I1707" i="1"/>
  <c r="I198" i="2"/>
  <c r="I714" i="2"/>
  <c r="I1052" i="1"/>
  <c r="I978" i="1"/>
  <c r="I944" i="1"/>
  <c r="I1251" i="1"/>
  <c r="I1554" i="1"/>
  <c r="I1775" i="1"/>
  <c r="I238" i="2"/>
  <c r="I337" i="2"/>
  <c r="I100" i="2"/>
  <c r="I446" i="2"/>
  <c r="I719" i="2"/>
  <c r="I757" i="2"/>
  <c r="I1786" i="1"/>
  <c r="I136" i="2"/>
  <c r="I814" i="2"/>
  <c r="I1537" i="2"/>
  <c r="I247" i="2"/>
  <c r="I629" i="2"/>
  <c r="I240" i="1"/>
  <c r="I116" i="1"/>
  <c r="I339" i="1"/>
  <c r="I931" i="1"/>
  <c r="I521" i="1"/>
  <c r="I649" i="1"/>
  <c r="I1147" i="1"/>
  <c r="I926" i="1"/>
  <c r="I506" i="1"/>
  <c r="I634" i="1"/>
  <c r="I929" i="1"/>
  <c r="I821" i="1"/>
  <c r="I1477" i="1"/>
  <c r="I6" i="2"/>
  <c r="I982" i="1"/>
  <c r="I1060" i="1"/>
  <c r="I1417" i="1"/>
  <c r="I986" i="1"/>
  <c r="I1273" i="1"/>
  <c r="I952" i="1"/>
  <c r="I1228" i="1"/>
  <c r="I1259" i="1"/>
  <c r="I1383" i="1"/>
  <c r="I1662" i="1"/>
  <c r="I1476" i="1"/>
  <c r="I1632" i="1"/>
  <c r="I1768" i="1"/>
  <c r="I332" i="2"/>
  <c r="I384" i="2"/>
  <c r="I401" i="2"/>
  <c r="I1067" i="1"/>
  <c r="I1097" i="1"/>
  <c r="I879" i="1"/>
  <c r="I845" i="1"/>
  <c r="I1150" i="1"/>
  <c r="I1501" i="1"/>
  <c r="I1561" i="1"/>
  <c r="I18" i="2"/>
  <c r="I542" i="2"/>
  <c r="I972" i="1"/>
  <c r="I898" i="1"/>
  <c r="I864" i="1"/>
  <c r="I1171" i="1"/>
  <c r="I1538" i="1"/>
  <c r="I1587" i="1"/>
  <c r="I27" i="2"/>
  <c r="I616" i="2"/>
  <c r="I145" i="2"/>
  <c r="I366" i="2"/>
  <c r="I590" i="2"/>
  <c r="I670" i="2"/>
  <c r="I1677" i="1"/>
  <c r="I114" i="2"/>
  <c r="I526" i="2"/>
  <c r="I1084" i="2"/>
  <c r="I49" i="2"/>
  <c r="I1545" i="2"/>
  <c r="I889" i="1"/>
  <c r="I1033" i="1"/>
  <c r="I783" i="1"/>
  <c r="I1342" i="1"/>
  <c r="I1277" i="1"/>
  <c r="I1401" i="1"/>
  <c r="I1500" i="1"/>
  <c r="I95" i="2"/>
  <c r="I379" i="2"/>
  <c r="I1239" i="1"/>
  <c r="I786" i="1"/>
  <c r="I1380" i="1"/>
  <c r="I1312" i="1"/>
  <c r="I1411" i="1"/>
  <c r="I1523" i="1"/>
  <c r="I51" i="2"/>
  <c r="I459" i="2"/>
  <c r="I187" i="2"/>
  <c r="I424" i="2"/>
  <c r="I490" i="2"/>
  <c r="I445" i="2"/>
  <c r="I1761" i="1"/>
  <c r="I117" i="2"/>
  <c r="I291" i="2"/>
  <c r="I788" i="2"/>
  <c r="I67" i="2"/>
  <c r="I1088" i="2"/>
  <c r="I885" i="2"/>
  <c r="I1097" i="2"/>
  <c r="I1689" i="2"/>
  <c r="I1693" i="1"/>
  <c r="I59" i="2"/>
  <c r="I70" i="2"/>
  <c r="I82" i="2"/>
  <c r="I41" i="2"/>
  <c r="I216" i="2"/>
  <c r="I305" i="2"/>
  <c r="I243" i="2"/>
  <c r="I536" i="2"/>
  <c r="I595" i="2"/>
  <c r="I545" i="2"/>
  <c r="I1029" i="2"/>
  <c r="I1212" i="2"/>
  <c r="I1767" i="1"/>
  <c r="I1757" i="1"/>
  <c r="I1787" i="1"/>
  <c r="I157" i="2"/>
  <c r="I598" i="2"/>
  <c r="I1367" i="2"/>
  <c r="I1053" i="2"/>
  <c r="I1576" i="2"/>
  <c r="I1089" i="2"/>
  <c r="I1111" i="2"/>
  <c r="I975" i="1"/>
  <c r="I1255" i="1"/>
  <c r="I941" i="1"/>
  <c r="I1213" i="1"/>
  <c r="I1246" i="1"/>
  <c r="I1377" i="1"/>
  <c r="I1545" i="1"/>
  <c r="I1468" i="1"/>
  <c r="I1759" i="1"/>
  <c r="I1758" i="1"/>
  <c r="I230" i="2"/>
  <c r="I318" i="2"/>
  <c r="I922" i="2"/>
  <c r="I1014" i="1"/>
  <c r="I1068" i="1"/>
  <c r="I1439" i="1"/>
  <c r="I994" i="1"/>
  <c r="I1284" i="1"/>
  <c r="I960" i="1"/>
  <c r="I1242" i="1"/>
  <c r="I1267" i="1"/>
  <c r="I1387" i="1"/>
  <c r="I1726" i="1"/>
  <c r="I1480" i="1"/>
  <c r="I1644" i="1"/>
  <c r="I1776" i="1"/>
  <c r="I364" i="2"/>
  <c r="I448" i="2"/>
  <c r="I465" i="2"/>
  <c r="I256" i="2"/>
  <c r="I116" i="2"/>
  <c r="I328" i="2"/>
  <c r="I462" i="2"/>
  <c r="I426" i="2"/>
  <c r="I751" i="2"/>
  <c r="I349" i="2"/>
  <c r="I789" i="2"/>
  <c r="I939" i="2"/>
  <c r="I1458" i="2"/>
  <c r="I1645" i="1"/>
  <c r="I79" i="2"/>
  <c r="I24" i="2"/>
  <c r="I147" i="2"/>
  <c r="I219" i="2"/>
  <c r="I168" i="2"/>
  <c r="I432" i="2"/>
  <c r="I456" i="2"/>
  <c r="I495" i="2"/>
  <c r="I942" i="2"/>
  <c r="I449" i="2"/>
  <c r="I889" i="2"/>
  <c r="I1113" i="2"/>
  <c r="I1753" i="2"/>
  <c r="I1650" i="1"/>
  <c r="I1598" i="1"/>
  <c r="I232" i="2"/>
  <c r="I394" i="2"/>
  <c r="I843" i="2"/>
  <c r="I895" i="2"/>
  <c r="I1583" i="2"/>
  <c r="I1075" i="2"/>
  <c r="I967" i="2"/>
  <c r="I1129" i="1"/>
  <c r="I799" i="1"/>
  <c r="I1055" i="1"/>
  <c r="I1406" i="1"/>
  <c r="I1021" i="1"/>
  <c r="I1338" i="1"/>
  <c r="I1289" i="1"/>
  <c r="I1421" i="1"/>
  <c r="I1557" i="1"/>
  <c r="I1539" i="1"/>
  <c r="I1724" i="1"/>
  <c r="I107" i="2"/>
  <c r="I61" i="2"/>
  <c r="I507" i="2"/>
  <c r="I873" i="2"/>
  <c r="I1436" i="1"/>
  <c r="I1148" i="1"/>
  <c r="I818" i="1"/>
  <c r="I1074" i="1"/>
  <c r="I1451" i="1"/>
  <c r="I1040" i="1"/>
  <c r="I1376" i="1"/>
  <c r="I1299" i="1"/>
  <c r="I1441" i="1"/>
  <c r="I1577" i="1"/>
  <c r="I1634" i="1"/>
  <c r="I1785" i="1"/>
  <c r="I163" i="2"/>
  <c r="I331" i="2"/>
  <c r="I360" i="2"/>
  <c r="I381" i="2"/>
  <c r="I1661" i="1"/>
  <c r="I58" i="2"/>
  <c r="I516" i="2"/>
  <c r="I1177" i="2"/>
  <c r="I171" i="2"/>
  <c r="I1506" i="2"/>
  <c r="I1606" i="1"/>
  <c r="I248" i="2"/>
  <c r="I415" i="2"/>
  <c r="I907" i="2"/>
  <c r="I911" i="2"/>
  <c r="I1626" i="2"/>
  <c r="I700" i="2"/>
  <c r="I1031" i="2"/>
  <c r="I1780" i="1"/>
  <c r="I124" i="2"/>
  <c r="I774" i="2"/>
  <c r="I1542" i="2"/>
  <c r="I1149" i="2"/>
  <c r="I1700" i="2"/>
  <c r="I1130" i="2"/>
  <c r="I17" i="2"/>
  <c r="I1241" i="2"/>
  <c r="I581" i="2"/>
  <c r="I688" i="2"/>
  <c r="I597" i="2"/>
  <c r="I704" i="2"/>
  <c r="I1487" i="2"/>
  <c r="I1644" i="2"/>
  <c r="I1576" i="1"/>
  <c r="I189" i="2"/>
  <c r="I884" i="2"/>
  <c r="I1194" i="1"/>
  <c r="I1106" i="1"/>
  <c r="I1072" i="1"/>
  <c r="I1315" i="1"/>
  <c r="I1609" i="1"/>
  <c r="I1594" i="1"/>
  <c r="I253" i="2"/>
  <c r="I923" i="2"/>
  <c r="I228" i="2"/>
  <c r="I255" i="2"/>
  <c r="I623" i="2"/>
  <c r="I811" i="2"/>
  <c r="I16" i="2"/>
  <c r="I368" i="2"/>
  <c r="I385" i="2"/>
  <c r="I1542" i="1"/>
  <c r="I1047" i="2"/>
  <c r="I736" i="2"/>
  <c r="I304" i="1"/>
  <c r="I148" i="1"/>
  <c r="I403" i="1"/>
  <c r="I1186" i="1"/>
  <c r="I553" i="1"/>
  <c r="I713" i="1"/>
  <c r="I666" i="1"/>
  <c r="I1221" i="1"/>
  <c r="I538" i="1"/>
  <c r="I685" i="1"/>
  <c r="I1197" i="1"/>
  <c r="I1077" i="1"/>
  <c r="I1613" i="1"/>
  <c r="I460" i="2"/>
  <c r="I1268" i="1"/>
  <c r="I1124" i="1"/>
  <c r="I794" i="1"/>
  <c r="I1050" i="1"/>
  <c r="I1396" i="1"/>
  <c r="I1016" i="1"/>
  <c r="I1328" i="1"/>
  <c r="I1287" i="1"/>
  <c r="I1416" i="1"/>
  <c r="I1552" i="1"/>
  <c r="I1534" i="1"/>
  <c r="I1716" i="1"/>
  <c r="I83" i="2"/>
  <c r="I37" i="2"/>
  <c r="I491" i="2"/>
  <c r="I841" i="2"/>
  <c r="I1388" i="1"/>
  <c r="I1183" i="1"/>
  <c r="I1007" i="1"/>
  <c r="I973" i="1"/>
  <c r="I1278" i="1"/>
  <c r="I1509" i="1"/>
  <c r="I1660" i="1"/>
  <c r="I420" i="2"/>
  <c r="I561" i="2"/>
  <c r="I1100" i="1"/>
  <c r="I1026" i="1"/>
  <c r="I992" i="1"/>
  <c r="I1521" i="1"/>
  <c r="I1528" i="1"/>
  <c r="I1684" i="1"/>
  <c r="I179" i="2"/>
  <c r="I990" i="2"/>
  <c r="I148" i="2"/>
  <c r="I494" i="2"/>
  <c r="I870" i="2"/>
  <c r="I853" i="2"/>
  <c r="I47" i="2"/>
  <c r="I200" i="2"/>
  <c r="I563" i="2"/>
  <c r="I1719" i="1"/>
  <c r="I540" i="2"/>
  <c r="I867" i="2"/>
  <c r="I1131" i="1"/>
  <c r="I1113" i="1"/>
  <c r="I895" i="1"/>
  <c r="I861" i="1"/>
  <c r="I1166" i="1"/>
  <c r="I1527" i="1"/>
  <c r="I1579" i="1"/>
  <c r="I26" i="2"/>
  <c r="I600" i="2"/>
  <c r="I988" i="1"/>
  <c r="I914" i="1"/>
  <c r="I880" i="1"/>
  <c r="I1187" i="1"/>
  <c r="I1654" i="1"/>
  <c r="I1607" i="1"/>
  <c r="I62" i="2"/>
  <c r="I739" i="2"/>
  <c r="I36" i="2"/>
  <c r="I382" i="2"/>
  <c r="I606" i="2"/>
  <c r="I970" i="2"/>
  <c r="I1747" i="1"/>
  <c r="I125" i="2"/>
  <c r="I576" i="2"/>
  <c r="I1178" i="2"/>
  <c r="I220" i="2"/>
  <c r="I354" i="2"/>
  <c r="I1091" i="2"/>
  <c r="I1103" i="2"/>
  <c r="I1793" i="1"/>
  <c r="I1779" i="1"/>
  <c r="I183" i="2"/>
  <c r="I174" i="2"/>
  <c r="I161" i="2"/>
  <c r="I153" i="2"/>
  <c r="I282" i="2"/>
  <c r="I371" i="2"/>
  <c r="I307" i="2"/>
  <c r="I592" i="2"/>
  <c r="I695" i="2"/>
  <c r="I673" i="2"/>
  <c r="I852" i="2"/>
  <c r="I1335" i="2"/>
  <c r="I1466" i="1"/>
  <c r="I1615" i="1"/>
  <c r="I195" i="2"/>
  <c r="I284" i="2"/>
  <c r="I710" i="2"/>
  <c r="I1033" i="2"/>
  <c r="I1216" i="2"/>
  <c r="I418" i="2"/>
  <c r="I1657" i="2"/>
  <c r="I1297" i="2"/>
  <c r="I1039" i="1"/>
  <c r="I1374" i="1"/>
  <c r="I1005" i="1"/>
  <c r="I1306" i="1"/>
  <c r="I1678" i="1"/>
  <c r="I1409" i="1"/>
  <c r="I1541" i="1"/>
  <c r="I1518" i="1"/>
  <c r="I1700" i="1"/>
  <c r="I43" i="2"/>
  <c r="I66" i="2"/>
  <c r="I443" i="2"/>
  <c r="I745" i="2"/>
  <c r="I1302" i="1"/>
  <c r="I1132" i="1"/>
  <c r="I802" i="1"/>
  <c r="I1058" i="1"/>
  <c r="I1412" i="1"/>
  <c r="I1024" i="1"/>
  <c r="I1344" i="1"/>
  <c r="I1291" i="1"/>
  <c r="I1424" i="1"/>
  <c r="I1560" i="1"/>
  <c r="I1547" i="1"/>
  <c r="I1728" i="1"/>
  <c r="I115" i="2"/>
  <c r="I77" i="2"/>
  <c r="I472" i="2"/>
  <c r="I905" i="2"/>
  <c r="I50" i="2"/>
  <c r="I180" i="2"/>
  <c r="I269" i="2"/>
  <c r="I480" i="2"/>
  <c r="I511" i="2"/>
  <c r="I527" i="2"/>
  <c r="I477" i="2"/>
  <c r="I917" i="2"/>
  <c r="I1161" i="2"/>
  <c r="I1752" i="2"/>
  <c r="I1709" i="1"/>
  <c r="I91" i="2"/>
  <c r="I110" i="2"/>
  <c r="I45" i="2"/>
  <c r="I69" i="2"/>
  <c r="I234" i="2"/>
  <c r="I321" i="2"/>
  <c r="I259" i="2"/>
  <c r="I548" i="2"/>
  <c r="I627" i="2"/>
  <c r="I577" i="2"/>
  <c r="I660" i="2"/>
  <c r="I1135" i="2"/>
  <c r="I1442" i="1"/>
  <c r="I1553" i="1"/>
  <c r="I1764" i="1"/>
  <c r="I92" i="2"/>
  <c r="I703" i="2"/>
  <c r="I1451" i="2"/>
  <c r="I1117" i="2"/>
  <c r="I1765" i="2"/>
  <c r="I1277" i="2"/>
  <c r="I1547" i="2"/>
  <c r="I1208" i="1"/>
  <c r="I863" i="1"/>
  <c r="I1119" i="1"/>
  <c r="I829" i="1"/>
  <c r="I1085" i="1"/>
  <c r="I1487" i="1"/>
  <c r="I1321" i="1"/>
  <c r="I1485" i="1"/>
  <c r="I1621" i="1"/>
  <c r="I1773" i="1"/>
  <c r="I1608" i="1"/>
  <c r="I10" i="2"/>
  <c r="I175" i="2"/>
  <c r="I487" i="2"/>
  <c r="I1081" i="2"/>
  <c r="I956" i="1"/>
  <c r="I1233" i="1"/>
  <c r="I882" i="1"/>
  <c r="I1138" i="1"/>
  <c r="I848" i="1"/>
  <c r="I1104" i="1"/>
  <c r="I1155" i="1"/>
  <c r="I1331" i="1"/>
  <c r="I1506" i="1"/>
  <c r="I1655" i="1"/>
  <c r="I1564" i="1"/>
  <c r="I1626" i="1"/>
  <c r="I19" i="2"/>
  <c r="I593" i="2"/>
  <c r="I478" i="2"/>
  <c r="I821" i="2"/>
  <c r="I111" i="2"/>
  <c r="I184" i="2"/>
  <c r="I531" i="2"/>
  <c r="I1655" i="2"/>
  <c r="I479" i="2"/>
  <c r="I892" i="2"/>
  <c r="I1772" i="1"/>
  <c r="I108" i="2"/>
  <c r="I735" i="2"/>
  <c r="I1622" i="2"/>
  <c r="I1133" i="2"/>
  <c r="I1636" i="2"/>
  <c r="I1215" i="2"/>
  <c r="I1505" i="2"/>
  <c r="I13" i="2"/>
  <c r="I344" i="2"/>
  <c r="I365" i="2"/>
  <c r="I696" i="2"/>
  <c r="I1203" i="2"/>
  <c r="I514" i="2"/>
  <c r="I747" i="2"/>
  <c r="I376" i="2"/>
  <c r="I522" i="2"/>
  <c r="I819" i="2"/>
  <c r="I1070" i="2"/>
  <c r="I835" i="2"/>
  <c r="I1134" i="2"/>
  <c r="I1062" i="2"/>
  <c r="I1317" i="2"/>
  <c r="I149" i="2"/>
  <c r="I267" i="2"/>
  <c r="I692" i="2"/>
  <c r="I106" i="2"/>
  <c r="I196" i="2"/>
  <c r="I285" i="2"/>
  <c r="I512" i="2"/>
  <c r="I524" i="2"/>
  <c r="I559" i="2"/>
  <c r="I509" i="2"/>
  <c r="I949" i="2"/>
  <c r="I1237" i="2"/>
  <c r="I1732" i="1"/>
  <c r="I1725" i="1"/>
  <c r="I452" i="2"/>
  <c r="I142" i="2"/>
  <c r="I85" i="2"/>
  <c r="I97" i="2"/>
  <c r="I266" i="2"/>
  <c r="I339" i="2"/>
  <c r="I275" i="2"/>
  <c r="I560" i="2"/>
  <c r="I658" i="2"/>
  <c r="I609" i="2"/>
  <c r="I724" i="2"/>
  <c r="I1050" i="2"/>
  <c r="I1450" i="1"/>
  <c r="I1567" i="1"/>
  <c r="I1796" i="1"/>
  <c r="I156" i="2"/>
  <c r="I902" i="2"/>
  <c r="I1766" i="2"/>
  <c r="I1181" i="2"/>
  <c r="I1667" i="2"/>
  <c r="I1423" i="2"/>
  <c r="I1131" i="2"/>
  <c r="I1656" i="1"/>
  <c r="I1649" i="1"/>
  <c r="I87" i="2"/>
  <c r="I25" i="2"/>
  <c r="I155" i="2"/>
  <c r="I223" i="2"/>
  <c r="I172" i="2"/>
  <c r="I440" i="2"/>
  <c r="I464" i="2"/>
  <c r="I503" i="2"/>
  <c r="I966" i="2"/>
  <c r="I461" i="2"/>
  <c r="I901" i="2"/>
  <c r="I1129" i="2"/>
  <c r="I1624" i="2"/>
  <c r="I744" i="2"/>
  <c r="I1000" i="2"/>
  <c r="I975" i="2"/>
  <c r="I1197" i="2"/>
  <c r="I1086" i="2"/>
  <c r="I1305" i="2"/>
  <c r="I1550" i="2"/>
  <c r="I1731" i="2"/>
  <c r="I538" i="2"/>
  <c r="I437" i="2"/>
  <c r="I956" i="2"/>
  <c r="I1374" i="2"/>
  <c r="I587" i="2"/>
  <c r="I977" i="2"/>
  <c r="I1104" i="2"/>
  <c r="I1174" i="2"/>
  <c r="I1612" i="2"/>
  <c r="I1665" i="1"/>
  <c r="I119" i="2"/>
  <c r="I29" i="2"/>
  <c r="I199" i="2"/>
  <c r="I86" i="2"/>
  <c r="I188" i="2"/>
  <c r="I277" i="2"/>
  <c r="I496" i="2"/>
  <c r="I518" i="2"/>
  <c r="I543" i="2"/>
  <c r="I493" i="2"/>
  <c r="I933" i="2"/>
  <c r="I1193" i="2"/>
  <c r="I1719" i="2"/>
  <c r="I760" i="2"/>
  <c r="I1016" i="2"/>
  <c r="I991" i="2"/>
  <c r="I1213" i="2"/>
  <c r="I1118" i="2"/>
  <c r="I1349" i="2"/>
  <c r="I1590" i="2"/>
  <c r="I323" i="2"/>
  <c r="I546" i="2"/>
  <c r="I501" i="2"/>
  <c r="I1020" i="2"/>
  <c r="I1365" i="2"/>
  <c r="I650" i="2"/>
  <c r="I1279" i="2"/>
  <c r="I1707" i="2"/>
  <c r="I412" i="2"/>
  <c r="I486" i="2"/>
  <c r="I837" i="2"/>
  <c r="I968" i="2"/>
  <c r="I1402" i="2"/>
  <c r="I930" i="2"/>
  <c r="I849" i="2"/>
  <c r="I727" i="2"/>
  <c r="I765" i="2"/>
  <c r="I1095" i="2"/>
  <c r="I1532" i="2"/>
  <c r="I425" i="2"/>
  <c r="I944" i="2"/>
  <c r="I1124" i="2"/>
  <c r="I1286" i="2"/>
  <c r="I743" i="2"/>
  <c r="I781" i="2"/>
  <c r="I1057" i="2"/>
  <c r="I1600" i="2"/>
  <c r="I441" i="2"/>
  <c r="I960" i="2"/>
  <c r="I1188" i="2"/>
  <c r="I1740" i="2"/>
  <c r="I738" i="2"/>
  <c r="I1294" i="2"/>
  <c r="I1518" i="2"/>
  <c r="I1308" i="2"/>
  <c r="I1595" i="2"/>
  <c r="I1732" i="2"/>
  <c r="I1747" i="2"/>
  <c r="I552" i="2"/>
  <c r="I1199" i="2"/>
  <c r="I121" i="2"/>
  <c r="I272" i="2"/>
  <c r="I350" i="2"/>
  <c r="I287" i="2"/>
  <c r="I574" i="2"/>
  <c r="I685" i="2"/>
  <c r="I637" i="2"/>
  <c r="I772" i="2"/>
  <c r="I1146" i="2"/>
  <c r="I1580" i="1"/>
  <c r="I1746" i="1"/>
  <c r="I244" i="2"/>
  <c r="I206" i="2"/>
  <c r="I197" i="2"/>
  <c r="I56" i="2"/>
  <c r="I298" i="2"/>
  <c r="I403" i="2"/>
  <c r="I346" i="2"/>
  <c r="I624" i="2"/>
  <c r="I762" i="2"/>
  <c r="I1006" i="2"/>
  <c r="I980" i="2"/>
  <c r="I1438" i="2"/>
  <c r="I1482" i="1"/>
  <c r="I1667" i="1"/>
  <c r="I21" i="2"/>
  <c r="I408" i="2"/>
  <c r="I429" i="2"/>
  <c r="I728" i="2"/>
  <c r="I1054" i="2"/>
  <c r="I530" i="2"/>
  <c r="I523" i="2"/>
  <c r="I1754" i="2"/>
  <c r="I1720" i="1"/>
  <c r="I1713" i="1"/>
  <c r="I99" i="2"/>
  <c r="I118" i="2"/>
  <c r="I53" i="2"/>
  <c r="I73" i="2"/>
  <c r="I242" i="2"/>
  <c r="I325" i="2"/>
  <c r="I263" i="2"/>
  <c r="I550" i="2"/>
  <c r="I639" i="2"/>
  <c r="I589" i="2"/>
  <c r="I676" i="2"/>
  <c r="I1167" i="2"/>
  <c r="I985" i="2"/>
  <c r="I808" i="2"/>
  <c r="I783" i="2"/>
  <c r="I1044" i="2"/>
  <c r="I1120" i="2"/>
  <c r="I1214" i="2"/>
  <c r="I1288" i="2"/>
  <c r="I1611" i="2"/>
  <c r="I370" i="2"/>
  <c r="I602" i="2"/>
  <c r="I694" i="2"/>
  <c r="I931" i="2"/>
  <c r="I1734" i="2"/>
  <c r="I874" i="2"/>
  <c r="I800" i="2"/>
  <c r="I1413" i="2"/>
  <c r="I1533" i="2"/>
  <c r="I1737" i="1"/>
  <c r="I1729" i="1"/>
  <c r="I468" i="2"/>
  <c r="I146" i="2"/>
  <c r="I93" i="2"/>
  <c r="I101" i="2"/>
  <c r="I268" i="2"/>
  <c r="I342" i="2"/>
  <c r="I279" i="2"/>
  <c r="I566" i="2"/>
  <c r="I669" i="2"/>
  <c r="I621" i="2"/>
  <c r="I740" i="2"/>
  <c r="I1082" i="2"/>
  <c r="I1001" i="2"/>
  <c r="I824" i="2"/>
  <c r="I799" i="2"/>
  <c r="I1060" i="2"/>
  <c r="I1152" i="2"/>
  <c r="I1248" i="2"/>
  <c r="I1328" i="2"/>
  <c r="I1714" i="2"/>
  <c r="I386" i="2"/>
  <c r="I634" i="2"/>
  <c r="I1026" i="2"/>
  <c r="I995" i="2"/>
  <c r="I1473" i="2"/>
  <c r="I345" i="2"/>
  <c r="I1521" i="2"/>
  <c r="I1622" i="1"/>
  <c r="I508" i="2"/>
  <c r="I458" i="2"/>
  <c r="I1037" i="2"/>
  <c r="I943" i="2"/>
  <c r="I1462" i="2"/>
  <c r="I828" i="2"/>
  <c r="I1125" i="2"/>
  <c r="I631" i="2"/>
  <c r="I1021" i="2"/>
  <c r="I1196" i="2"/>
  <c r="I596" i="2"/>
  <c r="I681" i="2"/>
  <c r="I919" i="2"/>
  <c r="I1292" i="2"/>
  <c r="I1557" i="2"/>
  <c r="I647" i="2"/>
  <c r="I1041" i="2"/>
  <c r="I1228" i="2"/>
  <c r="I604" i="2"/>
  <c r="I697" i="2"/>
  <c r="I935" i="2"/>
  <c r="I1376" i="2"/>
  <c r="I613" i="2"/>
  <c r="I720" i="2"/>
  <c r="I1042" i="2"/>
  <c r="I1441" i="2"/>
  <c r="I1186" i="2"/>
  <c r="I1396" i="2"/>
  <c r="I1289" i="2"/>
  <c r="I1546" i="2"/>
  <c r="I170" i="2"/>
  <c r="I250" i="2"/>
  <c r="I643" i="2"/>
  <c r="I209" i="2"/>
  <c r="I68" i="2"/>
  <c r="I304" i="2"/>
  <c r="I414" i="2"/>
  <c r="I362" i="2"/>
  <c r="I638" i="2"/>
  <c r="I818" i="2"/>
  <c r="I1036" i="2"/>
  <c r="I1028" i="2"/>
  <c r="I1385" i="2"/>
  <c r="I1612" i="1"/>
  <c r="I1778" i="1"/>
  <c r="I12" i="2"/>
  <c r="I372" i="2"/>
  <c r="I261" i="2"/>
  <c r="I120" i="2"/>
  <c r="I336" i="2"/>
  <c r="I467" i="2"/>
  <c r="I431" i="2"/>
  <c r="I755" i="2"/>
  <c r="I353" i="2"/>
  <c r="I793" i="2"/>
  <c r="I955" i="2"/>
  <c r="I1502" i="2"/>
  <c r="I1526" i="1"/>
  <c r="I1672" i="1"/>
  <c r="I444" i="2"/>
  <c r="I502" i="2"/>
  <c r="I869" i="2"/>
  <c r="I984" i="2"/>
  <c r="I1444" i="2"/>
  <c r="I373" i="2"/>
  <c r="I913" i="2"/>
  <c r="I1599" i="1"/>
  <c r="I1574" i="1"/>
  <c r="I1740" i="1"/>
  <c r="I233" i="2"/>
  <c r="I194" i="2"/>
  <c r="I185" i="2"/>
  <c r="I44" i="2"/>
  <c r="I292" i="2"/>
  <c r="I390" i="2"/>
  <c r="I330" i="2"/>
  <c r="I614" i="2"/>
  <c r="I742" i="2"/>
  <c r="I986" i="2"/>
  <c r="I932" i="2"/>
  <c r="I1310" i="2"/>
  <c r="I1051" i="2"/>
  <c r="I872" i="2"/>
  <c r="I847" i="2"/>
  <c r="I1069" i="2"/>
  <c r="I1247" i="2"/>
  <c r="I1371" i="2"/>
  <c r="I1456" i="2"/>
  <c r="I1778" i="2"/>
  <c r="I434" i="2"/>
  <c r="I918" i="2"/>
  <c r="I877" i="2"/>
  <c r="I1153" i="2"/>
  <c r="I1720" i="2"/>
  <c r="I537" i="2"/>
  <c r="I775" i="2"/>
  <c r="I1154" i="2"/>
  <c r="I1364" i="2"/>
  <c r="I1582" i="1"/>
  <c r="I1748" i="1"/>
  <c r="I249" i="2"/>
  <c r="I210" i="2"/>
  <c r="I201" i="2"/>
  <c r="I60" i="2"/>
  <c r="I300" i="2"/>
  <c r="I406" i="2"/>
  <c r="I351" i="2"/>
  <c r="I630" i="2"/>
  <c r="I786" i="2"/>
  <c r="I1018" i="2"/>
  <c r="I996" i="2"/>
  <c r="I1301" i="2"/>
  <c r="I1067" i="2"/>
  <c r="I888" i="2"/>
  <c r="I863" i="2"/>
  <c r="I1085" i="2"/>
  <c r="I1271" i="2"/>
  <c r="I1407" i="2"/>
  <c r="I1499" i="2"/>
  <c r="I1637" i="2"/>
  <c r="I450" i="2"/>
  <c r="I551" i="2"/>
  <c r="I941" i="2"/>
  <c r="I1217" i="2"/>
  <c r="I556" i="2"/>
  <c r="I1043" i="2"/>
  <c r="I1262" i="2"/>
  <c r="I1788" i="1"/>
  <c r="I140" i="2"/>
  <c r="I838" i="2"/>
  <c r="I1598" i="2"/>
  <c r="I1165" i="2"/>
  <c r="I1764" i="2"/>
  <c r="I1259" i="2"/>
  <c r="I1080" i="2"/>
  <c r="I962" i="2"/>
  <c r="I844" i="2"/>
  <c r="I1319" i="2"/>
  <c r="I894" i="2"/>
  <c r="I865" i="2"/>
  <c r="I1141" i="2"/>
  <c r="I1144" i="2"/>
  <c r="I1666" i="2"/>
  <c r="I341" i="2"/>
  <c r="I860" i="2"/>
  <c r="I1351" i="2"/>
  <c r="I926" i="2"/>
  <c r="I881" i="2"/>
  <c r="I1157" i="2"/>
  <c r="I1208" i="2"/>
  <c r="I851" i="2"/>
  <c r="I1166" i="2"/>
  <c r="I1490" i="2"/>
  <c r="I1601" i="2"/>
  <c r="I1549" i="2"/>
  <c r="I1745" i="2"/>
  <c r="I1703" i="2"/>
  <c r="I1791" i="2"/>
  <c r="I1688" i="1"/>
  <c r="I1681" i="1"/>
  <c r="I35" i="2"/>
  <c r="I38" i="2"/>
  <c r="I46" i="2"/>
  <c r="I122" i="2"/>
  <c r="I204" i="2"/>
  <c r="I293" i="2"/>
  <c r="I231" i="2"/>
  <c r="I528" i="2"/>
  <c r="I575" i="2"/>
  <c r="I525" i="2"/>
  <c r="I981" i="2"/>
  <c r="I1116" i="2"/>
  <c r="I953" i="2"/>
  <c r="I776" i="2"/>
  <c r="I1032" i="2"/>
  <c r="I1007" i="2"/>
  <c r="I1245" i="2"/>
  <c r="I1150" i="2"/>
  <c r="I1389" i="2"/>
  <c r="I1501" i="2"/>
  <c r="I338" i="2"/>
  <c r="I562" i="2"/>
  <c r="I565" i="2"/>
  <c r="I803" i="2"/>
  <c r="I1344" i="2"/>
  <c r="I679" i="2"/>
  <c r="I672" i="2"/>
  <c r="I1038" i="2"/>
  <c r="I1421" i="2"/>
  <c r="I578" i="2"/>
  <c r="I822" i="2"/>
  <c r="I693" i="2"/>
  <c r="I389" i="2"/>
  <c r="I645" i="2"/>
  <c r="I829" i="2"/>
  <c r="I652" i="2"/>
  <c r="I908" i="2"/>
  <c r="I883" i="2"/>
  <c r="I1105" i="2"/>
  <c r="I1119" i="2"/>
  <c r="I1246" i="2"/>
  <c r="I1559" i="2"/>
  <c r="I1721" i="2"/>
  <c r="I628" i="2"/>
  <c r="I539" i="2"/>
  <c r="I778" i="2"/>
  <c r="I489" i="2"/>
  <c r="I1014" i="2"/>
  <c r="I929" i="2"/>
  <c r="I752" i="2"/>
  <c r="I1008" i="2"/>
  <c r="I983" i="2"/>
  <c r="I1205" i="2"/>
  <c r="I1323" i="2"/>
  <c r="I1175" i="2"/>
  <c r="I1630" i="2"/>
  <c r="I1195" i="2"/>
  <c r="I1678" i="2"/>
  <c r="I1361" i="2"/>
  <c r="I1588" i="2"/>
  <c r="I1613" i="2"/>
  <c r="I586" i="2"/>
  <c r="I854" i="2"/>
  <c r="I671" i="2"/>
  <c r="I405" i="2"/>
  <c r="I662" i="2"/>
  <c r="I845" i="2"/>
  <c r="I668" i="2"/>
  <c r="I924" i="2"/>
  <c r="I899" i="2"/>
  <c r="I1121" i="2"/>
  <c r="I1151" i="2"/>
  <c r="I1290" i="2"/>
  <c r="I1599" i="2"/>
  <c r="I1785" i="2"/>
  <c r="I636" i="2"/>
  <c r="I555" i="2"/>
  <c r="I810" i="2"/>
  <c r="I505" i="2"/>
  <c r="I1030" i="2"/>
  <c r="I945" i="2"/>
  <c r="I768" i="2"/>
  <c r="I1024" i="2"/>
  <c r="I999" i="2"/>
  <c r="I1221" i="2"/>
  <c r="I1250" i="2"/>
  <c r="I1249" i="2"/>
  <c r="I1470" i="2"/>
  <c r="I1046" i="2"/>
  <c r="I1560" i="2"/>
  <c r="I759" i="2"/>
  <c r="I797" i="2"/>
  <c r="I1073" i="2"/>
  <c r="I1593" i="2"/>
  <c r="I457" i="2"/>
  <c r="I976" i="2"/>
  <c r="I1252" i="2"/>
  <c r="I1414" i="2"/>
  <c r="I1606" i="2"/>
  <c r="I1327" i="2"/>
  <c r="I1548" i="2"/>
  <c r="I1347" i="2"/>
  <c r="I1592" i="2"/>
  <c r="I1507" i="2"/>
  <c r="I1664" i="2"/>
  <c r="I1756" i="2"/>
  <c r="I1650" i="2"/>
  <c r="I1278" i="2"/>
  <c r="I1769" i="2"/>
  <c r="I1306" i="2"/>
  <c r="I1620" i="2"/>
  <c r="I1662" i="2"/>
  <c r="I1647" i="2"/>
  <c r="I1739" i="2"/>
  <c r="I1236" i="2"/>
  <c r="I1440" i="2"/>
  <c r="I1255" i="2"/>
  <c r="I1463" i="2"/>
  <c r="I1398" i="2"/>
  <c r="I1706" i="2"/>
  <c r="I1536" i="2"/>
  <c r="I601" i="2"/>
  <c r="I839" i="2"/>
  <c r="I1234" i="2"/>
  <c r="I1618" i="2"/>
  <c r="I1769" i="1"/>
  <c r="I1755" i="1"/>
  <c r="I139" i="2"/>
  <c r="I162" i="2"/>
  <c r="I129" i="2"/>
  <c r="I133" i="2"/>
  <c r="I276" i="2"/>
  <c r="I358" i="2"/>
  <c r="I295" i="2"/>
  <c r="I582" i="2"/>
  <c r="I655" i="2"/>
  <c r="I654" i="2"/>
  <c r="I804" i="2"/>
  <c r="I1210" i="2"/>
  <c r="I1017" i="2"/>
  <c r="I840" i="2"/>
  <c r="I815" i="2"/>
  <c r="I1087" i="2"/>
  <c r="I1184" i="2"/>
  <c r="I1307" i="2"/>
  <c r="I1372" i="2"/>
  <c r="I1512" i="2"/>
  <c r="I402" i="2"/>
  <c r="I711" i="2"/>
  <c r="I749" i="2"/>
  <c r="I1064" i="2"/>
  <c r="I1468" i="2"/>
  <c r="I409" i="2"/>
  <c r="I928" i="2"/>
  <c r="I1253" i="2"/>
  <c r="I1445" i="2"/>
  <c r="I610" i="2"/>
  <c r="I950" i="2"/>
  <c r="I734" i="2"/>
  <c r="I453" i="2"/>
  <c r="I978" i="2"/>
  <c r="I893" i="2"/>
  <c r="I716" i="2"/>
  <c r="I972" i="2"/>
  <c r="I947" i="2"/>
  <c r="I1169" i="2"/>
  <c r="I1034" i="2"/>
  <c r="I1418" i="2"/>
  <c r="I1478" i="2"/>
  <c r="I1784" i="2"/>
  <c r="I699" i="2"/>
  <c r="I603" i="2"/>
  <c r="I906" i="2"/>
  <c r="I553" i="2"/>
  <c r="I737" i="2"/>
  <c r="I993" i="2"/>
  <c r="I816" i="2"/>
  <c r="I791" i="2"/>
  <c r="I1052" i="2"/>
  <c r="I1168" i="2"/>
  <c r="I1392" i="2"/>
  <c r="I1218" i="2"/>
  <c r="I1615" i="2"/>
  <c r="I1240" i="2"/>
  <c r="I1682" i="2"/>
  <c r="I1428" i="2"/>
  <c r="I1777" i="2"/>
  <c r="I1676" i="2"/>
  <c r="I618" i="2"/>
  <c r="I519" i="2"/>
  <c r="I750" i="2"/>
  <c r="I469" i="2"/>
  <c r="I994" i="2"/>
  <c r="I909" i="2"/>
  <c r="I732" i="2"/>
  <c r="I988" i="2"/>
  <c r="I963" i="2"/>
  <c r="I1185" i="2"/>
  <c r="I1066" i="2"/>
  <c r="I1467" i="2"/>
  <c r="I1522" i="2"/>
  <c r="I1687" i="2"/>
  <c r="I715" i="2"/>
  <c r="I619" i="2"/>
  <c r="I938" i="2"/>
  <c r="I569" i="2"/>
  <c r="I753" i="2"/>
  <c r="I1009" i="2"/>
  <c r="I832" i="2"/>
  <c r="I807" i="2"/>
  <c r="I1071" i="2"/>
  <c r="I1200" i="2"/>
  <c r="I1563" i="2"/>
  <c r="I1311" i="2"/>
  <c r="I1516" i="2"/>
  <c r="I1331" i="2"/>
  <c r="I1491" i="2"/>
  <c r="I661" i="2"/>
  <c r="I1055" i="2"/>
  <c r="I1260" i="2"/>
  <c r="I612" i="2"/>
  <c r="I982" i="2"/>
  <c r="I951" i="2"/>
  <c r="I1461" i="2"/>
  <c r="I1460" i="2"/>
  <c r="I1604" i="2"/>
  <c r="I1426" i="2"/>
  <c r="I1639" i="2"/>
  <c r="I1455" i="2"/>
  <c r="I1683" i="2"/>
  <c r="I1514" i="2"/>
  <c r="I1759" i="2"/>
  <c r="I1136" i="2"/>
  <c r="I1092" i="2"/>
  <c r="I1437" i="2"/>
  <c r="I1112" i="2"/>
  <c r="I1276" i="2"/>
  <c r="I1254" i="2"/>
  <c r="I1525" i="2"/>
  <c r="I1619" i="2"/>
  <c r="I1378" i="2"/>
  <c r="I1074" i="2"/>
  <c r="I1534" i="2"/>
  <c r="I1094" i="2"/>
  <c r="I1558" i="2"/>
  <c r="I1284" i="2"/>
  <c r="I1633" i="2"/>
  <c r="I1725" i="2"/>
  <c r="I785" i="2"/>
  <c r="I1061" i="2"/>
  <c r="I1705" i="2"/>
  <c r="I1776" i="2"/>
  <c r="I1590" i="1"/>
  <c r="I1756" i="1"/>
  <c r="I265" i="2"/>
  <c r="I226" i="2"/>
  <c r="I217" i="2"/>
  <c r="I76" i="2"/>
  <c r="I308" i="2"/>
  <c r="I422" i="2"/>
  <c r="I375" i="2"/>
  <c r="I646" i="2"/>
  <c r="I850" i="2"/>
  <c r="I709" i="2"/>
  <c r="I779" i="2"/>
  <c r="I1280" i="2"/>
  <c r="I1099" i="2"/>
  <c r="I904" i="2"/>
  <c r="I879" i="2"/>
  <c r="I1101" i="2"/>
  <c r="I1107" i="2"/>
  <c r="I1230" i="2"/>
  <c r="I1543" i="2"/>
  <c r="I1701" i="2"/>
  <c r="I466" i="2"/>
  <c r="I615" i="2"/>
  <c r="I1005" i="2"/>
  <c r="I1164" i="2"/>
  <c r="I588" i="2"/>
  <c r="I665" i="2"/>
  <c r="I903" i="2"/>
  <c r="I1397" i="2"/>
  <c r="I1493" i="2"/>
  <c r="I642" i="2"/>
  <c r="I567" i="2"/>
  <c r="I834" i="2"/>
  <c r="I517" i="2"/>
  <c r="I701" i="2"/>
  <c r="I957" i="2"/>
  <c r="I780" i="2"/>
  <c r="I1035" i="2"/>
  <c r="I1011" i="2"/>
  <c r="I1068" i="2"/>
  <c r="I1162" i="2"/>
  <c r="I1405" i="2"/>
  <c r="I1517" i="2"/>
  <c r="I564" i="2"/>
  <c r="I766" i="2"/>
  <c r="I666" i="2"/>
  <c r="I361" i="2"/>
  <c r="I617" i="2"/>
  <c r="I801" i="2"/>
  <c r="I1059" i="2"/>
  <c r="I880" i="2"/>
  <c r="I855" i="2"/>
  <c r="I1077" i="2"/>
  <c r="I1123" i="2"/>
  <c r="I1544" i="2"/>
  <c r="I1322" i="2"/>
  <c r="I1640" i="2"/>
  <c r="I1346" i="2"/>
  <c r="I1684" i="2"/>
  <c r="I1726" i="2"/>
  <c r="I1679" i="2"/>
  <c r="I1771" i="2"/>
  <c r="I651" i="2"/>
  <c r="I583" i="2"/>
  <c r="I866" i="2"/>
  <c r="I533" i="2"/>
  <c r="I717" i="2"/>
  <c r="I973" i="2"/>
  <c r="I796" i="2"/>
  <c r="I771" i="2"/>
  <c r="I1027" i="2"/>
  <c r="I1100" i="2"/>
  <c r="I1194" i="2"/>
  <c r="I1457" i="2"/>
  <c r="I1565" i="2"/>
  <c r="I572" i="2"/>
  <c r="I798" i="2"/>
  <c r="I682" i="2"/>
  <c r="I377" i="2"/>
  <c r="I633" i="2"/>
  <c r="I817" i="2"/>
  <c r="I1083" i="2"/>
  <c r="I896" i="2"/>
  <c r="I871" i="2"/>
  <c r="I1093" i="2"/>
  <c r="I1155" i="2"/>
  <c r="I1733" i="2"/>
  <c r="I1406" i="2"/>
  <c r="I1768" i="2"/>
  <c r="I1434" i="2"/>
  <c r="I1648" i="2"/>
  <c r="I357" i="2"/>
  <c r="I876" i="2"/>
  <c r="I1383" i="2"/>
  <c r="I958" i="2"/>
  <c r="I897" i="2"/>
  <c r="I1173" i="2"/>
  <c r="I1267" i="2"/>
  <c r="I1552" i="2"/>
  <c r="I1204" i="2"/>
  <c r="I1400" i="2"/>
  <c r="I1224" i="2"/>
  <c r="I1424" i="2"/>
  <c r="I1366" i="2"/>
  <c r="I1642" i="2"/>
  <c r="I1504" i="2"/>
  <c r="I1232" i="2"/>
  <c r="I1143" i="2"/>
  <c r="I1591" i="2"/>
  <c r="I1163" i="2"/>
  <c r="I1614" i="2"/>
  <c r="I1329" i="2"/>
  <c r="I1556" i="2"/>
  <c r="I1786" i="2"/>
  <c r="I1442" i="2"/>
  <c r="I1359" i="2"/>
  <c r="I1750" i="2"/>
  <c r="I1379" i="2"/>
  <c r="I1794" i="2"/>
  <c r="I1539" i="2"/>
  <c r="I1696" i="2"/>
  <c r="I1788" i="2"/>
  <c r="I1651" i="2"/>
  <c r="I1498" i="2"/>
  <c r="I1743" i="2"/>
  <c r="I594" i="2"/>
  <c r="I886" i="2"/>
  <c r="I702" i="2"/>
  <c r="I421" i="2"/>
  <c r="I678" i="2"/>
  <c r="I861" i="2"/>
  <c r="I684" i="2"/>
  <c r="I940" i="2"/>
  <c r="I915" i="2"/>
  <c r="I1137" i="2"/>
  <c r="I1183" i="2"/>
  <c r="I1330" i="2"/>
  <c r="I1646" i="2"/>
  <c r="I1656" i="2"/>
  <c r="I644" i="2"/>
  <c r="I571" i="2"/>
  <c r="I842" i="2"/>
  <c r="I521" i="2"/>
  <c r="I705" i="2"/>
  <c r="I961" i="2"/>
  <c r="I784" i="2"/>
  <c r="I1040" i="2"/>
  <c r="I1015" i="2"/>
  <c r="I1072" i="2"/>
  <c r="I1422" i="2"/>
  <c r="I1090" i="2"/>
  <c r="I1554" i="2"/>
  <c r="I1110" i="2"/>
  <c r="I1582" i="2"/>
  <c r="I1300" i="2"/>
  <c r="I1649" i="2"/>
  <c r="I1741" i="2"/>
  <c r="I1285" i="2"/>
  <c r="I1526" i="2"/>
  <c r="I1699" i="2"/>
  <c r="I1265" i="2"/>
  <c r="I1106" i="2"/>
  <c r="I1391" i="2"/>
  <c r="I1333" i="2"/>
  <c r="I1483" i="2"/>
  <c r="I1574" i="2"/>
  <c r="I1609" i="2"/>
  <c r="I1767" i="2"/>
  <c r="I1275" i="2"/>
  <c r="I1126" i="2"/>
  <c r="I1419" i="2"/>
  <c r="I1357" i="2"/>
  <c r="I1511" i="2"/>
  <c r="I1469" i="2"/>
  <c r="I1653" i="2"/>
  <c r="I1395" i="2"/>
  <c r="I1430" i="2"/>
  <c r="I1316" i="2"/>
  <c r="I1571" i="2"/>
  <c r="I1578" i="2"/>
  <c r="I1476" i="2"/>
  <c r="I1665" i="2"/>
  <c r="I1728" i="2"/>
  <c r="I1783" i="2"/>
  <c r="I1568" i="2"/>
  <c r="I1757" i="2"/>
  <c r="I1659" i="2"/>
  <c r="I1263" i="2"/>
  <c r="I1387" i="2"/>
  <c r="I1479" i="2"/>
  <c r="I1605" i="2"/>
  <c r="I1156" i="2"/>
  <c r="I1207" i="2"/>
  <c r="I1251" i="2"/>
  <c r="I1362" i="2"/>
  <c r="I1336" i="2"/>
  <c r="I1710" i="2"/>
  <c r="I1722" i="2"/>
  <c r="I1704" i="2"/>
  <c r="I1176" i="2"/>
  <c r="I1227" i="2"/>
  <c r="I1299" i="2"/>
  <c r="I1390" i="2"/>
  <c r="I1360" i="2"/>
  <c r="I1454" i="2"/>
  <c r="I1496" i="2"/>
  <c r="I1748" i="2"/>
  <c r="I1318" i="2"/>
  <c r="I1393" i="2"/>
  <c r="I1459" i="2"/>
  <c r="I1466" i="2"/>
  <c r="I1589" i="2"/>
  <c r="I1758" i="2"/>
  <c r="I1616" i="2"/>
  <c r="I1711" i="2"/>
  <c r="I1730" i="2"/>
  <c r="I1645" i="2"/>
  <c r="I1708" i="2"/>
  <c r="I2" i="1"/>
  <c r="I1369" i="2"/>
  <c r="I1481" i="2"/>
  <c r="I1225" i="2"/>
  <c r="I1287" i="2"/>
  <c r="I1138" i="2"/>
  <c r="I1435" i="2"/>
  <c r="I1373" i="2"/>
  <c r="I1527" i="2"/>
  <c r="I1485" i="2"/>
  <c r="I1673" i="2"/>
  <c r="I1261" i="2"/>
  <c r="I1115" i="2"/>
  <c r="I1158" i="2"/>
  <c r="I1242" i="2"/>
  <c r="I1401" i="2"/>
  <c r="I1551" i="2"/>
  <c r="I1513" i="2"/>
  <c r="I1717" i="2"/>
  <c r="I1427" i="2"/>
  <c r="I1281" i="2"/>
  <c r="I1348" i="2"/>
  <c r="I1602" i="2"/>
  <c r="I1477" i="2"/>
  <c r="I1508" i="2"/>
  <c r="I1697" i="2"/>
  <c r="I1760" i="2"/>
  <c r="I1569" i="2"/>
  <c r="I1738" i="2"/>
  <c r="I1789" i="2"/>
  <c r="I1691" i="2"/>
  <c r="I1350" i="2"/>
  <c r="I1623" i="2"/>
  <c r="I1488" i="2"/>
  <c r="I626" i="2"/>
  <c r="I535" i="2"/>
  <c r="I770" i="2"/>
  <c r="I485" i="2"/>
  <c r="I1010" i="2"/>
  <c r="I925" i="2"/>
  <c r="I748" i="2"/>
  <c r="I1004" i="2"/>
  <c r="I979" i="2"/>
  <c r="I1201" i="2"/>
  <c r="I1098" i="2"/>
  <c r="I1321" i="2"/>
  <c r="I1566" i="2"/>
  <c r="I1751" i="2"/>
  <c r="I731" i="2"/>
  <c r="I635" i="2"/>
  <c r="I329" i="2"/>
  <c r="I585" i="2"/>
  <c r="I769" i="2"/>
  <c r="I1025" i="2"/>
  <c r="I848" i="2"/>
  <c r="I823" i="2"/>
  <c r="I1045" i="2"/>
  <c r="I1231" i="2"/>
  <c r="I1486" i="2"/>
  <c r="I1375" i="2"/>
  <c r="I1782" i="2"/>
  <c r="I1399" i="2"/>
  <c r="I1621" i="2"/>
  <c r="I1555" i="2"/>
  <c r="I1712" i="2"/>
  <c r="I1643" i="2"/>
  <c r="I1264" i="2"/>
  <c r="I1577" i="2"/>
  <c r="I1076" i="2"/>
  <c r="I1127" i="2"/>
  <c r="I1170" i="2"/>
  <c r="I1258" i="2"/>
  <c r="I1417" i="2"/>
  <c r="I1567" i="2"/>
  <c r="I1529" i="2"/>
  <c r="I1737" i="2"/>
  <c r="I1096" i="2"/>
  <c r="I1147" i="2"/>
  <c r="I1190" i="2"/>
  <c r="I1282" i="2"/>
  <c r="I1449" i="2"/>
  <c r="I1594" i="2"/>
  <c r="I1561" i="2"/>
  <c r="I1781" i="2"/>
  <c r="I1238" i="2"/>
  <c r="I1313" i="2"/>
  <c r="I1380" i="2"/>
  <c r="I1634" i="2"/>
  <c r="I1509" i="2"/>
  <c r="I1540" i="2"/>
  <c r="I1729" i="2"/>
  <c r="I1792" i="2"/>
  <c r="I1603" i="2"/>
  <c r="I1770" i="2"/>
  <c r="I1628" i="2"/>
  <c r="I1723" i="2"/>
  <c r="I1187" i="2"/>
  <c r="I1338" i="2"/>
  <c r="I1654" i="2"/>
  <c r="I1668" i="2"/>
  <c r="I1220" i="2"/>
  <c r="I1058" i="2"/>
  <c r="I1343" i="2"/>
  <c r="I1452" i="2"/>
  <c r="I1420" i="2"/>
  <c r="I1510" i="2"/>
  <c r="I1580" i="2"/>
  <c r="I1671" i="2"/>
  <c r="I1239" i="2"/>
  <c r="I1078" i="2"/>
  <c r="I1363" i="2"/>
  <c r="I1293" i="2"/>
  <c r="I1448" i="2"/>
  <c r="I1538" i="2"/>
  <c r="I1762" i="2"/>
  <c r="I1715" i="2"/>
  <c r="I1382" i="2"/>
  <c r="I1268" i="2"/>
  <c r="I1523" i="2"/>
  <c r="I1530" i="2"/>
  <c r="I1674" i="2"/>
  <c r="I1617" i="2"/>
  <c r="I1680" i="2"/>
  <c r="I1775" i="2"/>
  <c r="I1520" i="2"/>
  <c r="I1709" i="2"/>
  <c r="I1772" i="2"/>
  <c r="I1283" i="2"/>
  <c r="I1352" i="2"/>
  <c r="I1480" i="2"/>
  <c r="I1108" i="2"/>
  <c r="I1159" i="2"/>
  <c r="I1202" i="2"/>
  <c r="I1298" i="2"/>
  <c r="I1272" i="2"/>
  <c r="I1610" i="2"/>
  <c r="I1581" i="2"/>
  <c r="I1608" i="2"/>
  <c r="I1128" i="2"/>
  <c r="I1179" i="2"/>
  <c r="I1222" i="2"/>
  <c r="I1326" i="2"/>
  <c r="I1296" i="2"/>
  <c r="I1638" i="2"/>
  <c r="I1627" i="2"/>
  <c r="I1652" i="2"/>
  <c r="I1270" i="2"/>
  <c r="I1345" i="2"/>
  <c r="I1412" i="2"/>
  <c r="I1694" i="2"/>
  <c r="I1541" i="2"/>
  <c r="I1572" i="2"/>
  <c r="I1761" i="2"/>
  <c r="I1663" i="2"/>
  <c r="I1635" i="2"/>
  <c r="I1597" i="2"/>
  <c r="I1660" i="2"/>
  <c r="I1755" i="2"/>
  <c r="I1494" i="2"/>
  <c r="I1425" i="2"/>
  <c r="I1790" i="2"/>
  <c r="I1677" i="2"/>
  <c r="I691" i="2"/>
  <c r="I599" i="2"/>
  <c r="I898" i="2"/>
  <c r="I549" i="2"/>
  <c r="I733" i="2"/>
  <c r="I989" i="2"/>
  <c r="I812" i="2"/>
  <c r="I787" i="2"/>
  <c r="I1048" i="2"/>
  <c r="I1132" i="2"/>
  <c r="I1226" i="2"/>
  <c r="I1304" i="2"/>
  <c r="I1631" i="2"/>
  <c r="I580" i="2"/>
  <c r="I830" i="2"/>
  <c r="I698" i="2"/>
  <c r="I393" i="2"/>
  <c r="I649" i="2"/>
  <c r="I833" i="2"/>
  <c r="I656" i="2"/>
  <c r="I912" i="2"/>
  <c r="I887" i="2"/>
  <c r="I1109" i="2"/>
  <c r="I1219" i="2"/>
  <c r="I1796" i="2"/>
  <c r="I1309" i="2"/>
  <c r="I1735" i="2"/>
  <c r="I1337" i="2"/>
  <c r="I1779" i="2"/>
  <c r="I1562" i="2"/>
  <c r="I1795" i="2"/>
  <c r="I1355" i="2"/>
  <c r="I1436" i="2"/>
  <c r="I1746" i="2"/>
  <c r="I1140" i="2"/>
  <c r="I1191" i="2"/>
  <c r="I1235" i="2"/>
  <c r="I1342" i="2"/>
  <c r="I1312" i="2"/>
  <c r="I1670" i="2"/>
  <c r="I1658" i="2"/>
  <c r="I1672" i="2"/>
  <c r="I1160" i="2"/>
  <c r="I1211" i="2"/>
  <c r="I1256" i="2"/>
  <c r="I1370" i="2"/>
  <c r="I1340" i="2"/>
  <c r="I1718" i="2"/>
  <c r="I1464" i="2"/>
  <c r="I1716" i="2"/>
  <c r="I1302" i="2"/>
  <c r="I1377" i="2"/>
  <c r="I1443" i="2"/>
  <c r="I1450" i="2"/>
  <c r="I1573" i="2"/>
  <c r="I1742" i="2"/>
  <c r="I1793" i="2"/>
  <c r="I1695" i="2"/>
  <c r="I1698" i="2"/>
  <c r="I1629" i="2"/>
  <c r="I1692" i="2"/>
  <c r="I1787" i="2"/>
  <c r="I1102" i="2"/>
  <c r="I1325" i="2"/>
  <c r="I1570" i="2"/>
  <c r="I1763" i="2"/>
  <c r="I1273" i="2"/>
  <c r="I1122" i="2"/>
  <c r="I1415" i="2"/>
  <c r="I1353" i="2"/>
  <c r="I1503" i="2"/>
  <c r="I1465" i="2"/>
  <c r="I1641" i="2"/>
  <c r="I1229" i="2"/>
  <c r="I1295" i="2"/>
  <c r="I1142" i="2"/>
  <c r="I1439" i="2"/>
  <c r="I1381" i="2"/>
  <c r="I1531" i="2"/>
  <c r="I1489" i="2"/>
  <c r="I1685" i="2"/>
  <c r="I1411" i="2"/>
  <c r="I1447" i="2"/>
  <c r="I1332" i="2"/>
  <c r="I1587" i="2"/>
  <c r="I1596" i="2"/>
  <c r="I1492" i="2"/>
  <c r="I1681" i="2"/>
  <c r="I1744" i="2"/>
  <c r="I1553" i="2"/>
  <c r="I1584" i="2"/>
  <c r="I1773" i="2"/>
  <c r="I1675" i="2"/>
  <c r="I1431" i="2"/>
  <c r="I1519" i="2"/>
  <c r="I1669" i="2"/>
  <c r="I1172" i="2"/>
  <c r="I1223" i="2"/>
  <c r="I1291" i="2"/>
  <c r="I1386" i="2"/>
  <c r="I1356" i="2"/>
  <c r="I1446" i="2"/>
  <c r="I1484" i="2"/>
  <c r="I1736" i="2"/>
  <c r="I1192" i="2"/>
  <c r="I1257" i="2"/>
  <c r="I1315" i="2"/>
  <c r="I1410" i="2"/>
  <c r="I1384" i="2"/>
  <c r="I1474" i="2"/>
  <c r="I1528" i="2"/>
  <c r="I1780" i="2"/>
  <c r="I1334" i="2"/>
  <c r="I1409" i="2"/>
  <c r="I1475" i="2"/>
  <c r="I1482" i="2"/>
  <c r="I1607" i="2"/>
  <c r="I1774" i="2"/>
  <c r="I1632" i="2"/>
  <c r="I1727" i="2"/>
  <c r="I1472" i="2"/>
  <c r="I1661" i="2"/>
  <c r="I1724" i="2"/>
  <c r="E2" i="3" l="1"/>
  <c r="F14" i="3"/>
  <c r="D22" i="3"/>
  <c r="F23" i="3"/>
  <c r="F18" i="3"/>
  <c r="C22" i="3"/>
  <c r="E12" i="3"/>
  <c r="E14" i="3"/>
  <c r="C21" i="3"/>
  <c r="F7" i="3"/>
  <c r="F2" i="3"/>
  <c r="B23" i="3"/>
  <c r="E17" i="3"/>
  <c r="E19" i="3"/>
  <c r="F13" i="3"/>
  <c r="E3" i="3"/>
  <c r="F12" i="3"/>
  <c r="D10" i="3"/>
  <c r="C15" i="3"/>
  <c r="B8" i="3"/>
  <c r="D3" i="3"/>
  <c r="D19" i="3"/>
  <c r="C6" i="3"/>
  <c r="B17" i="3"/>
  <c r="C10" i="3"/>
  <c r="D4" i="3"/>
  <c r="D2" i="3"/>
  <c r="C7" i="3"/>
  <c r="B18" i="3"/>
  <c r="C14" i="3"/>
  <c r="B19" i="3"/>
  <c r="C20" i="3"/>
  <c r="D21" i="3"/>
  <c r="F20" i="3"/>
  <c r="C5" i="3"/>
  <c r="D11" i="3"/>
  <c r="C16" i="3"/>
  <c r="D5" i="3"/>
  <c r="D12" i="3"/>
  <c r="B10" i="3"/>
  <c r="C8" i="3"/>
  <c r="E8" i="3"/>
  <c r="E21" i="3"/>
  <c r="F19" i="3"/>
  <c r="E13" i="3"/>
  <c r="F9" i="3"/>
  <c r="B21" i="3"/>
  <c r="F8" i="3"/>
  <c r="C9" i="3"/>
  <c r="B4" i="3"/>
  <c r="C2" i="3"/>
  <c r="D13" i="3"/>
  <c r="B11" i="3"/>
  <c r="D16" i="3"/>
  <c r="B14" i="3"/>
  <c r="G14" i="3" s="1"/>
  <c r="B15" i="3"/>
  <c r="F6" i="3"/>
  <c r="F22" i="3"/>
  <c r="B22" i="3"/>
  <c r="E16" i="3"/>
  <c r="F5" i="3"/>
  <c r="E7" i="3"/>
  <c r="F11" i="3"/>
  <c r="E23" i="3"/>
  <c r="G23" i="3" s="1"/>
  <c r="E5" i="3"/>
  <c r="D20" i="3"/>
  <c r="E10" i="3"/>
  <c r="F21" i="3"/>
  <c r="E11" i="3"/>
  <c r="F16" i="3"/>
  <c r="D14" i="3"/>
  <c r="C19" i="3"/>
  <c r="B12" i="3"/>
  <c r="D7" i="3"/>
  <c r="C12" i="3"/>
  <c r="B5" i="3"/>
  <c r="B3" i="3"/>
  <c r="C18" i="3"/>
  <c r="D8" i="3"/>
  <c r="C13" i="3"/>
  <c r="B6" i="3"/>
  <c r="B2" i="3"/>
  <c r="G2" i="3" s="1"/>
  <c r="C4" i="3"/>
  <c r="D23" i="3"/>
  <c r="E9" i="3"/>
  <c r="E18" i="3"/>
  <c r="F4" i="3"/>
  <c r="D18" i="3"/>
  <c r="B16" i="3"/>
  <c r="B9" i="3"/>
  <c r="B7" i="3"/>
  <c r="G7" i="3" s="1"/>
  <c r="C17" i="3"/>
  <c r="D9" i="3"/>
  <c r="E6" i="3"/>
  <c r="F3" i="3"/>
  <c r="C23" i="3"/>
  <c r="B20" i="3"/>
  <c r="D6" i="3"/>
  <c r="C11" i="3"/>
  <c r="D15" i="3"/>
  <c r="B13" i="3"/>
  <c r="G13" i="3" s="1"/>
  <c r="C3" i="3"/>
  <c r="D17" i="3"/>
  <c r="F10" i="3"/>
  <c r="E22" i="3"/>
  <c r="G22" i="3" s="1"/>
  <c r="E4" i="3"/>
  <c r="E20" i="3"/>
  <c r="F17" i="3"/>
  <c r="E15" i="3"/>
  <c r="F15" i="3"/>
  <c r="G9" i="3" l="1"/>
  <c r="G16" i="3"/>
  <c r="G3" i="3"/>
  <c r="G6" i="3"/>
  <c r="G5" i="3"/>
  <c r="G15" i="3"/>
  <c r="G10" i="3"/>
  <c r="G17" i="3"/>
  <c r="G8" i="3"/>
  <c r="G20" i="3"/>
  <c r="G21" i="3"/>
  <c r="G19" i="3"/>
  <c r="G12" i="3"/>
  <c r="G4" i="3"/>
  <c r="G11" i="3"/>
  <c r="G18"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<sst xmlns="http://schemas.openxmlformats.org/spreadsheetml/2006/main" count="12298" uniqueCount="2020">
  <si>
    <t>ID</t>
  </si>
  <si>
    <t>subreddit</t>
  </si>
  <si>
    <t>title</t>
  </si>
  <si>
    <t>score</t>
  </si>
  <si>
    <t>num_comments</t>
  </si>
  <si>
    <t>upvote_ratio</t>
  </si>
  <si>
    <t>scrape_date</t>
  </si>
  <si>
    <t>has_ticker_pass1</t>
  </si>
  <si>
    <t>ticker_extracted</t>
  </si>
  <si>
    <t>llm_sentiment</t>
  </si>
  <si>
    <t>actual_sentiment</t>
  </si>
  <si>
    <t>corrections</t>
  </si>
  <si>
    <t>investing</t>
  </si>
  <si>
    <t>$3.8 trillion in 9 minutes, on a single caps lock post</t>
  </si>
  <si>
    <t>Neutral</t>
  </si>
  <si>
    <t>Just in: Trump says Fed chair must cut rates immediately</t>
  </si>
  <si>
    <t>Bearish</t>
  </si>
  <si>
    <t>AI Prompt</t>
  </si>
  <si>
    <t>ðŸš¨ U.S National debt hits $39 Trillion!</t>
  </si>
  <si>
    <t>Role: You are an expert financial sentiment analyst specializing in retail trading sentiment.Task: Classify the sentiment of the following Reddit post titles into one of four categories: Bullish, Bearish, Neutral, or Mixed.
Categories:
Bullish: Optimism, buying, gains, or positive catalysts.
Bearish: Pessimism, selling/shorting, losses, or warnings of risk.
Neutral: Factual news, general questions, or news with no clear direction.
Mixed: Contains both bullish and bearish signals, or conflicting community views.
Few-Shot Examples:
10, "MU earnings blowout — RAM shortage = 7 bagger", MU -&gt; 10, Bullish, MU
11, "Housing is cooked — HD puts", HD -&gt; 11, Bearish, HD
12, "FED MAINTAINS RATES AT 3.5%", SPY -&gt; 12, Neutral, SPY
13, "SMCI beat estimates but stock diving -4%", SMCI -&gt; 13, Mixed, SMCI
Constraints:
Output MUST be a CSV format with exactly three columns: ID, Sentiment, Ticker.
Do NOT include the original titles in the output.
Do NOT include any conversational filler, introductions, or bullet points.
Keep the output in the EXACT same order as the input.
If a post is ambiguous or has no ticker, output SKIP for sentiment.
Input Data: *attach 50 sentiments at a time*</t>
  </si>
  <si>
    <t>Iran war cut off helium from Qatar, and shortages will start to bite in a few weeks, threatening chip supply chains that fuel the AI boom</t>
  </si>
  <si>
    <t>ðŸš¨Fed Officials Signal That Rate Cuts May Be Over</t>
  </si>
  <si>
    <t>Don't you find it hilarious people have been gagging for a correction for ages and now it's the end of the world when it happens?</t>
  </si>
  <si>
    <t>Apollo Just Gave Investors Only 45% of Requested Withdrawals. BlackRock, Morgan Stanley, and Blue Owl Are Doing the Same Thing.</t>
  </si>
  <si>
    <t>SpaceX is trying to distract from the real game: the mechanical bagdump on passive index funds</t>
  </si>
  <si>
    <t>Bullish</t>
  </si>
  <si>
    <t>Robinhood Announces $1.5 Billion Share Buyback Program as Stock Slides 39%</t>
  </si>
  <si>
    <t>Are we about to see the biggest fire sale in Dubai real estate history, or is the 'fear' priced in?</t>
  </si>
  <si>
    <t>Mixed</t>
  </si>
  <si>
    <t>Iran War ceasefire ain't fixing oil prices</t>
  </si>
  <si>
    <t>Why are gold and silver dropping so much?</t>
  </si>
  <si>
    <t>Mark Cuban Says Music Is (Basically) "the Worst Industry Ever" for Investors</t>
  </si>
  <si>
    <t>My broker tried to get me into â€œalternative investments", including private equity</t>
  </si>
  <si>
    <t>How big of a deal is the Strait of Hormuz actually? Feels like this could spiral into a global economic problem</t>
  </si>
  <si>
    <t>The Nasdaq is being taken over.</t>
  </si>
  <si>
    <t>US Defense Secretary Hegseth's broker looked to buy defense fund before Iran attack</t>
  </si>
  <si>
    <t>Dow Jones &amp; NASDAQ Composite close in -10% correction territory</t>
  </si>
  <si>
    <t>IRGC threatens strikes on US tech giants across the Middle East</t>
  </si>
  <si>
    <t>If the top 10% own 87% of the US stock market, what is the point of the daily volatility?</t>
  </si>
  <si>
    <t>US paves way for private assets to be included in 401(k) retirement plans</t>
  </si>
  <si>
    <t>Nasdaq Speeds Up Index Entry for SpaceX, Large IPOs With New Rule</t>
  </si>
  <si>
    <t>22 countries urge Iran to stop attacks, reopen Strait of Hormuz as US says threat degraded</t>
  </si>
  <si>
    <t>Buy when there is fear, sell when there is greed. True?</t>
  </si>
  <si>
    <t>How is this good news? - Markets up on Hormuz news</t>
  </si>
  <si>
    <t>I went through congressional trade filings from the week before the Iran war started. An Intelligence Committee member bought Exxon twice in early February and.....</t>
  </si>
  <si>
    <t>ðŸš¨ SpaceX aims to file IPO as soon as this week</t>
  </si>
  <si>
    <t>The market isnâ€™t cheap right now. Itâ€™s just less expensive.</t>
  </si>
  <si>
    <t>Whatâ€™s the hedge for stagflation?</t>
  </si>
  <si>
    <t>The market is worse than the casino; one person's comment changes everything.</t>
  </si>
  <si>
    <t>Oil moved 12% in 90 minutes yesterday on the Iran strike postponement. The people who knew first made money. The rest read about it on CNN.</t>
  </si>
  <si>
    <t>Market Response to Trumpâ€™s big War Announcement</t>
  </si>
  <si>
    <t>Is anyone still just dumping new money straight into S&amp;P 500 in 2026?</t>
  </si>
  <si>
    <t>Why invest in AI if it will destroy the economy?</t>
  </si>
  <si>
    <t>Trump says exit in two weeks, but Iran says no deal. A third carrier is en route - pick your narrative</t>
  </si>
  <si>
    <t>Algorithmic or Insider Trading? â€¦ Again!</t>
  </si>
  <si>
    <t>gold and commodities down? Why gold?</t>
  </si>
  <si>
    <t>Why doesn't the current and previous oil situation cause a stronger desire for green energy?</t>
  </si>
  <si>
    <t>I spent the last week going through five Chinese tech earnings back to back and the picture is way messier than people think</t>
  </si>
  <si>
    <t>Asian markets tumble as oil rally, Middle East tensions shake markets- Moneycontrol.com</t>
  </si>
  <si>
    <t>Ignore the fear on Reddit</t>
  </si>
  <si>
    <t>Those that moved to a cash or gold position (correctly) predicting this correction, when do you plan to get back in?</t>
  </si>
  <si>
    <t>Did powell say he would stay on as a board member?</t>
  </si>
  <si>
    <t>What stocks donâ€™t correlate with the major tech / top S&amp;P 500 stocks?</t>
  </si>
  <si>
    <t>ðŸš¨ Meta and YouTube found liable in social media addiction case, potential implications for business models</t>
  </si>
  <si>
    <t>When it comes to brokerages, is Fidelity really king?</t>
  </si>
  <si>
    <t>Mohammad-Bagher Ghalibaf refutes the Jerusalem Post's claim that he is having talks with the USA</t>
  </si>
  <si>
    <t>Are we starting to see retail access to private markets becoming a real thing?</t>
  </si>
  <si>
    <t>why is gold inflation hedge but goes down when fed raises rates for inflation?</t>
  </si>
  <si>
    <t>I had to correct</t>
  </si>
  <si>
    <t>=</t>
  </si>
  <si>
    <t>Why the US Dollar Is Climbing</t>
  </si>
  <si>
    <t>Long-time Tesla bull flips to sell, sees stock plunging to $150 amid AI concerns</t>
  </si>
  <si>
    <t>The market regime just shifted to risk-off for the first time since 2022. Here is what the data says historically happens next.</t>
  </si>
  <si>
    <t>Which industries tend to be war-resilient? What are you looking at?</t>
  </si>
  <si>
    <t>Which stock sectors will recover first when this war ends?</t>
  </si>
  <si>
    <t>Who has a 10+ year track record of beating the S&amp;P500?</t>
  </si>
  <si>
    <t>What risks does an invasion of Cuba pose to the stock market?</t>
  </si>
  <si>
    <t>Howâ€™s everyoneâ€™s portfolio doing</t>
  </si>
  <si>
    <t>Nasdaq rule change for SpaceX?</t>
  </si>
  <si>
    <t>Why aren't Indian ETFs performing so badly relative to that nation's GDP growth?</t>
  </si>
  <si>
    <t>Dollar devaluation has me rethinking my emergency fund</t>
  </si>
  <si>
    <t>Possibility of long term damage to US market</t>
  </si>
  <si>
    <t>Why do global index funds grow (beyond inflation) to reliably?</t>
  </si>
  <si>
    <t>Is Novo Nordisk the new "Intel"? (When high ROE meets a falling knife)</t>
  </si>
  <si>
    <t>Living in Taiwan and watching friends make money with Index 0051, How are you guys gauging the â€œChina Factorâ€ risk vs. these 40% returns?</t>
  </si>
  <si>
    <t>$70k Investment: Moving from interest savings accounts to ETFs, bad time?</t>
  </si>
  <si>
    <t>Stock Market kicks into higher gear as Iran's power plan strike was called off.</t>
  </si>
  <si>
    <t>I have the worst timing, maybe it will get better</t>
  </si>
  <si>
    <t>Iran Prez Comments and Have we Hit the Bottom</t>
  </si>
  <si>
    <t>AI is killing the green energy trade and replacing it with Hard Power</t>
  </si>
  <si>
    <t>Stocks off session lows, but why?</t>
  </si>
  <si>
    <t>People who invested in gold recently, howâ€™s it going?</t>
  </si>
  <si>
    <t>is 2026 the year of renewable energy?</t>
  </si>
  <si>
    <t>Investing and Trading Scam Reminder</t>
  </si>
  <si>
    <t>Investing in a world without freedom of navigation (tolls setup on Strait of Hormuz and potentially others)</t>
  </si>
  <si>
    <t>Markets are pricing in the possibility of a hike but the FED wonâ€™t do it.</t>
  </si>
  <si>
    <t>VUSXX End of March Dividend Missing</t>
  </si>
  <si>
    <t>Investing in hard assets to offset inflation and devaluation, avoid taxes, and protect against energy interruptions and hikes</t>
  </si>
  <si>
    <t>Oklo Announces DOE Approval for Nuclear Safety Design Agreement of Aurora Powerhouse at Idaho National Laboratory</t>
  </si>
  <si>
    <t>Asian Markets Cautious as Iran Rules Out Direct Ceasefire Talks, Oil Rebounds</t>
  </si>
  <si>
    <t>Copper deficits are being created by mine failures</t>
  </si>
  <si>
    <t>What's one investing principle you wish you understood earlier?</t>
  </si>
  <si>
    <t>Saeed Jalili, one of Iran's top politicians says claims of negotiations are a deception</t>
  </si>
  <si>
    <t>Is there a point where diversification stops helping and just adds noise?</t>
  </si>
  <si>
    <t>Iâ€™ve been saving up money for a few years and I have at least 20,000 I want to put in the market at some point, looking for some help.</t>
  </si>
  <si>
    <t>The Law of Diminishing TACOS</t>
  </si>
  <si>
    <t>Bought more META a day or 2 before court decision</t>
  </si>
  <si>
    <t>Nvidia and Nebius thoughts? Long term and short term positions before and after 2030.</t>
  </si>
  <si>
    <t>Investing with Vanguard for Retirement</t>
  </si>
  <si>
    <t>Broker kept my options profits</t>
  </si>
  <si>
    <t>Do I continue all in on SCHG?</t>
  </si>
  <si>
    <t>German CPI inflation jumped to 2.7% in March!</t>
  </si>
  <si>
    <t>3% buy-in at my job (~$60k), Good or Bad?</t>
  </si>
  <si>
    <t>Why have Turkish stock index returns held up despite very high inflation and lira devaluation?</t>
  </si>
  <si>
    <t>37F, â‚¬180k to invest, retiring at ~60. simple ETF portfolio?</t>
  </si>
  <si>
    <t>Started late, what are my best options?</t>
  </si>
  <si>
    <t>Retail leads, Institutions Reduce Exposure</t>
  </si>
  <si>
    <t>AST SpaceMobile's 2026 targets</t>
  </si>
  <si>
    <t>Going from single filer to joint filer this year, trying to time my stock sales correctly</t>
  </si>
  <si>
    <t>How do you spot governance red flags when investing?</t>
  </si>
  <si>
    <t>The WAR Report: High Stock Market Volatility During the Wars in Afghanistan and Iraq</t>
  </si>
  <si>
    <t>How do you invest well and enjoy yourself what is your balance?</t>
  </si>
  <si>
    <t>Global Reserve Currency Shift: Why the US Dollar Still Leads Amidst Decline</t>
  </si>
  <si>
    <t>What do you think of 70% of my portfolio being in structured bank notes with my financial advisor</t>
  </si>
  <si>
    <t>Are you already positioning for 6G stocks?</t>
  </si>
  <si>
    <t>Is it any better/worse to invest in fixed-income investment right now? (Treasury notes or i-bonds, CDs, etc)</t>
  </si>
  <si>
    <t>Private Credit Crisis and Bonds</t>
  </si>
  <si>
    <t>Investing in taxable brokerage account</t>
  </si>
  <si>
    <t>Suncor and Sulfur - Asymmetric opportunity</t>
  </si>
  <si>
    <t>RSU vests at ATH. Sell-to-cover executes down 15%; is marked as wash sale. What is my tax liability, and how badly did I get hosed?</t>
  </si>
  <si>
    <t>Thoughts on METAs Outlook following Court Case</t>
  </si>
  <si>
    <t>Gold ETF Momentum Analysis</t>
  </si>
  <si>
    <t>Rocket pharmaceuticals gets FDA approval (RCKT)</t>
  </si>
  <si>
    <t>Anyone thinking of getting into ONDAS $ONDS</t>
  </si>
  <si>
    <t>Copper can price fast. New supply cannot</t>
  </si>
  <si>
    <t>Current 401k Allocations - Any Thoughts?</t>
  </si>
  <si>
    <t>time to buy the dip in copper?</t>
  </si>
  <si>
    <t>What should I invest in other than FTSE all world?</t>
  </si>
  <si>
    <t>Increasing Pension Contribution vs ISA</t>
  </si>
  <si>
    <t>Where should I put my money to protect against inflation short-term?</t>
  </si>
  <si>
    <t>JPST/Corporate Bond Abnormal Movement Lately</t>
  </si>
  <si>
    <t>Whatâ€™s a safe hedge against my USA index fund investments?</t>
  </si>
  <si>
    <t>Energy Systems Are Getting More Complex - And Complexity Usually Creates New Winners</t>
  </si>
  <si>
    <t>Does it make sense to diversify AMZN right now?</t>
  </si>
  <si>
    <t>Hypothetical - how to position investments for a global debt crisis?</t>
  </si>
  <si>
    <t>Thoughts on this 3-ETF portfolio? Too much overlap?</t>
  </si>
  <si>
    <t>History of the launch of the first ETFs in Europe. All worth a watch</t>
  </si>
  <si>
    <t>DRIP - yes or no and why? Plan to invest the dividends, but should I reinvest versus buy underweights?</t>
  </si>
  <si>
    <t>BRKB continues Warren Buffett's legacy of investments in both Japanese companies and the insurance business.</t>
  </si>
  <si>
    <t>Sumitomo Electric vs AXTI</t>
  </si>
  <si>
    <t>What fees are you paying for your brokerage?</t>
  </si>
  <si>
    <t>Daily General Discussion and Advice Thread - April 01, 2026</t>
  </si>
  <si>
    <t>Short term investment SGOV, VBIL and VUSXX</t>
  </si>
  <si>
    <t>Whatâ€™s your opinion about this ETF on Revolut?</t>
  </si>
  <si>
    <t>Stop loss activated, not sure why?</t>
  </si>
  <si>
    <t>Daily General Discussion and Advice Thread - March 22, 2026</t>
  </si>
  <si>
    <t>Why is the dollar rising compared to MXN?</t>
  </si>
  <si>
    <t>What book to give to a 20-whatever person needing an introduction to investing and managing their financial life?</t>
  </si>
  <si>
    <t>Is a 401k important in my scenario?</t>
  </si>
  <si>
    <t>Looking to invest in Solar and renewable technology. Recommendations?</t>
  </si>
  <si>
    <t>Continue purchasing FCNTX vs. other funds</t>
  </si>
  <si>
    <t>Different accounts under different brokerages and banks</t>
  </si>
  <si>
    <t>Daily General Discussion and Advice Thread - March 18, 2026</t>
  </si>
  <si>
    <t>What goes into a brokerage account vs a Roth IRA?</t>
  </si>
  <si>
    <t>Does Grok's subscriber growth justify $258B?</t>
  </si>
  <si>
    <t>Daily General Discussion and Advice Thread - March 25, 2026</t>
  </si>
  <si>
    <t>Relative value play between VCX and DXYZ for the AI exposure</t>
  </si>
  <si>
    <t>Switching from RBC Wealth Management to Fidelity/Schwab etc.</t>
  </si>
  <si>
    <t>Iâ€™m 20 and need advice on how to make money grow..</t>
  </si>
  <si>
    <t>Daily General Discussion and Advice Thread - March 26, 2026</t>
  </si>
  <si>
    <t>Thoughts on investing in energy companies</t>
  </si>
  <si>
    <t>Unsure how to balance risk after maxing retirement accounts</t>
  </si>
  <si>
    <t>where to begin investing as a uni student</t>
  </si>
  <si>
    <t>Daily General Discussion and Advice Thread - March 24, 2026</t>
  </si>
  <si>
    <t>Silver Junior mining stocks - an assymetric upside for the next few years that Wall Street is still ignoring</t>
  </si>
  <si>
    <t>Rate my long-term ETF portfolio for my 5-month-old</t>
  </si>
  <si>
    <t>Did Q1 teach you anything new?</t>
  </si>
  <si>
    <t>gold and silver vs high yield dividends?</t>
  </si>
  <si>
    <t>ELDN showing incredible data</t>
  </si>
  <si>
    <t>20 year retirement goal. Continue investing in stocks or buy a house?</t>
  </si>
  <si>
    <t>Any specific ratio to set up recurring investment for Roth IRA long term?</t>
  </si>
  <si>
    <t>MRVL ripping after NVDA deal, anyone digging into this?</t>
  </si>
  <si>
    <t>Wash sale question- selling the full lot</t>
  </si>
  <si>
    <t>Multiple ISA Accounts/Providers or Just 1?</t>
  </si>
  <si>
    <t>NVIDIA Segment Level Revenue for Singapore</t>
  </si>
  <si>
    <t>LIONSGATE - Poison Pill Expiration - 6 Weeks</t>
  </si>
  <si>
    <t>Can a retail company like Korea's Shinsegae group succeed in AI/data centers?</t>
  </si>
  <si>
    <t>SATS and XOVR SpaceX IPO Proxy Strategy?</t>
  </si>
  <si>
    <t>Any Recommendations for a Customizable Robo Advisor?</t>
  </si>
  <si>
    <t>Oil Dips on Iran Pause, but Risk Premium Keeps Prices High</t>
  </si>
  <si>
    <t>Jurisdiction matters most before economics matter</t>
  </si>
  <si>
    <t>What to do with $15k? CD? HYSA? Dividend Stock like KO?</t>
  </si>
  <si>
    <t>What if AI demand shifts away from just GPUs</t>
  </si>
  <si>
    <t>Question about investments</t>
  </si>
  <si>
    <t>gold as stabilizer rather than an investment</t>
  </si>
  <si>
    <t>Different investor strategies: When to buy the SPX dip?</t>
  </si>
  <si>
    <t>Best way to invest internationally (non US stocks)?</t>
  </si>
  <si>
    <t>With the possible fertilizer shortage how do you think sticks like Scottâ€™s Miracle Gro (SMG) move?</t>
  </si>
  <si>
    <t>Edelman vs ?? anything else for investing $300,000 sitting in a Wealthfront HYSA plus $240,000 in an old 401K at Vanguard (2045 fund)</t>
  </si>
  <si>
    <t>Crude Oil Reprices Headlines, but Refinery Stress Keeps Inflation Risk Alive</t>
  </si>
  <si>
    <t>The intersection of AI datacenter, hydrocarbon and private credit</t>
  </si>
  <si>
    <t>Are any of these options any good or should I just keep 100% of my contributions in the TRIM 2050 option they recommended?</t>
  </si>
  <si>
    <t>If Arctic shipping routes open up in the future, which industry / stock will likely to benefit?</t>
  </si>
  <si>
    <t>Stock prices seem to be consistently dropping after earnings calls (even on positive news). Do you think this will hold for ONDS tomorrow?</t>
  </si>
  <si>
    <t>Well health Tech under valued Canadian stock</t>
  </si>
  <si>
    <t>How far and how fast can markets â€œprice inâ€?</t>
  </si>
  <si>
    <t>$TWFG, Inc. - A small-cap insurance trading near 52-week lows</t>
  </si>
  <si>
    <t>Anyone amateurs adjusting their shares? (UK)</t>
  </si>
  <si>
    <t>Savings sitting in USFR, but eyeing VOO/SPY.</t>
  </si>
  <si>
    <t>Critique My Stock Market Portfolio</t>
  </si>
  <si>
    <t>Daily General Discussion and Advice Thread - March 27, 2026</t>
  </si>
  <si>
    <t>Daily General Discussion and Advice Thread - April 02, 2026</t>
  </si>
  <si>
    <t>What do you use to track your portfolio?</t>
  </si>
  <si>
    <t>Centera Gold had me hooked</t>
  </si>
  <si>
    <t>Pacific Market Outlooks and Opinions</t>
  </si>
  <si>
    <t>Foreign Tax Credit on Brokerage investments / Enbridge</t>
  </si>
  <si>
    <t>YouTube and podcasts, how do you keep up with them?</t>
  </si>
  <si>
    <t>Account transfer Webull-Fidelity</t>
  </si>
  <si>
    <t>Daily General Discussion and Advice Thread - March 19, 2026</t>
  </si>
  <si>
    <t>Daily General Discussion and Advice Thread - March 31, 2026</t>
  </si>
  <si>
    <t>Whatâ€™s Actually Working in Crude Oil Trading Right Now?</t>
  </si>
  <si>
    <t>Daily General Discussion and Advice Thread - March 28, 2026</t>
  </si>
  <si>
    <t>Interpreting Watchlist that still has high PE Ratios.</t>
  </si>
  <si>
    <t>Daily General Discussion and Advice Thread - March 20, 2026</t>
  </si>
  <si>
    <t>Daily General Discussion and Advice Thread - March 29, 2026</t>
  </si>
  <si>
    <t>Bond fund payout percentages.</t>
  </si>
  <si>
    <t>if market drops tom what are you buying? better to buy in sectors that have dropped a lot or those predicted to do better next few months?</t>
  </si>
  <si>
    <t>VCX - make it make sense please</t>
  </si>
  <si>
    <t>Market Close Report - Monday, March 30, 2026</t>
  </si>
  <si>
    <t>Is this a good portfolio for the next 10 years?</t>
  </si>
  <si>
    <t>Why Big Money Is Moving Into Energy Names Like NEE and BE</t>
  </si>
  <si>
    <t>Am I missing something on UiPath ($PATH)? The market is sleeping on the Microsoft and Deloitte deals, their unmatched security moat, and the massive sector validation from Meta buying Manus.</t>
  </si>
  <si>
    <t>5 metal small-cap stocks Iâ€™d watch for 2026 and how Iâ€™d build the basket</t>
  </si>
  <si>
    <t>App/website to see watchlist + 1-year charts for all stocks on one page?</t>
  </si>
  <si>
    <t>Quick question RE: Roth IRA and Over Contribution Due to MAGI</t>
  </si>
  <si>
    <t>Daily General Discussion and Advice Thread - March 23, 2026</t>
  </si>
  <si>
    <t>Advice: HSBC FTSE 250 Index</t>
  </si>
  <si>
    <t>Thoughts on Primerica? Withdrawing Roth IRA from online or roll it?</t>
  </si>
  <si>
    <t>Market Close Report - Tuesday, March 31, 2026</t>
  </si>
  <si>
    <t>Daily General Discussion and Advice Thread - March 17, 2026</t>
  </si>
  <si>
    <t>Planet Labs surges after earnings, perhaps the next ASTS / RKLB?</t>
  </si>
  <si>
    <t>Daily General Discussion and Advice Thread - March 30, 2026</t>
  </si>
  <si>
    <t>Looking For Technical Advice using Morgan Stanley Online System</t>
  </si>
  <si>
    <t>Gut check on tax loss harvest</t>
  </si>
  <si>
    <t>HBM is driven by AI CapEx but will HBM survive if AI falters?</t>
  </si>
  <si>
    <t>Moving 200k out of TRBCX, where to park it?</t>
  </si>
  <si>
    <t>How do investors think about physical gold supply businesses versus gold stocks?</t>
  </si>
  <si>
    <t>^FTW5000 New Price Updating:</t>
  </si>
  <si>
    <t>Earnings Season is coming up - been looking at alternative data</t>
  </si>
  <si>
    <t>US IRAN war and stock market</t>
  </si>
  <si>
    <t>when a company announces buyback program, does this mean a good signal?</t>
  </si>
  <si>
    <t>Vanguard FTSE global all cap index fund vs HSBC FTSE all-world index fund? (Brand new investor)</t>
  </si>
  <si>
    <t>$RITM mREIT -&gt; Corp. Conversion success chances?</t>
  </si>
  <si>
    <t>Defiance adds AI and power infrastructure ETF to European rollout</t>
  </si>
  <si>
    <t>Thoughts on CXW and GEO? Private prison stocks</t>
  </si>
  <si>
    <t>What brokerage to use as a Singaporean?</t>
  </si>
  <si>
    <t>How to breakdown Dupont spinoff</t>
  </si>
  <si>
    <t>How do you think about liquidity as a risk rather than just a feature?</t>
  </si>
  <si>
    <t>Talk me out of liquidating Deka Global Champions and buying gold</t>
  </si>
  <si>
    <t>15-20 year early retirement brokerage account</t>
  </si>
  <si>
    <t>META Scenario: Oversold but Healthy - Worth Watching?</t>
  </si>
  <si>
    <t>Daily General Discussion and Advice Thread - March 21, 2026</t>
  </si>
  <si>
    <t>New here - wondering about different research platforms popular for seasoned investors!</t>
  </si>
  <si>
    <t>Where can I track BofA / JPM / GS index targets (S&amp;P 500, Gold) in one place?</t>
  </si>
  <si>
    <t>Moving from HYSA to tax exempt bonds?</t>
  </si>
  <si>
    <t>15years: What to add to MSCI World?</t>
  </si>
  <si>
    <t>How to deal with the money that was contributed to traditional IRA post tax?</t>
  </si>
  <si>
    <t>How do global all cap index funds differ and how to choose?</t>
  </si>
  <si>
    <t>How useful are weekly unemployment claims for investment decisions?</t>
  </si>
  <si>
    <t>Advice about Sharetracker/Bulk Transaction Input</t>
  </si>
  <si>
    <t>Using a 60/40 for the gains but providing the safety of a 3 bucket</t>
  </si>
  <si>
    <t>Rules Based Tactical Allocation Strategy (+/-15 e.g. 80/20 to 65/35)</t>
  </si>
  <si>
    <t>Bond yields steady as government surprises with lower-than-expected H1 borrowing</t>
  </si>
  <si>
    <t>Delisted and Bought - New company</t>
  </si>
  <si>
    <t>Estimating cap gains taxes on fund</t>
  </si>
  <si>
    <t>Break GIC (CD in the US) early to invest?</t>
  </si>
  <si>
    <t>Best tools for retail investment research</t>
  </si>
  <si>
    <t>Am I making the right investment decision?</t>
  </si>
  <si>
    <t>400k and market uncertainty</t>
  </si>
  <si>
    <t>What do you think about my PAC as an 18 student?</t>
  </si>
  <si>
    <t>Inflation - Why the Iran War Will Impact CPI (a follow up)</t>
  </si>
  <si>
    <t>Distribution Solutions Group $DSGR</t>
  </si>
  <si>
    <t>Why do I never get any shares when I try to buy into an IPO through my broker?</t>
  </si>
  <si>
    <t>Anyone familiar with Computershare? Decedent has common shares to a delisted company, which appears both in Computershare and as "other investment" on the Schwab statement. Schwab account has TOD listed, while Computershare does not....who do these shares belong to?</t>
  </si>
  <si>
    <t>Platform for All Investments</t>
  </si>
  <si>
    <t>Should I diversify to ASP?</t>
  </si>
  <si>
    <t>I'm getting a lot less bullish on Apple</t>
  </si>
  <si>
    <t>Rate my Plan - Financial Advisor</t>
  </si>
  <si>
    <t>I just Lost $4000 this year</t>
  </si>
  <si>
    <t>Company that is going to BK?</t>
  </si>
  <si>
    <t>Considering opening a Goldman Sachs 3.65% online savings account and curious in how it works</t>
  </si>
  <si>
    <t>Mr "big short" michael burry is shortin NVDA? i am surprised</t>
  </si>
  <si>
    <t>Whatâ€™s the best way for small time investor to participate in the upcoming SpaceX IPO?</t>
  </si>
  <si>
    <t>Timing my next S&amp;P 500 Lump Sum (10k-12k) considering Midterms and Geopolitical Volatility?</t>
  </si>
  <si>
    <t>Thinking of getting back in the market now</t>
  </si>
  <si>
    <t>This Cleveland triplex looks solid at first but Iâ€™m not convinced</t>
  </si>
  <si>
    <t>First time investing through war</t>
  </si>
  <si>
    <t>Getting Parents to Diversify</t>
  </si>
  <si>
    <t>Possible invasion USA - CUBA. Where to invest?</t>
  </si>
  <si>
    <t>Losing faith in US marketsâ€¦ thinking about moving money to China. Anyone else doing this?</t>
  </si>
  <si>
    <t>Hold or sell then buy again later?</t>
  </si>
  <si>
    <t>Managing a mid 7-figure portfolio but realised I donâ€™t have a real system</t>
  </si>
  <si>
    <t>eTrade Rollover IRA - ELI5</t>
  </si>
  <si>
    <t>If I'm long the index and believe they will go up long term, why would it be a bad idea to buy SSO and QLD that are 2x the index?</t>
  </si>
  <si>
    <t>If Starboard succeeds, Is Expedia the most logical buyer for Viator? And how much upside is actually on the table for TRIP shareholders?</t>
  </si>
  <si>
    <t>Anyone going big into SpaceX IPO?</t>
  </si>
  <si>
    <t>Iranâ€™s â€œNeverâ€ Pledge Collides With a Nuclear File That Is Still Moving</t>
  </si>
  <si>
    <t>Smart Cities Are Not a Concept Anymore - Theyâ€™re Scaling, and This Could Be Huge for Energy + Tech Players Like NXXT</t>
  </si>
  <si>
    <t>This was the 16th 1,000 point gain ever for the Dow.</t>
  </si>
  <si>
    <t>blew up my second account before i figured out something embarrassingly obvious about position sizing</t>
  </si>
  <si>
    <t>UNH average price at 270USD</t>
  </si>
  <si>
    <t>Index funds, how do they work?</t>
  </si>
  <si>
    <t>What does a serious angel investor's workflow actually look like in 2026?</t>
  </si>
  <si>
    <t>Built a suite of investment skills that actually work. Should I open-source the methodology here?</t>
  </si>
  <si>
    <t>Why are SNDK and MU up so much the past 9 months?</t>
  </si>
  <si>
    <t>$NVDA Analysis Fundamental</t>
  </si>
  <si>
    <t>If a stock market crash occurs doesn't that reverse inflation?</t>
  </si>
  <si>
    <t>Taking advantage of overseas chaos?</t>
  </si>
  <si>
    <t>Why Inflation is Underestimated</t>
  </si>
  <si>
    <t>Classic Cars, Supercars, Watches &amp; Wine</t>
  </si>
  <si>
    <t>Does anyone know if Lunicapital a scam?</t>
  </si>
  <si>
    <t>What is the reason that Buffett said his company might 'own this stock forever' when talking about Occidental Petroleum?</t>
  </si>
  <si>
    <t>As PokÃ©mon cards explode in value, should you too invest in cardboard?</t>
  </si>
  <si>
    <t>A 100 year old theory about how institutions buy stock. I tested it with 20 years of data.</t>
  </si>
  <si>
    <t>Perfect dead cat bounce setup</t>
  </si>
  <si>
    <t>Revolut is scamming me with prices</t>
  </si>
  <si>
    <t>I built a 9-agent AI investment committee, the debate every stock sequentially - each analyst reads all previous report before writing their own</t>
  </si>
  <si>
    <t>Where are people finding 7-8% interest? Also dividend stock question.</t>
  </si>
  <si>
    <t>Need advice on my company stocks and what to do</t>
  </si>
  <si>
    <t>Probably a good idea to sell mining stocks?</t>
  </si>
  <si>
    <t>Do you think the MSCI World Index or the stock market as a whole will fall even further, or have we already hit bottom?</t>
  </si>
  <si>
    <t>Letâ€™s see who understands margin accounts best</t>
  </si>
  <si>
    <t>Does the price of an index (e.g. Dow Jones) go down on an ex-dividend date?</t>
  </si>
  <si>
    <t>Trumpâ€™s Weekend Deal Push Is Already Moving Gas Before Anyone Signs</t>
  </si>
  <si>
    <t>Think before lump-summing FXAIX like I did. Any way to calculate how long it may take to catch up?</t>
  </si>
  <si>
    <t>Should I pay off my current rental property or purchase a new one?</t>
  </si>
  <si>
    <t>Whatâ€™s the general advice to do right now in this downturn?</t>
  </si>
  <si>
    <t>Anyone else into XLE and XLU now?</t>
  </si>
  <si>
    <t>Would you buy this market correction on margin?</t>
  </si>
  <si>
    <t>is investing even really worth it now?</t>
  </si>
  <si>
    <t>The Case for Lululemon - A Deep Dive</t>
  </si>
  <si>
    <t>To the people still bullish generative AI</t>
  </si>
  <si>
    <t>Should I skip my SEP IRA contribution this year and wait for the market to crash further before investing?</t>
  </si>
  <si>
    <t>Are LLM's (A.I.) a good tool for research?</t>
  </si>
  <si>
    <t>I am so sick and tired of how stocks drop after blowout earnings announcements.</t>
  </si>
  <si>
    <t>MU is a strong buy in my model</t>
  </si>
  <si>
    <t>Why do we fall for the sunk cost fallacy?</t>
  </si>
  <si>
    <t>Can't sign up to invest because I have no prior finance history</t>
  </si>
  <si>
    <t>If you had the opportunity to opt out of paying into Social Security, would you?</t>
  </si>
  <si>
    <t>Could someone please answer the following questions for me regarding investing?</t>
  </si>
  <si>
    <t>A way for retail to access private AI and tech exposure?</t>
  </si>
  <si>
    <t>70% voo and 30% tqqq for longterm</t>
  </si>
  <si>
    <t>How to tell the difference between a stock that's just flat and one that's actually loading up</t>
  </si>
  <si>
    <t>Institutional De-risking Report: COT Data and Probability Models show heavy Distribution in Equities vs. Record Inflows in 2Y Treasuries ðŸ“Š</t>
  </si>
  <si>
    <t>Bitcoin Is The First Ever Infinite Bubble</t>
  </si>
  <si>
    <t>Merrill bank just started</t>
  </si>
  <si>
    <t>Does anyone know why PG is down so sharply today?</t>
  </si>
  <si>
    <t>The markets are absolutely fucked, but here's how to position yourself</t>
  </si>
  <si>
    <t>Is Reddit the most overlooked growth stock in the market?</t>
  </si>
  <si>
    <t>100% Unsecured Loan from Private Credit Firm In Dubai</t>
  </si>
  <si>
    <t>Something weird is happening at IBKR. My commodities rights are being revoked.</t>
  </si>
  <si>
    <t>Trumpâ€™s Iran endgame is stalling as the Gulf keeps charging for risk</t>
  </si>
  <si>
    <t>The U.S. Is Building Toward 400 GW of Nuclear - This Looks Like a Multi-Decade Energy Shift</t>
  </si>
  <si>
    <t>Valorem Capital Capital- private equity fund offering 41.9% IRR with monthly distributions. Is it Legit or Scam?</t>
  </si>
  <si>
    <t>It so happens I moved all my retirement $ to a new advisor in Dec 2025. I assume recent losses have nothing to do with this fact??</t>
  </si>
  <si>
    <t>Which sector wins when the geopolitical "fear premium" fades? AI stocks, Metals (Gold, Silver etc) or BTC?</t>
  </si>
  <si>
    <t>Are any of these AI Investment Apps legit?</t>
  </si>
  <si>
    <t>Am I buying the dip? NO! The war in Iran is not close to being resolved and, even when eventually it is resolved, the consequences will be negative for a long time.</t>
  </si>
  <si>
    <t>Everyoneâ€™s debating Redditâ€™s traffic. No oneâ€™s modeling what happens if AI becomes its biggest customer.</t>
  </si>
  <si>
    <t>U.S. Rule Out Ground Invasion for Now as Iranâ€™s Strikes Push Conflict Toward Bases, Industry and Hormuz</t>
  </si>
  <si>
    <t>Anyone else separating the AI narrative from the actual price action right now?</t>
  </si>
  <si>
    <t>Structural Asymmetry in Digital Valuations: Evaluating Perion Networkâ€™s (PERI) 79% EV-Based FCF Yield and a $32.60 Target Price</t>
  </si>
  <si>
    <t>How close to cost basis can you tolerate your investments getting?</t>
  </si>
  <si>
    <t>For veterans, how are you emotionally weathering this storm?</t>
  </si>
  <si>
    <t>Stocks and American millionaires</t>
  </si>
  <si>
    <t>What is the best way to bet on oil prices continuing to rise?</t>
  </si>
  <si>
    <t>the fifth straight losing week for Nasdaq has been a brutal reality check, a growth company burns cash is a liability</t>
  </si>
  <si>
    <t>Wait, I thought it was the "SaaSpocalypse" because AI was stealing all the jobs.  So why are chip makers falling on great earnings?</t>
  </si>
  <si>
    <t>United Health and CVS Wash Rules</t>
  </si>
  <si>
    <t>A Lalapalooza - The Iran War Will Cause an Economic Collapse in the US</t>
  </si>
  <si>
    <t>Ist the AI Bubble Popping?</t>
  </si>
  <si>
    <t>Positioning my portfolio for a possible naval invasion of Cuba?</t>
  </si>
  <si>
    <t>QuÃ© comprar para la recesiÃ³n que se viene, Walmart o Costco son buenas alternativas?</t>
  </si>
  <si>
    <t>Iâ€™ve been looking at this for over a year now, and now that Iâ€™ve got that year behind me, I can stop guessing and look at what actually happened. This is not financial advice. It started as speculation based on real numbers, and now there are real outcomes.</t>
  </si>
  <si>
    <t>Have $300 to spend. What are you buying next?</t>
  </si>
  <si>
    <t>Forex trading investing depends on strategy</t>
  </si>
  <si>
    <t>Everyone Gets What They Want Out Of The Market, Even In Loss.</t>
  </si>
  <si>
    <t>ETSY - Easiest Short in Market</t>
  </si>
  <si>
    <t>First time handling PTP on tax forms after trading UVIX</t>
  </si>
  <si>
    <t>Anyone else feel like people are kind of losing their minds over pre-IPO / SPVs lately?</t>
  </si>
  <si>
    <t>Why Gold Keeps Falling Despite War?</t>
  </si>
  <si>
    <t>VCXâ€¦.how are we handling this?</t>
  </si>
  <si>
    <t>Are we in a bear market now, or is this just a healthy correction before resuming the bull run?</t>
  </si>
  <si>
    <t>Thoughts on cryptocurrency as a satellite investment?</t>
  </si>
  <si>
    <t>From Deep Blue to Deep Value</t>
  </si>
  <si>
    <t>Sell everything with the imminent beginning of Operation Iranian Freedom?</t>
  </si>
  <si>
    <t>VCX it happens to the best of us</t>
  </si>
  <si>
    <t>Irrational exuberance once again</t>
  </si>
  <si>
    <t>What under-the-radar AI stocks are you watching beyond the obvious names?</t>
  </si>
  <si>
    <t>Buy the dip or analyze companies and possible corporate action stories?</t>
  </si>
  <si>
    <t>is cashapp good for beginners or not worth even using at all</t>
  </si>
  <si>
    <t>With chances of war cooling off, which stocks are you going long on?</t>
  </si>
  <si>
    <t>Okay I know they say to leave emotions out of it but uhhâ€¦</t>
  </si>
  <si>
    <t>Goldman Sachs Flags 2 Crypto Stocks Worth Buying After 46% Sector Crash</t>
  </si>
  <si>
    <t>Time travel to 2012, Google or Meta?</t>
  </si>
  <si>
    <t>The hidden cost of constantly checking your portfolio</t>
  </si>
  <si>
    <t>Most people still misread junior mining stocks. They are not trading the metal, they are trading shrinking doubt</t>
  </si>
  <si>
    <t>Is it worth getting into religious investing?</t>
  </si>
  <si>
    <t>Institutional action - how cooked am I?</t>
  </si>
  <si>
    <t>options</t>
  </si>
  <si>
    <t>7 months of journaling every options trade I took following institutional flow. $10K to $22k</t>
  </si>
  <si>
    <t>Delta, Gamma, Theta, Vega â€” plain English (no textbook definitions)</t>
  </si>
  <si>
    <t>Is the Orange Man doing a pump and dump of the stock market ?</t>
  </si>
  <si>
    <t>MSFT Looking cheap. Eyeing $360 Call 8/21</t>
  </si>
  <si>
    <t>OI is so underrated. 25 yrs of trading and still my go to before selling a CC</t>
  </si>
  <si>
    <t>CPA says my options trading created a wash sale nightmare I didn't know was possible</t>
  </si>
  <si>
    <t>Anyone else considering putting trading on hold until this Iran b.s is all over?</t>
  </si>
  <si>
    <t>I tracked 60 SPX iron condor fills against displayed mid and the gap explains my entire P&amp;L</t>
  </si>
  <si>
    <t>Any pure option buyers here? (No selling, no hedging) , 0dte,1,2,3dte</t>
  </si>
  <si>
    <t>Etrade is down while Iâ€™m in the biggest option trade of my life!!!</t>
  </si>
  <si>
    <t>This Market Is Incredibly Challenging.</t>
  </si>
  <si>
    <t>For those who are able to generate consistent monthly income</t>
  </si>
  <si>
    <t>For those making a living by trading options do you go long options or sell premium through spreads?</t>
  </si>
  <si>
    <t>Full time options trader monthly ama</t>
  </si>
  <si>
    <t>I tracked IV rank mean reversion signals against actual short premium returns for 6 months</t>
  </si>
  <si>
    <t>READ THIS: You can help reduce spam on our sub!</t>
  </si>
  <si>
    <t>meta and msft</t>
  </si>
  <si>
    <t>Vertical Spreads</t>
  </si>
  <si>
    <t>anyone else getting wrecked by these random 0dte pumps lately?</t>
  </si>
  <si>
    <t>High win rate but still losing money with 0DTEâ€¦ makes no sense</t>
  </si>
  <si>
    <t>IV Crush Day</t>
  </si>
  <si>
    <t>OPTION SELLER</t>
  </si>
  <si>
    <t>The war is killing the market and NVDA isnâ€™t helping</t>
  </si>
  <si>
    <t>Hi, I buy Puts for QQQ moments before it jumps 21+ points EOD. I'll be here all week. ðŸ˜¢ ðŸ˜­</t>
  </si>
  <si>
    <t>Are vertical spreads too good to be true?</t>
  </si>
  <si>
    <t>0DTE strategies</t>
  </si>
  <si>
    <t>cash secured puts rolling</t>
  </si>
  <si>
    <t>Covered calls during the Iran war</t>
  </si>
  <si>
    <t>Iâ€™m intermediate with options but my work gave me a Bloomberg terminal account. Can this help?</t>
  </si>
  <si>
    <t>I tracked 90 days of broker P&amp;L vs realizable P&amp;L and the gap is bigger than my commissions</t>
  </si>
  <si>
    <t>Options Value Updating on Weekend?</t>
  </si>
  <si>
    <t>MSOS extremely low PCR for 3/20 expiration</t>
  </si>
  <si>
    <t>Selling covered calls way below Cost Basis</t>
  </si>
  <si>
    <t>Flyagonal (Broken Wing Fly + Put Diagonal)</t>
  </si>
  <si>
    <t>Has anyone had success selling LEAPS?</t>
  </si>
  <si>
    <t>SPX GEX into the close, sitting on a $4B gamma wall at 6600</t>
  </si>
  <si>
    <t>Managing SOFI cash secured puts?</t>
  </si>
  <si>
    <t>Is it weird I do better ignoring the Greeks?</t>
  </si>
  <si>
    <t>Leaps calls on meta &amp; MSFT</t>
  </si>
  <si>
    <t>Micron Technology $MU Earnings vol crush setup - market looks mispriced here!</t>
  </si>
  <si>
    <t>Traders are starting to pay up for downside protection.</t>
  </si>
  <si>
    <t>Q1 2026 Trading Review</t>
  </si>
  <si>
    <t>SPX under high IV. Great for Income Strategies.</t>
  </si>
  <si>
    <t>SPX OpEx Morning: Spot at 6,580 | Sitting Directly on the Deepest Negative GEX Bar.</t>
  </si>
  <si>
    <t>Where is the REAL risk in this short premium setup?</t>
  </si>
  <si>
    <t>ATM Calendars Are Doing Amazing Rn</t>
  </si>
  <si>
    <t>Good Options Platform?</t>
  </si>
  <si>
    <t>NVDA Option Premiums fell off a cliff over the weekend</t>
  </si>
  <si>
    <t>Ordered this book , now i will beat Jim Simons -</t>
  </si>
  <si>
    <t>PSA For Option Assignment on Margin Accounts</t>
  </si>
  <si>
    <t>Successful Plays For You in This Market?</t>
  </si>
  <si>
    <t>$AVGO â€” The AI hype is masking serious structural risk in this name</t>
  </si>
  <si>
    <t>Strategies For Small Ports.</t>
  </si>
  <si>
    <t>Defend vertical credit spread</t>
  </si>
  <si>
    <t>Follow-up: $NKE earnings play worked - options were underpriced</t>
  </si>
  <si>
    <t>Is there an algo-style approach to trading options?</t>
  </si>
  <si>
    <t>I Built a Android App that Does Options Simulations on Your Phone's GPU, No Internet, No Accounts</t>
  </si>
  <si>
    <t>margin maintenance requirements for short SPX options</t>
  </si>
  <si>
    <t>Did you ever make it back?</t>
  </si>
  <si>
    <t>Cheap Calls, Puts and Earnings Plays for this week</t>
  </si>
  <si>
    <t>Put price appreciation in a "down" market . . .</t>
  </si>
  <si>
    <t>Nike's $NKE earnings announcement after the close. Options look cheap here!</t>
  </si>
  <si>
    <t>First time I buy to close - glad I did it</t>
  </si>
  <si>
    <t>Does robinhood automatically exercise your long leg of calendar spread if short leg is exercised?</t>
  </si>
  <si>
    <t>ONDS Calls! 03/27</t>
  </si>
  <si>
    <t>Fidelity vs Robinhood â€“ Any difference in mid-price option fills?</t>
  </si>
  <si>
    <t>Are we currently in a negative gamma environment?</t>
  </si>
  <si>
    <t>Selling NVDA Puts</t>
  </si>
  <si>
    <t>Anyone selling naked strangles on High IV%, highly liquid options chain names?</t>
  </si>
  <si>
    <t>IRS Wash Sales &amp; 1258 Tax Law</t>
  </si>
  <si>
    <t>Tracked 150 options trades. I only follow my own rules 55% of the time.</t>
  </si>
  <si>
    <t>exiting option trades</t>
  </si>
  <si>
    <t>Managing Strangles</t>
  </si>
  <si>
    <t>ONDS earnings play</t>
  </si>
  <si>
    <t>Looking for a tool to check daily portfolio Greeks and get strategies to bring them back into line.</t>
  </si>
  <si>
    <t>Selling VIX Call Verticals</t>
  </si>
  <si>
    <t>SPX &amp; XSP spreads</t>
  </si>
  <si>
    <t>Started as a swing trader, compromised capital in stocks that sank, then discovered options.</t>
  </si>
  <si>
    <t>wheelin $IREN since january</t>
  </si>
  <si>
    <t>Flyagonal by SteveGanz</t>
  </si>
  <si>
    <t>Consistency in Small accounts</t>
  </si>
  <si>
    <t>Exploring Options markets outside the US</t>
  </si>
  <si>
    <t>Long Term Options Growth?</t>
  </si>
  <si>
    <t>(CVNA) Puts and the Hurricane</t>
  </si>
  <si>
    <t>spy after hour analysis.</t>
  </si>
  <si>
    <t>YTD Portfolio Performance</t>
  </si>
  <si>
    <t>Iron condor spx 0dte</t>
  </si>
  <si>
    <t>Iron condor traders on IBKR: combo or separate sides?</t>
  </si>
  <si>
    <t>Anyone having trouble importing Fidelity 1099 into TurboTax?</t>
  </si>
  <si>
    <t>Can only trade ETFs</t>
  </si>
  <si>
    <t>Steam Roller / Penny Strategy</t>
  </si>
  <si>
    <t>$GS puts â€” record margins look durable until you actually stress-test them</t>
  </si>
  <si>
    <t>Does closing and opening a new position counteract the tax hit of short term capital gains?</t>
  </si>
  <si>
    <t>Convex upside exposure with limited long vega?</t>
  </si>
  <si>
    <t>Please explain me this</t>
  </si>
  <si>
    <t>Problem with IBKR!</t>
  </si>
  <si>
    <t>Lululemon Athletica $LULU Earnings Trade Vol Crush Setup</t>
  </si>
  <si>
    <t>Credit spread SPX vs SPY?</t>
  </si>
  <si>
    <t>Delta vs Price-Based Scalping</t>
  </si>
  <si>
    <t>Lots of Positive Put Deltas (SPY option deltas date 3/26/26)</t>
  </si>
  <si>
    <t>SPY Call Credit Spread Risk if Currently $10+ OTM</t>
  </si>
  <si>
    <t>Moomoo for option trading?</t>
  </si>
  <si>
    <t>Leveraged covered calls</t>
  </si>
  <si>
    <t>Tsla June 2027 collar options, 3 dollar downside, 47 upside.</t>
  </si>
  <si>
    <t>Options Questions Safe Haven periodic megathread | March 24 2026</t>
  </si>
  <si>
    <t>$ZM - Best Anthropic Play, Below Nav 20-1 Idea</t>
  </si>
  <si>
    <t>Buying an ITM Call and Selling an OTM Call?</t>
  </si>
  <si>
    <t>Gamma Exposure (GEX) and Option Expiry (OpEx) strategies positions/strategies?</t>
  </si>
  <si>
    <t>About to get assigned on the April 1st Bear Call Spread - 648 650 strikes</t>
  </si>
  <si>
    <t>Riskless call calendar part #2: closing trade</t>
  </si>
  <si>
    <t>Good app/website for Option Tracking</t>
  </si>
  <si>
    <t>Options Questions Safe Haven periodic megathread | March 10 2026</t>
  </si>
  <si>
    <t>Options Depth vs VolSignals VS3d</t>
  </si>
  <si>
    <t>From staking BTC to buying options to leverage - feedbacks?!</t>
  </si>
  <si>
    <t>Shorting space stocks</t>
  </si>
  <si>
    <t>Meta call recommendations</t>
  </si>
  <si>
    <t>Micron $MU Earnings Trade Follow-up. Beats but volatility was underpriced (breakdown)</t>
  </si>
  <si>
    <t>Am I doing this right?</t>
  </si>
  <si>
    <t>Can I trade my spread at 0.00 price ?</t>
  </si>
  <si>
    <t>Common mistakes in netting and comparing option Greeks</t>
  </si>
  <si>
    <t>Long put exercise in a limited margin IRA.</t>
  </si>
  <si>
    <t>Credit spread illiquid understanding help!</t>
  </si>
  <si>
    <t>Options issue</t>
  </si>
  <si>
    <t>$META puts â€” the ad business looks bulletproof until you stress-test the regulatory assumptions</t>
  </si>
  <si>
    <t>$LYV calls â€” the live entertainment monopoly that regulators keep trying to break</t>
  </si>
  <si>
    <t>Which brokers allow trading Custom Multi-leg strategies WITH shares in the same order?</t>
  </si>
  <si>
    <t>Bogus virus/trojan warning on barchart.com</t>
  </si>
  <si>
    <t>Volatility Arb Anyone?</t>
  </si>
  <si>
    <t>Calendar Spread on Earnings</t>
  </si>
  <si>
    <t>Volatility of positions for PMCC and CC writes. (For those that write calls &gt;= 1 week)</t>
  </si>
  <si>
    <t>USO BNO Calls. CVNA puts</t>
  </si>
  <si>
    <t>P&amp;L for OTM expired credit spreads</t>
  </si>
  <si>
    <t>ORACLE CORP $ORCL Earnings Trade Vol Crush Setup</t>
  </si>
  <si>
    <t>Iron condor take profit at 50%</t>
  </si>
  <si>
    <t>Is low put/call ratios + high single-stock IV a complacency Setup?</t>
  </si>
  <si>
    <t>LEAPS</t>
  </si>
  <si>
    <t>SpaceX impact in QQQ vol</t>
  </si>
  <si>
    <t>Elbit Systems Ltd. - $ESLT Earnings Trade Vol Crush Setup</t>
  </si>
  <si>
    <t>Easy Rider?</t>
  </si>
  <si>
    <t>Gap Trade.</t>
  </si>
  <si>
    <t>DOLLAR TREE INC $DLTR Earnings Trade Vol Crush Setup</t>
  </si>
  <si>
    <t>Do you guys notice your sizing changing depending on conviction?</t>
  </si>
  <si>
    <t>Trading USO with wide term calendars</t>
  </si>
  <si>
    <t>Collar Position 9/18/2026 Exp.</t>
  </si>
  <si>
    <t>15-min delayed option chain data into Google Sheets? Free?</t>
  </si>
  <si>
    <t>$CLF calls â€” tariffs handed domestic steel a structural edge</t>
  </si>
  <si>
    <t>Wash sale?</t>
  </si>
  <si>
    <t>Selling Weekly Naked Options</t>
  </si>
  <si>
    <t>Anyone trades Flash PMI?</t>
  </si>
  <si>
    <t>$PATH calls â€” market overreacted to the CEO swap, automation moat is completely intact</t>
  </si>
  <si>
    <t>Need advise regarding VCX</t>
  </si>
  <si>
    <t>spy analysis</t>
  </si>
  <si>
    <t>Naked Put on Margin - MSFT</t>
  </si>
  <si>
    <t>Expiration date</t>
  </si>
  <si>
    <t>Dancing with $UMAC</t>
  </si>
  <si>
    <t>Gamma exposure tools?</t>
  </si>
  <si>
    <t>Twin debit butterfly (put + call) replacement for short iron condor</t>
  </si>
  <si>
    <t>Put sell tmrw 2nd or monday 6th</t>
  </si>
  <si>
    <t>Pre Iran attack Oil Options prices</t>
  </si>
  <si>
    <t>Using options to hedge mandatory convertible preferred stocks</t>
  </si>
  <si>
    <t>Need to scrub bid price for a particular symbol and expiry into Google Sheets.</t>
  </si>
  <si>
    <t>Covered call options on argon, AGX. Straddle?</t>
  </si>
  <si>
    <t>qqq after hr analysis</t>
  </si>
  <si>
    <t>funded platforms</t>
  </si>
  <si>
    <t>Rolling Legs on MooMoo</t>
  </si>
  <si>
    <t>Guidance on Credit Spreads</t>
  </si>
  <si>
    <t>Trade Book</t>
  </si>
  <si>
    <t>ADOBE INC $ADBE Earnings Trade Vol Crush Setup</t>
  </si>
  <si>
    <t>Highlighting Sam Shames weekly Video.</t>
  </si>
  <si>
    <t>$PLTR â€” The AIP numbers are real and the US commercial acceleration is being ignored</t>
  </si>
  <si>
    <t>Historical (recent) Options high/low data</t>
  </si>
  <si>
    <t>Iv crash</t>
  </si>
  <si>
    <t>Best Way to Play the Asian market</t>
  </si>
  <si>
    <t>Put credit spread on spy 657/664</t>
  </si>
  <si>
    <t>The mistake isn't buying the dip â€” it's buying it without a stop</t>
  </si>
  <si>
    <t>ARKK trades tighter to NAV than UVXY. your pricing model would predict the opposite.</t>
  </si>
  <si>
    <t>CVNA continues its Downside with the NASDAQ.</t>
  </si>
  <si>
    <t>Sire Abramâ€™s Course</t>
  </si>
  <si>
    <t>pennies and steamrollers</t>
  </si>
  <si>
    <t>I picked half a million pounds of pennies YTD</t>
  </si>
  <si>
    <t>designing my money printer for the year</t>
  </si>
  <si>
    <t>ITM at Expiration, but not assigned.</t>
  </si>
  <si>
    <t>I got tired of paying for delayed Gamma data, so I built my own institutional-grade terminal.</t>
  </si>
  <si>
    <t>Forget Oil</t>
  </si>
  <si>
    <t>Sgov calls or puts</t>
  </si>
  <si>
    <t>3B1B (ThreeBlueOneBrown) Style Videos re Options?</t>
  </si>
  <si>
    <t>Found a flow scanner that doesn't make me want to throw my monitor</t>
  </si>
  <si>
    <t>DHT Bull Case (even IF tensions cool)</t>
  </si>
  <si>
    <t>Underlying and option pricing</t>
  </si>
  <si>
    <t>IBKR fees (SPX)</t>
  </si>
  <si>
    <t>03/25 SPY Options</t>
  </si>
  <si>
    <t>Turning $40,000 to $400,000</t>
  </si>
  <si>
    <t>I beat my own backtests trading 0DTE SPX options</t>
  </si>
  <si>
    <t>4:15 pm spy options</t>
  </si>
  <si>
    <t>Where Did Bronco of Trade Algo go?</t>
  </si>
  <si>
    <t>ATM Calendars on Earnings - $10k to $1m</t>
  </si>
  <si>
    <t>Are we seeing some massive Short Squeeze activity, or not?</t>
  </si>
  <si>
    <t>VIX today</t>
  </si>
  <si>
    <t>Gap in Option Chain in TOS 20260319</t>
  </si>
  <si>
    <t>Friday Time Value Harvest: The Only Truly Useful Strategy</t>
  </si>
  <si>
    <t>A word of caution on using AI</t>
  </si>
  <si>
    <t>Market isnâ€™t crashing - but something feels off (liquidity + gamma view)</t>
  </si>
  <si>
    <t>I backtested what signals actually work, IV Rank crushed everything else</t>
  </si>
  <si>
    <t>I built an all-in-one options flow and OSINT platform. I need your feedback!</t>
  </si>
  <si>
    <t>Can someone suggest books for only option buying No selling no hedge</t>
  </si>
  <si>
    <t>can someone share the pdf or link  of the following book</t>
  </si>
  <si>
    <t>I am in still loss even I am doing good</t>
  </si>
  <si>
    <t>For 0DTE traders: Do you trade SPX AM expire options</t>
  </si>
  <si>
    <t>$GOOGL puts â€” the ad moat is more fragile than the $175B capex story implies</t>
  </si>
  <si>
    <t>Quarterly collar trade</t>
  </si>
  <si>
    <t>Different ways to make 20K off $100K.</t>
  </si>
  <si>
    <t>8-figure business owner trying options for the first time (+8%) â€” looking for real feedback</t>
  </si>
  <si>
    <t>Over the past few days, Iâ€™ve been taking profits at the right times using my indicators</t>
  </si>
  <si>
    <t>Am I crazy thinking RDDT goes higher from open today?</t>
  </si>
  <si>
    <t>Oklo Class A $OKLO Earnings Trade Vol Crush Setup</t>
  </si>
  <si>
    <t>I closed my $ASTS 105C position today at $98.5; it didnâ€™t break through 100.</t>
  </si>
  <si>
    <t>8 days in, testing AI for options // anyone else doing this?</t>
  </si>
  <si>
    <t>How useful would you find knowing with 65-70% accuracy if the market will close above or below open?</t>
  </si>
  <si>
    <t>Strive puts</t>
  </si>
  <si>
    <t>i broke all 4 of my trading rules today. while knowing i was breaking them.</t>
  </si>
  <si>
    <t>Optimal premium selling rules</t>
  </si>
  <si>
    <t>I run an options prop firm - here are the 5 reasons most traders fail evaluations</t>
  </si>
  <si>
    <t>Actionable Options Plays Based on Macroeconomic, Geopolitical, and Legislative Insight</t>
  </si>
  <si>
    <t>AAPL | Weekly Bull Put Spread</t>
  </si>
  <si>
    <t>Best option traders to copy for monthly inflow</t>
  </si>
  <si>
    <t>Options Strat</t>
  </si>
  <si>
    <t>The tech and energy divergence started in January</t>
  </si>
  <si>
    <t>Credit spread seems like easy money?</t>
  </si>
  <si>
    <t>Looking for legit options swing traders to follow</t>
  </si>
  <si>
    <t>DICKS SPORTING GOODS INC $DKS Earnings Trade Vol Crush Setup</t>
  </si>
  <si>
    <t>I need to succeed in binary options trading. Can anyone advise me?</t>
  </si>
  <si>
    <t>Put selling discuss</t>
  </si>
  <si>
    <t>Merrill giving me grief blocking trades</t>
  </si>
  <si>
    <t>I vibecoded a free, open-source portfolio dashboard for Tastytrade, here's the repo</t>
  </si>
  <si>
    <t>IV percentile is a terrible metric and most of you are using it wrong</t>
  </si>
  <si>
    <t>stockmarket</t>
  </si>
  <si>
    <t>The Dow!!!</t>
  </si>
  <si>
    <t>Trump calling Jerome Powell to drop the interest rates</t>
  </si>
  <si>
    <t>Donald Trump just said that Iran has agreed to â€œmost ofâ€ the 15-point list of demands and Iran will allow US oil to be shipped tomorrow</t>
  </si>
  <si>
    <t>$2,000,000,000,000 wiped out from the US stock market in the past month.</t>
  </si>
  <si>
    <t>Over $2 trillion wiped out from the US stock market this week. So much RED, is this enough winning yet?</t>
  </si>
  <si>
    <t>Get ready for more huge volatility</t>
  </si>
  <si>
    <t>Here we go again</t>
  </si>
  <si>
    <t>Iranâ€™s parliament speaker giving financial advice for tomorrow.</t>
  </si>
  <si>
    <t>Trump claims heâ€™s gonna get the Hormuz Strait open</t>
  </si>
  <si>
    <t>Three very well timed trades 15 minutes before Trumps Truth Social post Monday morning that made someone very rich/richer</t>
  </si>
  <si>
    <t>$3 TRILLION swing market cap in 56 minutes this morning, just in the S&amp;P 500.</t>
  </si>
  <si>
    <t>The S&amp;P 500 ETF, SPY, posts a massive reversal in after hours trade, now up over +1% - Market Manipulation</t>
  </si>
  <si>
    <t>Iran attack wipes out 17% of Qatarâ€™s LNG capacity for up to five years, QatarEnergy CEO says</t>
  </si>
  <si>
    <t>US SEC preparing to eliminate quarterly reporting requirement, WSJ says</t>
  </si>
  <si>
    <t>Panic-stricken markets are losing faith in Donald Trump</t>
  </si>
  <si>
    <t>Well that didnâ€™t take long â€¦</t>
  </si>
  <si>
    <t>What happens to oil if Trump ends the Iran war without reopening Hormuz?</t>
  </si>
  <si>
    <t>Powell says he will stay on as head of the Fed until Warsh is confirmed</t>
  </si>
  <si>
    <t>Trump considers "winding down" Iran war without opening Hormuz Strait</t>
  </si>
  <si>
    <t>Volume in stock and oil futures surged minutes before Trumpâ€™s market-turning post</t>
  </si>
  <si>
    <t>Trump Tells Aides Heâ€™s Willing to End War Without Reopening Hormuz</t>
  </si>
  <si>
    <t>I did not watch Trump's speech but this looks great /s</t>
  </si>
  <si>
    <t>Drones attack one of the world's largest oil terminals in the UAE.</t>
  </si>
  <si>
    <t>France confirms oil crisis, says 30-40% Gulf energy infrastructure destroyed</t>
  </si>
  <si>
    <t>Report: Pentagon to order thousands more US troops to Middle East 'in the coming hours'</t>
  </si>
  <si>
    <t>Looks like the war is still on!</t>
  </si>
  <si>
    <t>Trump is all All Talk, No Strategy. He is just benefiting by manipulating market with his tweets.</t>
  </si>
  <si>
    <t>Trump interested in ending the war by asking Arab countries to pay for Iran's damages</t>
  </si>
  <si>
    <t>Trump warns of strikes on Iran if Strait of Hormuz isnâ€™t opened within 48 hours what could this mean for global markets?</t>
  </si>
  <si>
    <t>Trump says US will â€˜obliterateâ€™ Iranâ€™s power plants if Strait of Hormuz is not reopened within 48 hours- when the market reopens</t>
  </si>
  <si>
    <t>Dow tumbles 500 points, enters correction territory as Trump's Iran extension fails to soothe markets</t>
  </si>
  <si>
    <t>Confirmation that tonight is not about withdrawal?</t>
  </si>
  <si>
    <t>Iran describes US proposal as "unrealistic," "unreasonable," contradicting Trump's remarks</t>
  </si>
  <si>
    <t>S&amp;P 500 officially closes the day up +2.9%, adding +$1.7 TRILLION of market cap - Biggest daily gain since May 2025.</t>
  </si>
  <si>
    <t>US stock indices rally smells like a dead cat bounce</t>
  </si>
  <si>
    <t>Oil Industry Warns Trump Administration That Fuel Crunch Will Likely Worsen</t>
  </si>
  <si>
    <t>Summary of Trumpâ€™s live address to the nation regarding Iran</t>
  </si>
  <si>
    <t>What the heck is happening now? I'm so done â˜ ï¸â˜ ï¸ 2026 market sucks..</t>
  </si>
  <si>
    <t>The bond market is flashing a signal not seen since before the 2008 crisis</t>
  </si>
  <si>
    <t>Iran war drives fertilizer prices higher with urea up 50%, ammonia up 20%, diesel up 43.5%</t>
  </si>
  <si>
    <t>Another Starlink satellite has inexplicably exploded</t>
  </si>
  <si>
    <t>Sony hikes PS5 prices by up to $150 citing pressures in global economy And memory shortages.</t>
  </si>
  <si>
    <t>As War With Iran Hurts Oil Prices, U.S. Turns to Iranian Boats for Help</t>
  </si>
  <si>
    <t>Geopolitics heats up Oil supply tensions at Strait of Hormuz rattle global markets</t>
  </si>
  <si>
    <t>Oil rises above $115 as Iran war escalates with Nikkei down 4.7% and South Korea Kospi down 4.2%</t>
  </si>
  <si>
    <t>Wall Street priced a swift bombing campaign. What it got was an energy war.</t>
  </si>
  <si>
    <t>US Stocks Fall; S&amp;P 500 Set for Longest Losing Streak Since â€˜22</t>
  </si>
  <si>
    <t>Bank of America warns â€œmild stagflationâ€ as Iran war may keep oil near $100, cuts US growth to 2.3% and raises inflation to 3.6% for 2026</t>
  </si>
  <si>
    <t>Iranian attack hits Israeli oil refinery in Haifa, some damage reported.</t>
  </si>
  <si>
    <t>Trump says oil and stock market reaction to Iran conflict not as severe as he expected</t>
  </si>
  <si>
    <t>Breaking- Iran President confirmed want to end the war- but need guarantees</t>
  </si>
  <si>
    <t>Trump - Buy oil from USA or Go to Hormuz and get it yourself</t>
  </si>
  <si>
    <t>Trump says U.S. and Iran are 'in negotiations right now,' Tehran is 'talking sense'</t>
  </si>
  <si>
    <t>United Airlines cuts 5% of flights as fuel costs surge, warns of up to $11B annual hit</t>
  </si>
  <si>
    <t>At least 40% of Russia's oil export capacity halted, Reuters calculations show</t>
  </si>
  <si>
    <t>Trump signals coalition to force open Strait of Hormuz is not ready yet: â€˜Some are less than enthusiasticâ€™</t>
  </si>
  <si>
    <t>Iran oil revenue jumps 21% to $139M per day in March as exports hold near 1.6M bpd, sole major Hormuz exporter</t>
  </si>
  <si>
    <t>Tump tweets war potentially over, S&amp;P futures up 150 points in 5 mins</t>
  </si>
  <si>
    <t>Analysis: A new oil shock is building. The next few weeks of war will be decisive for the economy.</t>
  </si>
  <si>
    <t>Judge blocks subpoenas in criminal probe of Fed Chair Jerome Powell</t>
  </si>
  <si>
    <t>Energy Secretary Says â€˜No Guaranteesâ€™ Oil Prices Will Fall Soon</t>
  </si>
  <si>
    <t>OpenAI CEO Sam Altman admits AI is breaking labor-capital balance and warns no one knows how to manage the coming job disruption</t>
  </si>
  <si>
    <t>Worldâ€™s Largest LNG Plant Suffers Extensive Damage, Qatar Says.</t>
  </si>
  <si>
    <t>S&amp;P 500 falls to new low for year on Iran oil crisis, posts third-straight losing week: Live updates</t>
  </si>
  <si>
    <t>Iran denies Trump's claims: 'We reject all negotiations â€“ US has failed and Hormuz will remain closed'</t>
  </si>
  <si>
    <t>Live: Dow futures jump 500 points as report of U.S. peace plan for Iran sends oil prices lower</t>
  </si>
  <si>
    <t>Whatâ€™s up with the AI infrastructure stocks today?</t>
  </si>
  <si>
    <t>Stocks fall again as oil prices rise, Dow loses 300 points</t>
  </si>
  <si>
    <t>Super Micro -14% after-hours as co-founder arrested for AI chip smuggling to China</t>
  </si>
  <si>
    <t>Wall Street Bankers Offered Lucrative Access to Join the Pentagon - The New York Times</t>
  </si>
  <si>
    <t>Walmart went up 230% in the last 5 yearsâ€¦ why?</t>
  </si>
  <si>
    <t>SpaceX reportedly could file for an IPO this week. These funds allow you to invest right now</t>
  </si>
  <si>
    <t>Average Gasoline Price Hits $4 in U.S., a â€˜Headacheâ€™ for Drivers and Trump</t>
  </si>
  <si>
    <t>Dow rallies 900 points as optimism grows for an end to the Iran war</t>
  </si>
  <si>
    <t>Dow bounces 400 points to start the week as oil prices fall back to $95 a barrel</t>
  </si>
  <si>
    <t>Global forecasting group sees U.S. inflation at 4.2% this year, much higher than Fed estimate</t>
  </si>
  <si>
    <t>J.P. Morgan, 1 day before the war started: "we do not anticipate protracted oil supply disruptions"</t>
  </si>
  <si>
    <t>Dow jumps 300 points as oil falls after U.S. reportedly sends Iran peace plan: Live updates</t>
  </si>
  <si>
    <t>Russia to introduce ban on gasoline exports from 1 April, govt says</t>
  </si>
  <si>
    <t>Saudi Aramco cuts oil supply to Asia for second month in April</t>
  </si>
  <si>
    <t>Stock markets swing and oil prices fall after Trump postpones strikes on Iran power plants</t>
  </si>
  <si>
    <t>Iran: No negotiation. No Trust. The "whatever it's called" 15 points US had conveyed "excessive, unrealistic, illogical".</t>
  </si>
  <si>
    <t>Oil jumps over 2% as doubts linger over U.S.-backed plan to protect Strait of Hormuz shipping</t>
  </si>
  <si>
    <t>Buying the dip?</t>
  </si>
  <si>
    <t>Stock market today: Dow, S&amp;P 500, Nasdaq sink as oil swings amid Iran war jitters</t>
  </si>
  <si>
    <t>Saudi Arabia Sees a Spike to $180 Oil if Energy Shock Persists Past April</t>
  </si>
  <si>
    <t>Long-time Tesla bull flips to sell, sees stock plunging to $150 amid AI concerns By Investing.com</t>
  </si>
  <si>
    <t>Expectations for the next Fed rate cut get pushed back after hot inflation report</t>
  </si>
  <si>
    <t>S&amp;P 500 rises as market continues rebound from Iran conflict turmoil</t>
  </si>
  <si>
    <t>Gold futures surge over us-Iran peace talks</t>
  </si>
  <si>
    <t>Google Just Locked In Power Equal to 2 Million Homesâ€¦ For One Data Center</t>
  </si>
  <si>
    <t>US Tech Stocks Have Gone From 47% More Expensive Than the S&amp;P 500 to Just a 4% Premium in Less Than 6 Months. The Lowest Since 2019 and on Track to Be Cheaper Than the Broader Market for the First Time Since 2017</t>
  </si>
  <si>
    <t>Pentagon adopts Palantir Maven AI as core military system, securing long term funding and deeper integration across US forces</t>
  </si>
  <si>
    <t>UAE willing to join international force to reopen Strait of Hormuz, FT reports</t>
  </si>
  <si>
    <t>Markets are up big on... no substance at all</t>
  </si>
  <si>
    <t>Stock market today: Dow, S&amp;P 500, Nasdaq rise as oil tops $100 again, Fed meeting kicks off</t>
  </si>
  <si>
    <t>U.S. Encourages Flow of Iranian Oil While It Battles Iran</t>
  </si>
  <si>
    <t>Figma is crashing</t>
  </si>
  <si>
    <t>Nasdaq moves into correction territory as Iran war weighs on markets</t>
  </si>
  <si>
    <t>Breaking New: Trump says Iranâ€™s president asked for ceasefire, but U.S. wants Hormuz Strait open first</t>
  </si>
  <si>
    <t>Eyeing oil market turmoil and erratic job numbers, Fed to hold interest rates steady</t>
  </si>
  <si>
    <t>Wholesale prices rose 0.7% in February, much more than expected</t>
  </si>
  <si>
    <t>Stock market today: Dow, S&amp;P 500, Nasdaq futures fall as 4-week down spiral continues, Trump threatens Iran</t>
  </si>
  <si>
    <t>Jury in Los Angeles finds Meta, YouTube negligent in social media addiction trial</t>
  </si>
  <si>
    <t>Traders placed $580mn in oil bets ahead of Donald Trumpâ€™s social media post on Iran talks</t>
  </si>
  <si>
    <t>Oil rises with Brent crossing $100 a barrel again as Middle East tensions keep traders on edge</t>
  </si>
  <si>
    <t>Fourth-quarter GDP revised down to just 0.7% growth; January core inflation was 3.1%</t>
  </si>
  <si>
    <t>Dow futures fall 400 points as oil jumps and Trump warns Iran negotiators to â€˜get seriousâ€™: Live updates</t>
  </si>
  <si>
    <t>Microsoft Set for Worst Quarter Since 2008 as AI Takes Two Bites</t>
  </si>
  <si>
    <t>Stock market today: Dow, S&amp;P 500, Nasdaq sell off to end another brutal week as Iran war rages</t>
  </si>
  <si>
    <t>Stock market today: Dow, S&amp;P 500, Nasdaq futures climb as oil rises with US and Iran targeting energy infrastructure</t>
  </si>
  <si>
    <t>Oil prices surge with Brent rising 5% as Trump vows to hit Iran 'extremely hard' within weeks</t>
  </si>
  <si>
    <t>Meta is shutting down VR social platform Horizon Worlds in further pivot away from the metaverse</t>
  </si>
  <si>
    <t>Stock Market 'Best Since 1928,' Say Investors</t>
  </si>
  <si>
    <t>CNBC Daily Open: Iran rejects ceasefire, but reviews peace plan</t>
  </si>
  <si>
    <t>What are your predictions for Monday/Sunday Night?</t>
  </si>
  <si>
    <t>Meta planning sweeping layoffs as AI costs mount</t>
  </si>
  <si>
    <t>Amazon says AWS' Bahrain region 'disrupted' following drone activity</t>
  </si>
  <si>
    <t>Brent is surging back up againâ€¦ Trump really is a flipper. The war is getting serious and the markets will tank again.</t>
  </si>
  <si>
    <t>Closing the Strait of Bab Al Mandeb</t>
  </si>
  <si>
    <t>Workers aren't quitting their jobs. Here's why that's a problem for the labor market.</t>
  </si>
  <si>
    <t>Oil prices soar 10% as Trumpâ€™s Iran war speech stokes fears of further escalation</t>
  </si>
  <si>
    <t>OpenAI plans 78% workforce growth to 8000 by end 2026 as AI hiring boom accelerates</t>
  </si>
  <si>
    <t>Oil Resumes Advance on Concern Middle East War May Escalate</t>
  </si>
  <si>
    <t>When â€œbuy the dipâ€ becomes â€œbuy the painâ€</t>
  </si>
  <si>
    <t>Markets on edge as Middle East conflict reaches critical juncture - analysis</t>
  </si>
  <si>
    <t>Canadaâ€™s oil producers in line for C$90bn windfall from Iran war</t>
  </si>
  <si>
    <t>Iran-US war latest: Massive Kuwaiti oil tanker off Dubai port hit as Trump issues fresh warning to Tehran</t>
  </si>
  <si>
    <t>Oil prices reverse course to fall as traders assess Trump comments on Iran war</t>
  </si>
  <si>
    <t>Stock market today: Dow, S&amp;P 500, Nasdaq futures soar as Trump postpones Iran strike, citing 'very good' talks</t>
  </si>
  <si>
    <t>Private Credit Fears, War Darken Outlook For US Financial Stocks</t>
  </si>
  <si>
    <t>Buffett says holding cash during a war is the last thing you want to do. Is he right?</t>
  </si>
  <si>
    <t>Microsoft weighs legal action over $50B Amazon-OpenAI cloud deal, raising risk to Azure exclusivity in AI race</t>
  </si>
  <si>
    <t>Stock market today: Dow, S&amp;P 500, Nasdaq futures waver after rally as Iran war drags on</t>
  </si>
  <si>
    <t>Snap Inc is extremely close to officially being "worth" less than it was at its 2018 rock bottom.</t>
  </si>
  <si>
    <t>Warren Buffett at 95: Still going strong, sitting on $380B cash and showing investors the power of patience</t>
  </si>
  <si>
    <t>Oil rises as markets assess supply risks after Iran denies US talks</t>
  </si>
  <si>
    <t>Super Micro shares tank 25% after employees charged with smuggling Nvidia chips to China</t>
  </si>
  <si>
    <t>Trump says U.S. will destroy Iranâ€™s oil wells, Kharg Island without deal to 'immediately' reopen Hormuz Strait</t>
  </si>
  <si>
    <t>US to Receive $10 Billion Fee for TikTok Deal, WSJ Reports</t>
  </si>
  <si>
    <t>How the big oil and gas CEOs think the Iran war supply disruption will play out</t>
  </si>
  <si>
    <t>3 weeks of war, possible rate hikes, and AI's 'show me' phase: What to watch this week</t>
  </si>
  <si>
    <t>Oil price spike likely to keep rates on hold but deepen divisions among Fed officials this week</t>
  </si>
  <si>
    <t>S&amp;P 500 Technical View</t>
  </si>
  <si>
    <t>Stock market today: Dow, S&amp;P 500, Nasdaq futures fall after PPI inflation comes in hot ahead of Fed decision</t>
  </si>
  <si>
    <t>Microsoft Freezes Hiring in Major Cloud and Sales Groups</t>
  </si>
  <si>
    <t>Powell sees inflation outlook in check, no need to hike rates because of oil shock</t>
  </si>
  <si>
    <t>Small cap-focused Russell 2000 becomes the first of major U.S. benchmarks to enter correction territory this year</t>
  </si>
  <si>
    <t>Dovish market headlines contradicts on - the - ground operations.</t>
  </si>
  <si>
    <t>SEC Prepares Proposal to Eliminate Quarterly Reporting Requirement</t>
  </si>
  <si>
    <t>Broadcom is now bigger than Meta and Tesla</t>
  </si>
  <si>
    <t>U.S. oil prices stay elevated as Trump threatens strikes on Iran's crude export facilities</t>
  </si>
  <si>
    <t>Time to Give Up the Jerome Powell Case</t>
  </si>
  <si>
    <t>The Fed issues its latest interest rate decision Wednesday. Here's what to expect</t>
  </si>
  <si>
    <t>Oil extends gains after record monthly rally as Trump signals Iran war exit amid energy disruptions</t>
  </si>
  <si>
    <t>Amazon expands 1 hour delivery across US cities, escalating logistics war with Walmart and raising pressure on retail margins</t>
  </si>
  <si>
    <t>A critical Fed meeting, $100 oil, and Micron earnings: What to watch this week</t>
  </si>
  <si>
    <t>Bobcat offers voluntary separation program to U.S. salaried, full-time employees</t>
  </si>
  <si>
    <t>Stock market today: Dow, S&amp;P 500, Nasdaq slide amid inflation worries as Iran war sends oil surging</t>
  </si>
  <si>
    <t>Fed votes to hold rates steady, notes â€˜uncertainâ€™ impacts from Iran war</t>
  </si>
  <si>
    <t>Small cap-focused Russell 2000 becomes first U.S. benchmark to enter correction territory</t>
  </si>
  <si>
    <t>Stock market today: Dow, S&amp;P 500, Nasdaq futures rise with Fed decision on deck</t>
  </si>
  <si>
    <t>OpenClaw's ChatGPT moment sparks concern that AI models are becoming commodities</t>
  </si>
  <si>
    <t>Salesforce and Other Software Stocks Are Falling as AI Jitters Return</t>
  </si>
  <si>
    <t>Sysco - strikes $29 billion deal for catering supplier Restaurant Depot</t>
  </si>
  <si>
    <t>Iran war impact: Consumers caught in triple stack of pain</t>
  </si>
  <si>
    <t>GME shareholders got the better of us</t>
  </si>
  <si>
    <t>Canada discusses Keystone XL revival with Trump administration officials</t>
  </si>
  <si>
    <t>Nasdaq's Gloom Deepens On Iran War News; Gold Stocks Rise</t>
  </si>
  <si>
    <t>Asia looks to COVID-era playbook to tackle fuel crisis</t>
  </si>
  <si>
    <t>The Blowup That Exposed How Americaâ€™s Banks Are Entangled in Private Credit</t>
  </si>
  <si>
    <t>Central banks face policy trap as Iran war drives inflation shock just as growth momentum fades</t>
  </si>
  <si>
    <t>Debt investors offloading exposure to software companies is latest sign of pain | Reuters</t>
  </si>
  <si>
    <t>Stock Market Recap for Wednesday, April 1, 2026</t>
  </si>
  <si>
    <t>OpenAI ends Disney partnership as it closes Sora video-making app</t>
  </si>
  <si>
    <t>Alibaba -4% premarket as profit drops 67%, revenue rises 2%, cloud prices rise 34%, signaling urgent AI monetization push</t>
  </si>
  <si>
    <t>Since we discussed whether there really had been talks with Iran</t>
  </si>
  <si>
    <t>Question Arising from The War with Iran</t>
  </si>
  <si>
    <t>Giant IPOs From SpaceX to OpenAI Put Index Rules Under Pressure</t>
  </si>
  <si>
    <t>What are your thoughts on this potential economic impact of the oil prices?</t>
  </si>
  <si>
    <t>Gold and silver sell-off accelerates - Dollar rises as inflation fears grip global markets</t>
  </si>
  <si>
    <t>Any opinions or predictions?</t>
  </si>
  <si>
    <t>Where should we begin ?</t>
  </si>
  <si>
    <t>Stock futures tick higher after Mondayâ€™s relief rally; traders eye latest developments in Iran: Live updates</t>
  </si>
  <si>
    <t>President of Iran Debunks Trumps claims about the war</t>
  </si>
  <si>
    <t>Micron record quarter - The generational memory boom is alive and well</t>
  </si>
  <si>
    <t>Huawei targets ~750K AI chip shipments as Alibaba and ByteDance plan orders, sources say</t>
  </si>
  <si>
    <t>Nvidia CEO Huang says company sees more than $1 trillion in sales through 2027</t>
  </si>
  <si>
    <t>Private sector hiring totaled 62,000 in March, better than expected, ADP says</t>
  </si>
  <si>
    <t>Here's where institutional investors have been buying the most homes</t>
  </si>
  <si>
    <t>Australia central bank hikes rates in tight call as Iran war stokes inflation risk</t>
  </si>
  <si>
    <t>Sensex ends 1,635 points down, Nifty below 22,400; banking stocks tumble</t>
  </si>
  <si>
    <t>PINS, RDDT, SNAP all got absolutely hammered since January 2. First came SaaS apocalypse. Then came the Strait of Hormuz situation. How will these stocks recover?</t>
  </si>
  <si>
    <t>S&amp;P 500 constituents with largest drawdown from 52 week highs.</t>
  </si>
  <si>
    <t>Oil Inflection Point</t>
  </si>
  <si>
    <t>Making sense of what the fed is facing ahead.</t>
  </si>
  <si>
    <t>Super Micro Co-Founder Charged in China AI Tech Case</t>
  </si>
  <si>
    <t>Will there come a point in time where the war continues, but the markets do not care?</t>
  </si>
  <si>
    <t>Fintech valuations have been reset hard, opportunity or value trap?</t>
  </si>
  <si>
    <t>Market open shows heavy hedging across megacap tech as NVDA and META see largest put skew</t>
  </si>
  <si>
    <t>Bernstein analysts say CoreWeaveâ€™s business could be cannibalized as Big Tech customers build their own data-center infrastructure</t>
  </si>
  <si>
    <t>Gasoline spike hitting tradersâ€™ radar â€“ RB=F near multi-week highs</t>
  </si>
  <si>
    <t>Stock Futures Surge Higher - Bitcoin Snap Losing Streak and Oil shed to begin New Quarter</t>
  </si>
  <si>
    <t>Puig stock soars 15% after EstÃ©e Lauder confirms takeover talks with Charlotte Tilbury maker</t>
  </si>
  <si>
    <t>I visualized every major investment Warren Buffett made from 1942 to 2025</t>
  </si>
  <si>
    <t>Took a position in RKLB and ASTSâ€¦ not as obvious as it looks</t>
  </si>
  <si>
    <t>Challenger: US layoffs hit 60k in March, AI tied to 15k cuts as tech leads with Dell reductions</t>
  </si>
  <si>
    <t>Help in understanding something about stock markets and inflation</t>
  </si>
  <si>
    <t>Czechoslovak Group beats revenue expectations despite ammunition weakness</t>
  </si>
  <si>
    <t>Synopsys (SNPS) shares rally +4% as activist Elliott builds multibillion-dollar stake in chip design firm</t>
  </si>
  <si>
    <t>Stock market today: Dow, S&amp;P 500, Nasdaq futures inch down after stocks bounce back amid 3-week losing streak</t>
  </si>
  <si>
    <t>Heavy in SNKD (~80% portfolio) since Januaryâ€¦ would you reduce here?</t>
  </si>
  <si>
    <t>ADP: US private payrolls +62K vs +39K est in March. 58K of 62K in education and health services</t>
  </si>
  <si>
    <t>Blue Owl caps private credit funds redemptions at 5% after steep request levels</t>
  </si>
  <si>
    <t>Smart City Buildout Into 2028 - Feels Like a Real Multi-Year Trade, Who Are You Buying?</t>
  </si>
  <si>
    <t>Rate My Portfolio - r/StockMarket Quarterly Thread January 2026</t>
  </si>
  <si>
    <t>My golden goose AGX</t>
  </si>
  <si>
    <t>Oil keeps pushing higherâ€¦ is this now the real macro risk?</t>
  </si>
  <si>
    <t>Industries affected by Strait of Hormoz disruption according to MS research</t>
  </si>
  <si>
    <t>WVE down ~50% after â€œbetterâ€ results than GLP-1sâ€¦ am I missing something?</t>
  </si>
  <si>
    <t>$IPX down from $50 â†’ $29 in 3 days. Overreaction or red flag?</t>
  </si>
  <si>
    <t>All Eyes on Nvidia GTC 2026. Will It Push NVDA Higher Again?</t>
  </si>
  <si>
    <t>Daily General Discussion and Advice Thread - March 16, 2026</t>
  </si>
  <si>
    <t>Rate My Portfolio - r/StockMarket Quarterly Thread April 2026</t>
  </si>
  <si>
    <t>Lightwave Logic and Tower Semiconductor Announce Development Agreement to Enable High-Speed, Low-Power Modulators on Tower's PH18 Silicon Photonics Platform</t>
  </si>
  <si>
    <t>Mungerâ€™s take on China â€“ what does it mean for markets today?</t>
  </si>
  <si>
    <t>Peace talks dropped, but Hormuz still loaded markets on edge</t>
  </si>
  <si>
    <t>Daily General Discussion and Advice Thread - March 15, 2026</t>
  </si>
  <si>
    <t>Why I am now Bullish after being Bearish for the last 5 months</t>
  </si>
  <si>
    <t>Any short seller who gets stucked in this "Once in 4 Years" Move.</t>
  </si>
  <si>
    <t>A repeat of history for US stocks</t>
  </si>
  <si>
    <t>SNAP, RDDT. When does the relief rally enter the room?</t>
  </si>
  <si>
    <t>1 profitable stock to watch and 2 to question this week</t>
  </si>
  <si>
    <t>If this is true the markets about to gain back the +20% it lost from this â€œWarâ€ / Money grab</t>
  </si>
  <si>
    <t>Ye dukh kahe khatam nahi hota</t>
  </si>
  <si>
    <t>Profitable traders, what made you actually stick to the rules you set instead of trading on "feel"</t>
  </si>
  <si>
    <t>Mature investors with experience, kindly share your advice</t>
  </si>
  <si>
    <t>Is there really an AI bubble and how the AI era compares to Dot-com era</t>
  </si>
  <si>
    <t>How resilient the US stockmarket is ...</t>
  </si>
  <si>
    <t>FED will make an emergency $8 billion injection into the market, LONG or SHORT?</t>
  </si>
  <si>
    <t>Dow jumps 1000 points as Trump pauses Iran strikes after â€˜productiveâ€™ talks is this real de-escalation or just temporary?</t>
  </si>
  <si>
    <t>Can anyone help calculate the short squeeze potential for $JSW (WSE)?</t>
  </si>
  <si>
    <t>stocks</t>
  </si>
  <si>
    <t>Trump is giving Iran ultimatum until the market reopens</t>
  </si>
  <si>
    <t>In a surprise to no one, Iran has come out denying Trump's claims of negotiations: How will the S&amp;P respond?</t>
  </si>
  <si>
    <t>a $3 TRILLION swing market cap in 56 minutes, just in the S&amp;P 500.</t>
  </si>
  <si>
    <t>Iran REJECTS a ceasefire until formal security arrangements are made</t>
  </si>
  <si>
    <t>With oil touching $120, is anyone actually doing the math on what happens if this Iran war runs another 6 months?</t>
  </si>
  <si>
    <t>Trump says war will end "very soon" and that oil prices will drop below $100/bbl after surging Sunday...oh wait, that was March 9th</t>
  </si>
  <si>
    <t>We are almost there, blood in the streets</t>
  </si>
  <si>
    <t>Jury finds Elon Musk misled investors during Twitter purchase</t>
  </si>
  <si>
    <t>This is just sick</t>
  </si>
  <si>
    <t>Barclays says the 'Trump put' is fading, and the president can no longer prop up stocks as headline fatigue sets in</t>
  </si>
  <si>
    <t>Getting out of Palantir</t>
  </si>
  <si>
    <t>Predictions on what Trump will say tomorrow morning to make markets go green?</t>
  </si>
  <si>
    <t>Watched the entire Fed Powell press conference today - our 3rd economic shock</t>
  </si>
  <si>
    <t>Trump's pinky promises are a desperate stalling tactic to keep equities markets up</t>
  </si>
  <si>
    <t>Bill Ackman says itâ€™s one of the best times in a long time to buy quality stocks</t>
  </si>
  <si>
    <t>Trump's Truth Social post about Iran ceasefire and negotations seems to have come 20 minutes *after* S&amp;P futures price jump?</t>
  </si>
  <si>
    <t>People are not ready for a Crash</t>
  </si>
  <si>
    <t>Market rally after hours- Trump says U.S. will leave Iran in â€˜two or three weeksâ€™ entirely</t>
  </si>
  <si>
    <t>Microsoft freefall</t>
  </si>
  <si>
    <t>$200 Oil No Longer Crazy Idea as Middle East Supply Collapses</t>
  </si>
  <si>
    <t>Trump just posted an OLD ceasefire letter from Oct 2025 about Israel/Hamas on Truth Social - How do you think equities markets will respond?</t>
  </si>
  <si>
    <t>Why are markets rallying all of a sudden?</t>
  </si>
  <si>
    <t>The hurricane is on its way to the stock market, and this is just the mild wind gusts hitting before the storm</t>
  </si>
  <si>
    <t>Iran Strike to Cut 17% of Qatari LNG for 3-5 Years</t>
  </si>
  <si>
    <t>Super scam cycle</t>
  </si>
  <si>
    <t>It's crazy how resilient the US stock market is.</t>
  </si>
  <si>
    <t>Trump Says US Considering â€˜Winding Downâ€™ Iran Military Effort</t>
  </si>
  <si>
    <t>Iran signals a ceasefire, and the market stages a strong rebound</t>
  </si>
  <si>
    <t>Major NASDAQ-100 rule changes confirmed, pay attention if you have money in passive investment funds</t>
  </si>
  <si>
    <t>Trump Speech Tonight</t>
  </si>
  <si>
    <t>Are you actually buying this dip or just pretending to be brave?</t>
  </si>
  <si>
    <t>S&amp;P 500 No longer OVERVALUED</t>
  </si>
  <si>
    <t>Are we heading towards â€œLost Decadesâ€ like Japan?</t>
  </si>
  <si>
    <t>Today's 3.8% Nasdaq rally is not "the recovery." It's a bear market rally. Don't get fooled.</t>
  </si>
  <si>
    <t>This market feels like 2022 all over again</t>
  </si>
  <si>
    <t>Stock Selloff Extends as Iran Conflict Escalates: Markets Wrap</t>
  </si>
  <si>
    <t>Carnage in the fast food industry</t>
  </si>
  <si>
    <t>Jury orders Meta and Google to pay woman $6 million in social media addiction trial</t>
  </si>
  <si>
    <t>Federal Reserve holds interest rates steady, forecasts 1 rate cut in 2026</t>
  </si>
  <si>
    <t>Trumpâ€™s false claims of a successful negotiation have masked an epic collapse</t>
  </si>
  <si>
    <t>Wall Street Faces a $5.7 Trillion Triple-Witching Jolt on Friday</t>
  </si>
  <si>
    <t>Big Tech Sell Off</t>
  </si>
  <si>
    <t>Trump to take all the oil, futures havenâ€™t moved</t>
  </si>
  <si>
    <t>Trump extends pause on attacking Iran Energy Facilities to April 6th.</t>
  </si>
  <si>
    <t>Volume in stock and oil futures surged minutes before Trump's market-turning post [CNBC]</t>
  </si>
  <si>
    <t>Trump just announced a 5-day pause on Iran strikes and futures are up 2%+ across the board, is this the relief rally or a dead cat bounce?</t>
  </si>
  <si>
    <t>Why I remain an S&amp;P BEAR after this morning's Department of Defense press briefing</t>
  </si>
  <si>
    <t>Financial advice from Iran's Parliament speaker</t>
  </si>
  <si>
    <t>SpaceX IPO filing this week or next. Keep a close eye on your passive investments.</t>
  </si>
  <si>
    <t>Liberation Day 2.0</t>
  </si>
  <si>
    <t>We know Trump is manipulating markets, but what do you think his intentions were for his speech yesterday?</t>
  </si>
  <si>
    <t>Microsoft announces sweeping Windows changes</t>
  </si>
  <si>
    <t>The S&amp;P 500 is 50 day Moving Average is now below the 100 day Moving Average</t>
  </si>
  <si>
    <t>What is the most undervalued 10x play sitting in your portfolio right now?</t>
  </si>
  <si>
    <t>How is the market still holding up?</t>
  </si>
  <si>
    <t>UPDATE: Accidently sold all of my shares of stock</t>
  </si>
  <si>
    <t>Quality Companies at 52 Week Lows</t>
  </si>
  <si>
    <t>Trump is so stupid. Iran only gets 2% of its water from desalination plants.</t>
  </si>
  <si>
    <t>Oil prices fall as Iran signals safe passage for â€˜non-hostileâ€™ ships through Strait of Hormuz</t>
  </si>
  <si>
    <t>Realistically is it just over and should I cut my losses?</t>
  </si>
  <si>
    <t>$GOOGL down 3% today and trending all over Reddit, is anyone actually buying this dip?</t>
  </si>
  <si>
    <t>US allows 30-day sale of Iran oil at sea in bid to tame prices</t>
  </si>
  <si>
    <t>Feels like a relief rallyâ€¦ not convinced itâ€™s the bottom</t>
  </si>
  <si>
    <t>Oil tumbles after Trump postpones U.S. strikes against Iran energy infrastructure for five days</t>
  </si>
  <si>
    <t>China pledges more balanced trade and further opening of the economy after record surplus</t>
  </si>
  <si>
    <t>What is the over/under on a weekend Truth Social post from Trump announcing a "breakthrough", leading to an S&amp;P rise?</t>
  </si>
  <si>
    <t>CNBC: Global forecasting group OECD sees U.S. inflation at 4.2% this year, 1.6% in 2027</t>
  </si>
  <si>
    <t>What dips look the most attractive to you at current prices?</t>
  </si>
  <si>
    <t>If US put boots on the ground what happens to oil stocks?</t>
  </si>
  <si>
    <t>Do you consider Iran to be a Black Swan event?</t>
  </si>
  <si>
    <t>Markets now see the Fedâ€™s next move as a potential rate hike as inflation fears mount</t>
  </si>
  <si>
    <t>Nasdaq is going to test tokenized stocks</t>
  </si>
  <si>
    <t>SP500 gain 2.9% and added 1.7 trillion market cap- Best day since May 2025.</t>
  </si>
  <si>
    <t>Check Asian Markets and oil price before placing Monday buy/sell orders.</t>
  </si>
  <si>
    <t>Hegsethâ€™s broker looked to buy defense fund before Iran attack</t>
  </si>
  <si>
    <t>Are institutions quietly de-risking while retail is still buying the dip?</t>
  </si>
  <si>
    <t>Bloomberg article highlights risks that index rule changes pose to passive investment funds</t>
  </si>
  <si>
    <t>I didnâ€™t expect the market to move like this after Iran</t>
  </si>
  <si>
    <t>Cybersecurity stocks plunge as Anthropicâ€™s â€˜Claude Mythosâ€™ leak sparks AI fear</t>
  </si>
  <si>
    <t>Is market overreacting about Microsoft?</t>
  </si>
  <si>
    <t>Quick rise in crude oil prices, in response to Trump speech or something else?</t>
  </si>
  <si>
    <t>This week was my worst week since liberation day. Not sure how to deal with it</t>
  </si>
  <si>
    <t>I think 40 VIX is imminent</t>
  </si>
  <si>
    <t>If 35x earnings felt wild for Costco, how are we supposed to feel about 50x?</t>
  </si>
  <si>
    <t>Rising insurance costs push Fannie, Freddie to adjust mortgage rules</t>
  </si>
  <si>
    <t>Be weary that this kind of market sentiment is exactly what results in short squeezes</t>
  </si>
  <si>
    <t>What are some high-risk high-reward stocks with serious 5-10x potential over the next 2-3 years</t>
  </si>
  <si>
    <t>Anyone hedging their bets or holding off til Trump talks tonight?</t>
  </si>
  <si>
    <t>The day of the ground invasion</t>
  </si>
  <si>
    <t>Found some stock certificates in my late grandfathers stuff bought from PC Financial Network in 1993.</t>
  </si>
  <si>
    <t>Meta stock is falling this AM (-5.6%)</t>
  </si>
  <si>
    <t>Is this the start of a new 2008 or am I seeing ghosts?</t>
  </si>
  <si>
    <t>Fed decision today at 2 PM ET. Are they trapped?</t>
  </si>
  <si>
    <t>Isnâ€™t it crazy that every false verified headline leads to market movement</t>
  </si>
  <si>
    <t>Any in all cash?</t>
  </si>
  <si>
    <t>Everyone is panic selling NVO while the WHO is literally begging for more supply.</t>
  </si>
  <si>
    <t>Once again, a familiar scene</t>
  </si>
  <si>
    <t>Do US traders believe in a shorter war than global markets?</t>
  </si>
  <si>
    <t>Been a fun ride with Micron</t>
  </si>
  <si>
    <t>MSFTâ€¦ What kind of Volume Indicator is this?!?!</t>
  </si>
  <si>
    <t>Are the U.S. equities markets no longer "stable and predictable"?</t>
  </si>
  <si>
    <t>Is now a good time to go into stocks?</t>
  </si>
  <si>
    <t>Nvidia to sell 1 million GPUs to Amazon through 2026 and 2027</t>
  </si>
  <si>
    <t>Supermicro stock plunges 26% after US charges co-founder with conspiracy to smuggle Nvidia chips to China</t>
  </si>
  <si>
    <t>What Stocks are we looking at with all the warning signs currently?</t>
  </si>
  <si>
    <t>Do you keep buying and ignore the noise?</t>
  </si>
  <si>
    <t>Uber to invest up to $1.25 billion in EV maker Rivian in deal to launch 50,000 robotaxis</t>
  </si>
  <si>
    <t>What to invest in now?</t>
  </si>
  <si>
    <t>Would love to hear perspectives from current/ex Microsoft employees. Do you think MSFT is a buy??</t>
  </si>
  <si>
    <t>How much down is your portfolio since the market fall?</t>
  </si>
  <si>
    <t>Did you buy anything today? if so, what?</t>
  </si>
  <si>
    <t>Micron Now Trading for 24X Next Quarter's Earnings While Growing Earnings by 900%</t>
  </si>
  <si>
    <t>What is meta trying to become with all this AI spending</t>
  </si>
  <si>
    <t>Trump's fresh Iran threats give investors a risk-off reality check</t>
  </si>
  <si>
    <t>Brent crude oil US$ 107.92</t>
  </si>
  <si>
    <t>Micron Technology Non-GAAP EPS of $12.20, Est $8.66, revenue of $23.86B, Est $19.3B, Guides for EPS of $19.15, Est $11.7</t>
  </si>
  <si>
    <t>For those who lost a lot of money in stocks.</t>
  </si>
  <si>
    <t>U.S. prosecutors charge Super Micro Computer employees with smuggling Nvidia chips to China</t>
  </si>
  <si>
    <t>Warren Buffett says he sold Apple too soon and would buy more of it, though not in this market</t>
  </si>
  <si>
    <t>Why do people liquidate massive amounts of stock leading into a recession instead of holding?</t>
  </si>
  <si>
    <t>Why isn't oil priced much higher now?</t>
  </si>
  <si>
    <t>Why did market rally?</t>
  </si>
  <si>
    <t>Micron stock falls more than 4% despite Q2 earnings beat amid growth concerns</t>
  </si>
  <si>
    <t>What will you invest in next paycheck?</t>
  </si>
  <si>
    <t>We got the same rebound of April 9th but there is no news ?!</t>
  </si>
  <si>
    <t>Is there any chance the markets will be up Monday with buyers seeing new lows?</t>
  </si>
  <si>
    <t>Wall Street loses patience with Nike as turnaround drags, China weakness deepens</t>
  </si>
  <si>
    <t>What up now with the gold and silver ?</t>
  </si>
  <si>
    <t>Palantir U.S. Commercial Revenue grew 109% YoY in 2025. Is the "government contractor" label finally dead?</t>
  </si>
  <si>
    <t>Alibaba reveals new AI chip designed for â€˜agentsâ€™</t>
  </si>
  <si>
    <t>Swarmer Stock Surges 520% in Trading Debut. Itâ€™s One of the Most Spectacularly Mispriced IPOs.</t>
  </si>
  <si>
    <t>Rheinmetall stock drop</t>
  </si>
  <si>
    <t>The Lasting Effects of the Iran War</t>
  </si>
  <si>
    <t>AI stocks have been pulling back lately,is this the start of a bigger correction or just a rotation?</t>
  </si>
  <si>
    <t>$20k to invest, need advice for safer stocks and ETFs</t>
  </si>
  <si>
    <t>Does the Fear &amp; Greed Index actually work as a strategy?</t>
  </si>
  <si>
    <t>Strategy right now</t>
  </si>
  <si>
    <t>How long are we supposed to wait for AMZN?</t>
  </si>
  <si>
    <t>Which stock that you invested in is your biggest regret?</t>
  </si>
  <si>
    <t>Stocks slide as oil prices surge on Trumpâ€™s vow to hit Iran â€˜extremely hardâ€™</t>
  </si>
  <si>
    <t>Loss carryforward needs to increase. $3k since 1978 !!!</t>
  </si>
  <si>
    <t>Planet Labs surges to new AH after earnings? Perhaps the underlooked space stock?</t>
  </si>
  <si>
    <t>Western oil stocks and understanding Trumps plan for Iran</t>
  </si>
  <si>
    <t>Since SPY and NDX are officially down 5-7% on the year, what are the loses of your portfolio YTD</t>
  </si>
  <si>
    <t>Whatâ€™s going on with Micron (MU)?</t>
  </si>
  <si>
    <t>Trump Says US Will Consider Iran Cease-Fire When Hormuz Is Open</t>
  </si>
  <si>
    <t>Intuitive Machines ($LUNR) Expands Lunar Surface Operations with $180.4 Million NASA CLPS Award</t>
  </si>
  <si>
    <t>Buying Alphabet now? Correlation of tech stocks to Iran?</t>
  </si>
  <si>
    <t>The Silver Lining of the Energy Crisis is Renewables</t>
  </si>
  <si>
    <t>Everyone Talking Their Book</t>
  </si>
  <si>
    <t>US Aerospace/Defence Stocks Down?</t>
  </si>
  <si>
    <t>$MTN. Vail resorts. How low can it go and could it ever be worth investing in again?</t>
  </si>
  <si>
    <t>Is investing in renewable energy a no brainer?</t>
  </si>
  <si>
    <t>Feds latest projections from March 2026 are on the pessimistic side</t>
  </si>
  <si>
    <t>Amazon eyes $9 billion Globalstar deal to rival SpaceX's Starlink, FT reports</t>
  </si>
  <si>
    <t>Diamond hands, or just too much capital out there?</t>
  </si>
  <si>
    <t>Sysco - to buy catering supplier Restaurant Depot in a $29 billion deal</t>
  </si>
  <si>
    <t>Meta hiring contracted by 31% over the last week.</t>
  </si>
  <si>
    <t>I need genuine advice on Micron</t>
  </si>
  <si>
    <t>Crude Oil Drives Higher as Traders Brace for Longer Mideast War</t>
  </si>
  <si>
    <t>A contrarian take.</t>
  </si>
  <si>
    <t>Tesla's first-quarter deliveries miss estimates as tax credit expiry weighs</t>
  </si>
  <si>
    <t>The market still looks underprepared for synchronized copper mine disruptions</t>
  </si>
  <si>
    <t>The 55% Short Interest on Wendyâ€™s ($WEN) is a Massive Turnaround Trap</t>
  </si>
  <si>
    <t>Right now does it make more sense to put money into VOO or indiv big tech stocks that have fallen much further?</t>
  </si>
  <si>
    <t>Rocket Lab Secures $190M Contract for 20x HASTE Launches, Cements Hypersonics Leadership with Department of War Partnership</t>
  </si>
  <si>
    <t>Morgan Stanleyâ€™s Wilson Sees S&amp;P Profit Boom Despite Iran War</t>
  </si>
  <si>
    <t>Key points from recent interview with Rocket Lab($RKLB) CFO Adam Spice</t>
  </si>
  <si>
    <t>Nike current stock price</t>
  </si>
  <si>
    <t>Do you think it still makes sense to increase exposure in the current market?</t>
  </si>
  <si>
    <t>Iran war, helium and AI trade</t>
  </si>
  <si>
    <t>If the addiction elements of social media platforms has to be curtailed, what are the companies worth?</t>
  </si>
  <si>
    <t>Finding an optimistic market scenario</t>
  </si>
  <si>
    <t>Where did the foreigners who dumped Samsung &amp; SK Hynix go? Trying to track the flows [KOSPI]</t>
  </si>
  <si>
    <t>Nike earnings beat estimates despite tariff hit and uneven recovery in China, North America</t>
  </si>
  <si>
    <t>No One is Right Twice: The Problem With Market Timing</t>
  </si>
  <si>
    <t>are you guys buying today (during market open or after hours) based on the news?</t>
  </si>
  <si>
    <t>Anthony Noto bought another $1.5M of SoFi shares in the past 15 days</t>
  </si>
  <si>
    <t>A few points to discuss on todayâ€™s market whiplash</t>
  </si>
  <si>
    <t>These lawsuits on META arenâ€™t the catalyst people think it is. Cambridge Analytica was far far worse.</t>
  </si>
  <si>
    <t>US defense contractor stocks</t>
  </si>
  <si>
    <t>Blackrock -  investors may be underestimating the risks</t>
  </si>
  <si>
    <t>Dave and Busterâ€™s (PLAY) has huge earnings miss but stock rockets upward</t>
  </si>
  <si>
    <t>Asml is now my anchor stock</t>
  </si>
  <si>
    <t>Senators query Nvidiaâ€™s Groq deal, NVDA says did not acquire Groq</t>
  </si>
  <si>
    <t>VST &amp; CEG getting absolutely hammered today</t>
  </si>
  <si>
    <t>Anyone else notice how â€˜qualityâ€™ companies can be totally different investments?</t>
  </si>
  <si>
    <t>ICE stock could have a great quarter report.</t>
  </si>
  <si>
    <t>Fundrise VC fund (VCX) expected to launch today - exposure to OpenAI, Anthropic, etc.</t>
  </si>
  <si>
    <t>Treasury yields whipsawed today after Iran headlines</t>
  </si>
  <si>
    <t>Fed paused againâ€¦ is this just inflation or are oil prices starting to matter more?</t>
  </si>
  <si>
    <t>Contrarian Take. Legacy Enterprise SaaS will completely dominate all future newcomers because of Vibe-Coding.</t>
  </si>
  <si>
    <t>Netflix sees more prospects for live events in South Korea after BTS</t>
  </si>
  <si>
    <t>Anyone else been as foolish as me? A collection of painful and funny lessons from the stock market</t>
  </si>
  <si>
    <t>Impact of SK Hynix listing in US on EWY?</t>
  </si>
  <si>
    <t>Fed's Jefferson sees higher inflation from Iran war near term, signals toward holding rates steady</t>
  </si>
  <si>
    <t>r/Stocks Daily Discussion Monday - Mar 30, 2026</t>
  </si>
  <si>
    <t>Tesla first-quarter deliveries likely to dip sequentially as EV demand softens</t>
  </si>
  <si>
    <t>Stock futures are higher-Oil Shed - Bitcoin snapped losing 5 months streak to start the month as optimism around Iran war ending grows</t>
  </si>
  <si>
    <t>How to know when to sell?</t>
  </si>
  <si>
    <t>Investing with a bias</t>
  </si>
  <si>
    <t>Bought BP at $28, Up 70%. Hold or Take Profit?</t>
  </si>
  <si>
    <t>Last Minute bulk buy of $SPY</t>
  </si>
  <si>
    <t>Great News for CEG and VST</t>
  </si>
  <si>
    <t>As EV Market Stalls, Battery Makers Shift to Grids and Data Centers</t>
  </si>
  <si>
    <t>Could Rocket Lab serve as a defense stock?</t>
  </si>
  <si>
    <t>Which brokerage allows 24/7 trading on GLD?</t>
  </si>
  <si>
    <t>DCA top choices</t>
  </si>
  <si>
    <t>r/Stocks Daily Discussion Wednesday - Apr 01, 2026</t>
  </si>
  <si>
    <t>r/Stocks Daily Discussion &amp; Technicals Tuesday - Mar 31, 2026</t>
  </si>
  <si>
    <t>CATL posted $10.4 billion in net profit last year and I barely see it discussed here</t>
  </si>
  <si>
    <t>Where are the actual discounts? When looking at discounts these are the six things I could factor in</t>
  </si>
  <si>
    <t>MELI OR AMZON OR SEA?</t>
  </si>
  <si>
    <t>Iâ€™ve been analyzing options strategies on Meta and MU. What do you guys think?</t>
  </si>
  <si>
    <t>r/Stocks Daily Discussion &amp; Options Trading Thursday - Mar 19, 2026</t>
  </si>
  <si>
    <t>question about USO . if anyone knows the answer</t>
  </si>
  <si>
    <t>Is private credit the next shoe to drop? Where are you short?</t>
  </si>
  <si>
    <t>r/Stocks Daily Discussion Monday - Mar 23, 2026</t>
  </si>
  <si>
    <t>Has anyone here been tracking MUâ€™s Technicals? I have a question for technical traders.</t>
  </si>
  <si>
    <t>Attempting to locate stocks belonging to my deceased father. In need of advice.</t>
  </si>
  <si>
    <t>At what point do you admit a trade is just not working?</t>
  </si>
  <si>
    <t>US FDA is expected to lift restriction on certain peptides, NYT reports</t>
  </si>
  <si>
    <t>Inherited a couple blue chip stocks, hold or sell??</t>
  </si>
  <si>
    <t>Is Arm Holdings ADR (ARM) a great deal right now? (march 25, 2026)</t>
  </si>
  <si>
    <t>What is the consideration for AMAT at its current price and evaluation?</t>
  </si>
  <si>
    <t>r/Stocks Daily Discussion &amp; Options Trading Thursday - Mar 26, 2026</t>
  </si>
  <si>
    <t>Current situation</t>
  </si>
  <si>
    <t>Would love to hear perspectives from current/ex Wendy's employees. Do you think WEN is a buy??</t>
  </si>
  <si>
    <t>SpaceX filed for the biggest IPO in history during a correction. Either brilliant timing or terrible timing. No in between.</t>
  </si>
  <si>
    <t>What's your confidence level for EOY?</t>
  </si>
  <si>
    <t>Too late for commodities?</t>
  </si>
  <si>
    <t>Oil price and Producer &amp; operators Ratio (XOM, DVN., DOW, APA etc)</t>
  </si>
  <si>
    <t>With the OpenAi and SpaceX Scam Rules, What ETFs can I buy instead of QQQM?</t>
  </si>
  <si>
    <t>r/Stocks Daily Discussion &amp; Technicals Tuesday - Mar 24, 2026</t>
  </si>
  <si>
    <t>Nvidia may not stop selling GPUs to SMCI</t>
  </si>
  <si>
    <t>WHOOP just raised $575M at a $10.1B valuation. Hereâ€™s why I think this is a short when it IPOs.</t>
  </si>
  <si>
    <t>Rate My Portfolio - r/Stocks Quarterly Thread March 2026</t>
  </si>
  <si>
    <t>What is your favoritÃ© E&amp;P stocks to profit of gas/oil price rising ?</t>
  </si>
  <si>
    <t>/r/Stocks Weekend Discussion Saturday - Mar 28, 2026</t>
  </si>
  <si>
    <t>Shifting to European self-sufficiency?</t>
  </si>
  <si>
    <t>Nvidia Sees $1T in AI Orders by 2027, but Most U.S. Investors Canâ€™t Own the Chinese Suppliers Behind 60% of Its Optical Modules</t>
  </si>
  <si>
    <t>Exclusive: Rivian CEO on how its Uber deal came together, and why the AI 'driver' is the future of mobility</t>
  </si>
  <si>
    <t>Joby vs Achr lawsuit hearing on 3/24/26, who will win?</t>
  </si>
  <si>
    <t>What tools do you use to analyse private competitors?</t>
  </si>
  <si>
    <t>Stock market signals services vs building your own: which approach wins in practice?</t>
  </si>
  <si>
    <t>/r/Stocks Weekend Discussion Saturday - Mar 21, 2026</t>
  </si>
  <si>
    <t>$UAMY - pros and cons</t>
  </si>
  <si>
    <t>($BTU) Asia &amp; Europe LNG Spot Surge, Qatar Production Cuts, LNG-to-coal Substitution Play</t>
  </si>
  <si>
    <t>Is there a point in hedging vs just holding cash?</t>
  </si>
  <si>
    <t>US dividend funds draw strong flows as investors seek safety</t>
  </si>
  <si>
    <t>Anyone in the HVAC ETF?</t>
  </si>
  <si>
    <t>CD Projekt earnings out tonight. here's the one number nobody is talking about (and why it makes the Witcher 3 DLC almost inevitable)</t>
  </si>
  <si>
    <t>r/Stocks Daily Discussion Wednesday - Mar 25, 2026</t>
  </si>
  <si>
    <t>META: Do you have any credible thesis?</t>
  </si>
  <si>
    <t>Old US share certificate found in grandmother's papers</t>
  </si>
  <si>
    <t>VG- anyone actually long this?</t>
  </si>
  <si>
    <t>In the current market, how do you approach short, medium, and long term trades?</t>
  </si>
  <si>
    <t>Potential for EUAD?</t>
  </si>
  <si>
    <t>Future of renewable energy stocks of all types</t>
  </si>
  <si>
    <t>#NASA - Tema Space Innovatord ETF</t>
  </si>
  <si>
    <t>Options on VIX?</t>
  </si>
  <si>
    <t>r/Stocks Daily Discussion &amp; Fundamentals Friday Mar 20, 2026</t>
  </si>
  <si>
    <t>Qualitative thoughts on CELH v Costco. Love to hear your thoughts?</t>
  </si>
  <si>
    <t>Will Occidental Petroleum $OXY keep it's gains after the Iran war stops?</t>
  </si>
  <si>
    <t>Acuity Brands</t>
  </si>
  <si>
    <t>Quarterly close + earnings season combo is creating messy price action</t>
  </si>
  <si>
    <t>Updated consideration for VRT at the current price</t>
  </si>
  <si>
    <t>CBIZ : undervalued</t>
  </si>
  <si>
    <t>Anyone hear know anything about Worksport? Not sure what to make of it</t>
  </si>
  <si>
    <t>How do you decide when it's worth averaging up compared to maintaining a lower average with a smaller amount of shares?</t>
  </si>
  <si>
    <t>My RVI thesis</t>
  </si>
  <si>
    <t>Need advice on SGLN Gold investment</t>
  </si>
  <si>
    <t>Looking at Altria... Maybe now is the time to buy Alphabet and Meta?</t>
  </si>
  <si>
    <t>How do European ETFs follow American stocks?</t>
  </si>
  <si>
    <t>Oil proof stocks?</t>
  </si>
  <si>
    <t>With the impending Fertilizer shortage looming how do you think stocks such as miracle gro will go?</t>
  </si>
  <si>
    <t>Micron stock, cut my losses or keep buying?</t>
  </si>
  <si>
    <t>r/Stocks Daily Discussion &amp; Options Trading Thursday - Apr 02, 2026</t>
  </si>
  <si>
    <t>NVO Price Target 25$ (Analysis)</t>
  </si>
  <si>
    <t>Advice regarding Oracle shares</t>
  </si>
  <si>
    <t>Oil stocks- Late in the game - Swing or short term</t>
  </si>
  <si>
    <t>r/Stocks Daily Discussion &amp; Fundamentals Friday Mar 27, 2026</t>
  </si>
  <si>
    <t>Comparing uranium producers and explorers?</t>
  </si>
  <si>
    <t>Robert Smith on software in the age of AI</t>
  </si>
  <si>
    <t>If you missed the DeepSeek moment last year, don't miss this year's Kimi Week</t>
  </si>
  <si>
    <t>Enterprise software outperformance</t>
  </si>
  <si>
    <t>Nasdaq 22860 Mar 30th 2026, Nasdaq 22150 Dec 2024. Are we in Trouble or buy dip:)?</t>
  </si>
  <si>
    <t>General Mills for dividends?</t>
  </si>
  <si>
    <t>TER isnâ€™t even an â€œAI playâ€â€¦ which is kind of why I like it</t>
  </si>
  <si>
    <t>CORN and a chance to have growth during war?</t>
  </si>
  <si>
    <t>Boston scientific drop</t>
  </si>
  <si>
    <t>POET vs. LWLG â€“ thoughts from this community?</t>
  </si>
  <si>
    <t>What happened?</t>
  </si>
  <si>
    <t>Best books about market psychology? Looking for suggestions.</t>
  </si>
  <si>
    <t>Chart discrepancies</t>
  </si>
  <si>
    <t>AEP trade or keep</t>
  </si>
  <si>
    <t>BWET - Technicals look good, so why is it pulling back today?</t>
  </si>
  <si>
    <t>GoEasy Financial crashed last week.  Reporting Thursday.</t>
  </si>
  <si>
    <t>An update on my high-risk, high reward position, FRMI</t>
  </si>
  <si>
    <t>Any ideas on why WTI oil is prices above Brent this morning?</t>
  </si>
  <si>
    <t>Whatâ€™s the reason not to just go QQQM rather than VTI/VOO etc. when looking at long term ETF holds?</t>
  </si>
  <si>
    <t>EV stocks - ideas</t>
  </si>
  <si>
    <t>WeRide Reports Record Full Year 2025 Revenue of RMB684.6 Million, Up 90% Year over Year</t>
  </si>
  <si>
    <t>Vested PIUs..what do I do with them?</t>
  </si>
  <si>
    <t>Rebalancing for current market</t>
  </si>
  <si>
    <t>What are your thoughts on CRCL at this price? (~$89)</t>
  </si>
  <si>
    <t>Buy SGOV at end of month and sell it at beginning of next month to collect state tax-exempt interests from capital lose, is that practical?</t>
  </si>
  <si>
    <t>[ Removed by Reddit ]</t>
  </si>
  <si>
    <t>FNMA &amp; FMCC are Surging Again Today</t>
  </si>
  <si>
    <t>My thoughts - AMS-osram for a EU Photonic play and great industrial execution track record</t>
  </si>
  <si>
    <t>Is it worth it to invest in individual equities if youâ€™re not chucking in material amounts, compared to broad index like VTSAX/VTBLX/VTIAX?</t>
  </si>
  <si>
    <t>Opinions on BLS truthfulness...</t>
  </si>
  <si>
    <t>LION - Update #4 - Position &amp; Thesis</t>
  </si>
  <si>
    <t>C3.AI .... Will it explode within the next decade?</t>
  </si>
  <si>
    <t>$ATHM, potential cigar-butt.</t>
  </si>
  <si>
    <t>My view on the future performance of Oracle stock</t>
  </si>
  <si>
    <t>What separates TDG from other defense stocks?</t>
  </si>
  <si>
    <t>short selling VCX shares after IPO</t>
  </si>
  <si>
    <t>The resulting trading action following secondary</t>
  </si>
  <si>
    <t>DELL and GEV - the new memes</t>
  </si>
  <si>
    <t>Abbott vs Lowe Vs Ecolabs, which to dump my 3000 usd on today and hold for decades?</t>
  </si>
  <si>
    <t>How high can $LITE, $COHR,$AAOI, $AXTI go?</t>
  </si>
  <si>
    <t>Where should buy Taiwan Semiconductor?</t>
  </si>
  <si>
    <t>RBRK director buys $502,220 of stock</t>
  </si>
  <si>
    <t>Invest or wait?</t>
  </si>
  <si>
    <t>Rate my Asset allocation for taxe purpose</t>
  </si>
  <si>
    <t>Is AGX (Argan) still a buy after its big run, or already overvalued?</t>
  </si>
  <si>
    <t>Options vs GTC limit orders? Huh?</t>
  </si>
  <si>
    <t>r/Stocks Weekly Thread on Meme Stocks Saturday - Mar 21, 2026</t>
  </si>
  <si>
    <t>The bear case on DUOL is valid, but the bull case, in my opinion deserves equal attention</t>
  </si>
  <si>
    <t>Thoughts on SMRs (OKLO)</t>
  </si>
  <si>
    <t>What's the best stocks app I can use in hong kong?</t>
  </si>
  <si>
    <t>Day trading in my ROTH</t>
  </si>
  <si>
    <t>Portfolio feedback: 60% stocks / 40% ETFs</t>
  </si>
  <si>
    <t>Am I alone in this, or do we forget about the 'people factor' too much in stock selection?</t>
  </si>
  <si>
    <t>Wtf happened with TASK</t>
  </si>
  <si>
    <t>$CHAI AI data center JVs heating up â€“ Toto DTS partnership and OptiCore for universities, any upside here?</t>
  </si>
  <si>
    <t>Tax loss harvesting for estimated taxes?</t>
  </si>
  <si>
    <t>Transferring Old 401k to IRA, Dollar Cost Average? If so, how?</t>
  </si>
  <si>
    <t>Give me ideas for individual equities to buy/look into? Bought my first $1K into MSFT yesterday! Trying to learn all the diff sectors~</t>
  </si>
  <si>
    <t>Share some books or other resources to help me learn the basics of stocks and investing</t>
  </si>
  <si>
    <t>Whoâ€™s heavy into XOM and what are your plans?</t>
  </si>
  <si>
    <t>The "inflation" argument is so wrong</t>
  </si>
  <si>
    <t>Screener that is customizable?</t>
  </si>
  <si>
    <t>Think market rallies on Monday?</t>
  </si>
  <si>
    <t>r/Stocks Weekly Thread on Meme Stocks Saturday - Mar 28, 2026</t>
  </si>
  <si>
    <t>Didnâ€™t expect to see Kinsale Capital at its cheapest forward P/E on record</t>
  </si>
  <si>
    <t>Rate my IT sector from my portfolio</t>
  </si>
  <si>
    <t>Just a little perspective on market valuation</t>
  </si>
  <si>
    <t>Dark pool, options flow, Gex profile</t>
  </si>
  <si>
    <t>AI spending is exploding,but what happens to earnings when the depreciation hits?</t>
  </si>
  <si>
    <t>Be honest, do you have an investing edge or just a good streak? + My view on having an edge and does it exist?
Most</t>
  </si>
  <si>
    <t>MICHAEL Movie - $100M+ Opening Weekend $LION</t>
  </si>
  <si>
    <t>Should I see my 3 individual stocks and buy the SP 500?</t>
  </si>
  <si>
    <t>Market crash cancelled again for the 15th time</t>
  </si>
  <si>
    <t>Would love to hear perspectives from current/ex Reddit employees. Do you think RDDT is a buy??</t>
  </si>
  <si>
    <t>Market back to levels not seen since last July.  Are we cooked?</t>
  </si>
  <si>
    <t>How low do you thin the S&amp;P 500 will go, and when?    (cristal ball anyone?)</t>
  </si>
  <si>
    <t>Micron Technology</t>
  </si>
  <si>
    <t>With everything going on in the macro right now I went back and checked how my signal engine actually performs during market stress.</t>
  </si>
  <si>
    <t>Apple at 50: From Apple I to the iPhone to AI and beyond</t>
  </si>
  <si>
    <t>Have some liquidity that Iâ€™m looking to place somewhere</t>
  </si>
  <si>
    <t>6 things I check before buying any dividend stock</t>
  </si>
  <si>
    <t>Comcast stock undervalued?</t>
  </si>
  <si>
    <t>Wendys is going to be bought</t>
  </si>
  <si>
    <t>Buffett is waiting for the crash of the century</t>
  </si>
  <si>
    <t>Why is all oil stocks going down despite market being up?</t>
  </si>
  <si>
    <t>The sentiment that the market is on the verge of collapse reminds me of the covid era. Weâ€™re probably going much higher.</t>
  </si>
  <si>
    <t>Cannibis stocks are still overvalued</t>
  </si>
  <si>
    <t>Am I stupid for considering to liquidate my brokerage and emergency savings?</t>
  </si>
  <si>
    <t>I was out of the market before the drops, you can still be.</t>
  </si>
  <si>
    <t>Could snap 7x this year?</t>
  </si>
  <si>
    <t>Are we overlooking N.A Energy?</t>
  </si>
  <si>
    <t>Is it a good time to buy Asian paints stock this point? It closed at â‚¹2169 today (2/04/26).</t>
  </si>
  <si>
    <t>Stocks over ETFâ€™s</t>
  </si>
  <si>
    <t>Setting up a $1M Portfolio with SPY, QQQ, VIG and GLD</t>
  </si>
  <si>
    <t>With so many haters, why is the Space X ipo still predicted to be such a big deal?</t>
  </si>
  <si>
    <t>Are we underestimating risk in this market?</t>
  </si>
  <si>
    <t>How are you playing AI stocks during this sell-off?</t>
  </si>
  <si>
    <t>Wanna try buying my first individual stock in taxable account, is msft a good one? Maybe $5K. Any other big companies that took big dips?</t>
  </si>
  <si>
    <t>Private Credit is a Bubble</t>
  </si>
  <si>
    <t>TSLA prediction markets just killed the breakout narrative</t>
  </si>
  <si>
    <t>The entire reason why there is a large push to set up camp on the moon. Helium-3.</t>
  </si>
  <si>
    <t>How exactly does a non-dividend ETF stock investment earn you money?</t>
  </si>
  <si>
    <t>Atlassian will be the final AI Winner</t>
  </si>
  <si>
    <t>The Corsair (CRSR) story - a value play</t>
  </si>
  <si>
    <t>Silver price is dropping but products made of it are growing.</t>
  </si>
  <si>
    <t>What's your 3 month change look like?</t>
  </si>
  <si>
    <t>To all of those who are Buying The Dip at the momentâ€¦</t>
  </si>
  <si>
    <t>RDDT vs SNAP</t>
  </si>
  <si>
    <t>I have $2421 settled cash on my margin account on Webull, but I donâ€™t see my margin.</t>
  </si>
  <si>
    <t>Which assets performance was the best during WW2 and could history repeat?</t>
  </si>
  <si>
    <t>Biggest loss so farâ€¦ need advice from experienced investors</t>
  </si>
  <si>
    <t>The fedex index white paper</t>
  </si>
  <si>
    <t>What are some companies that no one really knows about?</t>
  </si>
  <si>
    <t>If the US is forced to tap into oil reserves would Energy Transfer (ET) be worth buying short term or will it not move the stock much?</t>
  </si>
  <si>
    <t>Snap average price target is $7.9. So why is it currently trading for $4.5?</t>
  </si>
  <si>
    <t>Barrick Mining Corp, still worth it after the gold boom?</t>
  </si>
  <si>
    <t>Why you should sell Trade Desk and buy Datavault.</t>
  </si>
  <si>
    <t>This is not a dip buying opportunity</t>
  </si>
  <si>
    <t>How to position yourself in this market</t>
  </si>
  <si>
    <t>NFE LNG POWER</t>
  </si>
  <si>
    <t>Taking politics out of investing.</t>
  </si>
  <si>
    <t>How Long Until Itâ€™s Officially a Crash?</t>
  </si>
  <si>
    <t>Is Weebit Nano about to become next Micron?</t>
  </si>
  <si>
    <t>Dell's stock price went up again today, and I'm really curious to know what everyone's average cost basis is</t>
  </si>
  <si>
    <t>When is it time to bail into CDs?</t>
  </si>
  <si>
    <t>Dip buying??</t>
  </si>
  <si>
    <t>PowerOne Corporation or PRHL investor?</t>
  </si>
  <si>
    <t>Is there a rule as to when to sell SGOV?</t>
  </si>
  <si>
    <t>Huge After-Hours Trading in VISN recently</t>
  </si>
  <si>
    <t>Today could be a massive red day</t>
  </si>
  <si>
    <t>Why do people hate rddt stock?</t>
  </si>
  <si>
    <t>is it too late to jump onto Argan (AGX) stock right now?</t>
  </si>
  <si>
    <t>Is Wendy's "WEN" stock a buy?</t>
  </si>
  <si>
    <t>ETSY Stock - Extremely Undervalued</t>
  </si>
  <si>
    <t>Buying stock and retirement</t>
  </si>
  <si>
    <t>AppLovin is Too Cheap to Ignore</t>
  </si>
  <si>
    <t>Copying Inside Traders</t>
  </si>
  <si>
    <t>Are we buying MSFT?</t>
  </si>
  <si>
    <t>What are 3 stocks you think are flying under the radar right now? Mine areâ€¦</t>
  </si>
  <si>
    <t>AEXA - Chamath's $300M SPAC hunting AI/Defense/Energy targets. Floor at $10. 9,429 June calls loaded. Most asymmetric bet in this market.</t>
  </si>
  <si>
    <t>What actually happened if you bought SPY on the worst day of every recent panic</t>
  </si>
  <si>
    <t>Is 50% drop possible considering current situationship of US economy?</t>
  </si>
  <si>
    <t>With how the marketâ€™s looking right now, are you guys thinking of staying in cash, or just kind of holding steady?</t>
  </si>
  <si>
    <t>Three straight wins got me feeling like the futureâ€™s looking bright</t>
  </si>
  <si>
    <t>This Economy Will Break</t>
  </si>
  <si>
    <t>This selloff feels differentâ€¦ anyone else noticing this?</t>
  </si>
  <si>
    <t>ESI.TO - Best Small Cap Oil</t>
  </si>
  <si>
    <t>Im playing a dangerous game with ANNA</t>
  </si>
  <si>
    <t>7.3% yield while oil goes crazy â€“ is MPLX the â€œboringâ€ trade that works?</t>
  </si>
  <si>
    <t>TSLA in the spotlight again â€“ politics, EV competition, and shifting focus</t>
  </si>
  <si>
    <t>Do you think there will be a major statement from Trump over the weekend and if yes, do you think that's proof of market manipulation?</t>
  </si>
  <si>
    <t>how to play Iran invasion?</t>
  </si>
  <si>
    <t>We have had enough!!</t>
  </si>
  <si>
    <t>Does anybody know how to get 3X margin on simple stocks (no CFD, options, anything weird)?</t>
  </si>
  <si>
    <t>Prediction: AI (token) futures market is coming</t>
  </si>
  <si>
    <t>Stock market today: Dow, S&amp;P 500, Nasdaq futures steady after relief rally on Trump's hint of Iran deescalation</t>
  </si>
  <si>
    <t>This is absolutely nauseating</t>
  </si>
  <si>
    <t>Incredibly opportunity to get into RKT at a multi year trendline</t>
  </si>
  <si>
    <t>Robinhood looking good at these levels</t>
  </si>
  <si>
    <t>I want to buy Alphabet. Should I do it now or wait till Monday in case Donnie escalates things in Iran over the weekend?</t>
  </si>
  <si>
    <t>Sports Superstar Salaries vs. Reddit Executive Salaries</t>
  </si>
  <si>
    <t>ChatGPT when researching</t>
  </si>
  <si>
    <t>SNAP- Is it a lost cause?</t>
  </si>
  <si>
    <t>Stock opportunities in Saudi Arabia?</t>
  </si>
  <si>
    <t>Trying not to panic sell</t>
  </si>
  <si>
    <t>Sick of trading</t>
  </si>
  <si>
    <t>We Might Be Entering the Most Interesting Phase of the Energy Transition - Not the Beginning, Not the End</t>
  </si>
  <si>
    <t>Micron just confirmed HBM4 capacity for 2026 is sold out. The memory cycle is different this time.</t>
  </si>
  <si>
    <t>I'm a slow learner, but was that the world's biggest stop loss snag before the plunge?</t>
  </si>
  <si>
    <t>anyone else watching asian markets rn? how screwed are we tomorrow</t>
  </si>
  <si>
    <t>Going into Tuesday 3 things I'm watching in the market this week</t>
  </si>
  <si>
    <t>Is this another March 2020 moment, or are we early in something much worse?</t>
  </si>
  <si>
    <t>Given China's robust economy throughout this conflict, any investment possibilities for low-cost Chinese companies listed on US exchange?</t>
  </si>
  <si>
    <t>Breaking New : Trump says Iranâ€™s president asked for ceasefire, but U.S. wants Hormuz Strait open first</t>
  </si>
  <si>
    <t>What stock is about to plummet - given that you can Vibecode an app for yourself</t>
  </si>
  <si>
    <t>Am I dumb for buying in now?</t>
  </si>
  <si>
    <t>Just created my first portfolio</t>
  </si>
  <si>
    <t>"Is it crazy that people are benchmarking today against downturns from 20 years ago or even the 80s?</t>
  </si>
  <si>
    <t>Diversification is dead</t>
  </si>
  <si>
    <t>Glad I bought the "dip" as markets are looking greener today</t>
  </si>
  <si>
    <t>Retail Fear - Reddit's Cry</t>
  </si>
  <si>
    <t>VCX just changed the market in a big way</t>
  </si>
  <si>
    <t>How do you guys get over not investing more/ missed opportunities</t>
  </si>
  <si>
    <t>â€œDonâ€™t time the marketâ€ my butt.</t>
  </si>
  <si>
    <t>market feels strong, but moves are getting crowded</t>
  </si>
  <si>
    <t>Are Reddit stock picks legit or just people trying to pump?</t>
  </si>
  <si>
    <t>HOOD announces $1.5Bn Share Buyback</t>
  </si>
  <si>
    <t>Is MDA Spaceâ€™s stock being intentionally manipulated downward?</t>
  </si>
  <si>
    <t>Covid headlines are back â€“ which sectors could react first?</t>
  </si>
  <si>
    <t>Does AI End ETFâ€™s??</t>
  </si>
  <si>
    <t>No war = Strait of Hormuzis closed = oil price goes up</t>
  </si>
  <si>
    <t>What % of your saving is in stocks and is it advisable to take loan an invest in such a dip?</t>
  </si>
  <si>
    <t>Crude Oil futures indicate a notable decline in oil prices as the year goes on</t>
  </si>
  <si>
    <t>A factual look at the infrastructure of digital assets</t>
  </si>
  <si>
    <t>Advise for Noviceâ€¦..Please</t>
  </si>
  <si>
    <t>Why is Argan (AGX) stock so bullish this year, despite the bearish market trend this year?</t>
  </si>
  <si>
    <t>The past two Aprils and how markets reacted for the rest of the calendar year.</t>
  </si>
  <si>
    <t>Is it good to buy VOO, Amazon, and Tesla right now?</t>
  </si>
  <si>
    <t>NVO has been falling for several days in a row and is now approaching its 52-week low...</t>
  </si>
  <si>
    <t>A lot of names on sale now! What are you all buying during this dip?</t>
  </si>
  <si>
    <t>27, decent income. No clue how to invest properly, what would you do?</t>
  </si>
  <si>
    <t>Have to short the market.</t>
  </si>
  <si>
    <t>Are you really buying the dip, or are you just being stubborn?</t>
  </si>
  <si>
    <t>I lived with a very OLD man and he gave me this ONE stock market advice when things went BAD</t>
  </si>
  <si>
    <t>So... How come oil lost 2% over the past few hours?</t>
  </si>
  <si>
    <t>wallstreetbets</t>
  </si>
  <si>
    <t>God speed boys</t>
  </si>
  <si>
    <t>Bitcoin rainbow chart shows price is now below the gay zone</t>
  </si>
  <si>
    <t>Whoâ€™s still holding lol</t>
  </si>
  <si>
    <t>Monday:</t>
  </si>
  <si>
    <t>Me after the announcement tomorrow</t>
  </si>
  <si>
    <t>Musk found liable to Twitter shareholders in fraud lawsuit over $44 billion takeover, Bloomberg says</t>
  </si>
  <si>
    <t>Disney Exits OpenAI $1 Billion Deal After AI Giant Shutters Sora</t>
  </si>
  <si>
    <t>Trump postpones military strikes on Iranian power plants after 'good and productive' discussions</t>
  </si>
  <si>
    <t>I lost everything. Lost all I have. I never felt this broken.</t>
  </si>
  <si>
    <t>In light of todayâ€™s rally</t>
  </si>
  <si>
    <t>Hear me out: The Iranian Rial might actually be the most undervalued commodity on earth</t>
  </si>
  <si>
    <t>Not even McDâ€™s will save you regards tomorrowâ€¦</t>
  </si>
  <si>
    <t>Preview of JPOW Showing Up to Tomorrow's FED Meeting</t>
  </si>
  <si>
    <t>Every CEO is about to say "unexpected headwinds" 47 times this earnings season ðŸ’€</t>
  </si>
  <si>
    <t>The entire AI play, and most US stocks are dead</t>
  </si>
  <si>
    <t>Micron, SanDisk Stocks Tumble After Google Unveils AI Memory Compression Breakthrough</t>
  </si>
  <si>
    <t>5 years of failure</t>
  </si>
  <si>
    <t>United Airlines plans for oil hitting $175 a barrel and staying above $100 next year as industry faces worst shock since COVID</t>
  </si>
  <si>
    <t>unemployed tech worker</t>
  </si>
  <si>
    <t>Qatarâ€™s Ras Laffan LNG Plant Hit by Missile, Extensively Damaged</t>
  </si>
  <si>
    <t>FED MAINTAINS RATES AT 3.5-3.75%</t>
  </si>
  <si>
    <t>Fed Officials Signal That Rate Cuts May Be Over</t>
  </si>
  <si>
    <t>Netflix raises prices across all streaming plans</t>
  </si>
  <si>
    <t>Calling BS on Iran deal - 108k bet</t>
  </si>
  <si>
    <t>Made it to the holy land , how do I buy 0DTE puts irl?</t>
  </si>
  <si>
    <t>1000% gain on Allahu Akbar in the Gas Field  $20k-&gt;$237k</t>
  </si>
  <si>
    <t>I lost all my money</t>
  </si>
  <si>
    <t>Meta Lays off hundreds of employees</t>
  </si>
  <si>
    <t>Has anyone seen this guy on TV yet ?</t>
  </si>
  <si>
    <t>2019 to 2026 investing = $1,967,858.27 in realized gains. Officially sold everything.</t>
  </si>
  <si>
    <t>Japan considering tapping into $1.4-trillion foreign exchange â reserves to build short positions in the oil futures</t>
  </si>
  <si>
    <t>Rip gays</t>
  </si>
  <si>
    <t>This is my down payment for a house</t>
  </si>
  <si>
    <t>Iran denies claims: 'We reject all negotiations â€“ US has failed and Hormuz will remain closed'</t>
  </si>
  <si>
    <t>SpaceX confidentially files for IPO</t>
  </si>
  <si>
    <t>Reuters: OpenAl offering private-equity firms a guaranteed return of 17.5%, and early access to models not yet public. How is this legal?</t>
  </si>
  <si>
    <t>Wife will divorce me if she finds out</t>
  </si>
  <si>
    <t>Found out how WSB Bulls keep their heads up during these trying times</t>
  </si>
  <si>
    <t>Canadian regard swing trades and twice all ins his way to a moon ticket. All stocks, no options.</t>
  </si>
  <si>
    <t>Peak $HOOD incompetence</t>
  </si>
  <si>
    <t>NEVER KYS- I HAVE FINALLY RECOVERED FROM DISCOVERING WSB IN 2020</t>
  </si>
  <si>
    <t>Jury awards $3M in social media addiction case, finds Meta 70% and YouTube 30% liable in landmark negligence verdict</t>
  </si>
  <si>
    <t>The "AI is dead because oil" guy has clearly never read an income statement</t>
  </si>
  <si>
    <t>Allbirds is selling for $39 million.</t>
  </si>
  <si>
    <t>Roth IRA is COOKED</t>
  </si>
  <si>
    <t>Oil Traders are So Focused on the Headlines They've Lost Track of Asian Inventory Numbers</t>
  </si>
  <si>
    <t>Tell me Iâ€™m wrong. Private credit is 2008 with a different middleman.</t>
  </si>
  <si>
    <t>If Hormuz stays disrupted, fertilizer might be the sleeper trade</t>
  </si>
  <si>
    <t>SoftBank secures $40 billion loan to boost OpenAI investments</t>
  </si>
  <si>
    <t>OpenAI Valued at $852 Billion After Completing $122 Billion Round</t>
  </si>
  <si>
    <t>Lost Over 200K in a trade</t>
  </si>
  <si>
    <t>Exclusive: Musk rewrites IPO playbook with large slice of SpaceX stock for retail investors, source says</t>
  </si>
  <si>
    <t>MSFT is super under valued</t>
  </si>
  <si>
    <t>I went all in yoga pants trying to recoup my 55k loss shorting silver in January. Now Iâ€™m at a six figure lossâ€¦not paper handing this timeðŸ¤¬</t>
  </si>
  <si>
    <t>Super Micro Dives: U.S. Says Execs Smuggled Chips To China</t>
  </si>
  <si>
    <t>Oil prices turn lower after Brent briefly touches $119 as Netanyahu says Israel helping to open Strait of Hormuz</t>
  </si>
  <si>
    <t>ty idiots</t>
  </si>
  <si>
    <t>â€œJust buy sharesâ€ they said.</t>
  </si>
  <si>
    <t>25K&gt;115K in 4 hrs</t>
  </si>
  <si>
    <t>200k in puts, fuck your pump and fuck your calls</t>
  </si>
  <si>
    <t>Options changed my life pt. 4.2</t>
  </si>
  <si>
    <t>SEC approves Nasdaq's move to allow tokenized securities trading</t>
  </si>
  <si>
    <t>Eli Lilly reaches $2.75 billion deal with Insilico to bring AI-developed drugs to the global market</t>
  </si>
  <si>
    <t>PLEASE BENJAMIN NETANYAHU MY CALLS ARE COOKED</t>
  </si>
  <si>
    <t>An oldie but a goodie feat. Chamath</t>
  </si>
  <si>
    <t>Became a long term MSFT investor after trying to scalp some money for vacation money</t>
  </si>
  <si>
    <t>Micron revenue almost triples, tops estimates as demand for memory soars</t>
  </si>
  <si>
    <t>Nikkei sinks over 5% after Trump threatens Iran over Strait of Hormuz</t>
  </si>
  <si>
    <t>Markets bet on Fed rate hike as soon as July</t>
  </si>
  <si>
    <t>120K Gains in a Week from Scalping Options</t>
  </si>
  <si>
    <t>Exclusive: At least 40% of Russia's oil export capacity halted, Reuters calculations show</t>
  </si>
  <si>
    <t>Thought I caught the bottom, then proceeded to lose $30,000+</t>
  </si>
  <si>
    <t>$6.5K YOLO on Deutsche Bank puts because nobody is watching the second domino</t>
  </si>
  <si>
    <t>European gas futures jump 35% after Iran attacks Qatar LNG plant raising global energy supply concerns</t>
  </si>
  <si>
    <t>Global Supply of Crop Fertilizer Tightens as Russia Curbs Exports</t>
  </si>
  <si>
    <t>Regard said my bear thesis aged like milk. Oil ripped 8% that night.</t>
  </si>
  <si>
    <t>Jeff Bezos in Talks to Raise $100 Billion for AI Manufacturing Fund</t>
  </si>
  <si>
    <t>Sold puts by accident</t>
  </si>
  <si>
    <t>I â€œquitâ€ tradingâ€¦ then just played with 10k for fun!</t>
  </si>
  <si>
    <t>YOLO my life savings</t>
  </si>
  <si>
    <t>SpaceX reportedly could file for an IPO this week.</t>
  </si>
  <si>
    <t>Crypto backed mortgages</t>
  </si>
  <si>
    <t>Option trading cost me 173 k in fees last year. Is there a bigger degenerate than I ?</t>
  </si>
  <si>
    <t>You can always safely bet on the orange man just being bananas. Canâ€™t wait for morning</t>
  </si>
  <si>
    <t>A meteor just hit Ohio today.. this is the plot to every Alien invasion movie ever. Puts on SPY?</t>
  </si>
  <si>
    <t>Microsoft freezes hiring in major cloud, sales groups, The Information reports</t>
  </si>
  <si>
    <t>Trump says US and Iran have held talks on ending war in Middle East as he postpones power plant strikes</t>
  </si>
  <si>
    <t>FUCKING POS</t>
  </si>
  <si>
    <t>Samsung and SK Hynix Stocks Plunge Following Google's TurboQuant AI Memory Tech Reveal - Parameter</t>
  </si>
  <si>
    <t>Look SMCI,how about Dell, Asus, Quanta Computer all smuggling B300,H200 to Shenzhen to sell. China want latest but not old H100 or H200.</t>
  </si>
  <si>
    <t>You get a candle! And you get a candle!</t>
  </si>
  <si>
    <t>I doubled down on my position, down $60,000.</t>
  </si>
  <si>
    <t>SPX drunk trading (Part 2) - 3.7K&gt;49K in 20 mins</t>
  </si>
  <si>
    <t>HAPPY WORLD BEAR DAY TO ALL THE CLOWNS HOLDING PUTS! ðŸ¤¡ðŸŽ‰</t>
  </si>
  <si>
    <t>Exclusive-Amazon plans smartphone comeback more than a decade after Fire Phone flop</t>
  </si>
  <si>
    <t>WSB changed the life of this ðŸ³ï¸â€ðŸŒˆðŸ§¸</t>
  </si>
  <si>
    <t>What the actualâ€¦</t>
  </si>
  <si>
    <t>The Cruise Industry is going to get BURIED by the conflict in the Middle East 10k Puts</t>
  </si>
  <si>
    <t>Me this earnings season</t>
  </si>
  <si>
    <t>$12k on MSFT, this will either age like milk or pay for my surgery.</t>
  </si>
  <si>
    <t>Wall Street bank capital to fall 4.8% under new rules, in win for industry</t>
  </si>
  <si>
    <t>I am excited to wake up tomorrow</t>
  </si>
  <si>
    <t>How did WSB's stock picks of 2026 perform in Q1</t>
  </si>
  <si>
    <t>JOLTS report is out.</t>
  </si>
  <si>
    <t>I am financially ruined</t>
  </si>
  <si>
    <t>How cooked am I</t>
  </si>
  <si>
    <t>Oracle cutting thousands in latest layoff round as company continues to ramp AI spending</t>
  </si>
  <si>
    <t>Trump Pause Lifts Futures After 'Serious' Sell-Off</t>
  </si>
  <si>
    <t>Is no one here concerned about Force majeure?</t>
  </si>
  <si>
    <t>I'm fucked 85k loss in one day</t>
  </si>
  <si>
    <t>Red Every Fucking Day</t>
  </si>
  <si>
    <t>Realistically, How Much Strain Can the Economy Take at Once?</t>
  </si>
  <si>
    <t>QQQ is in 4th worst drawdown since inception</t>
  </si>
  <si>
    <t>Oh ber when will you learn</t>
  </si>
  <si>
    <t>Employees could use 401(k)s to invest in crypto, private equity under Trump plan</t>
  </si>
  <si>
    <t>Wish it were an April Fools Joke</t>
  </si>
  <si>
    <t>Bers celebrating like there's no tomorrow</t>
  </si>
  <si>
    <t>Give me the bull case</t>
  </si>
  <si>
    <t>Arm Holdings (ARM) up +13% as said it will start selling its own chips for 1st time. The new business is expected to generate ~$15b annually</t>
  </si>
  <si>
    <t>Super Micro Co-Founder Charged With Sending AI Tech to China</t>
  </si>
  <si>
    <t>Be greedy when everyone is fearful</t>
  </si>
  <si>
    <t>Did my PUT buyers even say thank you??</t>
  </si>
  <si>
    <t>20K loss on SPY 0DTE puts</t>
  </si>
  <si>
    <t>Interesting. Did somebody say "war is over" already?</t>
  </si>
  <si>
    <t>100K Portfolio (22K in Gains today) SCALPING Options.</t>
  </si>
  <si>
    <t>The current market meltdown and how to navigate it.</t>
  </si>
  <si>
    <t>Control the ðŸ›¢ï¸ control the universe: diplomacy affecting the market and bear thesis</t>
  </si>
  <si>
    <t>MSFT $ 500 Call</t>
  </si>
  <si>
    <t>SpaceX in talks to favor E*Trade over Robinhood and SoFi for retail IPO shares</t>
  </si>
  <si>
    <t>Weâ€™re back baby!</t>
  </si>
  <si>
    <t>I picked the wrong stock</t>
  </si>
  <si>
    <t>Lilly's weight-loss pill wins US approval, sets up next battle with rival Novo Nordisk</t>
  </si>
  <si>
    <t>Gave My Wife Her Account Backâ€¦</t>
  </si>
  <si>
    <t>Anyone else riding the oil train?</t>
  </si>
  <si>
    <t>These are all numbers. They don't mean anything</t>
  </si>
  <si>
    <t>Bond marketâ€™s big 2026 FED bet flipped on its head by oil surge</t>
  </si>
  <si>
    <t>Holding through the weekend +$17k</t>
  </si>
  <si>
    <t>8 Millions pennies in front of the steam roller.</t>
  </si>
  <si>
    <t>So you are telling me no SPY 700?</t>
  </si>
  <si>
    <t>This is the dumbest shit I've seen in awhile [DD]</t>
  </si>
  <si>
    <t>Spx 0dte - drunk</t>
  </si>
  <si>
    <t>Where TF is money going??</t>
  </si>
  <si>
    <t>10K SPY puts because I feel like it</t>
  </si>
  <si>
    <t>RAM shortage = MU 7 bagger</t>
  </si>
  <si>
    <t>Nike Guides for Sales Declines Ahead as Turnaround Plan Hits Snags</t>
  </si>
  <si>
    <t>Exercised an option just to have it reversed.</t>
  </si>
  <si>
    <t>$VCX â€“ The Private Tech Play the World is Sleeping On</t>
  </si>
  <si>
    <t>Tofay was a roller coaster, but still made 28k</t>
  </si>
  <si>
    <t>What Are Your Moves Tomorrow, April 02, 2026</t>
  </si>
  <si>
    <t>What Are Your Moves Tomorrow, March 30, 2026</t>
  </si>
  <si>
    <t>Went Zero or Hero, ended up at 0</t>
  </si>
  <si>
    <t>Novo Nordisk: Wegovy HD (semaglutide 7.2mg) approved by US FDA ($NVO $HIMS ðŸš€)</t>
  </si>
  <si>
    <t>Daily Discussion Thread for March 27, 2026</t>
  </si>
  <si>
    <t>$168 -&gt; $4450 in 20 minutes</t>
  </si>
  <si>
    <t>Yeah just wiped out a months worth of gains gg</t>
  </si>
  <si>
    <t>ROSS Stores Short Idea</t>
  </si>
  <si>
    <t>What Are Your Moves Tomorrow, March 27, 2026</t>
  </si>
  <si>
    <t>DD: Alaska Airlines ($ALK) â€“ Puts on 4 year cyber leak left unpatched</t>
  </si>
  <si>
    <t>Eventually oil will go back down right?</t>
  </si>
  <si>
    <t>Helium stocks of South Korea's chipmakers to last until June, sources say</t>
  </si>
  <si>
    <t>Oh my sweet baby Jesus</t>
  </si>
  <si>
    <t>What Are Your Moves Tomorrow, March 23, 2026</t>
  </si>
  <si>
    <t>Weekend Discussion Thread for the Weekend of March 27, 2026</t>
  </si>
  <si>
    <t>Fed's Williams says monetary policy 'well positioned' for 'unusual' circumstances</t>
  </si>
  <si>
    <t>Am I regarded? 468k in corn = 6.5 billion kernels</t>
  </si>
  <si>
    <t>Iâ€™ll glimpse less often</t>
  </si>
  <si>
    <t>Daily Discussion Thread for April 01, 2026</t>
  </si>
  <si>
    <t>Daily Discussion Thread for March 30, 2026</t>
  </si>
  <si>
    <t>Robinhood futures noob accidentally shorted /MES during crash, high + gooned, now stuck?</t>
  </si>
  <si>
    <t>What Are Your Moves Tomorrow, March 24, 2026</t>
  </si>
  <si>
    <t>What Are Your Moves Tomorrow, March 25, 2026</t>
  </si>
  <si>
    <t>110k in 1dte puts</t>
  </si>
  <si>
    <t>The Gambler Returns</t>
  </si>
  <si>
    <t>What Are Your Moves Tomorrow, April 01, 2026</t>
  </si>
  <si>
    <t>Daily Discussion Thread for March 20, 2026</t>
  </si>
  <si>
    <t>$40k in one hour: SPY puts</t>
  </si>
  <si>
    <t>Amazon in talks to buy $9 billion satellite group Globalstar, FT reports</t>
  </si>
  <si>
    <t>Daily Discussion Thread for March 31, 2026</t>
  </si>
  <si>
    <t>Weekend Discussion Thread for the Weekend of March 20, 2026</t>
  </si>
  <si>
    <t>Daily Discussion Thread for March 26, 2026</t>
  </si>
  <si>
    <t>Daily Discussion Thread for March 24, 2026</t>
  </si>
  <si>
    <t>Red Dog Made the Call, I followed! Printed $60K ðŸ“žðŸ’°</t>
  </si>
  <si>
    <t>Daily Discussion Thread for March 25, 2026</t>
  </si>
  <si>
    <t>20K SPY puts because the entire economy is held up by these guys</t>
  </si>
  <si>
    <t>Youâ€™re All Welcome</t>
  </si>
  <si>
    <t>Exxon Mobil Is on Track for Its Best Quarter Ever</t>
  </si>
  <si>
    <t>Daily Discussion Thread for March 18, 2026</t>
  </si>
  <si>
    <t>SPX 0DTE or 0 brain cells â€” turned CPI report into +30k</t>
  </si>
  <si>
    <t>Is it okay to post this even though the profit isn't much?</t>
  </si>
  <si>
    <t>Do i sell</t>
  </si>
  <si>
    <t>Daily Discussion Thread for March 19, 2026</t>
  </si>
  <si>
    <t>SK hynix SEC F1 Filing for United States Stock Market Listing and Semiconductor Global Expansion Strategy</t>
  </si>
  <si>
    <t>yolo worked ig</t>
  </si>
  <si>
    <t>How cooked am I?</t>
  </si>
  <si>
    <t>The Indictment Relating to SMCI is Bullish</t>
  </si>
  <si>
    <t>$250 to $5k</t>
  </si>
  <si>
    <t>Murder by Microsoft</t>
  </si>
  <si>
    <t>100 google calls Yolo</t>
  </si>
  <si>
    <t>Daily Discussion Thread for March 23, 2026</t>
  </si>
  <si>
    <t>$FLY - priced like a dodgy rocket company...their software tracked every Iranian missile fired in combat</t>
  </si>
  <si>
    <t>Thank you L Ron Musk</t>
  </si>
  <si>
    <t>What Are Your Moves Tomorrow, March 31, 2026</t>
  </si>
  <si>
    <t>What Are Your Moves Tomorrow, March 26, 2026</t>
  </si>
  <si>
    <t>What Are Your Moves Tomorrow, March 19, 2026</t>
  </si>
  <si>
    <t>Daily Discussion Thread for April 02, 2026</t>
  </si>
  <si>
    <t>Regarded +75K week</t>
  </si>
  <si>
    <t>Full Port LEAPS RDDT GOOGL</t>
  </si>
  <si>
    <t>Tesla Q1 deliveries miss estimates in challenging EV landscape</t>
  </si>
  <si>
    <t>SPX puts ðŸ¥œgains</t>
  </si>
  <si>
    <t>I'm, going to lose it all before market opens aren't I?</t>
  </si>
  <si>
    <t>Cashing out most of SM, +79k realized</t>
  </si>
  <si>
    <t>Such a nightmare</t>
  </si>
  <si>
    <t>MRVL Gain Porn and Overall Loss Porn</t>
  </si>
  <si>
    <t>Valero Energy (VLO) is a good oil stock because they refine PDVSA Venezuelan Crude-Benefitted from closure of of the Strait Of Hormuz</t>
  </si>
  <si>
    <t>I heard we like Microsoft! 20k on Jan 15 â€˜27 $450 calls</t>
  </si>
  <si>
    <t>buying leap calls on microsoft</t>
  </si>
  <si>
    <t>Gains I should have had Monday</t>
  </si>
  <si>
    <t>Welp. That was stupid.</t>
  </si>
  <si>
    <t>JOBY Loss Porn</t>
  </si>
  <si>
    <t>I wanna be cool like all of yall!</t>
  </si>
  <si>
    <t>this is what it looks like to be right.</t>
  </si>
  <si>
    <t>But the dip they said, this is the bottom they said</t>
  </si>
  <si>
    <t>What Are Your Moves Tomorrow, March 20, 2026</t>
  </si>
  <si>
    <t>Follow me for more financial advice ðŸ™ƒ</t>
  </si>
  <si>
    <t>Bear Thesis</t>
  </si>
  <si>
    <t>All In TODAY</t>
  </si>
  <si>
    <t>Something to jerk to</t>
  </si>
  <si>
    <t>Memory Stonks</t>
  </si>
  <si>
    <t>Third Times the Charm: Finally Broke Even.</t>
  </si>
  <si>
    <t>$ZM - Best Anthropic Play, Trades Below Nav.</t>
  </si>
  <si>
    <t>Double down to double up</t>
  </si>
  <si>
    <t>Revel in my losses</t>
  </si>
  <si>
    <t>Some days it just works, guys.</t>
  </si>
  <si>
    <t>There goes my profits for the month</t>
  </si>
  <si>
    <t>Made the right choice (for now)</t>
  </si>
  <si>
    <t>Just a bunch of 0dte spy</t>
  </si>
  <si>
    <t>whoever governs bears must have that iron in him</t>
  </si>
  <si>
    <t>War Gains</t>
  </si>
  <si>
    <t>Weekly Earnings Thread 3/30 - 4/3</t>
  </si>
  <si>
    <t>SPY puts $5000 gain</t>
  </si>
  <si>
    <t>Oil in Middle Eastern Floating Storage Increased By 38 Million Barrels (USO BNO)</t>
  </si>
  <si>
    <t>Wheeling NBIS Gains</t>
  </si>
  <si>
    <t>spy puts</t>
  </si>
  <si>
    <t>Activist Elliott takes multibillion-dollar stake in Synopsys, source says</t>
  </si>
  <si>
    <t>Down 50%</t>
  </si>
  <si>
    <t>what should i do?</t>
  </si>
  <si>
    <t>PL gainz</t>
  </si>
  <si>
    <t>A message of hope for my fellow retards</t>
  </si>
  <si>
    <t>10k 0dte spx puts gain</t>
  </si>
  <si>
    <t>Idk they removed my post but lost a lot of moneys today</t>
  </si>
  <si>
    <t>Eversource just sold Aquarion for $2.4billion and nobody is talking about it</t>
  </si>
  <si>
    <t>Long Oil, Folks</t>
  </si>
  <si>
    <t>Atleast im positive on stocks</t>
  </si>
  <si>
    <t>This will be 25k by next week!</t>
  </si>
  <si>
    <t>The worst 3 trading days of my life</t>
  </si>
  <si>
    <t>An Honest 18 Minutes of Work</t>
  </si>
  <si>
    <t>SPX 0DTE - Drunk again</t>
  </si>
  <si>
    <t>Suncor YOLO, Canadian Oil</t>
  </si>
  <si>
    <t>~40k in Profit from Swing Trading 0DTE SPY Options</t>
  </si>
  <si>
    <t>Short $VCX: like taking candy from a baby</t>
  </si>
  <si>
    <t>Half port bet on ðŸ¥­ escalation</t>
  </si>
  <si>
    <t>$50K microslop yolo</t>
  </si>
  <si>
    <t>Is the peptides deregulation a gold rush?</t>
  </si>
  <si>
    <t>Attempted SPY puts YOLO $27k w/ margin</t>
  </si>
  <si>
    <t>I thought I was done for..</t>
  </si>
  <si>
    <t>$69k Profit from SPX credit spreads - THANK YOU IRAN WAR (SYSTERIX - Mar 20, 2026)</t>
  </si>
  <si>
    <t>$87k by lunch: SPX 0dte puts</t>
  </si>
  <si>
    <t>5 bagger on SPY puts</t>
  </si>
  <si>
    <t>$13k SPY YOLO âœ…</t>
  </si>
  <si>
    <t>victoREE post</t>
  </si>
  <si>
    <t>$15k+ in 2 min 0dte SPX - finally caught one</t>
  </si>
  <si>
    <t>Weekly Earnings Thread 3/23 - 3/27</t>
  </si>
  <si>
    <t>Iâ€™m cook ?</t>
  </si>
  <si>
    <t>0DTE $SPY gains</t>
  </si>
  <si>
    <t>How screwed are my puts?</t>
  </si>
  <si>
    <t>GLD yolo - am I fuk?</t>
  </si>
  <si>
    <t>Planet Labs - A Short Story</t>
  </si>
  <si>
    <t>$1.2k(all of my actual money btw) -&gt; $3.4k in ONDS 1DTE puts, newcomer my first week playing with options, first retard pay off. ðŸ‘¹ðŸ‘¹</t>
  </si>
  <si>
    <t>Guggal me.......make me liquid Jamie</t>
  </si>
  <si>
    <t>MRVL +10% premarket after NVIDIA invests $2B in Marvell, expands AI ecosystem with NVLink Fusion partnership</t>
  </si>
  <si>
    <t>Letâ€™s talk about steel manufacturing for a moment</t>
  </si>
  <si>
    <t>Just a humble wheeler getting assigned SNDK</t>
  </si>
  <si>
    <t>$POET yolo ðŸŽ¨</t>
  </si>
  <si>
    <t>My biggest trade of my life</t>
  </si>
  <si>
    <t>$USO $BNO YOLO. Rolled strikes another week. Oil $150+ in April.</t>
  </si>
  <si>
    <t>2 Week Post Mort</t>
  </si>
  <si>
    <t>This week was good, with MU earnings done, gonna take a break now</t>
  </si>
  <si>
    <t>+$12.8k in 2 hours trading shares only. SNDK WDC MU STX LITE COHR</t>
  </si>
  <si>
    <t>Brother in law recently learned about 0dte options..</t>
  </si>
  <si>
    <t>Will I be flogged for gay bear gains?</t>
  </si>
  <si>
    <t>SPX 0dte Trading - Intermisson</t>
  </si>
  <si>
    <t>To the Intel Short goi</t>
  </si>
  <si>
    <t>The SoFi Fair Value Debate: Why SoFi Could End The Debate Right Now By Complying with GAAP</t>
  </si>
  <si>
    <t>YOLO: $100K INTC Short for $300</t>
  </si>
  <si>
    <t>$BMNR or food stamps no in-between</t>
  </si>
  <si>
    <t>reamed by ram</t>
  </si>
  <si>
    <t>SNDK putz cuz im revenge trading</t>
  </si>
  <si>
    <t>Snap Stock Gains After Activist Investor Takes New Stake</t>
  </si>
  <si>
    <t>Borrowed 20k into SPXL</t>
  </si>
  <si>
    <t>26k in 30 minutes: SPX puts</t>
  </si>
  <si>
    <t>Gain or loss â€¦. We will see tomorrow ðŸ‘€</t>
  </si>
  <si>
    <t>Algos bail my underwater SPY 0d 660c. -$6300 -&gt; +$5000 on a single green candle.</t>
  </si>
  <si>
    <t>Delicious $7k (so far)</t>
  </si>
  <si>
    <t>$88 to $2000 on one play. What do I go all in on tomorrow?</t>
  </si>
  <si>
    <t>Regarded week part 2: +82K</t>
  </si>
  <si>
    <t>Thank You For Your Contribution To The Fund</t>
  </si>
  <si>
    <t>full port orcl calls YOLO</t>
  </si>
  <si>
    <t>$NN yolo</t>
  </si>
  <si>
    <t>Last couple of trades</t>
  </si>
  <si>
    <t>Not much but it's honest work</t>
  </si>
  <si>
    <t>SATL DD: The Next Planet Labs</t>
  </si>
  <si>
    <t>$6k profits this week after risking $1 million BEARS PLS STOP (SYSTERIX - Mar 27, 2026)</t>
  </si>
  <si>
    <t>This is the dumbest shit I've seen in awhile FOLLOWUP [DD]</t>
  </si>
  <si>
    <t>My LAST time trading Uber. Hate this stock</t>
  </si>
  <si>
    <t>Thanks $PL</t>
  </si>
  <si>
    <t>Triple Witching This Friday - VXX Puts</t>
  </si>
  <si>
    <t>If this isn't full regard status I don't know what is... 1 mil in transactions (which i don't have) on 0dte SPY to make peanuts.</t>
  </si>
  <si>
    <t>SNDK revenge trader switches to AMZN</t>
  </si>
  <si>
    <t>Home Depot ($HD) puts YOLO, housing is cooked</t>
  </si>
  <si>
    <t>MOS yolo</t>
  </si>
  <si>
    <t>Oiling up for California</t>
  </si>
  <si>
    <t>Coming out of the closet today as a permabull</t>
  </si>
  <si>
    <t>$2.6k realized profit from SPX Iron Condor. We are up 77% YTD just from running ICs.</t>
  </si>
  <si>
    <t>Rolled USO, Trimmed BNO, Puts on LUV. Oil Yolo.</t>
  </si>
  <si>
    <t>I short it again and again</t>
  </si>
  <si>
    <t>SMCI to ðŸŒ• ðŸš€</t>
  </si>
  <si>
    <t>$RCAT War Play</t>
  </si>
  <si>
    <t>Feels good man</t>
  </si>
  <si>
    <t>Figma $Fig 25k yolo</t>
  </si>
  <si>
    <t>900 shares SQQQ $72k YOLO</t>
  </si>
  <si>
    <t>25x QQQ 580P closed for 16k gain, ðŸ» ðŸŒˆ ðŸŒˆ ðŸŒˆ</t>
  </si>
  <si>
    <t>Cooked by 3MSF</t>
  </si>
  <si>
    <t>VISA CALLS, XOM PUTS.</t>
  </si>
  <si>
    <t>In the ROTH? Addiction will consume me pt. 2</t>
  </si>
  <si>
    <t>265k Snap Leap YOLO</t>
  </si>
  <si>
    <t>CRM, AMZN, DIS CALLS</t>
  </si>
  <si>
    <t>ORCL leaps are failing me</t>
  </si>
  <si>
    <t>Me to Crude Oil, me too.</t>
  </si>
  <si>
    <t>I spy a tiny bit of green ðŸ‘€</t>
  </si>
  <si>
    <t>Just yoloed 14k on Robinhood calls</t>
  </si>
  <si>
    <t>What will happen with Iran:</t>
  </si>
  <si>
    <t>Fertilizer trade - still early? $MOS $CF</t>
  </si>
  <si>
    <t>To all the doubters</t>
  </si>
  <si>
    <t>NKE Discussion</t>
  </si>
  <si>
    <t>SNKD up big since my January entry  trim or let it run?</t>
  </si>
  <si>
    <t>Another brick in the wall</t>
  </si>
  <si>
    <t>DD: Gold is the new BTC â€” The "Safe Haven" Narrative Is Dead</t>
  </si>
  <si>
    <t>SPY puts gains, mostly 0DTEs</t>
  </si>
  <si>
    <t>Three day all-in</t>
  </si>
  <si>
    <t>2026 Q1 Gains (+145%)</t>
  </si>
  <si>
    <t>Meta Sell Puts Profit</t>
  </si>
  <si>
    <t>33k JD yolo</t>
  </si>
  <si>
    <t>Oil Yolo: Rolled USO Weeklies &amp; Added BNO Calls. Bought the Dip on CVNA &amp; LUV Puts</t>
  </si>
  <si>
    <t>Trying to give it all back to the house.</t>
  </si>
  <si>
    <t>2026 Q1 regarded gains</t>
  </si>
  <si>
    <t>Today was a good day</t>
  </si>
  <si>
    <t>Am I doing options correctly?</t>
  </si>
  <si>
    <t>$VG round 2. LNG going nuts 50k gain in 2 hours (so far)</t>
  </si>
  <si>
    <t>$MOS or MOAB - $60K Calls</t>
  </si>
  <si>
    <t>Vibes man</t>
  </si>
  <si>
    <t>Breaking News: Trump tells allies to â€˜takeâ€™ Strait of Hormuz or buy US oil as oil continues to rise.</t>
  </si>
  <si>
    <t>Closed out my WDC position. Following the plan and focusing on short term trades now</t>
  </si>
  <si>
    <t>APLD YOLO</t>
  </si>
  <si>
    <t>I hope to see good news every day from now on.</t>
  </si>
  <si>
    <t>THE POWER OF THE SUN â˜€ï¸</t>
  </si>
  <si>
    <t>$MAAS 118k YOLO</t>
  </si>
  <si>
    <t>2 indicators is better than 30. SPY 0DTE +100% on $4K puts using Fib retracement. Screenshots where I entered 10, added 10 more, and closed.</t>
  </si>
  <si>
    <t>20k in spy calls Friday before close. What we opening at daddies?</t>
  </si>
  <si>
    <t>APD - The Next Memory Run-Up?</t>
  </si>
  <si>
    <t>Dove into OVV today</t>
  </si>
  <si>
    <t>PREVIOUS POST SAId I SOLD AGQ 7 WEEKS AGO AND BOUGHT OXY, I ALSO BOUGHT OXY CALLS AND LEFT MY SLV CALLS FROM LAST MAY!! 2300 PERCENT DOWN To</t>
  </si>
  <si>
    <t>if you were wondering how that sndk/amzn/spx revenge trader was doing, here ya go</t>
  </si>
  <si>
    <t>Think I mess up on this yolo, Think I need Mango to help out?</t>
  </si>
  <si>
    <t>WILL THIS HIT TP? Shorted GC near the NY PM highsâ€¦ TP is basically in another zip code</t>
  </si>
  <si>
    <t>Still recovering Gain$37.8k</t>
  </si>
  <si>
    <t>14k YOLO BNO UCO UWM CORN</t>
  </si>
  <si>
    <t>BJ yolo</t>
  </si>
  <si>
    <t>DBA YOLO</t>
  </si>
  <si>
    <t>Are we headed for a bear market?</t>
  </si>
  <si>
    <t>My first futes trade</t>
  </si>
  <si>
    <t>Can SoFi Management Be Trusted? Comparing Management Statements with Hard Data</t>
  </si>
  <si>
    <t>How would you play this weekend?</t>
  </si>
  <si>
    <t>Asked AI when my NAIL ETF will bounce backâ€¦"</t>
  </si>
  <si>
    <t>Microsoft Pounding</t>
  </si>
  <si>
    <t>time for Iran to take the deal. no one is winning but they are definitely losing</t>
  </si>
  <si>
    <t>~26k EWY loss</t>
  </si>
  <si>
    <t>$300-$400 Oil 2026? Looking for cheapest way to leverage $100 into lambo</t>
  </si>
  <si>
    <t>nobodyâ€™s paying attention to the streaming economy and itâ€™s kind of wild.</t>
  </si>
  <si>
    <t>The Artemis live stream is a bull case for SpaceX</t>
  </si>
  <si>
    <t>=SUMIFS(, Sheet1!G:G, "*"&amp;A2&amp;"*")</t>
  </si>
  <si>
    <t>Ticker</t>
  </si>
  <si>
    <t>Mention Count</t>
  </si>
  <si>
    <t>Total Score</t>
  </si>
  <si>
    <t>Avg Upvote Ratio</t>
  </si>
  <si>
    <t>Bullish Count</t>
  </si>
  <si>
    <t>Bearish Count</t>
  </si>
  <si>
    <t>Net Sentiment</t>
  </si>
  <si>
    <t>NVDA</t>
  </si>
  <si>
    <t>SPY</t>
  </si>
  <si>
    <t>TSLA</t>
  </si>
  <si>
    <t>AAPL</t>
  </si>
  <si>
    <t>AMZN</t>
  </si>
  <si>
    <t>MSFT</t>
  </si>
  <si>
    <t>GOOGL</t>
  </si>
  <si>
    <t>PLTR</t>
  </si>
  <si>
    <t>MU</t>
  </si>
  <si>
    <t>BABA</t>
  </si>
  <si>
    <t>UBER</t>
  </si>
  <si>
    <t>RKLB</t>
  </si>
  <si>
    <t>OKLO</t>
  </si>
  <si>
    <t>DIS</t>
  </si>
  <si>
    <t>BA</t>
  </si>
  <si>
    <t>NVO</t>
  </si>
  <si>
    <t>SOFI</t>
  </si>
  <si>
    <t>UAL</t>
  </si>
  <si>
    <t>SKIP</t>
  </si>
  <si>
    <t>Be honest, do you have an investing edge or just a good streak? + My view on having an edge and does it exist?</t>
  </si>
  <si>
    <t>COST</t>
  </si>
  <si>
    <t>USO</t>
  </si>
  <si>
    <t>SNAP</t>
  </si>
  <si>
    <t>NFLX</t>
  </si>
  <si>
    <t>Row Labels</t>
  </si>
  <si>
    <t>Grand Total</t>
  </si>
  <si>
    <t>Sum of Bullish Count</t>
  </si>
  <si>
    <t>Sum of Bearish Count</t>
  </si>
  <si>
    <t>Column Labels</t>
  </si>
  <si>
    <t>Count of llm_sentiment</t>
  </si>
  <si>
    <t>Pre-Fed</t>
  </si>
  <si>
    <t>Post-Fed</t>
  </si>
  <si>
    <t>Escalation</t>
  </si>
  <si>
    <t>Sum of Bearish</t>
  </si>
  <si>
    <t>Sum of Bullish</t>
  </si>
  <si>
    <t>Sum of Mixed</t>
  </si>
  <si>
    <t>Sum of Neutral</t>
  </si>
  <si>
    <t>META</t>
  </si>
  <si>
    <t>1. Coverage</t>
  </si>
  <si>
    <t>26 unique tickers extracted</t>
  </si>
  <si>
    <t>84.3% of posts had no ticker (1,513 / 1,795)</t>
  </si>
  <si>
    <t>47.2% were SKIP'd by the LLM — no actionable signal at all</t>
  </si>
  <si>
    <t>Signal-to-noise is poor: roughly 1 in 6 posts is ticker-attached</t>
  </si>
  <si>
    <t>2. Engagement vs. Sentiment</t>
  </si>
  <si>
    <r>
      <t xml:space="preserve">Bearish: avg score </t>
    </r>
    <r>
      <rPr>
        <b/>
        <sz val="11"/>
        <color theme="1"/>
        <rFont val="Calibri"/>
        <family val="2"/>
        <scheme val="minor"/>
      </rPr>
      <t>709</t>
    </r>
    <r>
      <rPr>
        <sz val="11"/>
        <color theme="1"/>
        <rFont val="Calibri"/>
        <family val="2"/>
        <scheme val="minor"/>
      </rPr>
      <t xml:space="preserve">, avg comments </t>
    </r>
    <r>
      <rPr>
        <b/>
        <sz val="11"/>
        <color theme="1"/>
        <rFont val="Calibri"/>
        <family val="2"/>
        <scheme val="minor"/>
      </rPr>
      <t>148</t>
    </r>
  </si>
  <si>
    <r>
      <t xml:space="preserve">Bullish: avg score </t>
    </r>
    <r>
      <rPr>
        <b/>
        <sz val="11"/>
        <color theme="1"/>
        <rFont val="Calibri"/>
        <family val="2"/>
        <scheme val="minor"/>
      </rPr>
      <t>416</t>
    </r>
    <r>
      <rPr>
        <sz val="11"/>
        <color theme="1"/>
        <rFont val="Calibri"/>
        <family val="2"/>
        <scheme val="minor"/>
      </rPr>
      <t xml:space="preserve">, avg comments </t>
    </r>
    <r>
      <rPr>
        <b/>
        <sz val="11"/>
        <color theme="1"/>
        <rFont val="Calibri"/>
        <family val="2"/>
        <scheme val="minor"/>
      </rPr>
      <t>95</t>
    </r>
  </si>
  <si>
    <t>Two opposing tickers:</t>
  </si>
  <si>
    <t>3. Sentiment evolution</t>
  </si>
  <si>
    <t>Date</t>
  </si>
  <si>
    <t>Bearish%</t>
  </si>
  <si>
    <t>Bullish%</t>
  </si>
  <si>
    <t>4. Classification difficulty</t>
  </si>
  <si>
    <r>
      <t xml:space="preserve">8 corrections out of 30 human-reviewed posts = </t>
    </r>
    <r>
      <rPr>
        <b/>
        <sz val="11"/>
        <color theme="1"/>
        <rFont val="Calibri"/>
        <family val="2"/>
        <scheme val="minor"/>
      </rPr>
      <t>26.7% error rate</t>
    </r>
  </si>
  <si>
    <t>← correction trough</t>
  </si>
  <si>
    <t>Two hardest cases:</t>
  </si>
  <si>
    <t>but the demand signals economic panic. Genuinely split depending on whether you classify the policy or the distress behind it.</t>
  </si>
  <si>
    <r>
      <t>ID 2</t>
    </r>
    <r>
      <rPr>
        <sz val="11"/>
        <color theme="1"/>
        <rFont val="Calibri"/>
        <family val="2"/>
        <scheme val="minor"/>
      </rPr>
      <t xml:space="preserve"> — </t>
    </r>
    <r>
      <rPr>
        <i/>
        <sz val="11"/>
        <color theme="1"/>
        <rFont val="Calibri"/>
        <family val="2"/>
        <scheme val="minor"/>
      </rPr>
      <t>"Trump says Fed chair must cut rates immediately"</t>
    </r>
    <r>
      <rPr>
        <sz val="11"/>
        <color theme="1"/>
        <rFont val="Calibri"/>
        <family val="2"/>
        <scheme val="minor"/>
      </rPr>
      <t xml:space="preserve"> → LLM: Bullish, Actual: Bearish. Rate cuts = bullish by default heuristic,</t>
    </r>
  </si>
  <si>
    <r>
      <t>ID 25</t>
    </r>
    <r>
      <rPr>
        <sz val="11"/>
        <color theme="1"/>
        <rFont val="Calibri"/>
        <family val="2"/>
        <scheme val="minor"/>
      </rPr>
      <t xml:space="preserve"> — </t>
    </r>
    <r>
      <rPr>
        <i/>
        <sz val="11"/>
        <color theme="1"/>
        <rFont val="Calibri"/>
        <family val="2"/>
        <scheme val="minor"/>
      </rPr>
      <t>"How is this good news? — Markets up on Hormuz news"</t>
    </r>
    <r>
      <rPr>
        <sz val="11"/>
        <color theme="1"/>
        <rFont val="Calibri"/>
        <family val="2"/>
        <scheme val="minor"/>
      </rPr>
      <t xml:space="preserve"> → LLM: Mixed, Actual: Neutral. Sarcastic framing mimics bearish tone,</t>
    </r>
  </si>
  <si>
    <t>Bearish dominates Reddit during a crisis week because fear drives urgency, loss aversion amplifies</t>
  </si>
  <si>
    <t>Mar 23 spike = Iran/Hormuz escalation going credible. Mar 31 peak = Dow/Nasdaq -10% correction</t>
  </si>
  <si>
    <t>confirmed.  Apr 2 recovery = "threat degraded" headlines. Reddit tracked real-world events with roughly</t>
  </si>
  <si>
    <t>zero lag but it moves on headlines, not fundamentals.</t>
  </si>
  <si>
    <t>but the post is really just a discussion question. A different analyst could defensibly label it Bearish. No clean resolution. The title alone lacks</t>
  </si>
  <si>
    <t>enough context.</t>
  </si>
  <si>
    <t>Bearish posts earn around 70% more score and around 56% more comments</t>
  </si>
  <si>
    <r>
      <t>META</t>
    </r>
    <r>
      <rPr>
        <sz val="11"/>
        <color theme="1"/>
        <rFont val="Calibri"/>
        <family val="2"/>
        <scheme val="minor"/>
      </rPr>
      <t xml:space="preserve"> (8 bear, 2 bull): bearish avg score </t>
    </r>
    <r>
      <rPr>
        <b/>
        <sz val="11"/>
        <color theme="1"/>
        <rFont val="Calibri"/>
        <family val="2"/>
        <scheme val="minor"/>
      </rPr>
      <t>976</t>
    </r>
    <r>
      <rPr>
        <sz val="11"/>
        <color theme="1"/>
        <rFont val="Calibri"/>
        <family val="2"/>
        <scheme val="minor"/>
      </rPr>
      <t xml:space="preserve"> vs bullish </t>
    </r>
    <r>
      <rPr>
        <b/>
        <sz val="11"/>
        <color theme="1"/>
        <rFont val="Calibri"/>
        <family val="2"/>
        <scheme val="minor"/>
      </rPr>
      <t>15 -</t>
    </r>
    <r>
      <rPr>
        <sz val="11"/>
        <color theme="1"/>
        <rFont val="Calibri"/>
        <family val="2"/>
        <scheme val="minor"/>
      </rPr>
      <t xml:space="preserve"> 65× gap</t>
    </r>
  </si>
  <si>
    <r>
      <t>MU</t>
    </r>
    <r>
      <rPr>
        <sz val="11"/>
        <color theme="1"/>
        <rFont val="Calibri"/>
        <family val="2"/>
        <scheme val="minor"/>
      </rPr>
      <t xml:space="preserve"> (10 bull, 4 bear): bullish avg score </t>
    </r>
    <r>
      <rPr>
        <b/>
        <sz val="11"/>
        <color theme="1"/>
        <rFont val="Calibri"/>
        <family val="2"/>
        <scheme val="minor"/>
      </rPr>
      <t>233</t>
    </r>
    <r>
      <rPr>
        <sz val="11"/>
        <color theme="1"/>
        <rFont val="Calibri"/>
        <family val="2"/>
        <scheme val="minor"/>
      </rPr>
      <t xml:space="preserve"> vs bearish </t>
    </r>
    <r>
      <rPr>
        <b/>
        <sz val="11"/>
        <color theme="1"/>
        <rFont val="Calibri"/>
        <family val="2"/>
        <scheme val="minor"/>
      </rPr>
      <t>68</t>
    </r>
    <r>
      <rPr>
        <sz val="11"/>
        <color theme="1"/>
        <rFont val="Calibri"/>
        <family val="2"/>
        <scheme val="minor"/>
      </rPr>
      <t xml:space="preserve"> - 3.4× gap in the other direction</t>
    </r>
  </si>
  <si>
    <t>engagement, and downturns activate confirmation bias.</t>
  </si>
  <si>
    <t>PART 2 - COMPARISON OF AI MORNING BRIEFINGS</t>
  </si>
  <si>
    <t>Your Net Sentiment</t>
  </si>
  <si>
    <t>Mentions</t>
  </si>
  <si>
    <t>Your Call</t>
  </si>
  <si>
    <t>AI Said</t>
  </si>
  <si>
    <t>Conviction</t>
  </si>
  <si>
    <t>Match?</t>
  </si>
  <si>
    <t>Notes</t>
  </si>
  <si>
    <t>Not Mentioned</t>
  </si>
  <si>
    <t>-</t>
  </si>
  <si>
    <t>We found it</t>
  </si>
  <si>
    <t>Only 4 mentions</t>
  </si>
  <si>
    <t>MEDIUM</t>
  </si>
  <si>
    <t>Different</t>
  </si>
  <si>
    <t>We say bullish, AI says bearish?</t>
  </si>
  <si>
    <t>Only 2 posts but tons of upvotes</t>
  </si>
  <si>
    <t>MATCH</t>
  </si>
  <si>
    <t>Pretty clear bullish</t>
  </si>
  <si>
    <t>We say bullish but barely (0.040)</t>
  </si>
  <si>
    <t>LOW</t>
  </si>
  <si>
    <t>Lot of posts about this one</t>
  </si>
  <si>
    <t>HIGH</t>
  </si>
  <si>
    <t>Both got this right</t>
  </si>
  <si>
    <t>Tiny cap, weird stock</t>
  </si>
  <si>
    <t>Small company, AI probably didn't care</t>
  </si>
  <si>
    <t>Most discussed, slightly bearish</t>
  </si>
  <si>
    <t>Bearish on SMCI stuff I think</t>
  </si>
  <si>
    <t>Iran thing, airlines getting hit</t>
  </si>
  <si>
    <t>PART 2 - MY COMPARISON AND ANALYSIS</t>
  </si>
  <si>
    <t>1. WHERE WE AGREED WITH THE AI</t>
  </si>
  <si>
    <t>So when I checked what the AI briefing said and compared it to our findings, there was a lot of agreement. For example, we both thought NVDA was positive. Our data showed a net sentiment of +0.158 with 9 bullish posts and 6 bearish ones, and the AI also called it HIGH conviction. That’s a clear match. The same went for MSFT, where we had +0.040 and the AI said MEDIUM bullish, GOOGL with +0.214 and MEDIUM, and MU with +0.286 and LOW.On the negative side, we both saw UAL as very bearish, with us getting -1.000 and the AI labeling it as HIGH conviction. TSLA was also similar our score was -0.273, and the AI called it bearish. Even SPY, which was mentioned a lot (89 times), was seen as slightly bearish by both sides.This shows that both our approach, which is just counting posts and checking sentiment, and the AI’s method, which involves reading posts and making its own judgment, are picking up on real trends that matter. When two very different methods agree, it's probably because they're actually finding something real. The main themes were the same too—people were worried about the Iran/Hormuz situation making airlines look bad, and there was a lot of concern about the Fed.</t>
  </si>
  <si>
    <t>2. TICKERS WE FOUND BUT THE AI DIDN'T</t>
  </si>
  <si>
    <t>Here's the interesting part, we found PLTR, OKLO, BA, and DIS, but they weren't in the AI briefing. I think I know why.
PLTR, which is Palantir, has a +0.500 net sentiment, meaning there were 3 positive posts and 1 negative, but it was only mentioned 4 times.
 I think the AI might have a filter that only includes stocks mentioned in 3 or more different subreddits. We counted every single mention, so we picked up on smaller ones.
OKLO is another example, it's a small nuclear company, and it only came up 4 times.
 BA, or Boeing, is the same. These are real signals in the data, but maybe they're below whatever threshold the AI uses for being "notable enough" to mention.
The weird one is DIS, which is Disney.
 It only had 2 posts, but those posts had really high engagement, like a combined score of 11,686. So it's not that there's a lot of discussion about Disney, but when people do talk about it, they really care. The AI might have missed this because it was looking for "commonly mentioned" topics, not "highly emotional" ones.
This actually makes me think our method is more thorough, even if the AI's is cleaner.
 We caught more stuff. But maybe that's not always a good thing.</t>
  </si>
  <si>
    <t>3. STUFF THE AI FIGURED OUT THAT WE DIDN'T</t>
  </si>
  <si>
    <t>This is where the AI really had something we didn’t. Our data just says “UAL is bearish,” but the AI explains why; because people are really scared about Iran blocking the Hormuz Strait, which makes oil prices go up, which hurts airline profits. That context is important.Same with TSLA being bearish, we just see a -0.273 sentiment, but the briefing probably explains it’s because of the SMCI scandal spreading fear across the whole chip and AI sector. Just knowing TSLA is bearish isn’t as helpful as knowing it’s bearish because of the fear spreading from SMCI to the semiconductor industry.And NVDA being bullish makes more sense when you read about the AI boom story, not just seeing a +0.158 sentiment.So, our numbers are good, but the AI’s explanation of why things are happening adds real value. We have the “what” (the sentiment direction), they have the “why” (the story behind it). Neither one alone tells the full picture.</t>
  </si>
  <si>
    <t>4. SO IS THE AI BRIEFING ACTUALLY RELIABLE?</t>
  </si>
  <si>
    <t>Okay, so here's my take:WHAT THE AI DID WELL:- It got the main points right, like Iran's concerns, the Fed's actions, and the SMCI issue.- When it picked a stock as positive or negative, it was often correct, matching our data about 80% of the time.- It understood the bigger story behind the numbers, not just the facts.- It made sense of the confidence levels, like why NVDA was high because everyone is talking about it, and why MU was low because not many people mentioned it.WHAT THE AI GOT WRONG:- It didn't pay much attention to smaller companies. For example, PLTR had a +0.500 positive sentiment but the AI didn't mention it.- It probably only looked at big companies because that's what most people talk about in those forums.- We can't be sure if the AI made things up or imagined details without seeing every post it used.WOULD I TRUST IT?For big decisions about my investments? I think so. The AI got the right direction on major picks—like NVDA being positive and UAL being negative. If someone told me what the AI thought, I'd believe the main idea.BUT—this is important—I wouldn't rely on the AI alone. I'd compare it with our detailed analysis. For instance, if the AI missed PLTR but the data shows +0.500 sentiment and three positive posts, that's something worth looking into.So my advice is: use the AI to get the big picture and see what's important (like big trends and top picks). But use our analysis to find the stuff the AI didn't pick up. Together, they’re much better than either one on its own.</t>
  </si>
  <si>
    <t>QUICK SUMMARY</t>
  </si>
  <si>
    <t>TICKERS WE LOOKED AT</t>
  </si>
  <si>
    <t>Both of us agreed on</t>
  </si>
  <si>
    <t>We found but AI missed</t>
  </si>
  <si>
    <t>Percentage where we match</t>
  </si>
  <si>
    <t>80% (8 out of 10 that AI mentioned)</t>
  </si>
  <si>
    <t>WHAT WE FOUND BULLISH</t>
  </si>
  <si>
    <t>Strongest bullish</t>
  </si>
  <si>
    <t>PLTR, BABA, OKLO, BA all at +0.500</t>
  </si>
  <si>
    <t>Most discussed bullish</t>
  </si>
  <si>
    <t>MSFT (25 mentions), GOOGL (14)</t>
  </si>
  <si>
    <t>AI agreed on bullish</t>
  </si>
  <si>
    <t>NVDA, MSFT, GOOGL, MU</t>
  </si>
  <si>
    <t>WHAT WE FOUND BEARISH</t>
  </si>
  <si>
    <t>Strongest bearish</t>
  </si>
  <si>
    <t>DIS and UAL both at -1.000</t>
  </si>
  <si>
    <t>Most discussed bearish</t>
  </si>
  <si>
    <t>SPY (89 mentions at -0.101)</t>
  </si>
  <si>
    <t>AI agreed on bearish</t>
  </si>
  <si>
    <t>UAL, TSLA, (disagreed on BABA)</t>
  </si>
  <si>
    <t>WEIRD FINDINGS</t>
  </si>
  <si>
    <t>DIS crazy engagement</t>
  </si>
  <si>
    <t>Only 2 posts but 11,686 total score</t>
  </si>
  <si>
    <t>UAL crazy engagement</t>
  </si>
  <si>
    <t>Only 2 posts but 7,206 total score</t>
  </si>
  <si>
    <t>What this means</t>
  </si>
  <si>
    <t>Emotional topics get way more engagement</t>
  </si>
  <si>
    <t>MAIN LESSONS</t>
  </si>
  <si>
    <t>Our method strength</t>
  </si>
  <si>
    <t>Catches everything, even small signals</t>
  </si>
  <si>
    <t>Our method weakness</t>
  </si>
  <si>
    <t>No explanation of WHY</t>
  </si>
  <si>
    <t>AI strength</t>
  </si>
  <si>
    <t>Good at explaining the narrative</t>
  </si>
  <si>
    <t>AI weakness</t>
  </si>
  <si>
    <t>Filters out smaller companies</t>
  </si>
  <si>
    <t>Best approach</t>
  </si>
  <si>
    <t>Use both together</t>
  </si>
  <si>
    <t>Average of Bull/Bear</t>
  </si>
  <si>
    <t>Sum of score</t>
  </si>
  <si>
    <t>Sentiment Alpha</t>
  </si>
  <si>
    <t>w1</t>
  </si>
  <si>
    <t>HOOD</t>
  </si>
  <si>
    <t>w2</t>
  </si>
  <si>
    <t>RIVN</t>
  </si>
  <si>
    <t>FLY</t>
  </si>
  <si>
    <t>PL</t>
  </si>
  <si>
    <t>ZM</t>
  </si>
  <si>
    <t>LITE</t>
  </si>
  <si>
    <t>MTN</t>
  </si>
  <si>
    <t>HD</t>
  </si>
  <si>
    <t>RCAT</t>
  </si>
  <si>
    <t>FIG</t>
  </si>
  <si>
    <t>MAAS</t>
  </si>
  <si>
    <t>IREN</t>
  </si>
  <si>
    <t>BTU</t>
  </si>
  <si>
    <t>LYV</t>
  </si>
  <si>
    <t>TWFG</t>
  </si>
  <si>
    <t>CLF</t>
  </si>
  <si>
    <t>ATHM</t>
  </si>
  <si>
    <t>LION</t>
  </si>
  <si>
    <t>Analysis Questions</t>
  </si>
  <si>
    <r>
      <rPr>
        <b/>
        <sz val="11"/>
        <color rgb="FF000000"/>
        <rFont val="Calibri"/>
        <family val="2"/>
        <scheme val="minor"/>
      </rPr>
      <t>Score distribution</t>
    </r>
    <r>
      <rPr>
        <sz val="11"/>
        <color rgb="FF000000"/>
        <rFont val="Calibri"/>
        <family val="2"/>
        <scheme val="minor"/>
      </rPr>
      <t>: Create a bar chart of Sentiment Alpha scores sorted from highest to lowest. How many tickers have positive alpha? Negative? Does the distribution look reasonable for a crisis week dominated by fear?</t>
    </r>
  </si>
  <si>
    <t>CHAI</t>
  </si>
  <si>
    <t>There are 57 tickers that have positive Alpha, and there are 10 tickers that have negative Alpha. Most tickers have positive Alpha. Looking through the Sentiment Alpha chart, the distribution doesn't look reasonable at first, as the crisis  week was dominated by fear. But I think it makes sense as the fear was about the overall market, not specific stocks, so they didn't affect the sentiment alpha. Many tickers have so few posts that just one or two bullish comments can increase the Sentiment Alpha. The result is in the overall alpha in this chart reflects a narrow, bullish‑tilted corner of Reddit rather than the more cautious tone might be happening in the broader market</t>
  </si>
  <si>
    <t>SMCI</t>
  </si>
  <si>
    <t>POET</t>
  </si>
  <si>
    <t>VG</t>
  </si>
  <si>
    <r>
      <rPr>
        <b/>
        <sz val="11"/>
        <color rgb="FF000000"/>
        <rFont val="Calibri"/>
        <family val="2"/>
        <scheme val="minor"/>
      </rPr>
      <t>Sanity check</t>
    </r>
    <r>
      <rPr>
        <sz val="11"/>
        <color rgb="FF000000"/>
        <rFont val="Calibri"/>
        <family val="2"/>
        <scheme val="minor"/>
      </rPr>
      <t>: Do the top 5 and bottom 5 tickers by Sentiment Alpha match your intuition from reading the raw posts? If the scoring formula ranks something incorrectly, diagnose why and propose a fix.</t>
    </r>
  </si>
  <si>
    <t xml:space="preserve">Most of the rankings line up with the raw posts, as the top 5 tickers (HOOD, RIVN, FLY, PL, ZM) are driven by bullish threads and the bottom 5 (ALK, NN, UBER, ORCL, AVGO) by bearish ones. The issue is that some tickers only have a couple of posts, so a single thread can push the sentiment, having a big affect on the Sentiment Alpha. A fix that I would propose is having a minimum mentions count for a ticker before ranking it. </t>
  </si>
  <si>
    <t>MOS</t>
  </si>
  <si>
    <t>NKE</t>
  </si>
  <si>
    <t>PATH</t>
  </si>
  <si>
    <t>ONDS</t>
  </si>
  <si>
    <t>ASTS</t>
  </si>
  <si>
    <t>VCX</t>
  </si>
  <si>
    <t>LUNR</t>
  </si>
  <si>
    <t>BMNR</t>
  </si>
  <si>
    <t>UAMY</t>
  </si>
  <si>
    <t>LULU</t>
  </si>
  <si>
    <t>IPX</t>
  </si>
  <si>
    <t>DLTR</t>
  </si>
  <si>
    <t>ESLT</t>
  </si>
  <si>
    <t>UMAC</t>
  </si>
  <si>
    <t>RITM</t>
  </si>
  <si>
    <t>ADBE</t>
  </si>
  <si>
    <t>DSGR</t>
  </si>
  <si>
    <t>WEN</t>
  </si>
  <si>
    <t>DKS</t>
  </si>
  <si>
    <t>OXY</t>
  </si>
  <si>
    <t>GS</t>
  </si>
  <si>
    <t>ALK</t>
  </si>
  <si>
    <t>NN</t>
  </si>
  <si>
    <t>ORCL</t>
  </si>
  <si>
    <t>AVGO</t>
  </si>
  <si>
    <t>Retrieve Historical Prices Using Google Sheets</t>
  </si>
  <si>
    <t>Prices</t>
  </si>
  <si>
    <t>Close</t>
  </si>
  <si>
    <t>Daily Returns</t>
  </si>
  <si>
    <t>Alpha Rank</t>
  </si>
  <si>
    <t>Weight for Top</t>
  </si>
  <si>
    <t>Weight for Bottom</t>
  </si>
  <si>
    <t>Top</t>
  </si>
  <si>
    <t>Bottom</t>
  </si>
  <si>
    <t>Portfolio Returns</t>
  </si>
  <si>
    <t>Equity Curve</t>
  </si>
  <si>
    <t xml:space="preserve">Return </t>
  </si>
  <si>
    <t>Weight for top</t>
  </si>
  <si>
    <t>Weight for bot</t>
  </si>
  <si>
    <t>Bot</t>
  </si>
  <si>
    <t>Portfolio</t>
  </si>
  <si>
    <t>Max Cumulative Return (Date)</t>
  </si>
  <si>
    <t>Min Cumulative Return (Date)</t>
  </si>
  <si>
    <t>Recent Return (5/5/2026)</t>
  </si>
  <si>
    <t>Top Portfolio</t>
  </si>
  <si>
    <t>136.28% (4/22/2026)</t>
  </si>
  <si>
    <t>94.84% (4/9/2026)</t>
  </si>
  <si>
    <t>Bottom Portfolio</t>
  </si>
  <si>
    <t>108.38% (4/24/2026)</t>
  </si>
  <si>
    <t>100.69% (4/7/2026)</t>
  </si>
  <si>
    <t>SPY (Benchmark)</t>
  </si>
  <si>
    <t>109.84% (5/5/2026)</t>
  </si>
  <si>
    <t>100.04% (4/7/2026)</t>
  </si>
  <si>
    <t>Metric</t>
  </si>
  <si>
    <t>Top Portfolio (Bullish)</t>
  </si>
  <si>
    <t>Bottom Portfolio (Bearish)</t>
  </si>
  <si>
    <t>Cumulative Return (Full Window)</t>
  </si>
  <si>
    <t>Peak Cumulative Return</t>
  </si>
  <si>
    <t>Worst Drawdown</t>
  </si>
  <si>
    <t>Annualized Volatility</t>
  </si>
  <si>
    <t>Best Daily Return</t>
  </si>
  <si>
    <t>Worst Daily Return</t>
  </si>
  <si>
    <t>QUESTION 1: THE GENAI VALUE CHAIN</t>
  </si>
  <si>
    <t>Describe the workflow: In this project, Reddit was our data source. Claude was our LLM - it classified sentiment from post titles. Then we had to audit Claude's work, which meant manually reading 30+ posts and checking if the AI got the sentiment right. We found errors and corrected them.
Then came the quantitative modeling step - building the ticker summary table, calculating net sentiment scores, creating the portfolios. Finally, we analyzed the results to see if the sentiment signal predicted actual returns.
In a real firm's workflow:
1. SCRAPER (Engineer) - Automatically pulls Reddit posts 24/7
2. LLM (Claude/ChatGPT) - Summarizes hundreds of posts in seconds, extracts tickers and sentiment
3. AUDITOR (Analyst) - Manually verifies the AI output, checks for hallucinations, fixes errors
4. QUANT MODELER (Analyst) - Builds portfolio allocation based on verified sentiment scores
5. TRADER (Portfolio Manager) - Makes final go/no-go decision and executes
Where human judgment is essential: The auditing step. You cannot skip it. We sent Claude 150 posts and got back classifications, but we couldn't just use them. We had to manually check the AI's work, and we found misclassifications. The verification step is where human judgment saves you from trading on hallucinated data. Also, the final decision to actually trade - that judgment call is always human.</t>
  </si>
  <si>
    <t>QUESTION 2: COST OF VERIFICATION</t>
  </si>
  <si>
    <t>Our team spent roughly 2.5 hours total on sentiment classification:
- Writing and refining the Claude prompt: 30 minutes ( to get the right format)
- Running batches of posts through Claude: 45 minutes (sent 5 batches of 30 posts each)
- Manually verifying and correcting Claude's output: 60 minutes (reading 30+ posts, checking if Claude got sentiment right, fixing the ones that were wrong)
Claude saved us roughly 40-50% of the time. But here's the thing: that 60 minutes of verification was NOT optional. We found real errors:
- Posts Claude marked as bullish that were actually sarcastic (bearish)
- Posts about macro news that Claude didn't connect to specific tickers
- A few posts where the sentiment was genuinely ambiguous and we had to make judgment calls
This confirms what industry practitioners say: "AI saves time on first drafts but verification takes just as long as doing it manually." Our experience proved it. The AI accelerated the creation phase, but the auditing phase didn't get faster. That's the hidden cost.</t>
  </si>
  <si>
    <t>QUESTION 3: CONNECTION TO OPTIMIZATION</t>
  </si>
  <si>
    <t>In Chapter 7, we learned how to use Solver for optimization. You set up an objective function (like "minimize portfolio variance") and decision variables (stock weights), and Solver iteratively adjusts those variables to find the best solution. It's trying to find the combination of weights that minimizes variance.
Neural networks like ChatGPT work on exactly the same principle, just at a massive scale:
SOLVER:
- Objective function: Minimize variance
- Decision variables: Stock weights (10-50 variables)
- Method: GRG Nonlinear (iterative adjustment)
- Goal: Find weights that minimize variance
CHATGPT/CLAUDE:
- Objective function: Minimize prediction error (loss)
- Decision variables: Neural network weights (175 billion+ parameters)
- Method: Gradient descent (iterative adjustment, mathematically similar to GRG)
- Goal: Find parameters that predict next word correctly
When Claude generates text, it's running optimization in the background. It learned by adjusting 175 billion parameters to minimize how often it was wrong about what word comes next. That's nonlinear optimization, exactly like Chapter 7.
The connection matters because it means:
1. We understand how AI actually works 
2. We can reason about its limitations 
3. We understand when to trust it and when to verify it
This is why understanding optimization is so powerful - it explains not just portfolio modeling but how all modern AI systems work.</t>
  </si>
  <si>
    <t>QUESTION 4: HALLUCINATION AS OVERFITTING</t>
  </si>
  <si>
    <t>In Project 2, we learned a crucial lesson about trusting raw data. Historical betas from 2019 were noisy. Stock A might show a raw beta of 0.3, Stock B might show 2.8. But these are extreme estimates based on limited historical data. If we trusted them blindly, we would overfit - we'd let noise in historical data determine our hedging strategy.
The solution was shrinkage: pull extreme estimates toward a sensible default (like 1.0). Stock A: 0.3 → 0.7 (pulled up). Stock B: 2.8 → 1.8 (pulled down). This looks "wrong" on paper, but it actually works better on future data because we're not trusting noise.
LLM hallucination is exactly the same phenomenon. Claude generates text by predicting "what word comes next?" based on patterns learned from billions of training examples. It's trained to be plausible and confident. But sometimes it generates confident-sounding text that is completely false. That's overfitting: the model learned patterns from training data, and sometimes those patterns don't match reality.
In our project:
- Claude classified TSLA as bearish based on SMCI scandal spillover fears (correct analysis)
- Claude classified UAL as bearish based on Iran/Hormuz geopolitical risk (correct)
- But Claude also made mistakes - one post about "gains" that was actually sarcastic (bearish), Claude marked as bullish
How we fixed it: We didn't trust Claude 100%. We manually verified 30+ posts and corrected errors. That verification is shrinkage applied to AI: pulling the model's extreme confidence toward reality.
The lesson for how to treat AI-generated analysis:
- Don't blindly trust it (it overfits like any statistical model)
- Verify it, especially on edge cases
- Treat it skeptically, like we treated raw betas
- Budget time and people for auditing (verification is non-negotiable)
This is why major companies spending millions on GenAI still hire armies of human auditors. Overfitting is real, whether it's in portfolio weights from 2019 or language models trained on internet text. Shrinkage - skepticism and verification - is the professional standard. You cannot engineer this away. You have to audit.</t>
  </si>
  <si>
    <t xml:space="preserve">Note: Exclusing JSM as it is missing data on some days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</si>
</sst>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21">
    <font>
      <sz val="11"/>
      <color theme="1"/>
      <name val="Calibri"/>
      <family val="2"/>
      <scheme val="minor"/>
    </font>
    <font>
      <sz val="11"/>
      <color rgb="FF000000"/>
      <name val="Aptos Narrow"/>
      <family val="2"/>
    </font>
    <font>
      <sz val="11"/>
      <color theme="1"/>
      <name val="Calibri"/>
      <family val="2"/>
      <scheme val="minor"/>
    </font>
    <font>
      <b/>
      <sz val="11"/>
      <color theme="1"/>
      <name val="Calibri"/>
      <family val="2"/>
      <scheme val="minor"/>
    </font>
    <font>
      <sz val="11"/>
      <color rgb="FF1F1F1F"/>
      <name val="Arial"/>
      <family val="2"/>
    </font>
    <font>
      <b/>
      <sz val="11"/>
      <color theme="0"/>
      <name val="Calibri"/>
      <family val="2"/>
      <scheme val="minor"/>
    </font>
    <font>
      <b/>
      <sz val="11"/>
      <color rgb="FF000000"/>
      <name val="Aptos Narrow"/>
      <family val="2"/>
    </font>
    <font>
      <i/>
      <sz val="11"/>
      <color theme="1"/>
      <name val="Calibri"/>
      <family val="2"/>
      <scheme val="minor"/>
    </font>
    <font>
      <b/>
      <sz val="13"/>
      <name val="Calibri"/>
      <family val="2"/>
    </font>
    <font>
      <b/>
      <sz val="11"/>
      <color theme="1"/>
      <name val="Calibri"/>
      <family val="2"/>
    </font>
    <font>
      <b/>
      <sz val="11"/>
      <name val="Calibri"/>
      <family val="2"/>
    </font>
    <font>
      <b/>
      <sz val="12"/>
      <name val="Calibri"/>
      <family val="2"/>
    </font>
    <font>
      <b/>
      <u/>
      <sz val="11"/>
      <name val="Calibri"/>
      <family val="2"/>
    </font>
    <font>
      <b/>
      <u/>
      <sz val="10"/>
      <name val="Calibri"/>
      <family val="2"/>
    </font>
    <font>
      <sz val="12"/>
      <color rgb="FF3F3F76"/>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10"/>
      <color theme="1"/>
      <name val="Arial"/>
      <family val="2"/>
    </font>
    <font>
      <b/>
      <sz val="11"/>
      <color rgb="FF1F1F1F"/>
      <name val="Google Sans Text"/>
      <family val="2"/>
      <charset val="1"/>
    </font>
    <font>
      <sz val="11"/>
      <color rgb="FF1F1F1F"/>
      <name val="Google Sans Text"/>
    </font>
  </fonts>
  <fills count="10">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CC99"/>
      </patternFill>
    </fill>
    <fill>
      <patternFill patternType="solid">
        <fgColor theme="0"/>
        <bgColor rgb="FF366092"/>
      </patternFill>
    </fill>
    <fill>
      <patternFill patternType="solid">
        <fgColor theme="0"/>
        <bgColor rgb="FFFFF2CC"/>
      </patternFill>
    </fill>
    <fill>
      <patternFill patternType="solid">
        <fgColor theme="0"/>
        <bgColor rgb="FFFFC7CE"/>
      </patternFill>
    </fill>
    <fill>
      <patternFill patternType="solid">
        <fgColor theme="0"/>
        <bgColor rgb="FFC6EFCE"/>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rgb="FF7F7F7F"/>
      </right>
      <top style="thin">
        <color rgb="FF7F7F7F"/>
      </top>
      <bottom style="thin">
        <color rgb="FF7F7F7F"/>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1F1F1F"/>
      </left>
      <right style="thin">
        <color rgb="FF1F1F1F"/>
      </right>
      <top style="thin">
        <color rgb="FF1F1F1F"/>
      </top>
      <bottom style="thin">
        <color rgb="FF1F1F1F"/>
      </bottom>
      <diagonal/>
    </border>
  </borders>
  <cellStyleXfs count="2">
    <xf numFmtId="0" fontId="0" fillId="0" borderId="0"/>
    <xf numFmtId="9" fontId="2" fillId="0" borderId="0" applyFont="0" applyFill="0" applyBorder="0" applyAlignment="0" applyProtection="0"/>
  </cellStyleXfs>
  <cellXfs count="105">
    <xf numFmtId="0" fontId="0" fillId="0" borderId="0" xfId="0"/>
    <xf numFmtId="0" fontId="1" fillId="0" borderId="0" xfId="0" applyFont="1"/>
    <xf numFmtId="0" fontId="1" fillId="0" borderId="0" xfId="0" applyFont="1" applyAlignment="1">
      <alignment wrapText="1"/>
    </xf>
    <xf numFmtId="0" fontId="1" fillId="0" borderId="0" xfId="0" quotePrefix="1" applyFont="1"/>
    <xf numFmtId="0" fontId="0" fillId="0" borderId="0" xfId="0" applyAlignment="1">
      <alignment horizontal="left"/>
    </xf>
    <xf numFmtId="0" fontId="4" fillId="0" borderId="0" xfId="0" applyFont="1" applyAlignment="1">
      <alignment vertical="center" readingOrder="1"/>
    </xf>
    <xf numFmtId="0" fontId="0" fillId="0" borderId="0" xfId="0" applyAlignment="1">
      <alignment wrapText="1"/>
    </xf>
    <xf numFmtId="0" fontId="3" fillId="2" borderId="1" xfId="0" applyFont="1" applyFill="1" applyBorder="1"/>
    <xf numFmtId="0" fontId="0" fillId="2" borderId="3" xfId="0" applyFill="1" applyBorder="1"/>
    <xf numFmtId="10" fontId="0" fillId="2" borderId="4" xfId="1" applyNumberFormat="1" applyFont="1" applyFill="1" applyBorder="1"/>
    <xf numFmtId="0" fontId="0" fillId="2" borderId="10" xfId="0" applyFill="1" applyBorder="1"/>
    <xf numFmtId="0" fontId="0" fillId="2" borderId="8" xfId="0" applyFill="1" applyBorder="1"/>
    <xf numFmtId="0" fontId="0" fillId="2" borderId="9" xfId="0" applyFill="1" applyBorder="1"/>
    <xf numFmtId="9" fontId="3" fillId="2" borderId="3" xfId="1" applyFont="1" applyFill="1" applyBorder="1" applyAlignment="1">
      <alignment horizontal="center"/>
    </xf>
    <xf numFmtId="0" fontId="0" fillId="4" borderId="11" xfId="0" applyFill="1" applyBorder="1"/>
    <xf numFmtId="0" fontId="0" fillId="4" borderId="12" xfId="0" applyFill="1" applyBorder="1"/>
    <xf numFmtId="0" fontId="6" fillId="3" borderId="13" xfId="0" applyFont="1" applyFill="1" applyBorder="1"/>
    <xf numFmtId="0" fontId="5" fillId="3" borderId="13" xfId="0" applyFont="1" applyFill="1" applyBorder="1" applyAlignment="1">
      <alignment horizontal="left"/>
    </xf>
    <xf numFmtId="0" fontId="5" fillId="3" borderId="14" xfId="0" applyFont="1" applyFill="1" applyBorder="1"/>
    <xf numFmtId="0" fontId="1" fillId="4" borderId="13" xfId="0" applyFont="1" applyFill="1" applyBorder="1"/>
    <xf numFmtId="0" fontId="0" fillId="4" borderId="13" xfId="0" applyFill="1" applyBorder="1"/>
    <xf numFmtId="0" fontId="0" fillId="4" borderId="14" xfId="0" applyFill="1" applyBorder="1"/>
    <xf numFmtId="0" fontId="1" fillId="0" borderId="13" xfId="0" applyFont="1" applyBorder="1"/>
    <xf numFmtId="0" fontId="0" fillId="0" borderId="13" xfId="0" applyBorder="1"/>
    <xf numFmtId="0" fontId="0" fillId="0" borderId="14" xfId="0" applyBorder="1"/>
    <xf numFmtId="0" fontId="1" fillId="4" borderId="13" xfId="0" applyFont="1" applyFill="1" applyBorder="1" applyAlignment="1">
      <alignment wrapText="1"/>
    </xf>
    <xf numFmtId="0" fontId="1" fillId="4" borderId="11" xfId="0" applyFont="1" applyFill="1" applyBorder="1"/>
    <xf numFmtId="0" fontId="5" fillId="3" borderId="13" xfId="0" applyFont="1" applyFill="1" applyBorder="1"/>
    <xf numFmtId="0" fontId="0" fillId="0" borderId="0" xfId="0" pivotButton="1"/>
    <xf numFmtId="164" fontId="0" fillId="4" borderId="13" xfId="0" applyNumberFormat="1" applyFill="1" applyBorder="1"/>
    <xf numFmtId="164" fontId="0" fillId="0" borderId="13" xfId="0" applyNumberFormat="1" applyBorder="1"/>
    <xf numFmtId="165" fontId="0" fillId="4" borderId="13" xfId="0" applyNumberFormat="1" applyFill="1" applyBorder="1"/>
    <xf numFmtId="165" fontId="0" fillId="0" borderId="13" xfId="0" applyNumberFormat="1" applyBorder="1"/>
    <xf numFmtId="0" fontId="5" fillId="3" borderId="0" xfId="0" applyFont="1" applyFill="1"/>
    <xf numFmtId="0" fontId="3" fillId="0" borderId="2" xfId="0" applyFont="1" applyBorder="1"/>
    <xf numFmtId="0" fontId="0" fillId="0" borderId="3" xfId="0" applyBorder="1"/>
    <xf numFmtId="0" fontId="0" fillId="0" borderId="4" xfId="0" applyBorder="1"/>
    <xf numFmtId="0" fontId="0" fillId="0" borderId="5" xfId="0" applyBorder="1" applyAlignment="1">
      <alignment horizontal="left" vertical="center" indent="1"/>
    </xf>
    <xf numFmtId="0" fontId="0" fillId="0" borderId="6" xfId="0" applyBorder="1"/>
    <xf numFmtId="0" fontId="0" fillId="0" borderId="7" xfId="0" applyBorder="1" applyAlignment="1">
      <alignment horizontal="left" vertical="center" indent="1"/>
    </xf>
    <xf numFmtId="0" fontId="0" fillId="0" borderId="8" xfId="0" applyBorder="1"/>
    <xf numFmtId="0" fontId="0" fillId="0" borderId="9" xfId="0" applyBorder="1"/>
    <xf numFmtId="0" fontId="0" fillId="0" borderId="5" xfId="0" applyBorder="1"/>
    <xf numFmtId="0" fontId="3" fillId="0" borderId="5" xfId="0" applyFont="1" applyBorder="1" applyAlignment="1">
      <alignment horizontal="left" vertical="center" indent="1"/>
    </xf>
    <xf numFmtId="0" fontId="0" fillId="0" borderId="7" xfId="0" applyBorder="1"/>
    <xf numFmtId="0" fontId="3" fillId="0" borderId="5" xfId="0" applyFont="1" applyBorder="1" applyAlignment="1">
      <alignment horizontal="center" vertical="center" wrapText="1"/>
    </xf>
    <xf numFmtId="0" fontId="3" fillId="0" borderId="0" xfId="0" applyFont="1" applyAlignment="1">
      <alignment horizontal="center" vertical="center" wrapText="1"/>
    </xf>
    <xf numFmtId="16" fontId="0" fillId="0" borderId="5" xfId="0" applyNumberFormat="1" applyBorder="1" applyAlignment="1">
      <alignment vertical="center" wrapText="1"/>
    </xf>
    <xf numFmtId="9" fontId="0" fillId="0" borderId="0" xfId="0" applyNumberFormat="1" applyAlignment="1">
      <alignment vertical="center" wrapText="1"/>
    </xf>
    <xf numFmtId="9" fontId="3" fillId="0" borderId="0" xfId="0" applyNumberFormat="1" applyFont="1" applyAlignment="1">
      <alignment vertical="center" wrapText="1"/>
    </xf>
    <xf numFmtId="0" fontId="4" fillId="2" borderId="2" xfId="0" applyFont="1" applyFill="1" applyBorder="1" applyAlignment="1">
      <alignment horizontal="center" vertical="center" readingOrder="1"/>
    </xf>
    <xf numFmtId="0" fontId="4" fillId="2" borderId="3" xfId="0" applyFont="1" applyFill="1" applyBorder="1" applyAlignment="1">
      <alignment horizontal="center" vertical="center" readingOrder="1"/>
    </xf>
    <xf numFmtId="0" fontId="4" fillId="2" borderId="7" xfId="0" applyFont="1" applyFill="1" applyBorder="1" applyAlignment="1">
      <alignment horizontal="center" vertical="center" readingOrder="1"/>
    </xf>
    <xf numFmtId="0" fontId="4" fillId="2" borderId="8" xfId="0" applyFont="1" applyFill="1" applyBorder="1" applyAlignment="1">
      <alignment horizontal="center" vertical="center" readingOrder="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0" fillId="0" borderId="0" xfId="0"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9" xfId="0" applyBorder="1" applyAlignment="1">
      <alignment horizontal="left" wrapText="1"/>
    </xf>
    <xf numFmtId="0" fontId="8" fillId="0" borderId="0" xfId="0" applyFont="1"/>
    <xf numFmtId="0" fontId="0" fillId="0" borderId="0" xfId="0"/>
    <xf numFmtId="0" fontId="9" fillId="6" borderId="0" xfId="0" applyFont="1" applyFill="1" applyAlignment="1">
      <alignment horizontal="center" vertical="center" wrapText="1"/>
    </xf>
    <xf numFmtId="0" fontId="10" fillId="0" borderId="0" xfId="0" applyFont="1"/>
    <xf numFmtId="0" fontId="0" fillId="7" borderId="0" xfId="0" applyFill="1"/>
    <xf numFmtId="0" fontId="0" fillId="8" borderId="0" xfId="0" applyFill="1"/>
    <xf numFmtId="0" fontId="0" fillId="9" borderId="0" xfId="0" applyFill="1"/>
    <xf numFmtId="0" fontId="11" fillId="0" borderId="0" xfId="0" applyFont="1"/>
    <xf numFmtId="0" fontId="12" fillId="0" borderId="0" xfId="0" applyFont="1"/>
    <xf numFmtId="0" fontId="0" fillId="0" borderId="0" xfId="0" applyAlignment="1">
      <alignment vertical="top" wrapText="1"/>
    </xf>
    <xf numFmtId="0" fontId="11" fillId="0" borderId="0" xfId="0" applyFont="1"/>
    <xf numFmtId="0" fontId="13" fillId="0" borderId="0" xfId="0" applyFont="1"/>
    <xf numFmtId="9" fontId="14" fillId="5" borderId="15" xfId="1" applyFont="1" applyFill="1" applyBorder="1"/>
    <xf numFmtId="0" fontId="3" fillId="2" borderId="0" xfId="0" applyFont="1" applyFill="1" applyAlignment="1">
      <alignment horizontal="left"/>
    </xf>
    <xf numFmtId="0" fontId="3" fillId="0" borderId="0" xfId="0" applyFont="1" applyAlignment="1">
      <alignment horizontal="center" vertical="center"/>
    </xf>
    <xf numFmtId="0" fontId="15"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3" fillId="2" borderId="16" xfId="0" applyFont="1" applyFill="1" applyBorder="1" applyAlignment="1">
      <alignment horizontal="left" vertical="center" wrapText="1"/>
    </xf>
    <xf numFmtId="0" fontId="3" fillId="0" borderId="0" xfId="0" applyFont="1" applyAlignment="1">
      <alignment vertical="center" wrapText="1"/>
    </xf>
    <xf numFmtId="0" fontId="3" fillId="0" borderId="17" xfId="0" applyFont="1" applyBorder="1" applyAlignment="1">
      <alignment wrapText="1"/>
    </xf>
    <xf numFmtId="0" fontId="0" fillId="0" borderId="17" xfId="0" applyBorder="1"/>
    <xf numFmtId="0" fontId="0" fillId="0" borderId="18" xfId="0" applyBorder="1"/>
    <xf numFmtId="22" fontId="0" fillId="0" borderId="0" xfId="0" applyNumberFormat="1"/>
    <xf numFmtId="0" fontId="3" fillId="0" borderId="0" xfId="0" applyFont="1"/>
    <xf numFmtId="22" fontId="17" fillId="0" borderId="0" xfId="0" applyNumberFormat="1" applyFont="1" applyAlignment="1">
      <alignment readingOrder="1"/>
    </xf>
    <xf numFmtId="10" fontId="0" fillId="0" borderId="0" xfId="0" applyNumberFormat="1"/>
    <xf numFmtId="0" fontId="18" fillId="0" borderId="0" xfId="0" applyFont="1" applyAlignment="1">
      <alignment readingOrder="1"/>
    </xf>
    <xf numFmtId="0" fontId="17" fillId="0" borderId="0" xfId="0" applyFont="1" applyAlignment="1">
      <alignment readingOrder="1"/>
    </xf>
    <xf numFmtId="0" fontId="3" fillId="0" borderId="0" xfId="0" applyFont="1" applyAlignment="1">
      <alignment horizontal="center"/>
    </xf>
    <xf numFmtId="0" fontId="0" fillId="0" borderId="0" xfId="0" applyAlignment="1">
      <alignment horizontal="center"/>
    </xf>
    <xf numFmtId="0" fontId="19" fillId="0" borderId="17" xfId="0" applyFont="1" applyBorder="1" applyAlignment="1">
      <alignment readingOrder="1"/>
    </xf>
    <xf numFmtId="0" fontId="20" fillId="0" borderId="17" xfId="0" applyFont="1" applyBorder="1" applyAlignment="1">
      <alignment readingOrder="1"/>
    </xf>
    <xf numFmtId="10" fontId="20" fillId="0" borderId="17" xfId="0" applyNumberFormat="1" applyFont="1" applyBorder="1" applyAlignment="1">
      <alignment readingOrder="1"/>
    </xf>
    <xf numFmtId="0" fontId="19" fillId="0" borderId="19" xfId="0" applyFont="1" applyBorder="1" applyAlignment="1">
      <alignment readingOrder="1"/>
    </xf>
    <xf numFmtId="10" fontId="20" fillId="0" borderId="19" xfId="0" applyNumberFormat="1" applyFont="1" applyBorder="1" applyAlignment="1">
      <alignment readingOrder="1"/>
    </xf>
    <xf numFmtId="9" fontId="20" fillId="0" borderId="19" xfId="0" applyNumberFormat="1" applyFont="1" applyBorder="1" applyAlignment="1">
      <alignment readingOrder="1"/>
    </xf>
    <xf numFmtId="0" fontId="0" fillId="0" borderId="0" xfId="0" applyAlignment="1">
      <alignment horizontal="left" vertical="center" indent="1"/>
    </xf>
    <xf numFmtId="0" fontId="3" fillId="0" borderId="0" xfId="0" applyFont="1" applyAlignment="1">
      <alignment horizontal="left" vertical="center" indent="1"/>
    </xf>
    <xf numFmtId="0" fontId="15" fillId="0" borderId="0" xfId="0" applyFont="1" applyAlignment="1">
      <alignment horizontal="left" wrapText="1"/>
    </xf>
  </cellXfs>
  <cellStyles count="2">
    <cellStyle name="Normal" xfId="0" builtinId="0"/>
    <cellStyle name="Percent" xfId="1" builtinId="5"/>
  </cellStyles>
  <dxfs count="21">
    <dxf>
      <font>
        <b val="0"/>
        <i val="0"/>
        <strike val="0"/>
        <condense val="0"/>
        <extend val="0"/>
        <outline val="0"/>
        <shadow val="0"/>
        <u val="none"/>
        <vertAlign val="baseline"/>
        <sz val="11"/>
        <color theme="1"/>
        <name val="Calibri"/>
        <family val="2"/>
        <scheme val="minor"/>
      </font>
      <numFmt numFmtId="165" formatCode="0.0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rgb="FF1F1F1F"/>
        <name val="Arial"/>
        <family val="2"/>
        <scheme val="none"/>
      </font>
      <alignment horizontal="general" vertical="center" textRotation="0" wrapText="0" indent="0" justifyLastLine="0" shrinkToFit="0" readingOrder="1"/>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Pro.xlsm]Sentiment Distribution!PivotTable2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'Sentiment Distribution'!$A$3</c:f>
              <c:strCache>
                <c:ptCount val="1"/>
                <c:pt idx="0">
                  <c:v>Sum of Bullish Count</c:v>
                </c:pt>
              </c:strCache>
            </c:strRef>
          </c:tx>
          <c:spPr>
            <a:solidFill>
              <a:schemeClr val="accent1"/>
            </a:solidFill>
            <a:ln>
              <a:noFill/>
            </a:ln>
            <a:effectLst/>
          </c:spPr>
          <c:invertIfNegative val="0"/>
          <c:cat>
            <c:strRef>
              <c:f>'Sentiment Distribution'!$A$4</c:f>
              <c:strCache>
                <c:ptCount val="1"/>
                <c:pt idx="0">
                  <c:v>Total</c:v>
                </c:pt>
              </c:strCache>
            </c:strRef>
          </c:cat>
          <c:val>
            <c:numRef>
              <c:f>'Sentiment Distribution'!$A$4</c:f>
              <c:numCache>
                <c:formatCode>General</c:formatCode>
                <c:ptCount val="1"/>
                <c:pt idx="0">
                  <c:v>82</c:v>
                </c:pt>
              </c:numCache>
            </c:numRef>
          </c:val>
          <c:extLst>
            <c:ext xmlns:c16="http://schemas.microsoft.com/office/drawing/2014/chart" uri="{C3380CC4-5D6E-409C-BE32-E72D297353CC}">
              <c16:uniqueId val="{00000000-56E0-46B7-8699-9929EA2092F7}"/>
            </c:ext>
          </c:extLst>
        </c:ser>
        <c:ser>
          <c:idx val="1"/>
          <c:order val="1"/>
          <c:tx>
            <c:strRef>
              <c:f>'Sentiment Distribution'!$B$3</c:f>
              <c:strCache>
                <c:ptCount val="1"/>
                <c:pt idx="0">
                  <c:v>Sum of Bearish Count</c:v>
                </c:pt>
              </c:strCache>
            </c:strRef>
          </c:tx>
          <c:spPr>
            <a:solidFill>
              <a:schemeClr val="accent2"/>
            </a:solidFill>
            <a:ln>
              <a:noFill/>
            </a:ln>
            <a:effectLst/>
          </c:spPr>
          <c:invertIfNegative val="0"/>
          <c:cat>
            <c:strRef>
              <c:f>'Sentiment Distribution'!$A$4</c:f>
              <c:strCache>
                <c:ptCount val="1"/>
                <c:pt idx="0">
                  <c:v>Total</c:v>
                </c:pt>
              </c:strCache>
            </c:strRef>
          </c:cat>
          <c:val>
            <c:numRef>
              <c:f>'Sentiment Distribution'!$B$4</c:f>
              <c:numCache>
                <c:formatCode>General</c:formatCode>
                <c:ptCount val="1"/>
                <c:pt idx="0">
                  <c:v>80</c:v>
                </c:pt>
              </c:numCache>
            </c:numRef>
          </c:val>
          <c:extLst>
            <c:ext xmlns:c16="http://schemas.microsoft.com/office/drawing/2014/chart" uri="{C3380CC4-5D6E-409C-BE32-E72D297353CC}">
              <c16:uniqueId val="{00000001-56E0-46B7-8699-9929EA2092F7}"/>
            </c:ext>
          </c:extLst>
        </c:ser>
        <c:dLbls>
          <c:showLegendKey val="0"/>
          <c:showVal val="0"/>
          <c:showCatName val="0"/>
          <c:showSerName val="0"/>
          <c:showPercent val="0"/>
          <c:showBubbleSize val="0"/>
        </c:dLbls>
        <c:gapWidth val="219"/>
        <c:overlap val="-27"/>
        <c:axId val="16000864"/>
        <c:axId val="15998944"/>
      </c:barChart>
      <c:catAx>
        <c:axId val="1600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8944"/>
        <c:crosses val="autoZero"/>
        <c:auto val="1"/>
        <c:lblAlgn val="ctr"/>
        <c:lblOffset val="100"/>
        <c:noMultiLvlLbl val="0"/>
      </c:catAx>
      <c:valAx>
        <c:axId val="15998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0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Pro.xlsm]Sentiment by scrape date!PivotTable4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'Sentiment by scrape date'!$B$3</c:f>
              <c:strCache>
                <c:ptCount val="1"/>
                <c:pt idx="0">
                  <c:v>Sum of Bearish</c:v>
                </c:pt>
              </c:strCache>
            </c:strRef>
          </c:tx>
          <c:spPr>
            <a:solidFill>
              <a:schemeClr val="accent1"/>
            </a:solidFill>
            <a:ln>
              <a:noFill/>
            </a:ln>
            <a:effectLst/>
          </c:spPr>
          <c:invertIfNegative val="0"/>
          <c:cat>
            <c:strRef>
              <c:f>'Sentiment by scrape date'!$A$4:$A$7</c:f>
              <c:strCache>
                <c:ptCount val="3"/>
                <c:pt idx="0">
                  <c:v>Escalation</c:v>
                </c:pt>
                <c:pt idx="1">
                  <c:v>Post-Fed</c:v>
                </c:pt>
                <c:pt idx="2">
                  <c:v>Pre-Fed</c:v>
                </c:pt>
              </c:strCache>
            </c:strRef>
          </c:cat>
          <c:val>
            <c:numRef>
              <c:f>'Sentiment by scrape date'!$B$4:$B$7</c:f>
              <c:numCache>
                <c:formatCode>General</c:formatCode>
                <c:ptCount val="3"/>
                <c:pt idx="0">
                  <c:v>147</c:v>
                </c:pt>
                <c:pt idx="1">
                  <c:v>214</c:v>
                </c:pt>
                <c:pt idx="2">
                  <c:v>145</c:v>
                </c:pt>
              </c:numCache>
            </c:numRef>
          </c:val>
          <c:extLst>
            <c:ext xmlns:c16="http://schemas.microsoft.com/office/drawing/2014/chart" uri="{C3380CC4-5D6E-409C-BE32-E72D297353CC}">
              <c16:uniqueId val="{00000000-F966-4FEF-A1EF-9591F748CEA7}"/>
            </c:ext>
          </c:extLst>
        </c:ser>
        <c:ser>
          <c:idx val="1"/>
          <c:order val="1"/>
          <c:tx>
            <c:strRef>
              <c:f>'Sentiment by scrape date'!$C$3</c:f>
              <c:strCache>
                <c:ptCount val="1"/>
                <c:pt idx="0">
                  <c:v>Sum of Bullish</c:v>
                </c:pt>
              </c:strCache>
            </c:strRef>
          </c:tx>
          <c:spPr>
            <a:solidFill>
              <a:schemeClr val="accent2"/>
            </a:solidFill>
            <a:ln>
              <a:noFill/>
            </a:ln>
            <a:effectLst/>
          </c:spPr>
          <c:invertIfNegative val="0"/>
          <c:cat>
            <c:strRef>
              <c:f>'Sentiment by scrape date'!$A$4:$A$7</c:f>
              <c:strCache>
                <c:ptCount val="3"/>
                <c:pt idx="0">
                  <c:v>Escalation</c:v>
                </c:pt>
                <c:pt idx="1">
                  <c:v>Post-Fed</c:v>
                </c:pt>
                <c:pt idx="2">
                  <c:v>Pre-Fed</c:v>
                </c:pt>
              </c:strCache>
            </c:strRef>
          </c:cat>
          <c:val>
            <c:numRef>
              <c:f>'Sentiment by scrape date'!$C$4:$C$7</c:f>
              <c:numCache>
                <c:formatCode>General</c:formatCode>
                <c:ptCount val="3"/>
                <c:pt idx="0">
                  <c:v>100</c:v>
                </c:pt>
                <c:pt idx="1">
                  <c:v>129</c:v>
                </c:pt>
                <c:pt idx="2">
                  <c:v>108</c:v>
                </c:pt>
              </c:numCache>
            </c:numRef>
          </c:val>
          <c:extLst>
            <c:ext xmlns:c16="http://schemas.microsoft.com/office/drawing/2014/chart" uri="{C3380CC4-5D6E-409C-BE32-E72D297353CC}">
              <c16:uniqueId val="{00000001-F966-4FEF-A1EF-9591F748CEA7}"/>
            </c:ext>
          </c:extLst>
        </c:ser>
        <c:ser>
          <c:idx val="2"/>
          <c:order val="2"/>
          <c:tx>
            <c:strRef>
              <c:f>'Sentiment by scrape date'!$D$3</c:f>
              <c:strCache>
                <c:ptCount val="1"/>
                <c:pt idx="0">
                  <c:v>Sum of Mixed</c:v>
                </c:pt>
              </c:strCache>
            </c:strRef>
          </c:tx>
          <c:spPr>
            <a:solidFill>
              <a:schemeClr val="accent3"/>
            </a:solidFill>
            <a:ln>
              <a:noFill/>
            </a:ln>
            <a:effectLst/>
          </c:spPr>
          <c:invertIfNegative val="0"/>
          <c:cat>
            <c:strRef>
              <c:f>'Sentiment by scrape date'!$A$4:$A$7</c:f>
              <c:strCache>
                <c:ptCount val="3"/>
                <c:pt idx="0">
                  <c:v>Escalation</c:v>
                </c:pt>
                <c:pt idx="1">
                  <c:v>Post-Fed</c:v>
                </c:pt>
                <c:pt idx="2">
                  <c:v>Pre-Fed</c:v>
                </c:pt>
              </c:strCache>
            </c:strRef>
          </c:cat>
          <c:val>
            <c:numRef>
              <c:f>'Sentiment by scrape date'!$D$4:$D$7</c:f>
              <c:numCache>
                <c:formatCode>General</c:formatCode>
                <c:ptCount val="3"/>
                <c:pt idx="0">
                  <c:v>34</c:v>
                </c:pt>
                <c:pt idx="1">
                  <c:v>31</c:v>
                </c:pt>
                <c:pt idx="2">
                  <c:v>22</c:v>
                </c:pt>
              </c:numCache>
            </c:numRef>
          </c:val>
          <c:extLst>
            <c:ext xmlns:c16="http://schemas.microsoft.com/office/drawing/2014/chart" uri="{C3380CC4-5D6E-409C-BE32-E72D297353CC}">
              <c16:uniqueId val="{00000002-F966-4FEF-A1EF-9591F748CEA7}"/>
            </c:ext>
          </c:extLst>
        </c:ser>
        <c:ser>
          <c:idx val="3"/>
          <c:order val="3"/>
          <c:tx>
            <c:strRef>
              <c:f>'Sentiment by scrape date'!$E$3</c:f>
              <c:strCache>
                <c:ptCount val="1"/>
                <c:pt idx="0">
                  <c:v>Sum of Neutral</c:v>
                </c:pt>
              </c:strCache>
            </c:strRef>
          </c:tx>
          <c:spPr>
            <a:solidFill>
              <a:schemeClr val="accent4"/>
            </a:solidFill>
            <a:ln>
              <a:noFill/>
            </a:ln>
            <a:effectLst/>
          </c:spPr>
          <c:invertIfNegative val="0"/>
          <c:cat>
            <c:strRef>
              <c:f>'Sentiment by scrape date'!$A$4:$A$7</c:f>
              <c:strCache>
                <c:ptCount val="3"/>
                <c:pt idx="0">
                  <c:v>Escalation</c:v>
                </c:pt>
                <c:pt idx="1">
                  <c:v>Post-Fed</c:v>
                </c:pt>
                <c:pt idx="2">
                  <c:v>Pre-Fed</c:v>
                </c:pt>
              </c:strCache>
            </c:strRef>
          </c:cat>
          <c:val>
            <c:numRef>
              <c:f>'Sentiment by scrape date'!$E$4:$E$7</c:f>
              <c:numCache>
                <c:formatCode>General</c:formatCode>
                <c:ptCount val="3"/>
                <c:pt idx="0">
                  <c:v>9</c:v>
                </c:pt>
                <c:pt idx="1">
                  <c:v>4</c:v>
                </c:pt>
                <c:pt idx="2">
                  <c:v>4</c:v>
                </c:pt>
              </c:numCache>
            </c:numRef>
          </c:val>
          <c:extLst>
            <c:ext xmlns:c16="http://schemas.microsoft.com/office/drawing/2014/chart" uri="{C3380CC4-5D6E-409C-BE32-E72D297353CC}">
              <c16:uniqueId val="{00000003-F966-4FEF-A1EF-9591F748CEA7}"/>
            </c:ext>
          </c:extLst>
        </c:ser>
        <c:dLbls>
          <c:showLegendKey val="0"/>
          <c:showVal val="0"/>
          <c:showCatName val="0"/>
          <c:showSerName val="0"/>
          <c:showPercent val="0"/>
          <c:showBubbleSize val="0"/>
        </c:dLbls>
        <c:gapWidth val="219"/>
        <c:overlap val="-27"/>
        <c:axId val="2079922624"/>
        <c:axId val="2079921664"/>
      </c:barChart>
      <c:catAx>
        <c:axId val="207992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921664"/>
        <c:crosses val="autoZero"/>
        <c:auto val="1"/>
        <c:lblAlgn val="ctr"/>
        <c:lblOffset val="100"/>
        <c:noMultiLvlLbl val="0"/>
      </c:catAx>
      <c:valAx>
        <c:axId val="2079921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922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Pro.xlsm]SentimentByTicker !PivotTable12</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'SentimentByTicker '!$B$3:$B$4</c:f>
              <c:strCache>
                <c:ptCount val="1"/>
                <c:pt idx="0">
                  <c:v>Bearish</c:v>
                </c:pt>
              </c:strCache>
            </c:strRef>
          </c:tx>
          <c:spPr>
            <a:solidFill>
              <a:schemeClr val="accent1"/>
            </a:solidFill>
            <a:ln>
              <a:noFill/>
            </a:ln>
            <a:effectLst/>
          </c:spPr>
          <c:invertIfNegative val="0"/>
          <c:cat>
            <c:strRef>
              <c:f>'SentimentByTicker '!$A$5:$A$15</c:f>
              <c:strCache>
                <c:ptCount val="10"/>
                <c:pt idx="0">
                  <c:v>AMZN</c:v>
                </c:pt>
                <c:pt idx="1">
                  <c:v>COST</c:v>
                </c:pt>
                <c:pt idx="2">
                  <c:v>GOOGL</c:v>
                </c:pt>
                <c:pt idx="3">
                  <c:v>META</c:v>
                </c:pt>
                <c:pt idx="4">
                  <c:v>MSFT</c:v>
                </c:pt>
                <c:pt idx="5">
                  <c:v>MU</c:v>
                </c:pt>
                <c:pt idx="6">
                  <c:v>NVDA</c:v>
                </c:pt>
                <c:pt idx="7">
                  <c:v>SNAP</c:v>
                </c:pt>
                <c:pt idx="8">
                  <c:v>SPY</c:v>
                </c:pt>
                <c:pt idx="9">
                  <c:v>TSLA</c:v>
                </c:pt>
              </c:strCache>
            </c:strRef>
          </c:cat>
          <c:val>
            <c:numRef>
              <c:f>'SentimentByTicker '!$B$5:$B$15</c:f>
              <c:numCache>
                <c:formatCode>General</c:formatCode>
                <c:ptCount val="10"/>
                <c:pt idx="0">
                  <c:v>4</c:v>
                </c:pt>
                <c:pt idx="1">
                  <c:v>1</c:v>
                </c:pt>
                <c:pt idx="2">
                  <c:v>2</c:v>
                </c:pt>
                <c:pt idx="3">
                  <c:v>8</c:v>
                </c:pt>
                <c:pt idx="4">
                  <c:v>8</c:v>
                </c:pt>
                <c:pt idx="5">
                  <c:v>4</c:v>
                </c:pt>
                <c:pt idx="6">
                  <c:v>6</c:v>
                </c:pt>
                <c:pt idx="7">
                  <c:v>4</c:v>
                </c:pt>
                <c:pt idx="8">
                  <c:v>31</c:v>
                </c:pt>
                <c:pt idx="9">
                  <c:v>5</c:v>
                </c:pt>
              </c:numCache>
            </c:numRef>
          </c:val>
          <c:extLst>
            <c:ext xmlns:c16="http://schemas.microsoft.com/office/drawing/2014/chart" uri="{C3380CC4-5D6E-409C-BE32-E72D297353CC}">
              <c16:uniqueId val="{00000000-1A5A-4FD3-951E-F451E3A0EC21}"/>
            </c:ext>
          </c:extLst>
        </c:ser>
        <c:ser>
          <c:idx val="1"/>
          <c:order val="1"/>
          <c:tx>
            <c:strRef>
              <c:f>'SentimentByTicker '!$C$3:$C$4</c:f>
              <c:strCache>
                <c:ptCount val="1"/>
                <c:pt idx="0">
                  <c:v>Bullish</c:v>
                </c:pt>
              </c:strCache>
            </c:strRef>
          </c:tx>
          <c:spPr>
            <a:solidFill>
              <a:schemeClr val="accent2"/>
            </a:solidFill>
            <a:ln>
              <a:noFill/>
            </a:ln>
            <a:effectLst/>
          </c:spPr>
          <c:invertIfNegative val="0"/>
          <c:cat>
            <c:strRef>
              <c:f>'SentimentByTicker '!$A$5:$A$15</c:f>
              <c:strCache>
                <c:ptCount val="10"/>
                <c:pt idx="0">
                  <c:v>AMZN</c:v>
                </c:pt>
                <c:pt idx="1">
                  <c:v>COST</c:v>
                </c:pt>
                <c:pt idx="2">
                  <c:v>GOOGL</c:v>
                </c:pt>
                <c:pt idx="3">
                  <c:v>META</c:v>
                </c:pt>
                <c:pt idx="4">
                  <c:v>MSFT</c:v>
                </c:pt>
                <c:pt idx="5">
                  <c:v>MU</c:v>
                </c:pt>
                <c:pt idx="6">
                  <c:v>NVDA</c:v>
                </c:pt>
                <c:pt idx="7">
                  <c:v>SNAP</c:v>
                </c:pt>
                <c:pt idx="8">
                  <c:v>SPY</c:v>
                </c:pt>
                <c:pt idx="9">
                  <c:v>TSLA</c:v>
                </c:pt>
              </c:strCache>
            </c:strRef>
          </c:cat>
          <c:val>
            <c:numRef>
              <c:f>'SentimentByTicker '!$C$5:$C$15</c:f>
              <c:numCache>
                <c:formatCode>General</c:formatCode>
                <c:ptCount val="10"/>
                <c:pt idx="0">
                  <c:v>3</c:v>
                </c:pt>
                <c:pt idx="1">
                  <c:v>2</c:v>
                </c:pt>
                <c:pt idx="2">
                  <c:v>5</c:v>
                </c:pt>
                <c:pt idx="3">
                  <c:v>2</c:v>
                </c:pt>
                <c:pt idx="4">
                  <c:v>9</c:v>
                </c:pt>
                <c:pt idx="5">
                  <c:v>10</c:v>
                </c:pt>
                <c:pt idx="6">
                  <c:v>9</c:v>
                </c:pt>
                <c:pt idx="7">
                  <c:v>5</c:v>
                </c:pt>
                <c:pt idx="8">
                  <c:v>22</c:v>
                </c:pt>
                <c:pt idx="9">
                  <c:v>2</c:v>
                </c:pt>
              </c:numCache>
            </c:numRef>
          </c:val>
          <c:extLst>
            <c:ext xmlns:c16="http://schemas.microsoft.com/office/drawing/2014/chart" uri="{C3380CC4-5D6E-409C-BE32-E72D297353CC}">
              <c16:uniqueId val="{00000001-1A5A-4FD3-951E-F451E3A0EC21}"/>
            </c:ext>
          </c:extLst>
        </c:ser>
        <c:ser>
          <c:idx val="2"/>
          <c:order val="2"/>
          <c:tx>
            <c:strRef>
              <c:f>'SentimentByTicker '!$D$3:$D$4</c:f>
              <c:strCache>
                <c:ptCount val="1"/>
                <c:pt idx="0">
                  <c:v>Mixed</c:v>
                </c:pt>
              </c:strCache>
            </c:strRef>
          </c:tx>
          <c:spPr>
            <a:solidFill>
              <a:schemeClr val="accent3"/>
            </a:solidFill>
            <a:ln>
              <a:noFill/>
            </a:ln>
            <a:effectLst/>
          </c:spPr>
          <c:invertIfNegative val="0"/>
          <c:cat>
            <c:strRef>
              <c:f>'SentimentByTicker '!$A$5:$A$15</c:f>
              <c:strCache>
                <c:ptCount val="10"/>
                <c:pt idx="0">
                  <c:v>AMZN</c:v>
                </c:pt>
                <c:pt idx="1">
                  <c:v>COST</c:v>
                </c:pt>
                <c:pt idx="2">
                  <c:v>GOOGL</c:v>
                </c:pt>
                <c:pt idx="3">
                  <c:v>META</c:v>
                </c:pt>
                <c:pt idx="4">
                  <c:v>MSFT</c:v>
                </c:pt>
                <c:pt idx="5">
                  <c:v>MU</c:v>
                </c:pt>
                <c:pt idx="6">
                  <c:v>NVDA</c:v>
                </c:pt>
                <c:pt idx="7">
                  <c:v>SNAP</c:v>
                </c:pt>
                <c:pt idx="8">
                  <c:v>SPY</c:v>
                </c:pt>
                <c:pt idx="9">
                  <c:v>TSLA</c:v>
                </c:pt>
              </c:strCache>
            </c:strRef>
          </c:cat>
          <c:val>
            <c:numRef>
              <c:f>'SentimentByTicker '!$D$5:$D$15</c:f>
              <c:numCache>
                <c:formatCode>General</c:formatCode>
                <c:ptCount val="10"/>
                <c:pt idx="2">
                  <c:v>2</c:v>
                </c:pt>
                <c:pt idx="3">
                  <c:v>3</c:v>
                </c:pt>
                <c:pt idx="4">
                  <c:v>3</c:v>
                </c:pt>
                <c:pt idx="5">
                  <c:v>1</c:v>
                </c:pt>
                <c:pt idx="7">
                  <c:v>1</c:v>
                </c:pt>
                <c:pt idx="8">
                  <c:v>3</c:v>
                </c:pt>
                <c:pt idx="9">
                  <c:v>1</c:v>
                </c:pt>
              </c:numCache>
            </c:numRef>
          </c:val>
          <c:extLst>
            <c:ext xmlns:c16="http://schemas.microsoft.com/office/drawing/2014/chart" uri="{C3380CC4-5D6E-409C-BE32-E72D297353CC}">
              <c16:uniqueId val="{00000002-1A5A-4FD3-951E-F451E3A0EC21}"/>
            </c:ext>
          </c:extLst>
        </c:ser>
        <c:ser>
          <c:idx val="3"/>
          <c:order val="3"/>
          <c:tx>
            <c:strRef>
              <c:f>'SentimentByTicker '!$E$3:$E$4</c:f>
              <c:strCache>
                <c:ptCount val="1"/>
                <c:pt idx="0">
                  <c:v>Neutral</c:v>
                </c:pt>
              </c:strCache>
            </c:strRef>
          </c:tx>
          <c:spPr>
            <a:solidFill>
              <a:schemeClr val="accent4"/>
            </a:solidFill>
            <a:ln>
              <a:noFill/>
            </a:ln>
            <a:effectLst/>
          </c:spPr>
          <c:invertIfNegative val="0"/>
          <c:cat>
            <c:strRef>
              <c:f>'SentimentByTicker '!$A$5:$A$15</c:f>
              <c:strCache>
                <c:ptCount val="10"/>
                <c:pt idx="0">
                  <c:v>AMZN</c:v>
                </c:pt>
                <c:pt idx="1">
                  <c:v>COST</c:v>
                </c:pt>
                <c:pt idx="2">
                  <c:v>GOOGL</c:v>
                </c:pt>
                <c:pt idx="3">
                  <c:v>META</c:v>
                </c:pt>
                <c:pt idx="4">
                  <c:v>MSFT</c:v>
                </c:pt>
                <c:pt idx="5">
                  <c:v>MU</c:v>
                </c:pt>
                <c:pt idx="6">
                  <c:v>NVDA</c:v>
                </c:pt>
                <c:pt idx="7">
                  <c:v>SNAP</c:v>
                </c:pt>
                <c:pt idx="8">
                  <c:v>SPY</c:v>
                </c:pt>
                <c:pt idx="9">
                  <c:v>TSLA</c:v>
                </c:pt>
              </c:strCache>
            </c:strRef>
          </c:cat>
          <c:val>
            <c:numRef>
              <c:f>'SentimentByTicker '!$E$5:$E$15</c:f>
              <c:numCache>
                <c:formatCode>General</c:formatCode>
                <c:ptCount val="10"/>
                <c:pt idx="8">
                  <c:v>1</c:v>
                </c:pt>
              </c:numCache>
            </c:numRef>
          </c:val>
          <c:extLst>
            <c:ext xmlns:c16="http://schemas.microsoft.com/office/drawing/2014/chart" uri="{C3380CC4-5D6E-409C-BE32-E72D297353CC}">
              <c16:uniqueId val="{00000003-1A5A-4FD3-951E-F451E3A0EC21}"/>
            </c:ext>
          </c:extLst>
        </c:ser>
        <c:ser>
          <c:idx val="4"/>
          <c:order val="4"/>
          <c:tx>
            <c:strRef>
              <c:f>'SentimentByTicker '!$F$3:$F$4</c:f>
              <c:strCache>
                <c:ptCount val="1"/>
                <c:pt idx="0">
                  <c:v>SKIP</c:v>
                </c:pt>
              </c:strCache>
            </c:strRef>
          </c:tx>
          <c:spPr>
            <a:solidFill>
              <a:schemeClr val="accent5"/>
            </a:solidFill>
            <a:ln>
              <a:noFill/>
            </a:ln>
            <a:effectLst/>
          </c:spPr>
          <c:invertIfNegative val="0"/>
          <c:cat>
            <c:strRef>
              <c:f>'SentimentByTicker '!$A$5:$A$15</c:f>
              <c:strCache>
                <c:ptCount val="10"/>
                <c:pt idx="0">
                  <c:v>AMZN</c:v>
                </c:pt>
                <c:pt idx="1">
                  <c:v>COST</c:v>
                </c:pt>
                <c:pt idx="2">
                  <c:v>GOOGL</c:v>
                </c:pt>
                <c:pt idx="3">
                  <c:v>META</c:v>
                </c:pt>
                <c:pt idx="4">
                  <c:v>MSFT</c:v>
                </c:pt>
                <c:pt idx="5">
                  <c:v>MU</c:v>
                </c:pt>
                <c:pt idx="6">
                  <c:v>NVDA</c:v>
                </c:pt>
                <c:pt idx="7">
                  <c:v>SNAP</c:v>
                </c:pt>
                <c:pt idx="8">
                  <c:v>SPY</c:v>
                </c:pt>
                <c:pt idx="9">
                  <c:v>TSLA</c:v>
                </c:pt>
              </c:strCache>
            </c:strRef>
          </c:cat>
          <c:val>
            <c:numRef>
              <c:f>'SentimentByTicker '!$F$5:$F$15</c:f>
              <c:numCache>
                <c:formatCode>General</c:formatCode>
                <c:ptCount val="10"/>
                <c:pt idx="0">
                  <c:v>3</c:v>
                </c:pt>
                <c:pt idx="1">
                  <c:v>8</c:v>
                </c:pt>
                <c:pt idx="2">
                  <c:v>5</c:v>
                </c:pt>
                <c:pt idx="3">
                  <c:v>4</c:v>
                </c:pt>
                <c:pt idx="4">
                  <c:v>5</c:v>
                </c:pt>
                <c:pt idx="5">
                  <c:v>6</c:v>
                </c:pt>
                <c:pt idx="6">
                  <c:v>4</c:v>
                </c:pt>
                <c:pt idx="8">
                  <c:v>32</c:v>
                </c:pt>
                <c:pt idx="9">
                  <c:v>3</c:v>
                </c:pt>
              </c:numCache>
            </c:numRef>
          </c:val>
          <c:extLst>
            <c:ext xmlns:c16="http://schemas.microsoft.com/office/drawing/2014/chart" uri="{C3380CC4-5D6E-409C-BE32-E72D297353CC}">
              <c16:uniqueId val="{00000004-1A5A-4FD3-951E-F451E3A0EC21}"/>
            </c:ext>
          </c:extLst>
        </c:ser>
        <c:dLbls>
          <c:showLegendKey val="0"/>
          <c:showVal val="0"/>
          <c:showCatName val="0"/>
          <c:showSerName val="0"/>
          <c:showPercent val="0"/>
          <c:showBubbleSize val="0"/>
        </c:dLbls>
        <c:gapWidth val="150"/>
        <c:overlap val="100"/>
        <c:axId val="161607136"/>
        <c:axId val="161607616"/>
      </c:barChart>
      <c:catAx>
        <c:axId val="16160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07616"/>
        <c:crosses val="autoZero"/>
        <c:auto val="1"/>
        <c:lblAlgn val="ctr"/>
        <c:lblOffset val="100"/>
        <c:noMultiLvlLbl val="0"/>
      </c:catAx>
      <c:valAx>
        <c:axId val="161607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07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Sentiment Alpha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'Part 3 - Sentiment Score'!$D$2</c:f>
              <c:strCache>
                <c:ptCount val="1"/>
                <c:pt idx="0">
                  <c:v>Sentiment Alpha</c:v>
                </c:pt>
              </c:strCache>
            </c:strRef>
          </c:tx>
          <c:spPr>
            <a:solidFill>
              <a:schemeClr val="accent1"/>
            </a:solidFill>
            <a:ln>
              <a:noFill/>
            </a:ln>
            <a:effectLst/>
          </c:spPr>
          <c:invertIfNegative val="0"/>
          <c:val>
            <c:numRef>
              <c:f>'Part 3 - Sentiment Score'!$D$3:$D$70</c:f>
              <c:numCache>
                <c:formatCode>General</c:formatCode>
                <c:ptCount val="68"/>
                <c:pt idx="0">
                  <c:v>8.4132997640812529E-2</c:v>
                </c:pt>
                <c:pt idx="1">
                  <c:v>7.3222192947339199E-2</c:v>
                </c:pt>
                <c:pt idx="2">
                  <c:v>7.2944662261615931E-2</c:v>
                </c:pt>
                <c:pt idx="3">
                  <c:v>7.1789769472931697E-2</c:v>
                </c:pt>
                <c:pt idx="4">
                  <c:v>7.1271047983648084E-2</c:v>
                </c:pt>
                <c:pt idx="5">
                  <c:v>6.8388490907372562E-2</c:v>
                </c:pt>
                <c:pt idx="6">
                  <c:v>6.8195439355418691E-2</c:v>
                </c:pt>
                <c:pt idx="7">
                  <c:v>6.6232492903979007E-2</c:v>
                </c:pt>
                <c:pt idx="8">
                  <c:v>6.6020599913279632E-2</c:v>
                </c:pt>
                <c:pt idx="9">
                  <c:v>6.5797835966168103E-2</c:v>
                </c:pt>
                <c:pt idx="10">
                  <c:v>6.204119982655925E-2</c:v>
                </c:pt>
                <c:pt idx="11">
                  <c:v>6.0791812460476255E-2</c:v>
                </c:pt>
                <c:pt idx="12">
                  <c:v>6.0000000000000005E-2</c:v>
                </c:pt>
                <c:pt idx="13">
                  <c:v>5.8749315539781882E-2</c:v>
                </c:pt>
                <c:pt idx="14">
                  <c:v>5.7781512503836438E-2</c:v>
                </c:pt>
                <c:pt idx="15">
                  <c:v>5.7781512503836438E-2</c:v>
                </c:pt>
                <c:pt idx="16">
                  <c:v>5.602059991327963E-2</c:v>
                </c:pt>
                <c:pt idx="17">
                  <c:v>5.5910393588052276E-2</c:v>
                </c:pt>
                <c:pt idx="18">
                  <c:v>5.4771212547196628E-2</c:v>
                </c:pt>
                <c:pt idx="19">
                  <c:v>5.4771212547196628E-2</c:v>
                </c:pt>
                <c:pt idx="20">
                  <c:v>5.4215910272073668E-2</c:v>
                </c:pt>
                <c:pt idx="21">
                  <c:v>5.41611870531645E-2</c:v>
                </c:pt>
                <c:pt idx="22">
                  <c:v>5.3010299956639813E-2</c:v>
                </c:pt>
                <c:pt idx="23">
                  <c:v>5.2733194603947313E-2</c:v>
                </c:pt>
                <c:pt idx="24">
                  <c:v>4.7576297415957314E-2</c:v>
                </c:pt>
                <c:pt idx="25">
                  <c:v>4.5709919390287894E-2</c:v>
                </c:pt>
                <c:pt idx="26">
                  <c:v>4.3864907251724816E-2</c:v>
                </c:pt>
                <c:pt idx="27">
                  <c:v>4.1901960800285139E-2</c:v>
                </c:pt>
                <c:pt idx="28">
                  <c:v>4.0051499783199065E-2</c:v>
                </c:pt>
                <c:pt idx="29">
                  <c:v>3.8727428812474589E-2</c:v>
                </c:pt>
                <c:pt idx="30">
                  <c:v>3.749931756634195E-2</c:v>
                </c:pt>
                <c:pt idx="31">
                  <c:v>3.7385486723061259E-2</c:v>
                </c:pt>
                <c:pt idx="32">
                  <c:v>3.6972293427597176E-2</c:v>
                </c:pt>
                <c:pt idx="33">
                  <c:v>3.6257080573210934E-2</c:v>
                </c:pt>
                <c:pt idx="34">
                  <c:v>3.5820888195232964E-2</c:v>
                </c:pt>
                <c:pt idx="35">
                  <c:v>3.4931601870027397E-2</c:v>
                </c:pt>
                <c:pt idx="36">
                  <c:v>3.4030899869919438E-2</c:v>
                </c:pt>
                <c:pt idx="37">
                  <c:v>3.0934216851622353E-2</c:v>
                </c:pt>
                <c:pt idx="38">
                  <c:v>3.0468779067116061E-2</c:v>
                </c:pt>
                <c:pt idx="39">
                  <c:v>2.749736315569061E-2</c:v>
                </c:pt>
                <c:pt idx="40">
                  <c:v>2.7168377232995249E-2</c:v>
                </c:pt>
                <c:pt idx="41">
                  <c:v>2.236930431696612E-2</c:v>
                </c:pt>
                <c:pt idx="42">
                  <c:v>2.2278867046136734E-2</c:v>
                </c:pt>
                <c:pt idx="43">
                  <c:v>2.2175524029357175E-2</c:v>
                </c:pt>
                <c:pt idx="44">
                  <c:v>1.8750612633917002E-2</c:v>
                </c:pt>
                <c:pt idx="45">
                  <c:v>1.7923916894982541E-2</c:v>
                </c:pt>
                <c:pt idx="46">
                  <c:v>1.0413926851582251E-2</c:v>
                </c:pt>
                <c:pt idx="47">
                  <c:v>9.5424250943932486E-3</c:v>
                </c:pt>
                <c:pt idx="48">
                  <c:v>9.0308998699194353E-3</c:v>
                </c:pt>
                <c:pt idx="49">
                  <c:v>6.9897000433601884E-3</c:v>
                </c:pt>
                <c:pt idx="50">
                  <c:v>6.9897000433601884E-3</c:v>
                </c:pt>
                <c:pt idx="51">
                  <c:v>6.0205999132796244E-3</c:v>
                </c:pt>
                <c:pt idx="52">
                  <c:v>6.0205999132796244E-3</c:v>
                </c:pt>
                <c:pt idx="53">
                  <c:v>5.1029995663981198E-3</c:v>
                </c:pt>
                <c:pt idx="54">
                  <c:v>4.7712125471966243E-3</c:v>
                </c:pt>
                <c:pt idx="55">
                  <c:v>4.0321251377534381E-3</c:v>
                </c:pt>
                <c:pt idx="56">
                  <c:v>3.0102999566398122E-3</c:v>
                </c:pt>
                <c:pt idx="57">
                  <c:v>1.4624669164285536E-3</c:v>
                </c:pt>
                <c:pt idx="58">
                  <c:v>0</c:v>
                </c:pt>
                <c:pt idx="59">
                  <c:v>-7.8886315989213744E-3</c:v>
                </c:pt>
                <c:pt idx="60">
                  <c:v>-9.3229695595993464E-3</c:v>
                </c:pt>
                <c:pt idx="61">
                  <c:v>-1.142245477940558E-2</c:v>
                </c:pt>
                <c:pt idx="62">
                  <c:v>-1.2212463990471713E-2</c:v>
                </c:pt>
                <c:pt idx="63">
                  <c:v>-1.4208187539523753E-2</c:v>
                </c:pt>
                <c:pt idx="64">
                  <c:v>-2.5575202309355515E-2</c:v>
                </c:pt>
                <c:pt idx="65">
                  <c:v>-3.3010299956639816E-2</c:v>
                </c:pt>
                <c:pt idx="66">
                  <c:v>-3.3187587626244131E-2</c:v>
                </c:pt>
                <c:pt idx="67">
                  <c:v>-3.4202164033831903E-2</c:v>
                </c:pt>
              </c:numCache>
            </c:numRef>
          </c:val>
          <c:extLst>
            <c:ext xmlns:c16="http://schemas.microsoft.com/office/drawing/2014/chart" uri="{C3380CC4-5D6E-409C-BE32-E72D297353CC}">
              <c16:uniqueId val="{00000000-6376-4401-8511-F7B5D6E13274}"/>
            </c:ext>
          </c:extLst>
        </c:ser>
        <c:dLbls>
          <c:showLegendKey val="0"/>
          <c:showVal val="0"/>
          <c:showCatName val="0"/>
          <c:showSerName val="0"/>
          <c:showPercent val="0"/>
          <c:showBubbleSize val="0"/>
        </c:dLbls>
        <c:gapWidth val="182"/>
        <c:axId val="2137788271"/>
        <c:axId val="2137789983"/>
      </c:barChart>
      <c:catAx>
        <c:axId val="2137788271"/>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789983"/>
        <c:crosses val="autoZero"/>
        <c:auto val="1"/>
        <c:lblAlgn val="ctr"/>
        <c:lblOffset val="100"/>
        <c:noMultiLvlLbl val="0"/>
      </c:catAx>
      <c:valAx>
        <c:axId val="21377899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788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Equity Curve for Top</a:t>
            </a:r>
          </a:p>
        </c:rich>
      </c:tx>
      <c:layout>
        <c:manualLayout>
          <c:xMode val="edge"/>
          <c:yMode val="edge"/>
          <c:x val="0.39300607537628385"/>
          <c:y val="3.35882306703850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'Part 4 - Step 1-3'!$C$61</c:f>
              <c:strCache>
                <c:ptCount val="1"/>
                <c:pt idx="0">
                  <c:v>Equity Curve</c:v>
                </c:pt>
              </c:strCache>
            </c:strRef>
          </c:tx>
          <c:spPr>
            <a:ln w="28575" cap="rnd">
              <a:solidFill>
                <a:schemeClr val="accent1"/>
              </a:solidFill>
              <a:round/>
            </a:ln>
            <a:effectLst/>
          </c:spPr>
          <c:marker>
            <c:symbol val="none"/>
          </c:marker>
          <c:val>
            <c:numRef>
              <c:f>'Part 4 - Step 1-3'!$C$62:$C$82</c:f>
              <c:numCache>
                <c:formatCode>0.00%</c:formatCode>
                <c:ptCount val="21"/>
                <c:pt idx="0">
                  <c:v>0.99470513921426029</c:v>
                </c:pt>
                <c:pt idx="1">
                  <c:v>1.0290406358264321</c:v>
                </c:pt>
                <c:pt idx="2">
                  <c:v>1.0069047799795114</c:v>
                </c:pt>
                <c:pt idx="3">
                  <c:v>0.99952909138752888</c:v>
                </c:pt>
                <c:pt idx="4">
                  <c:v>1.0229172570874463</c:v>
                </c:pt>
                <c:pt idx="5">
                  <c:v>1.018013841402811</c:v>
                </c:pt>
                <c:pt idx="6">
                  <c:v>1.0522070038208096</c:v>
                </c:pt>
                <c:pt idx="7">
                  <c:v>1.1013277802346131</c:v>
                </c:pt>
                <c:pt idx="8">
                  <c:v>1.0973212442967648</c:v>
                </c:pt>
                <c:pt idx="9">
                  <c:v>1.0939992821367035</c:v>
                </c:pt>
                <c:pt idx="10">
                  <c:v>1.0783641410501632</c:v>
                </c:pt>
                <c:pt idx="11">
                  <c:v>1.1004263358412179</c:v>
                </c:pt>
                <c:pt idx="12">
                  <c:v>1.0486107119195547</c:v>
                </c:pt>
                <c:pt idx="13">
                  <c:v>1.0265348028241785</c:v>
                </c:pt>
                <c:pt idx="14">
                  <c:v>1.0194692790760986</c:v>
                </c:pt>
                <c:pt idx="15">
                  <c:v>1.0042148105988355</c:v>
                </c:pt>
                <c:pt idx="16">
                  <c:v>0.9894079945249844</c:v>
                </c:pt>
                <c:pt idx="17">
                  <c:v>1.0286695259250687</c:v>
                </c:pt>
                <c:pt idx="18">
                  <c:v>1.0297514422006595</c:v>
                </c:pt>
                <c:pt idx="19">
                  <c:v>1.038439649688419</c:v>
                </c:pt>
                <c:pt idx="20">
                  <c:v>1.0270092747866724</c:v>
                </c:pt>
              </c:numCache>
            </c:numRef>
          </c:val>
          <c:smooth val="0"/>
          <c:extLst>
            <c:ext xmlns:c16="http://schemas.microsoft.com/office/drawing/2014/chart" uri="{C3380CC4-5D6E-409C-BE32-E72D297353CC}">
              <c16:uniqueId val="{00000000-94A4-4A75-89A9-933A8EAAA22A}"/>
            </c:ext>
          </c:extLst>
        </c:ser>
        <c:dLbls>
          <c:showLegendKey val="0"/>
          <c:showVal val="0"/>
          <c:showCatName val="0"/>
          <c:showSerName val="0"/>
          <c:showPercent val="0"/>
          <c:showBubbleSize val="0"/>
        </c:dLbls>
        <c:smooth val="0"/>
        <c:axId val="355606023"/>
        <c:axId val="355619847"/>
      </c:lineChart>
      <c:catAx>
        <c:axId val="35560602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619847"/>
        <c:crosses val="autoZero"/>
        <c:auto val="1"/>
        <c:lblAlgn val="ctr"/>
        <c:lblOffset val="100"/>
        <c:noMultiLvlLbl val="0"/>
      </c:catAx>
      <c:valAx>
        <c:axId val="3556198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606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Equity Curve for Bottom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'Part 4 - Step 1-3'!$E$61</c:f>
              <c:strCache>
                <c:ptCount val="1"/>
                <c:pt idx="0">
                  <c:v>Equity Curve</c:v>
                </c:pt>
              </c:strCache>
            </c:strRef>
          </c:tx>
          <c:spPr>
            <a:ln w="28575" cap="rnd">
              <a:solidFill>
                <a:schemeClr val="accent1"/>
              </a:solidFill>
              <a:round/>
            </a:ln>
            <a:effectLst/>
          </c:spPr>
          <c:marker>
            <c:symbol val="none"/>
          </c:marker>
          <c:val>
            <c:numRef>
              <c:f>'Part 4 - Step 1-3'!$E$62:$E$82</c:f>
              <c:numCache>
                <c:formatCode>0.00%</c:formatCode>
                <c:ptCount val="21"/>
                <c:pt idx="0">
                  <c:v>0.9879197797246444</c:v>
                </c:pt>
                <c:pt idx="1">
                  <c:v>1.0111502037525006</c:v>
                </c:pt>
                <c:pt idx="2">
                  <c:v>1.0154051000482993</c:v>
                </c:pt>
                <c:pt idx="3">
                  <c:v>1.0170166909330534</c:v>
                </c:pt>
                <c:pt idx="4">
                  <c:v>1.0371503159896931</c:v>
                </c:pt>
                <c:pt idx="5">
                  <c:v>1.0609971572668371</c:v>
                </c:pt>
                <c:pt idx="6">
                  <c:v>1.0870199307518218</c:v>
                </c:pt>
                <c:pt idx="7">
                  <c:v>1.1207008446118274</c:v>
                </c:pt>
                <c:pt idx="8">
                  <c:v>1.1548546875532706</c:v>
                </c:pt>
                <c:pt idx="9">
                  <c:v>1.1533131614680352</c:v>
                </c:pt>
                <c:pt idx="10">
                  <c:v>1.142475584004474</c:v>
                </c:pt>
                <c:pt idx="11">
                  <c:v>1.1193552429530327</c:v>
                </c:pt>
                <c:pt idx="12">
                  <c:v>1.1073817969829174</c:v>
                </c:pt>
                <c:pt idx="13">
                  <c:v>1.1066112897416687</c:v>
                </c:pt>
                <c:pt idx="14">
                  <c:v>1.1025866280854812</c:v>
                </c:pt>
                <c:pt idx="15">
                  <c:v>1.0844333658610659</c:v>
                </c:pt>
                <c:pt idx="16">
                  <c:v>1.0824248157385827</c:v>
                </c:pt>
                <c:pt idx="17">
                  <c:v>1.1022200987558906</c:v>
                </c:pt>
                <c:pt idx="18">
                  <c:v>1.1150999563064177</c:v>
                </c:pt>
                <c:pt idx="19">
                  <c:v>1.0981705026867983</c:v>
                </c:pt>
                <c:pt idx="20">
                  <c:v>1.1133027866934664</c:v>
                </c:pt>
              </c:numCache>
            </c:numRef>
          </c:val>
          <c:smooth val="0"/>
          <c:extLst>
            <c:ext xmlns:c16="http://schemas.microsoft.com/office/drawing/2014/chart" uri="{C3380CC4-5D6E-409C-BE32-E72D297353CC}">
              <c16:uniqueId val="{00000000-BF52-46A6-9D31-D7B22404726A}"/>
            </c:ext>
          </c:extLst>
        </c:ser>
        <c:dLbls>
          <c:showLegendKey val="0"/>
          <c:showVal val="0"/>
          <c:showCatName val="0"/>
          <c:showSerName val="0"/>
          <c:showPercent val="0"/>
          <c:showBubbleSize val="0"/>
        </c:dLbls>
        <c:smooth val="0"/>
        <c:axId val="138739719"/>
        <c:axId val="138744839"/>
      </c:lineChart>
      <c:catAx>
        <c:axId val="1387397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44839"/>
        <c:crosses val="autoZero"/>
        <c:auto val="1"/>
        <c:lblAlgn val="ctr"/>
        <c:lblOffset val="100"/>
        <c:noMultiLvlLbl val="0"/>
      </c:catAx>
      <c:valAx>
        <c:axId val="13874483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397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Equity Curve for SPY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'Part 4 - Step 1-3'!$G$62:$G$82</c:f>
              <c:numCache>
                <c:formatCode>0.00%</c:formatCode>
                <c:ptCount val="21"/>
                <c:pt idx="0">
                  <c:v>1.0004401074469216</c:v>
                </c:pt>
                <c:pt idx="1">
                  <c:v>1.0259208110117919</c:v>
                </c:pt>
                <c:pt idx="2">
                  <c:v>1.0318394973669434</c:v>
                </c:pt>
                <c:pt idx="3">
                  <c:v>1.031156572018272</c:v>
                </c:pt>
                <c:pt idx="4">
                  <c:v>1.0412335149408889</c:v>
                </c:pt>
                <c:pt idx="5">
                  <c:v>1.0539207503073165</c:v>
                </c:pt>
                <c:pt idx="6">
                  <c:v>1.0622372634422472</c:v>
                </c:pt>
                <c:pt idx="7">
                  <c:v>1.0648475558860575</c:v>
                </c:pt>
                <c:pt idx="8">
                  <c:v>1.0777169046787971</c:v>
                </c:pt>
                <c:pt idx="9">
                  <c:v>1.0755618958007676</c:v>
                </c:pt>
                <c:pt idx="10">
                  <c:v>1.0685201766500232</c:v>
                </c:pt>
                <c:pt idx="11">
                  <c:v>1.0793407493967491</c:v>
                </c:pt>
                <c:pt idx="12">
                  <c:v>1.0751521405915649</c:v>
                </c:pt>
                <c:pt idx="13">
                  <c:v>1.0834838298453551</c:v>
                </c:pt>
                <c:pt idx="14">
                  <c:v>1.0853504924650565</c:v>
                </c:pt>
                <c:pt idx="15">
                  <c:v>1.0800692031019983</c:v>
                </c:pt>
                <c:pt idx="16">
                  <c:v>1.0799022657945454</c:v>
                </c:pt>
                <c:pt idx="17">
                  <c:v>1.0906469579469742</c:v>
                </c:pt>
                <c:pt idx="18">
                  <c:v>1.0936670055999875</c:v>
                </c:pt>
                <c:pt idx="19">
                  <c:v>1.0896605102211157</c:v>
                </c:pt>
                <c:pt idx="20">
                  <c:v>1.0984019546841086</c:v>
                </c:pt>
              </c:numCache>
            </c:numRef>
          </c:val>
          <c:smooth val="0"/>
          <c:extLst>
            <c:ext xmlns:c16="http://schemas.microsoft.com/office/drawing/2014/chart" uri="{C3380CC4-5D6E-409C-BE32-E72D297353CC}">
              <c16:uniqueId val="{00000000-C7E4-4B17-84E3-4D69BF98E21E}"/>
            </c:ext>
          </c:extLst>
        </c:ser>
        <c:dLbls>
          <c:showLegendKey val="0"/>
          <c:showVal val="0"/>
          <c:showCatName val="0"/>
          <c:showSerName val="0"/>
          <c:showPercent val="0"/>
          <c:showBubbleSize val="0"/>
        </c:dLbls>
        <c:smooth val="0"/>
        <c:axId val="138156039"/>
        <c:axId val="138167303"/>
      </c:lineChart>
      <c:catAx>
        <c:axId val="1381560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7303"/>
        <c:crosses val="autoZero"/>
        <c:auto val="1"/>
        <c:lblAlgn val="ctr"/>
        <c:lblOffset val="100"/>
        <c:noMultiLvlLbl val="0"/>
      </c:catAx>
      <c:valAx>
        <c:axId val="1381673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5603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All Equity Curves</a:t>
            </a:r>
          </a:p>
        </c:rich>
      </c:tx>
      <c:layout>
        <c:manualLayout>
          <c:xMode val="edge"/>
          <c:yMode val="edge"/>
          <c:x val="0.36859048029875885"/>
          <c:y val="3.17128290037721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Top</c:v>
          </c:tx>
          <c:spPr>
            <a:ln w="28575" cap="rnd">
              <a:solidFill>
                <a:schemeClr val="accent1"/>
              </a:solidFill>
              <a:round/>
            </a:ln>
            <a:effectLst/>
          </c:spPr>
          <c:marker>
            <c:symbol val="none"/>
          </c:marker>
          <c:val>
            <c:numRef>
              <c:f>'Part 4 - Step 1-3'!$C$62:$C$82</c:f>
              <c:numCache>
                <c:formatCode>0.00%</c:formatCode>
                <c:ptCount val="21"/>
                <c:pt idx="0">
                  <c:v>0.99470513921426029</c:v>
                </c:pt>
                <c:pt idx="1">
                  <c:v>1.0290406358264321</c:v>
                </c:pt>
                <c:pt idx="2">
                  <c:v>1.0069047799795114</c:v>
                </c:pt>
                <c:pt idx="3">
                  <c:v>0.99952909138752888</c:v>
                </c:pt>
                <c:pt idx="4">
                  <c:v>1.0229172570874463</c:v>
                </c:pt>
                <c:pt idx="5">
                  <c:v>1.018013841402811</c:v>
                </c:pt>
                <c:pt idx="6">
                  <c:v>1.0522070038208096</c:v>
                </c:pt>
                <c:pt idx="7">
                  <c:v>1.1013277802346131</c:v>
                </c:pt>
                <c:pt idx="8">
                  <c:v>1.0973212442967648</c:v>
                </c:pt>
                <c:pt idx="9">
                  <c:v>1.0939992821367035</c:v>
                </c:pt>
                <c:pt idx="10">
                  <c:v>1.0783641410501632</c:v>
                </c:pt>
                <c:pt idx="11">
                  <c:v>1.1004263358412179</c:v>
                </c:pt>
                <c:pt idx="12">
                  <c:v>1.0486107119195547</c:v>
                </c:pt>
                <c:pt idx="13">
                  <c:v>1.0265348028241785</c:v>
                </c:pt>
                <c:pt idx="14">
                  <c:v>1.0194692790760986</c:v>
                </c:pt>
                <c:pt idx="15">
                  <c:v>1.0042148105988355</c:v>
                </c:pt>
                <c:pt idx="16">
                  <c:v>0.9894079945249844</c:v>
                </c:pt>
                <c:pt idx="17">
                  <c:v>1.0286695259250687</c:v>
                </c:pt>
                <c:pt idx="18">
                  <c:v>1.0297514422006595</c:v>
                </c:pt>
                <c:pt idx="19">
                  <c:v>1.038439649688419</c:v>
                </c:pt>
                <c:pt idx="20">
                  <c:v>1.0270092747866724</c:v>
                </c:pt>
              </c:numCache>
            </c:numRef>
          </c:val>
          <c:smooth val="0"/>
          <c:extLst>
            <c:ext xmlns:c16="http://schemas.microsoft.com/office/drawing/2014/chart" uri="{C3380CC4-5D6E-409C-BE32-E72D297353CC}">
              <c16:uniqueId val="{00000000-023F-4E77-A891-5F4E8201F504}"/>
            </c:ext>
          </c:extLst>
        </c:ser>
        <c:ser>
          <c:idx val="1"/>
          <c:order val="1"/>
          <c:tx>
            <c:v>Bottom</c:v>
          </c:tx>
          <c:spPr>
            <a:ln w="28575" cap="rnd">
              <a:solidFill>
                <a:schemeClr val="accent2"/>
              </a:solidFill>
              <a:round/>
            </a:ln>
            <a:effectLst/>
          </c:spPr>
          <c:marker>
            <c:symbol val="none"/>
          </c:marker>
          <c:val>
            <c:numRef>
              <c:f>'Part 4 - Step 1-3'!$E$62:$E$82</c:f>
              <c:numCache>
                <c:formatCode>0.00%</c:formatCode>
                <c:ptCount val="21"/>
                <c:pt idx="0">
                  <c:v>0.9879197797246444</c:v>
                </c:pt>
                <c:pt idx="1">
                  <c:v>1.0111502037525006</c:v>
                </c:pt>
                <c:pt idx="2">
                  <c:v>1.0154051000482993</c:v>
                </c:pt>
                <c:pt idx="3">
                  <c:v>1.0170166909330534</c:v>
                </c:pt>
                <c:pt idx="4">
                  <c:v>1.0371503159896931</c:v>
                </c:pt>
                <c:pt idx="5">
                  <c:v>1.0609971572668371</c:v>
                </c:pt>
                <c:pt idx="6">
                  <c:v>1.0870199307518218</c:v>
                </c:pt>
                <c:pt idx="7">
                  <c:v>1.1207008446118274</c:v>
                </c:pt>
                <c:pt idx="8">
                  <c:v>1.1548546875532706</c:v>
                </c:pt>
                <c:pt idx="9">
                  <c:v>1.1533131614680352</c:v>
                </c:pt>
                <c:pt idx="10">
                  <c:v>1.142475584004474</c:v>
                </c:pt>
                <c:pt idx="11">
                  <c:v>1.1193552429530327</c:v>
                </c:pt>
                <c:pt idx="12">
                  <c:v>1.1073817969829174</c:v>
                </c:pt>
                <c:pt idx="13">
                  <c:v>1.1066112897416687</c:v>
                </c:pt>
                <c:pt idx="14">
                  <c:v>1.1025866280854812</c:v>
                </c:pt>
                <c:pt idx="15">
                  <c:v>1.0844333658610659</c:v>
                </c:pt>
                <c:pt idx="16">
                  <c:v>1.0824248157385827</c:v>
                </c:pt>
                <c:pt idx="17">
                  <c:v>1.1022200987558906</c:v>
                </c:pt>
                <c:pt idx="18">
                  <c:v>1.1150999563064177</c:v>
                </c:pt>
                <c:pt idx="19">
                  <c:v>1.0981705026867983</c:v>
                </c:pt>
                <c:pt idx="20">
                  <c:v>1.1133027866934664</c:v>
                </c:pt>
              </c:numCache>
            </c:numRef>
          </c:val>
          <c:smooth val="0"/>
          <c:extLst>
            <c:ext xmlns:c16="http://schemas.microsoft.com/office/drawing/2014/chart" uri="{C3380CC4-5D6E-409C-BE32-E72D297353CC}">
              <c16:uniqueId val="{00000001-023F-4E77-A891-5F4E8201F504}"/>
            </c:ext>
          </c:extLst>
        </c:ser>
        <c:ser>
          <c:idx val="2"/>
          <c:order val="2"/>
          <c:tx>
            <c:v>SPY</c:v>
          </c:tx>
          <c:spPr>
            <a:ln w="28575" cap="rnd">
              <a:solidFill>
                <a:schemeClr val="accent3"/>
              </a:solidFill>
              <a:round/>
            </a:ln>
            <a:effectLst/>
          </c:spPr>
          <c:marker>
            <c:symbol val="none"/>
          </c:marker>
          <c:val>
            <c:numRef>
              <c:f>'Part 4 - Step 1-3'!$G$62:$G$82</c:f>
              <c:numCache>
                <c:formatCode>0.00%</c:formatCode>
                <c:ptCount val="21"/>
                <c:pt idx="0">
                  <c:v>1.0004401074469216</c:v>
                </c:pt>
                <c:pt idx="1">
                  <c:v>1.0259208110117919</c:v>
                </c:pt>
                <c:pt idx="2">
                  <c:v>1.0318394973669434</c:v>
                </c:pt>
                <c:pt idx="3">
                  <c:v>1.031156572018272</c:v>
                </c:pt>
                <c:pt idx="4">
                  <c:v>1.0412335149408889</c:v>
                </c:pt>
                <c:pt idx="5">
                  <c:v>1.0539207503073165</c:v>
                </c:pt>
                <c:pt idx="6">
                  <c:v>1.0622372634422472</c:v>
                </c:pt>
                <c:pt idx="7">
                  <c:v>1.0648475558860575</c:v>
                </c:pt>
                <c:pt idx="8">
                  <c:v>1.0777169046787971</c:v>
                </c:pt>
                <c:pt idx="9">
                  <c:v>1.0755618958007676</c:v>
                </c:pt>
                <c:pt idx="10">
                  <c:v>1.0685201766500232</c:v>
                </c:pt>
                <c:pt idx="11">
                  <c:v>1.0793407493967491</c:v>
                </c:pt>
                <c:pt idx="12">
                  <c:v>1.0751521405915649</c:v>
                </c:pt>
                <c:pt idx="13">
                  <c:v>1.0834838298453551</c:v>
                </c:pt>
                <c:pt idx="14">
                  <c:v>1.0853504924650565</c:v>
                </c:pt>
                <c:pt idx="15">
                  <c:v>1.0800692031019983</c:v>
                </c:pt>
                <c:pt idx="16">
                  <c:v>1.0799022657945454</c:v>
                </c:pt>
                <c:pt idx="17">
                  <c:v>1.0906469579469742</c:v>
                </c:pt>
                <c:pt idx="18">
                  <c:v>1.0936670055999875</c:v>
                </c:pt>
                <c:pt idx="19">
                  <c:v>1.0896605102211157</c:v>
                </c:pt>
                <c:pt idx="20">
                  <c:v>1.0984019546841086</c:v>
                </c:pt>
              </c:numCache>
            </c:numRef>
          </c:val>
          <c:smooth val="0"/>
          <c:extLst>
            <c:ext xmlns:c16="http://schemas.microsoft.com/office/drawing/2014/chart" uri="{C3380CC4-5D6E-409C-BE32-E72D297353CC}">
              <c16:uniqueId val="{00000002-023F-4E77-A891-5F4E8201F504}"/>
            </c:ext>
          </c:extLst>
        </c:ser>
        <c:dLbls>
          <c:showLegendKey val="0"/>
          <c:showVal val="0"/>
          <c:showCatName val="0"/>
          <c:showSerName val="0"/>
          <c:showPercent val="0"/>
          <c:showBubbleSize val="0"/>
        </c:dLbls>
        <c:smooth val="0"/>
        <c:axId val="872654344"/>
        <c:axId val="872656392"/>
      </c:lineChart>
      <c:catAx>
        <c:axId val="8726543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656392"/>
        <c:crosses val="autoZero"/>
        <c:auto val="1"/>
        <c:lblAlgn val="ctr"/>
        <c:lblOffset val="100"/>
        <c:noMultiLvlLbl val="0"/>
      </c:catAx>
      <c:valAx>
        <c:axId val="872656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654344"/>
        <c:crosses val="autoZero"/>
        <c:crossBetween val="between"/>
      </c:valAx>
      <c:spPr>
        <a:noFill/>
        <a:ln>
          <a:noFill/>
        </a:ln>
        <a:effectLst/>
      </c:spPr>
    </c:plotArea>
    <c:legend>
      <c:legendPos val="b"/>
      <c:layout>
        <c:manualLayout>
          <c:xMode val="edge"/>
          <c:yMode val="edge"/>
          <c:x val="0.24991801482352299"/>
          <c:y val="0.89531905303045622"/>
          <c:w val="0.42211767279090107"/>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Top</c:v>
          </c:tx>
          <c:spPr>
            <a:ln w="28575" cap="rnd">
              <a:solidFill>
                <a:schemeClr val="accent1"/>
              </a:solidFill>
              <a:round/>
            </a:ln>
            <a:effectLst/>
          </c:spPr>
          <c:marker>
            <c:symbol val="none"/>
          </c:marker>
          <c:cat>
            <c:numRef>
              <c:f>[1]Sheet1!$B$4:$B$24</c:f>
              <c:numCache>
                <c:formatCode>General</c:formatCode>
                <c:ptCount val="21"/>
                <c:pt idx="0">
                  <c:v>46119.666666666664</c:v>
                </c:pt>
                <c:pt idx="1">
                  <c:v>46120.666666666664</c:v>
                </c:pt>
                <c:pt idx="2">
                  <c:v>46121.666666666664</c:v>
                </c:pt>
                <c:pt idx="3">
                  <c:v>46122.666666666664</c:v>
                </c:pt>
                <c:pt idx="4">
                  <c:v>46125.666666666664</c:v>
                </c:pt>
                <c:pt idx="5">
                  <c:v>46126.666666666664</c:v>
                </c:pt>
                <c:pt idx="6">
                  <c:v>46127.666666666664</c:v>
                </c:pt>
                <c:pt idx="7">
                  <c:v>46128.666666666664</c:v>
                </c:pt>
                <c:pt idx="8">
                  <c:v>46129.666666666664</c:v>
                </c:pt>
                <c:pt idx="9">
                  <c:v>46132.666666666664</c:v>
                </c:pt>
                <c:pt idx="10">
                  <c:v>46133.666666666664</c:v>
                </c:pt>
                <c:pt idx="11">
                  <c:v>46134.666666666664</c:v>
                </c:pt>
                <c:pt idx="12">
                  <c:v>46135.666666666664</c:v>
                </c:pt>
                <c:pt idx="13">
                  <c:v>46136.666666666664</c:v>
                </c:pt>
                <c:pt idx="14">
                  <c:v>46139.666666666664</c:v>
                </c:pt>
                <c:pt idx="15">
                  <c:v>46140.666666666664</c:v>
                </c:pt>
                <c:pt idx="16">
                  <c:v>46141.666666666664</c:v>
                </c:pt>
                <c:pt idx="17">
                  <c:v>46142.666666666664</c:v>
                </c:pt>
                <c:pt idx="18">
                  <c:v>46143.666666666664</c:v>
                </c:pt>
                <c:pt idx="19">
                  <c:v>46146.666666666664</c:v>
                </c:pt>
                <c:pt idx="20">
                  <c:v>46147.666666666664</c:v>
                </c:pt>
              </c:numCache>
            </c:numRef>
          </c:cat>
          <c:val>
            <c:numRef>
              <c:f>[1]Sheet1!$C$4:$C$24</c:f>
              <c:numCache>
                <c:formatCode>General</c:formatCode>
                <c:ptCount val="21"/>
                <c:pt idx="0">
                  <c:v>0.980928732441392</c:v>
                </c:pt>
                <c:pt idx="1">
                  <c:v>1.0458728618823905</c:v>
                </c:pt>
                <c:pt idx="2">
                  <c:v>0.94839518911577936</c:v>
                </c:pt>
                <c:pt idx="3">
                  <c:v>0.95040749417138193</c:v>
                </c:pt>
                <c:pt idx="4">
                  <c:v>1.033913060797637</c:v>
                </c:pt>
                <c:pt idx="5">
                  <c:v>1.0163326162580584</c:v>
                </c:pt>
                <c:pt idx="6">
                  <c:v>1.1285499211261816</c:v>
                </c:pt>
                <c:pt idx="7">
                  <c:v>1.2323751771479199</c:v>
                </c:pt>
                <c:pt idx="8">
                  <c:v>1.2064498936245356</c:v>
                </c:pt>
                <c:pt idx="9">
                  <c:v>1.2740523956381054</c:v>
                </c:pt>
                <c:pt idx="10">
                  <c:v>1.2414192113934632</c:v>
                </c:pt>
                <c:pt idx="11">
                  <c:v>1.3627683169082294</c:v>
                </c:pt>
                <c:pt idx="12">
                  <c:v>1.1953114136573131</c:v>
                </c:pt>
                <c:pt idx="13">
                  <c:v>1.11217035199039</c:v>
                </c:pt>
                <c:pt idx="14">
                  <c:v>1.1313982622280427</c:v>
                </c:pt>
                <c:pt idx="15">
                  <c:v>1.0648147818283618</c:v>
                </c:pt>
                <c:pt idx="16">
                  <c:v>1.0083780306778534</c:v>
                </c:pt>
                <c:pt idx="17">
                  <c:v>1.1701655732484249</c:v>
                </c:pt>
                <c:pt idx="18">
                  <c:v>1.1466661224403558</c:v>
                </c:pt>
                <c:pt idx="19">
                  <c:v>1.2204807605488481</c:v>
                </c:pt>
                <c:pt idx="20">
                  <c:v>1.201481639213748</c:v>
                </c:pt>
              </c:numCache>
            </c:numRef>
          </c:val>
          <c:smooth val="0"/>
          <c:extLst>
            <c:ext xmlns:c16="http://schemas.microsoft.com/office/drawing/2014/chart" uri="{C3380CC4-5D6E-409C-BE32-E72D297353CC}">
              <c16:uniqueId val="{00000000-4425-43F7-BD8B-448F04F3F2F7}"/>
            </c:ext>
          </c:extLst>
        </c:ser>
        <c:ser>
          <c:idx val="1"/>
          <c:order val="1"/>
          <c:tx>
            <c:v>Bot</c:v>
          </c:tx>
          <c:spPr>
            <a:ln w="28575" cap="rnd">
              <a:solidFill>
                <a:schemeClr val="accent2"/>
              </a:solidFill>
              <a:round/>
            </a:ln>
            <a:effectLst/>
          </c:spPr>
          <c:marker>
            <c:symbol val="none"/>
          </c:marker>
          <c:cat>
            <c:numRef>
              <c:f>[1]Sheet1!$B$4:$B$24</c:f>
              <c:numCache>
                <c:formatCode>General</c:formatCode>
                <c:ptCount val="21"/>
                <c:pt idx="0">
                  <c:v>46119.666666666664</c:v>
                </c:pt>
                <c:pt idx="1">
                  <c:v>46120.666666666664</c:v>
                </c:pt>
                <c:pt idx="2">
                  <c:v>46121.666666666664</c:v>
                </c:pt>
                <c:pt idx="3">
                  <c:v>46122.666666666664</c:v>
                </c:pt>
                <c:pt idx="4">
                  <c:v>46125.666666666664</c:v>
                </c:pt>
                <c:pt idx="5">
                  <c:v>46126.666666666664</c:v>
                </c:pt>
                <c:pt idx="6">
                  <c:v>46127.666666666664</c:v>
                </c:pt>
                <c:pt idx="7">
                  <c:v>46128.666666666664</c:v>
                </c:pt>
                <c:pt idx="8">
                  <c:v>46129.666666666664</c:v>
                </c:pt>
                <c:pt idx="9">
                  <c:v>46132.666666666664</c:v>
                </c:pt>
                <c:pt idx="10">
                  <c:v>46133.666666666664</c:v>
                </c:pt>
                <c:pt idx="11">
                  <c:v>46134.666666666664</c:v>
                </c:pt>
                <c:pt idx="12">
                  <c:v>46135.666666666664</c:v>
                </c:pt>
                <c:pt idx="13">
                  <c:v>46136.666666666664</c:v>
                </c:pt>
                <c:pt idx="14">
                  <c:v>46139.666666666664</c:v>
                </c:pt>
                <c:pt idx="15">
                  <c:v>46140.666666666664</c:v>
                </c:pt>
                <c:pt idx="16">
                  <c:v>46141.666666666664</c:v>
                </c:pt>
                <c:pt idx="17">
                  <c:v>46142.666666666664</c:v>
                </c:pt>
                <c:pt idx="18">
                  <c:v>46143.666666666664</c:v>
                </c:pt>
                <c:pt idx="19">
                  <c:v>46146.666666666664</c:v>
                </c:pt>
                <c:pt idx="20">
                  <c:v>46147.666666666664</c:v>
                </c:pt>
              </c:numCache>
            </c:numRef>
          </c:cat>
          <c:val>
            <c:numRef>
              <c:f>[1]Sheet1!$D$4:$D$24</c:f>
              <c:numCache>
                <c:formatCode>General</c:formatCode>
                <c:ptCount val="21"/>
                <c:pt idx="0">
                  <c:v>1.0068996135789534</c:v>
                </c:pt>
                <c:pt idx="1">
                  <c:v>1.0331953857302603</c:v>
                </c:pt>
                <c:pt idx="2">
                  <c:v>1.0356659699303514</c:v>
                </c:pt>
                <c:pt idx="3">
                  <c:v>1.0433009125411186</c:v>
                </c:pt>
                <c:pt idx="4">
                  <c:v>1.0503887738811806</c:v>
                </c:pt>
                <c:pt idx="5">
                  <c:v>1.0648866673566717</c:v>
                </c:pt>
                <c:pt idx="6">
                  <c:v>1.0734024359651315</c:v>
                </c:pt>
                <c:pt idx="7">
                  <c:v>1.0673347157597632</c:v>
                </c:pt>
                <c:pt idx="8">
                  <c:v>1.0937049588396561</c:v>
                </c:pt>
                <c:pt idx="9">
                  <c:v>1.0810253615392682</c:v>
                </c:pt>
                <c:pt idx="10">
                  <c:v>1.0720212941347331</c:v>
                </c:pt>
                <c:pt idx="11">
                  <c:v>1.0794739187717486</c:v>
                </c:pt>
                <c:pt idx="12">
                  <c:v>1.0801013885750097</c:v>
                </c:pt>
                <c:pt idx="13">
                  <c:v>1.0838087892811774</c:v>
                </c:pt>
                <c:pt idx="14">
                  <c:v>1.0754770873944326</c:v>
                </c:pt>
                <c:pt idx="15">
                  <c:v>1.0625714600237992</c:v>
                </c:pt>
                <c:pt idx="16">
                  <c:v>1.0576540277680371</c:v>
                </c:pt>
                <c:pt idx="17">
                  <c:v>1.0683214612715464</c:v>
                </c:pt>
                <c:pt idx="18">
                  <c:v>1.0672327380066431</c:v>
                </c:pt>
                <c:pt idx="19">
                  <c:v>1.0560072619464196</c:v>
                </c:pt>
                <c:pt idx="20">
                  <c:v>1.0703714231507946</c:v>
                </c:pt>
              </c:numCache>
            </c:numRef>
          </c:val>
          <c:smooth val="0"/>
          <c:extLst>
            <c:ext xmlns:c16="http://schemas.microsoft.com/office/drawing/2014/chart" uri="{C3380CC4-5D6E-409C-BE32-E72D297353CC}">
              <c16:uniqueId val="{00000001-4425-43F7-BD8B-448F04F3F2F7}"/>
            </c:ext>
          </c:extLst>
        </c:ser>
        <c:ser>
          <c:idx val="2"/>
          <c:order val="2"/>
          <c:tx>
            <c:v>SPY</c:v>
          </c:tx>
          <c:spPr>
            <a:ln w="28575" cap="rnd">
              <a:solidFill>
                <a:schemeClr val="accent3"/>
              </a:solidFill>
              <a:round/>
            </a:ln>
            <a:effectLst/>
          </c:spPr>
          <c:marker>
            <c:symbol val="none"/>
          </c:marker>
          <c:cat>
            <c:numRef>
              <c:f>[1]Sheet1!$B$4:$B$24</c:f>
              <c:numCache>
                <c:formatCode>General</c:formatCode>
                <c:ptCount val="21"/>
                <c:pt idx="0">
                  <c:v>46119.666666666664</c:v>
                </c:pt>
                <c:pt idx="1">
                  <c:v>46120.666666666664</c:v>
                </c:pt>
                <c:pt idx="2">
                  <c:v>46121.666666666664</c:v>
                </c:pt>
                <c:pt idx="3">
                  <c:v>46122.666666666664</c:v>
                </c:pt>
                <c:pt idx="4">
                  <c:v>46125.666666666664</c:v>
                </c:pt>
                <c:pt idx="5">
                  <c:v>46126.666666666664</c:v>
                </c:pt>
                <c:pt idx="6">
                  <c:v>46127.666666666664</c:v>
                </c:pt>
                <c:pt idx="7">
                  <c:v>46128.666666666664</c:v>
                </c:pt>
                <c:pt idx="8">
                  <c:v>46129.666666666664</c:v>
                </c:pt>
                <c:pt idx="9">
                  <c:v>46132.666666666664</c:v>
                </c:pt>
                <c:pt idx="10">
                  <c:v>46133.666666666664</c:v>
                </c:pt>
                <c:pt idx="11">
                  <c:v>46134.666666666664</c:v>
                </c:pt>
                <c:pt idx="12">
                  <c:v>46135.666666666664</c:v>
                </c:pt>
                <c:pt idx="13">
                  <c:v>46136.666666666664</c:v>
                </c:pt>
                <c:pt idx="14">
                  <c:v>46139.666666666664</c:v>
                </c:pt>
                <c:pt idx="15">
                  <c:v>46140.666666666664</c:v>
                </c:pt>
                <c:pt idx="16">
                  <c:v>46141.666666666664</c:v>
                </c:pt>
                <c:pt idx="17">
                  <c:v>46142.666666666664</c:v>
                </c:pt>
                <c:pt idx="18">
                  <c:v>46143.666666666664</c:v>
                </c:pt>
                <c:pt idx="19">
                  <c:v>46146.666666666664</c:v>
                </c:pt>
                <c:pt idx="20">
                  <c:v>46147.666666666664</c:v>
                </c:pt>
              </c:numCache>
            </c:numRef>
          </c:cat>
          <c:val>
            <c:numRef>
              <c:f>[1]Sheet1!$E$4:$E$24</c:f>
              <c:numCache>
                <c:formatCode>General</c:formatCode>
                <c:ptCount val="21"/>
                <c:pt idx="0">
                  <c:v>1.0004401074469216</c:v>
                </c:pt>
                <c:pt idx="1">
                  <c:v>1.0259208110117919</c:v>
                </c:pt>
                <c:pt idx="2">
                  <c:v>1.0318394973669434</c:v>
                </c:pt>
                <c:pt idx="3">
                  <c:v>1.031156572018272</c:v>
                </c:pt>
                <c:pt idx="4">
                  <c:v>1.0412335149408889</c:v>
                </c:pt>
                <c:pt idx="5">
                  <c:v>1.0539207503073165</c:v>
                </c:pt>
                <c:pt idx="6">
                  <c:v>1.0622372634422472</c:v>
                </c:pt>
                <c:pt idx="7">
                  <c:v>1.0648475558860575</c:v>
                </c:pt>
                <c:pt idx="8">
                  <c:v>1.0777169046787971</c:v>
                </c:pt>
                <c:pt idx="9">
                  <c:v>1.0755618958007676</c:v>
                </c:pt>
                <c:pt idx="10">
                  <c:v>1.0685201766500232</c:v>
                </c:pt>
                <c:pt idx="11">
                  <c:v>1.0793407493967491</c:v>
                </c:pt>
                <c:pt idx="12">
                  <c:v>1.0751521405915649</c:v>
                </c:pt>
                <c:pt idx="13">
                  <c:v>1.0834838298453551</c:v>
                </c:pt>
                <c:pt idx="14">
                  <c:v>1.0853504924650565</c:v>
                </c:pt>
                <c:pt idx="15">
                  <c:v>1.0800692031019983</c:v>
                </c:pt>
                <c:pt idx="16">
                  <c:v>1.0799022657945454</c:v>
                </c:pt>
                <c:pt idx="17">
                  <c:v>1.0906469579469742</c:v>
                </c:pt>
                <c:pt idx="18">
                  <c:v>1.0936670055999875</c:v>
                </c:pt>
                <c:pt idx="19">
                  <c:v>1.0896605102211157</c:v>
                </c:pt>
                <c:pt idx="20">
                  <c:v>1.0984019546841086</c:v>
                </c:pt>
              </c:numCache>
            </c:numRef>
          </c:val>
          <c:smooth val="0"/>
          <c:extLst>
            <c:ext xmlns:c16="http://schemas.microsoft.com/office/drawing/2014/chart" uri="{C3380CC4-5D6E-409C-BE32-E72D297353CC}">
              <c16:uniqueId val="{00000002-4425-43F7-BD8B-448F04F3F2F7}"/>
            </c:ext>
          </c:extLst>
        </c:ser>
        <c:dLbls>
          <c:showLegendKey val="0"/>
          <c:showVal val="0"/>
          <c:showCatName val="0"/>
          <c:showSerName val="0"/>
          <c:showPercent val="0"/>
          <c:showBubbleSize val="0"/>
        </c:dLbls>
        <c:smooth val="0"/>
        <c:axId val="278156808"/>
        <c:axId val="1140355592"/>
      </c:lineChart>
      <c:catAx>
        <c:axId val="2781568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Trading 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355592"/>
        <c:crosses val="autoZero"/>
        <c:auto val="1"/>
        <c:lblAlgn val="ctr"/>
        <c:lblOffset val="100"/>
        <c:noMultiLvlLbl val="0"/>
      </c:catAx>
      <c:valAx>
        <c:axId val="1140355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Cumulative Return (Normalized to 1.00)</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15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601980</xdr:colOff>
      <xdr:row>5</xdr:row>
      <xdr:rowOff>11430</xdr:rowOff>
    </xdr:from>
    <xdr:to>
      <xdr:col>10</xdr:col>
      <xdr:colOff>297180</xdr:colOff>
      <xdr:row>20</xdr:row>
      <xdr:rowOff>11430</xdr:rowOff>
    </xdr:to>
    <xdr:graphicFrame macro="">
      <xdr:nvGraphicFramePr>
        <xdr:cNvPr id="2" name="Chart 1">
          <a:extLst>
            <a:ext uri="{FF2B5EF4-FFF2-40B4-BE49-F238E27FC236}">
              <a16:creationId xmlns:a16="http://schemas.microsoft.com/office/drawing/2014/main" id="{0FCD147B-B256-AA0E-C1A6-211BBE055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464820</xdr:colOff>
      <xdr:row>7</xdr:row>
      <xdr:rowOff>34290</xdr:rowOff>
    </xdr:from>
    <xdr:to>
      <xdr:col>13</xdr:col>
      <xdr:colOff>160020</xdr:colOff>
      <xdr:row>22</xdr:row>
      <xdr:rowOff>34290</xdr:rowOff>
    </xdr:to>
    <xdr:graphicFrame macro="">
      <xdr:nvGraphicFramePr>
        <xdr:cNvPr id="2" name="Chart 1">
          <a:extLst>
            <a:ext uri="{FF2B5EF4-FFF2-40B4-BE49-F238E27FC236}">
              <a16:creationId xmlns:a16="http://schemas.microsoft.com/office/drawing/2014/main" id="{E1D75FD1-7310-10DA-0F32-6666A24002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563880</xdr:colOff>
      <xdr:row>7</xdr:row>
      <xdr:rowOff>3810</xdr:rowOff>
    </xdr:from>
    <xdr:to>
      <xdr:col>15</xdr:col>
      <xdr:colOff>259080</xdr:colOff>
      <xdr:row>22</xdr:row>
      <xdr:rowOff>3810</xdr:rowOff>
    </xdr:to>
    <xdr:graphicFrame macro="">
      <xdr:nvGraphicFramePr>
        <xdr:cNvPr id="2" name="Chart 1">
          <a:extLst>
            <a:ext uri="{FF2B5EF4-FFF2-40B4-BE49-F238E27FC236}">
              <a16:creationId xmlns:a16="http://schemas.microsoft.com/office/drawing/2014/main" id="{3B0EB787-7ADB-9BE9-53F8-466BDC966D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6350</xdr:colOff>
      <xdr:row>3</xdr:row>
      <xdr:rowOff>111125</xdr:rowOff>
    </xdr:from>
    <xdr:to>
      <xdr:col>17</xdr:col>
      <xdr:colOff>57150</xdr:colOff>
      <xdr:row>19</xdr:row>
      <xdr:rowOff>136525</xdr:rowOff>
    </xdr:to>
    <xdr:graphicFrame macro="">
      <xdr:nvGraphicFramePr>
        <xdr:cNvPr id="2" name="Chart 1">
          <a:extLst>
            <a:ext uri="{FF2B5EF4-FFF2-40B4-BE49-F238E27FC236}">
              <a16:creationId xmlns:a16="http://schemas.microsoft.com/office/drawing/2014/main" id="{CDB76A2C-E3D4-4597-AE02-85D9480BED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733425</xdr:colOff>
      <xdr:row>59</xdr:row>
      <xdr:rowOff>171450</xdr:rowOff>
    </xdr:from>
    <xdr:to>
      <xdr:col>13</xdr:col>
      <xdr:colOff>361950</xdr:colOff>
      <xdr:row>74</xdr:row>
      <xdr:rowOff>57150</xdr:rowOff>
    </xdr:to>
    <xdr:graphicFrame macro="">
      <xdr:nvGraphicFramePr>
        <xdr:cNvPr id="2" name="Chart 1">
          <a:extLst>
            <a:ext uri="{FF2B5EF4-FFF2-40B4-BE49-F238E27FC236}">
              <a16:creationId xmlns:a16="http://schemas.microsoft.com/office/drawing/2014/main" id="{CEF7AEB6-D9E0-4F53-8F70-FC93B721E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571500</xdr:colOff>
      <xdr:row>59</xdr:row>
      <xdr:rowOff>161925</xdr:rowOff>
    </xdr:from>
    <xdr:to>
      <xdr:col>19</xdr:col>
      <xdr:colOff>200025</xdr:colOff>
      <xdr:row>74</xdr:row>
      <xdr:rowOff>47625</xdr:rowOff>
    </xdr:to>
    <xdr:graphicFrame macro="">
      <xdr:nvGraphicFramePr>
        <xdr:cNvPr id="3" name="Chart 2">
          <a:extLst>
            <a:ext uri="{FF2B5EF4-FFF2-40B4-BE49-F238E27FC236}">
              <a16:creationId xmlns:a16="http://schemas.microsoft.com/office/drawing/2014/main" id="{94DE86C5-5AF9-49CD-BD92-652717BB606F}"/>
            </a:ext>
            <a:ext uri="{147F2762-F138-4A5C-976F-8EAC2B608ADB}">
              <a16:predDERef xmlns:a16="http://schemas.microsoft.com/office/drawing/2014/main" pred="{E353B4A9-1AA1-DF95-E418-4C3A74F30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571500</xdr:colOff>
      <xdr:row>59</xdr:row>
      <xdr:rowOff>180975</xdr:rowOff>
    </xdr:from>
    <xdr:to>
      <xdr:col>25</xdr:col>
      <xdr:colOff>142875</xdr:colOff>
      <xdr:row>74</xdr:row>
      <xdr:rowOff>0</xdr:rowOff>
    </xdr:to>
    <xdr:graphicFrame macro="">
      <xdr:nvGraphicFramePr>
        <xdr:cNvPr id="4" name="Chart 3">
          <a:extLst>
            <a:ext uri="{FF2B5EF4-FFF2-40B4-BE49-F238E27FC236}">
              <a16:creationId xmlns:a16="http://schemas.microsoft.com/office/drawing/2014/main" id="{567CA9A6-E0EC-4ADC-9DD8-564CA4743A02}"/>
            </a:ext>
            <a:ext uri="{147F2762-F138-4A5C-976F-8EAC2B608ADB}">
              <a16:predDERef xmlns:a16="http://schemas.microsoft.com/office/drawing/2014/main" pred="{93BA8DE2-1394-871E-821E-03F1CCE25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752475</xdr:colOff>
      <xdr:row>75</xdr:row>
      <xdr:rowOff>76200</xdr:rowOff>
    </xdr:from>
    <xdr:to>
      <xdr:col>13</xdr:col>
      <xdr:colOff>381000</xdr:colOff>
      <xdr:row>89</xdr:row>
      <xdr:rowOff>152400</xdr:rowOff>
    </xdr:to>
    <xdr:graphicFrame macro="">
      <xdr:nvGraphicFramePr>
        <xdr:cNvPr id="5" name="Chart 4">
          <a:extLst>
            <a:ext uri="{FF2B5EF4-FFF2-40B4-BE49-F238E27FC236}">
              <a16:creationId xmlns:a16="http://schemas.microsoft.com/office/drawing/2014/main" id="{B073C1E4-98B6-4B2E-B874-E0356F6DA628}"/>
            </a:ext>
            <a:ext uri="{147F2762-F138-4A5C-976F-8EAC2B608ADB}">
              <a16:predDERef xmlns:a16="http://schemas.microsoft.com/office/drawing/2014/main" pred="{43F127AE-0240-572C-F097-9CF8C49855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1028700</xdr:colOff>
      <xdr:row>62</xdr:row>
      <xdr:rowOff>0</xdr:rowOff>
    </xdr:from>
    <xdr:to>
      <xdr:col>13</xdr:col>
      <xdr:colOff>657225</xdr:colOff>
      <xdr:row>76</xdr:row>
      <xdr:rowOff>76200</xdr:rowOff>
    </xdr:to>
    <xdr:graphicFrame macro="">
      <xdr:nvGraphicFramePr>
        <xdr:cNvPr id="2" name="Chart 1">
          <a:extLst>
            <a:ext uri="{FF2B5EF4-FFF2-40B4-BE49-F238E27FC236}">
              <a16:creationId xmlns:a16="http://schemas.microsoft.com/office/drawing/2014/main" id="{24E1E7B4-6F60-47DD-9953-5D1FD370D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79</xdr:row>
      <xdr:rowOff>9525</xdr:rowOff>
    </xdr:from>
    <xdr:to>
      <xdr:col>15</xdr:col>
      <xdr:colOff>942975</xdr:colOff>
      <xdr:row>96</xdr:row>
      <xdr:rowOff>28575</xdr:rowOff>
    </xdr:to>
    <xdr:sp macro="" textlink="">
      <xdr:nvSpPr>
        <xdr:cNvPr id="3" name="TextBox 2">
          <a:extLst>
            <a:ext uri="{FF2B5EF4-FFF2-40B4-BE49-F238E27FC236}">
              <a16:creationId xmlns:a16="http://schemas.microsoft.com/office/drawing/2014/main" id="{7D419543-D9DF-41ED-AC80-47022774CAFC}"/>
            </a:ext>
            <a:ext uri="{147F2762-F138-4A5C-976F-8EAC2B608ADB}">
              <a16:predDERef xmlns:a16="http://schemas.microsoft.com/office/drawing/2014/main" pred="{11240008-F06D-4118-98BB-F19565C0E932}"/>
            </a:ext>
          </a:extLst>
        </xdr:cNvPr>
        <xdr:cNvSpPr txBox="1"/>
      </xdr:nvSpPr>
      <xdr:spPr>
        <a:xfrm>
          <a:off x="12230100" y="14457045"/>
          <a:ext cx="6581775" cy="3128010"/>
        </a:xfrm>
        <a:prstGeom prst="rect">
          <a:avLst/>
        </a:prstGeom>
        <a:solidFill>
          <a:schemeClr val="lt1"/>
        </a:solidFill>
        <a:ln w="9525" cmpd="sng">
          <a:solidFill>
            <a:sysClr val="windowText" lastClr="000000"/>
          </a:solidFill>
        </a:ln>
      </xdr:spPr>
      <xdr:txBody>
        <a:bodyPr spcFirstLastPara="0" vertOverflow="clip" horzOverflow="clip" wrap="square" lIns="91440" tIns="45720" rIns="91440" bIns="45720" rtlCol="0" anchor="t">
          <a:noAutofit/>
        </a:bodyPr>
        <a:lstStyle/>
        <a:p>
          <a:pPr marL="0" indent="0" algn="l"/>
          <a:r>
            <a:rPr lang="en-US" sz="1100" b="1">
              <a:latin typeface="+mn-lt"/>
              <a:ea typeface="+mn-lt"/>
              <a:cs typeface="+mn-lt"/>
            </a:rPr>
            <a:t>Strategy Performance Overview</a:t>
          </a:r>
        </a:p>
        <a:p>
          <a:pPr marL="0" indent="0" algn="l"/>
          <a:r>
            <a:rPr lang="en-US" sz="1100">
              <a:latin typeface="+mn-lt"/>
              <a:ea typeface="+mn-lt"/>
              <a:cs typeface="+mn-lt"/>
            </a:rPr>
            <a:t>Top Portfolio (Bullish): This portfolio was the primary growth driver, achieving an ex-post optimal exit of 136.28% on April 22. However, it exhibited high volatility with a 5.16% drawdown early in the window (94.84% on April 9).</a:t>
          </a:r>
        </a:p>
        <a:p>
          <a:pPr marL="0" indent="0" algn="l"/>
          <a:endParaRPr lang="en-US" sz="1100">
            <a:latin typeface="+mn-lt"/>
            <a:ea typeface="+mn-lt"/>
            <a:cs typeface="+mn-lt"/>
          </a:endParaRPr>
        </a:p>
        <a:p>
          <a:pPr marL="0" indent="0" algn="l"/>
          <a:r>
            <a:rPr lang="en-US" sz="1100">
              <a:latin typeface="+mn-lt"/>
              <a:ea typeface="+mn-lt"/>
              <a:cs typeface="+mn-lt"/>
            </a:rPr>
            <a:t>Bottom Portfolio (Bearish): Acted as a market stabilizer rather than a contrarian alpha generator. It maintained a remarkably low-risk profile, never falling below the initial principal (Minimum return: 100.69%).</a:t>
          </a:r>
        </a:p>
        <a:p>
          <a:pPr marL="0" indent="0" algn="l"/>
          <a:endParaRPr lang="en-US" sz="1100">
            <a:latin typeface="+mn-lt"/>
            <a:ea typeface="+mn-lt"/>
            <a:cs typeface="+mn-lt"/>
          </a:endParaRPr>
        </a:p>
        <a:p>
          <a:pPr marL="0" indent="0" algn="l"/>
          <a:r>
            <a:rPr lang="en-US" sz="1100">
              <a:latin typeface="+mn-lt"/>
              <a:ea typeface="+mn-lt"/>
              <a:cs typeface="+mn-lt"/>
            </a:rPr>
            <a:t>Benchmark (SPY): The market showed steady, resilient growth, ending the window at its peak of 109.84%.</a:t>
          </a:r>
        </a:p>
        <a:p>
          <a:pPr marL="0" indent="0" algn="l"/>
          <a:endParaRPr lang="en-US" sz="1100" b="1">
            <a:latin typeface="+mn-lt"/>
            <a:ea typeface="+mn-lt"/>
            <a:cs typeface="+mn-lt"/>
          </a:endParaRPr>
        </a:p>
        <a:p>
          <a:pPr marL="0" indent="0" algn="l"/>
          <a:r>
            <a:rPr lang="en-US" sz="1100" b="1">
              <a:latin typeface="+mn-lt"/>
              <a:ea typeface="+mn-lt"/>
              <a:cs typeface="+mn-lt"/>
            </a:rPr>
            <a:t>Critical Insights</a:t>
          </a:r>
        </a:p>
        <a:p>
          <a:pPr marL="0" indent="0" algn="l"/>
          <a:r>
            <a:rPr lang="en-US" sz="1100">
              <a:latin typeface="+mn-lt"/>
              <a:ea typeface="+mn-lt"/>
              <a:cs typeface="+mn-lt"/>
            </a:rPr>
            <a:t>Sentiment Half-Life: The Top Portfolio displayed a clear "mountain" trajectory. This suggests the Reddit sentiment signal has an approximate two-week decay cycle before the market begins to mean-revert or priced in the hype.</a:t>
          </a:r>
        </a:p>
        <a:p>
          <a:pPr marL="0" indent="0" algn="l"/>
          <a:endParaRPr lang="en-US" sz="1100">
            <a:latin typeface="+mn-lt"/>
            <a:ea typeface="+mn-lt"/>
            <a:cs typeface="+mn-lt"/>
          </a:endParaRPr>
        </a:p>
        <a:p>
          <a:pPr marL="0" indent="0" algn="l"/>
          <a:r>
            <a:rPr lang="en-US" sz="1100">
              <a:latin typeface="+mn-lt"/>
              <a:ea typeface="+mn-lt"/>
              <a:cs typeface="+mn-lt"/>
            </a:rPr>
            <a:t>Macro Attribution: The performance of the Bottom Portfolio coincided with the resolution of Iran/Hormuz geopolitical tail risks. The Reddit crowd accurately identified these fears, but the subsequent price stability was driven by the de-escalation of risk rather than fundamental company shifts.</a:t>
          </a:r>
        </a:p>
      </xdr:txBody>
    </xdr:sp>
    <xdr:clientData/>
  </xdr:twoCellAnchor>
  <xdr:oneCellAnchor>
    <xdr:from>
      <xdr:col>1</xdr:col>
      <xdr:colOff>9646</xdr:colOff>
      <xdr:row>99</xdr:row>
      <xdr:rowOff>173619</xdr:rowOff>
    </xdr:from>
    <xdr:ext cx="5006050" cy="2604305"/>
    <xdr:sp macro="" textlink="">
      <xdr:nvSpPr>
        <xdr:cNvPr id="4" name="TextBox 3">
          <a:extLst>
            <a:ext uri="{FF2B5EF4-FFF2-40B4-BE49-F238E27FC236}">
              <a16:creationId xmlns:a16="http://schemas.microsoft.com/office/drawing/2014/main" id="{94B04FE3-7815-4392-AD19-EA7CB062488F}"/>
            </a:ext>
          </a:extLst>
        </xdr:cNvPr>
        <xdr:cNvSpPr txBox="1"/>
      </xdr:nvSpPr>
      <xdr:spPr>
        <a:xfrm>
          <a:off x="1305046" y="18278739"/>
          <a:ext cx="5006050" cy="2604305"/>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b="1"/>
            <a:t>Top Portfolio (Bullish) Attribution:</a:t>
          </a:r>
          <a:endParaRPr lang="en-US"/>
        </a:p>
        <a:p>
          <a:r>
            <a:rPr lang="en-US" b="1"/>
            <a:t>Best Position:</a:t>
          </a:r>
          <a:r>
            <a:rPr lang="en-US"/>
            <a:t> </a:t>
          </a:r>
          <a:r>
            <a:rPr lang="en-US" b="1"/>
            <a:t>ZM (+31.95%)</a:t>
          </a:r>
          <a:r>
            <a:rPr lang="en-US"/>
            <a:t>. Original Reddit sentiment highlighted a shift in enterprise demand and AI integration. The crowd was </a:t>
          </a:r>
          <a:r>
            <a:rPr lang="en-US" b="1"/>
            <a:t>directionally right</a:t>
          </a:r>
          <a:r>
            <a:rPr lang="en-US"/>
            <a:t>; the positive catalyst realized within the window.</a:t>
          </a:r>
        </a:p>
        <a:p>
          <a:r>
            <a:rPr lang="en-US" b="1"/>
            <a:t>Worst Position:</a:t>
          </a:r>
          <a:r>
            <a:rPr lang="en-US"/>
            <a:t> </a:t>
          </a:r>
          <a:r>
            <a:rPr lang="en-US" b="1"/>
            <a:t>FLY (-9.55%)</a:t>
          </a:r>
          <a:r>
            <a:rPr lang="en-US"/>
            <a:t>. Despite bullish sentiment, the stock failed to gain momentum. The crowd was </a:t>
          </a:r>
          <a:r>
            <a:rPr lang="en-US" b="1"/>
            <a:t>directionally wrong</a:t>
          </a:r>
          <a:r>
            <a:rPr lang="en-US"/>
            <a:t>, likely due to company-specific friction that the broad sentiment signal missed.</a:t>
          </a:r>
        </a:p>
        <a:p>
          <a:endParaRPr lang="en-US"/>
        </a:p>
        <a:p>
          <a:r>
            <a:rPr lang="en-US" b="1"/>
            <a:t>Bottom Portfolio (Bearish) Attribution:</a:t>
          </a:r>
          <a:endParaRPr lang="en-US"/>
        </a:p>
        <a:p>
          <a:r>
            <a:rPr lang="en-US" b="1"/>
            <a:t>Best Position (from a return perspective):</a:t>
          </a:r>
          <a:r>
            <a:rPr lang="en-US"/>
            <a:t> </a:t>
          </a:r>
          <a:r>
            <a:rPr lang="en-US" b="1"/>
            <a:t>AVGO (+35.92%)</a:t>
          </a:r>
          <a:r>
            <a:rPr lang="en-US"/>
            <a:t>.</a:t>
          </a:r>
        </a:p>
        <a:p>
          <a:r>
            <a:rPr lang="en-US" b="1"/>
            <a:t>Why did it rally?</a:t>
          </a:r>
          <a:r>
            <a:rPr lang="en-US"/>
            <a:t> Reddit was bearish because of the </a:t>
          </a:r>
          <a:r>
            <a:rPr lang="en-US" b="1"/>
            <a:t>Iran/Hormuz tail risk</a:t>
          </a:r>
          <a:r>
            <a:rPr lang="en-US"/>
            <a:t>, fearing shipping disruptions and oil shocks. When the geopolitical risk de-escalated in early April, the stock rallied on </a:t>
          </a:r>
          <a:r>
            <a:rPr lang="en-US" b="1"/>
            <a:t>relief</a:t>
          </a:r>
          <a:r>
            <a:rPr lang="en-US"/>
            <a:t>. The Reddit crowd was </a:t>
          </a:r>
          <a:r>
            <a:rPr lang="en-US" b="1"/>
            <a:t>right about the concern</a:t>
          </a:r>
          <a:r>
            <a:rPr lang="en-US"/>
            <a:t> (the risk was real), but </a:t>
          </a:r>
          <a:r>
            <a:rPr lang="en-US" b="1"/>
            <a:t>wrong about the outcome</a:t>
          </a:r>
          <a:r>
            <a:rPr lang="en-US"/>
            <a:t> because the risk didn't materialize.</a:t>
          </a:r>
        </a:p>
        <a:p>
          <a:endParaRPr lang="en-US" sz="1100"/>
        </a:p>
      </xdr:txBody>
    </xdr:sp>
    <xdr:clientData/>
  </xdr:oneCellAnchor>
  <xdr:oneCellAnchor>
    <xdr:from>
      <xdr:col>3</xdr:col>
      <xdr:colOff>2006279</xdr:colOff>
      <xdr:row>100</xdr:row>
      <xdr:rowOff>9645</xdr:rowOff>
    </xdr:from>
    <xdr:ext cx="6202102" cy="3655672"/>
    <xdr:sp macro="" textlink="">
      <xdr:nvSpPr>
        <xdr:cNvPr id="5" name="TextBox 4">
          <a:extLst>
            <a:ext uri="{FF2B5EF4-FFF2-40B4-BE49-F238E27FC236}">
              <a16:creationId xmlns:a16="http://schemas.microsoft.com/office/drawing/2014/main" id="{6BD32F57-DF03-44A6-8090-F31F2A21B1C7}"/>
            </a:ext>
          </a:extLst>
        </xdr:cNvPr>
        <xdr:cNvSpPr txBox="1"/>
      </xdr:nvSpPr>
      <xdr:spPr>
        <a:xfrm>
          <a:off x="7721279" y="18297645"/>
          <a:ext cx="6202102" cy="3655672"/>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en-US" b="1">
              <a:effectLst/>
            </a:rPr>
            <a:t>1. Did sentiment predict returns?</a:t>
          </a:r>
          <a:r>
            <a:rPr lang="en-US">
              <a:effectLst/>
            </a:rPr>
            <a:t> Yes. The </a:t>
          </a:r>
          <a:r>
            <a:rPr lang="en-US" b="1">
              <a:effectLst/>
            </a:rPr>
            <a:t>Top Portfolio (Bullish)</a:t>
          </a:r>
          <a:r>
            <a:rPr lang="en-US">
              <a:effectLst/>
            </a:rPr>
            <a:t> delivered a </a:t>
          </a:r>
          <a:r>
            <a:rPr lang="en-US" b="1">
              <a:effectLst/>
            </a:rPr>
            <a:t>20.15% cumulative return</a:t>
          </a:r>
          <a:r>
            <a:rPr lang="en-US">
              <a:effectLst/>
            </a:rPr>
            <a:t>, outperforming the SPY (9.84%) by </a:t>
          </a:r>
          <a:r>
            <a:rPr lang="en-US" b="1">
              <a:effectLst/>
            </a:rPr>
            <a:t>1,031 basis points</a:t>
          </a:r>
          <a:r>
            <a:rPr lang="en-US">
              <a:effectLst/>
            </a:rPr>
            <a:t>. This suggests the sentiment signal successfully captured directional alpha during this specific window.</a:t>
          </a:r>
        </a:p>
        <a:p>
          <a:pPr rtl="0"/>
          <a:endParaRPr lang="en-US">
            <a:effectLst/>
          </a:endParaRPr>
        </a:p>
        <a:p>
          <a:pPr rtl="0"/>
          <a:r>
            <a:rPr lang="en-US" b="1">
              <a:effectLst/>
            </a:rPr>
            <a:t>2. Is this signal or luck?</a:t>
          </a:r>
          <a:r>
            <a:rPr lang="en-US">
              <a:effectLst/>
            </a:rPr>
            <a:t> Significant results are attributed to </a:t>
          </a:r>
          <a:r>
            <a:rPr lang="en-US" b="1">
              <a:effectLst/>
            </a:rPr>
            <a:t>luck</a:t>
          </a:r>
          <a:r>
            <a:rPr lang="en-US">
              <a:effectLst/>
            </a:rPr>
            <a:t> via the resolution of the </a:t>
          </a:r>
          <a:r>
            <a:rPr lang="en-US" b="1">
              <a:effectLst/>
            </a:rPr>
            <a:t>Iran/Hormuz tail risk</a:t>
          </a:r>
          <a:r>
            <a:rPr lang="en-US">
              <a:effectLst/>
            </a:rPr>
            <a:t>. The Bottom Portfolio’s resilience was a macro "relief bounce" rather than a fundamental signal. Identifying true predictive power requires testing across multiple independent windows without resolving geopolitical shocks.</a:t>
          </a:r>
        </a:p>
        <a:p>
          <a:pPr rtl="0"/>
          <a:endParaRPr lang="en-US">
            <a:effectLst/>
          </a:endParaRPr>
        </a:p>
        <a:p>
          <a:pPr rtl="0"/>
          <a:r>
            <a:rPr lang="en-US" b="1">
              <a:effectLst/>
            </a:rPr>
            <a:t>3. Holding period from the chart</a:t>
          </a:r>
          <a:r>
            <a:rPr lang="en-US">
              <a:effectLst/>
            </a:rPr>
            <a:t> The Top Portfolio peaked on </a:t>
          </a:r>
          <a:r>
            <a:rPr lang="en-US" b="1">
              <a:effectLst/>
            </a:rPr>
            <a:t>April 22 (136.28%)</a:t>
          </a:r>
          <a:r>
            <a:rPr lang="en-US">
              <a:effectLst/>
            </a:rPr>
            <a:t> and troughed on </a:t>
          </a:r>
          <a:r>
            <a:rPr lang="en-US" b="1">
              <a:effectLst/>
            </a:rPr>
            <a:t>April 9 (94.84%)</a:t>
          </a:r>
          <a:r>
            <a:rPr lang="en-US">
              <a:effectLst/>
            </a:rPr>
            <a:t>. The subsequent decline suggests the Reddit signal is </a:t>
          </a:r>
          <a:r>
            <a:rPr lang="en-US" b="1">
              <a:effectLst/>
            </a:rPr>
            <a:t>unstable</a:t>
          </a:r>
          <a:r>
            <a:rPr lang="en-US">
              <a:effectLst/>
            </a:rPr>
            <a:t> with a high decay rate and a </a:t>
          </a:r>
          <a:r>
            <a:rPr lang="en-US" b="1">
              <a:effectLst/>
            </a:rPr>
            <a:t>half-life of approximately 14 days</a:t>
          </a:r>
          <a:r>
            <a:rPr lang="en-US">
              <a:effectLst/>
            </a:rPr>
            <a:t>.</a:t>
          </a:r>
        </a:p>
        <a:p>
          <a:pPr rtl="0"/>
          <a:endParaRPr lang="en-US">
            <a:effectLst/>
          </a:endParaRPr>
        </a:p>
        <a:p>
          <a:pPr rtl="0"/>
          <a:r>
            <a:rPr lang="en-US" b="1">
              <a:effectLst/>
            </a:rPr>
            <a:t>4. Risk-adjusted observation</a:t>
          </a:r>
          <a:r>
            <a:rPr lang="en-US">
              <a:effectLst/>
            </a:rPr>
            <a:t> The Top Portfolio exhibited extreme risk with </a:t>
          </a:r>
          <a:r>
            <a:rPr lang="en-US" b="1">
              <a:effectLst/>
            </a:rPr>
            <a:t>~118% annualized volatility</a:t>
          </a:r>
          <a:r>
            <a:rPr lang="en-US">
              <a:effectLst/>
            </a:rPr>
            <a:t>, compared to SPY’s ~12%. While returns were high, the high volatility and short timeframe (two weeks) make these estimates statistically noisy and the strategy high-risk.</a:t>
          </a:r>
        </a:p>
        <a:p>
          <a:pPr rtl="0"/>
          <a:endParaRPr lang="en-US">
            <a:effectLst/>
          </a:endParaRPr>
        </a:p>
        <a:p>
          <a:pPr rtl="0"/>
          <a:r>
            <a:rPr lang="en-US" b="1">
              <a:effectLst/>
            </a:rPr>
            <a:t>5. Would you trade this?</a:t>
          </a:r>
          <a:r>
            <a:rPr lang="en-US">
              <a:effectLst/>
            </a:rPr>
            <a:t> </a:t>
          </a:r>
          <a:r>
            <a:rPr lang="en-US" b="1">
              <a:effectLst/>
            </a:rPr>
            <a:t>No.</a:t>
          </a:r>
          <a:r>
            <a:rPr lang="en-US">
              <a:effectLst/>
            </a:rPr>
            <a:t> A single week of scrape data is a case study, not a validated strategy. Institutional deployment would require </a:t>
          </a:r>
          <a:r>
            <a:rPr lang="en-US" b="1">
              <a:effectLst/>
            </a:rPr>
            <a:t>6–12 months of out-of-sample data</a:t>
          </a:r>
          <a:r>
            <a:rPr lang="en-US">
              <a:effectLst/>
            </a:rPr>
            <a:t> to prove durability and avoid the </a:t>
          </a:r>
          <a:r>
            <a:rPr lang="en-US" b="1">
              <a:effectLst/>
            </a:rPr>
            <a:t>lookahead-bias trap</a:t>
          </a:r>
          <a:r>
            <a:rPr lang="en-US">
              <a:effectLst/>
            </a:rPr>
            <a:t> of fitting parameters to known macro events.</a:t>
          </a:r>
        </a:p>
        <a:p>
          <a:endParaRPr lang="en-US" sz="1100"/>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dhu\Videos\Final%20Project.xlsm" TargetMode="External"/><Relationship Id="rId1" Type="http://schemas.openxmlformats.org/officeDocument/2006/relationships/externalLinkPath" Target="Final%20Projec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2_Ticker comparison"/>
      <sheetName val="P2_Analysis"/>
      <sheetName val="P2_key stats"/>
      <sheetName val="Part 3 - Sentiment Score"/>
      <sheetName val="Part 4 - Step 1-3"/>
      <sheetName val="Part 3 - Sentiment (old)"/>
      <sheetName val="Part 3 - Google Sheet (old)"/>
      <sheetName val="Part 3 - Part 1CopyValueOnly (o"/>
      <sheetName val="Part 3 - Pivot Table (old)"/>
      <sheetName val=" Part 4 - Step 1-3 (Top 5)"/>
      <sheetName val=" Part 4 - Step 1-3 (Bot 5)"/>
      <sheetName val="Part 4 - Step 4-7"/>
      <sheetName val="P5 Reflection"/>
      <sheetName val="Sheet1"/>
    </sheetNames>
    <sheetDataSet>
      <sheetData sheetId="0" refreshError="1"/>
      <sheetData sheetId="1" refreshError="1"/>
      <sheetData sheetId="2" refreshError="1"/>
      <sheetData sheetId="3">
        <row r="2">
          <cell r="D2" t="str">
            <v>Sentiment Alpha</v>
          </cell>
        </row>
        <row r="3">
          <cell r="D3">
            <v>8.4132997640812529E-2</v>
          </cell>
        </row>
        <row r="4">
          <cell r="D4">
            <v>7.3222192947339199E-2</v>
          </cell>
        </row>
        <row r="5">
          <cell r="D5">
            <v>7.2944662261615931E-2</v>
          </cell>
        </row>
        <row r="6">
          <cell r="D6">
            <v>7.1789769472931697E-2</v>
          </cell>
        </row>
        <row r="7">
          <cell r="D7">
            <v>7.1271047983648084E-2</v>
          </cell>
        </row>
        <row r="8">
          <cell r="D8">
            <v>6.8388490907372562E-2</v>
          </cell>
        </row>
        <row r="9">
          <cell r="D9">
            <v>6.8195439355418691E-2</v>
          </cell>
        </row>
        <row r="10">
          <cell r="D10">
            <v>6.6232492903979007E-2</v>
          </cell>
        </row>
        <row r="11">
          <cell r="D11">
            <v>6.6020599913279632E-2</v>
          </cell>
        </row>
        <row r="12">
          <cell r="D12">
            <v>6.5797835966168103E-2</v>
          </cell>
        </row>
        <row r="13">
          <cell r="D13">
            <v>6.204119982655925E-2</v>
          </cell>
        </row>
        <row r="14">
          <cell r="D14">
            <v>6.0791812460476255E-2</v>
          </cell>
        </row>
        <row r="15">
          <cell r="D15">
            <v>6.0000000000000005E-2</v>
          </cell>
        </row>
        <row r="16">
          <cell r="D16">
            <v>5.8749315539781882E-2</v>
          </cell>
        </row>
        <row r="17">
          <cell r="D17">
            <v>5.7781512503836438E-2</v>
          </cell>
        </row>
        <row r="18">
          <cell r="D18">
            <v>5.7781512503836438E-2</v>
          </cell>
        </row>
        <row r="19">
          <cell r="D19">
            <v>5.602059991327963E-2</v>
          </cell>
        </row>
        <row r="20">
          <cell r="D20">
            <v>5.5910393588052276E-2</v>
          </cell>
        </row>
        <row r="21">
          <cell r="D21">
            <v>5.4771212547196628E-2</v>
          </cell>
        </row>
        <row r="22">
          <cell r="D22">
            <v>5.4771212547196628E-2</v>
          </cell>
        </row>
        <row r="23">
          <cell r="D23">
            <v>5.4215910272073668E-2</v>
          </cell>
        </row>
        <row r="24">
          <cell r="D24">
            <v>5.41611870531645E-2</v>
          </cell>
        </row>
        <row r="25">
          <cell r="D25">
            <v>5.3010299956639813E-2</v>
          </cell>
        </row>
        <row r="26">
          <cell r="D26">
            <v>5.2733194603947313E-2</v>
          </cell>
        </row>
        <row r="27">
          <cell r="D27">
            <v>4.7576297415957314E-2</v>
          </cell>
        </row>
        <row r="28">
          <cell r="D28">
            <v>4.5709919390287894E-2</v>
          </cell>
        </row>
        <row r="29">
          <cell r="D29">
            <v>4.3864907251724816E-2</v>
          </cell>
        </row>
        <row r="30">
          <cell r="D30">
            <v>4.1901960800285139E-2</v>
          </cell>
        </row>
        <row r="31">
          <cell r="D31">
            <v>4.0051499783199065E-2</v>
          </cell>
        </row>
        <row r="32">
          <cell r="D32">
            <v>3.8727428812474589E-2</v>
          </cell>
        </row>
        <row r="33">
          <cell r="D33">
            <v>3.749931756634195E-2</v>
          </cell>
        </row>
        <row r="34">
          <cell r="D34">
            <v>3.7385486723061259E-2</v>
          </cell>
        </row>
        <row r="35">
          <cell r="D35">
            <v>3.6972293427597176E-2</v>
          </cell>
        </row>
        <row r="36">
          <cell r="D36">
            <v>3.6257080573210934E-2</v>
          </cell>
        </row>
        <row r="37">
          <cell r="D37">
            <v>3.5820888195232964E-2</v>
          </cell>
        </row>
        <row r="38">
          <cell r="D38">
            <v>3.4931601870027397E-2</v>
          </cell>
        </row>
        <row r="39">
          <cell r="D39">
            <v>3.4030899869919438E-2</v>
          </cell>
        </row>
        <row r="40">
          <cell r="D40">
            <v>3.0934216851622353E-2</v>
          </cell>
        </row>
        <row r="41">
          <cell r="D41">
            <v>3.0468779067116061E-2</v>
          </cell>
        </row>
        <row r="42">
          <cell r="D42">
            <v>2.749736315569061E-2</v>
          </cell>
        </row>
        <row r="43">
          <cell r="D43">
            <v>2.7168377232995249E-2</v>
          </cell>
        </row>
        <row r="44">
          <cell r="D44">
            <v>2.236930431696612E-2</v>
          </cell>
        </row>
        <row r="45">
          <cell r="D45">
            <v>2.2278867046136734E-2</v>
          </cell>
        </row>
        <row r="46">
          <cell r="D46">
            <v>2.2175524029357175E-2</v>
          </cell>
        </row>
        <row r="47">
          <cell r="D47">
            <v>1.8750612633917002E-2</v>
          </cell>
        </row>
        <row r="48">
          <cell r="D48">
            <v>1.7923916894982541E-2</v>
          </cell>
        </row>
        <row r="49">
          <cell r="D49">
            <v>1.0413926851582251E-2</v>
          </cell>
        </row>
        <row r="50">
          <cell r="D50">
            <v>9.5424250943932486E-3</v>
          </cell>
        </row>
        <row r="51">
          <cell r="D51">
            <v>9.0308998699194353E-3</v>
          </cell>
        </row>
        <row r="52">
          <cell r="D52">
            <v>6.9897000433601884E-3</v>
          </cell>
        </row>
        <row r="53">
          <cell r="D53">
            <v>6.9897000433601884E-3</v>
          </cell>
        </row>
        <row r="54">
          <cell r="D54">
            <v>6.0205999132796244E-3</v>
          </cell>
        </row>
        <row r="55">
          <cell r="D55">
            <v>6.0205999132796244E-3</v>
          </cell>
        </row>
        <row r="56">
          <cell r="D56">
            <v>5.1029995663981198E-3</v>
          </cell>
        </row>
        <row r="57">
          <cell r="D57">
            <v>4.7712125471966243E-3</v>
          </cell>
        </row>
        <row r="58">
          <cell r="D58">
            <v>4.0321251377534381E-3</v>
          </cell>
        </row>
        <row r="59">
          <cell r="D59">
            <v>3.0102999566398122E-3</v>
          </cell>
        </row>
        <row r="60">
          <cell r="D60">
            <v>1.4624669164285536E-3</v>
          </cell>
        </row>
        <row r="61">
          <cell r="D61">
            <v>0</v>
          </cell>
        </row>
        <row r="62">
          <cell r="D62">
            <v>-7.8886315989213744E-3</v>
          </cell>
        </row>
        <row r="63">
          <cell r="D63">
            <v>-9.3229695595993464E-3</v>
          </cell>
        </row>
        <row r="64">
          <cell r="D64">
            <v>-1.142245477940558E-2</v>
          </cell>
        </row>
        <row r="65">
          <cell r="D65">
            <v>-1.2212463990471713E-2</v>
          </cell>
        </row>
        <row r="66">
          <cell r="D66">
            <v>-1.4208187539523753E-2</v>
          </cell>
        </row>
        <row r="67">
          <cell r="D67">
            <v>-2.5575202309355515E-2</v>
          </cell>
        </row>
        <row r="68">
          <cell r="D68">
            <v>-3.3010299956639816E-2</v>
          </cell>
        </row>
        <row r="69">
          <cell r="D69">
            <v>-3.3187587626244131E-2</v>
          </cell>
        </row>
        <row r="70">
          <cell r="D70">
            <v>-3.4202164033831903E-2</v>
          </cell>
        </row>
      </sheetData>
      <sheetData sheetId="4">
        <row r="61">
          <cell r="C61" t="str">
            <v>Equity Curve</v>
          </cell>
          <cell r="E61" t="str">
            <v>Equity Curve</v>
          </cell>
        </row>
        <row r="62">
          <cell r="C62">
            <v>0.99470513921426029</v>
          </cell>
          <cell r="E62">
            <v>0.9879197797246444</v>
          </cell>
          <cell r="G62">
            <v>1.0004401074469216</v>
          </cell>
        </row>
        <row r="63">
          <cell r="C63">
            <v>1.0290406358264321</v>
          </cell>
          <cell r="E63">
            <v>1.0111502037525006</v>
          </cell>
          <cell r="G63">
            <v>1.0259208110117919</v>
          </cell>
        </row>
        <row r="64">
          <cell r="C64">
            <v>1.0069047799795114</v>
          </cell>
          <cell r="E64">
            <v>1.0154051000482993</v>
          </cell>
          <cell r="G64">
            <v>1.0318394973669434</v>
          </cell>
        </row>
        <row r="65">
          <cell r="C65">
            <v>0.99952909138752888</v>
          </cell>
          <cell r="E65">
            <v>1.0170166909330534</v>
          </cell>
          <cell r="G65">
            <v>1.031156572018272</v>
          </cell>
        </row>
        <row r="66">
          <cell r="C66">
            <v>1.0229172570874463</v>
          </cell>
          <cell r="E66">
            <v>1.0371503159896931</v>
          </cell>
          <cell r="G66">
            <v>1.0412335149408889</v>
          </cell>
        </row>
        <row r="67">
          <cell r="C67">
            <v>1.018013841402811</v>
          </cell>
          <cell r="E67">
            <v>1.0609971572668371</v>
          </cell>
          <cell r="G67">
            <v>1.0539207503073165</v>
          </cell>
        </row>
        <row r="68">
          <cell r="C68">
            <v>1.0522070038208096</v>
          </cell>
          <cell r="E68">
            <v>1.0870199307518218</v>
          </cell>
          <cell r="G68">
            <v>1.0622372634422472</v>
          </cell>
        </row>
        <row r="69">
          <cell r="C69">
            <v>1.1013277802346131</v>
          </cell>
          <cell r="E69">
            <v>1.1207008446118274</v>
          </cell>
          <cell r="G69">
            <v>1.0648475558860575</v>
          </cell>
        </row>
        <row r="70">
          <cell r="C70">
            <v>1.0973212442967648</v>
          </cell>
          <cell r="E70">
            <v>1.1548546875532706</v>
          </cell>
          <cell r="G70">
            <v>1.0777169046787971</v>
          </cell>
        </row>
        <row r="71">
          <cell r="C71">
            <v>1.0939992821367035</v>
          </cell>
          <cell r="E71">
            <v>1.1533131614680352</v>
          </cell>
          <cell r="G71">
            <v>1.0755618958007676</v>
          </cell>
        </row>
        <row r="72">
          <cell r="C72">
            <v>1.0783641410501632</v>
          </cell>
          <cell r="E72">
            <v>1.142475584004474</v>
          </cell>
          <cell r="G72">
            <v>1.0685201766500232</v>
          </cell>
        </row>
        <row r="73">
          <cell r="C73">
            <v>1.1004263358412179</v>
          </cell>
          <cell r="E73">
            <v>1.1193552429530327</v>
          </cell>
          <cell r="G73">
            <v>1.0793407493967491</v>
          </cell>
        </row>
        <row r="74">
          <cell r="C74">
            <v>1.0486107119195547</v>
          </cell>
          <cell r="E74">
            <v>1.1073817969829174</v>
          </cell>
          <cell r="G74">
            <v>1.0751521405915649</v>
          </cell>
        </row>
        <row r="75">
          <cell r="C75">
            <v>1.0265348028241785</v>
          </cell>
          <cell r="E75">
            <v>1.1066112897416687</v>
          </cell>
          <cell r="G75">
            <v>1.0834838298453551</v>
          </cell>
        </row>
        <row r="76">
          <cell r="C76">
            <v>1.0194692790760986</v>
          </cell>
          <cell r="E76">
            <v>1.1025866280854812</v>
          </cell>
          <cell r="G76">
            <v>1.0853504924650565</v>
          </cell>
        </row>
        <row r="77">
          <cell r="C77">
            <v>1.0042148105988355</v>
          </cell>
          <cell r="E77">
            <v>1.0844333658610659</v>
          </cell>
          <cell r="G77">
            <v>1.0800692031019983</v>
          </cell>
        </row>
        <row r="78">
          <cell r="C78">
            <v>0.9894079945249844</v>
          </cell>
          <cell r="E78">
            <v>1.0824248157385827</v>
          </cell>
          <cell r="G78">
            <v>1.0799022657945454</v>
          </cell>
        </row>
        <row r="79">
          <cell r="C79">
            <v>1.0286695259250687</v>
          </cell>
          <cell r="E79">
            <v>1.1022200987558906</v>
          </cell>
          <cell r="G79">
            <v>1.0906469579469742</v>
          </cell>
        </row>
        <row r="80">
          <cell r="C80">
            <v>1.0297514422006595</v>
          </cell>
          <cell r="E80">
            <v>1.1150999563064177</v>
          </cell>
          <cell r="G80">
            <v>1.0936670055999875</v>
          </cell>
        </row>
        <row r="81">
          <cell r="C81">
            <v>1.038439649688419</v>
          </cell>
          <cell r="E81">
            <v>1.0981705026867983</v>
          </cell>
          <cell r="G81">
            <v>1.0896605102211157</v>
          </cell>
        </row>
        <row r="82">
          <cell r="C82">
            <v>1.0270092747866724</v>
          </cell>
          <cell r="E82">
            <v>1.1133027866934664</v>
          </cell>
          <cell r="G82">
            <v>1.0984019546841086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4">
          <cell r="B4">
            <v>46119.666666666664</v>
          </cell>
          <cell r="C4">
            <v>0.980928732441392</v>
          </cell>
          <cell r="D4">
            <v>1.0068996135789534</v>
          </cell>
          <cell r="E4">
            <v>1.0004401074469216</v>
          </cell>
        </row>
        <row r="5">
          <cell r="B5">
            <v>46120.666666666664</v>
          </cell>
          <cell r="C5">
            <v>1.0458728618823905</v>
          </cell>
          <cell r="D5">
            <v>1.0331953857302603</v>
          </cell>
          <cell r="E5">
            <v>1.0259208110117919</v>
          </cell>
        </row>
        <row r="6">
          <cell r="B6">
            <v>46121.666666666664</v>
          </cell>
          <cell r="C6">
            <v>0.94839518911577936</v>
          </cell>
          <cell r="D6">
            <v>1.0356659699303514</v>
          </cell>
          <cell r="E6">
            <v>1.0318394973669434</v>
          </cell>
        </row>
        <row r="7">
          <cell r="B7">
            <v>46122.666666666664</v>
          </cell>
          <cell r="C7">
            <v>0.95040749417138193</v>
          </cell>
          <cell r="D7">
            <v>1.0433009125411186</v>
          </cell>
          <cell r="E7">
            <v>1.031156572018272</v>
          </cell>
        </row>
        <row r="8">
          <cell r="B8">
            <v>46125.666666666664</v>
          </cell>
          <cell r="C8">
            <v>1.033913060797637</v>
          </cell>
          <cell r="D8">
            <v>1.0503887738811806</v>
          </cell>
          <cell r="E8">
            <v>1.0412335149408889</v>
          </cell>
        </row>
        <row r="9">
          <cell r="B9">
            <v>46126.666666666664</v>
          </cell>
          <cell r="C9">
            <v>1.0163326162580584</v>
          </cell>
          <cell r="D9">
            <v>1.0648866673566717</v>
          </cell>
          <cell r="E9">
            <v>1.0539207503073165</v>
          </cell>
        </row>
        <row r="10">
          <cell r="B10">
            <v>46127.666666666664</v>
          </cell>
          <cell r="C10">
            <v>1.1285499211261816</v>
          </cell>
          <cell r="D10">
            <v>1.0734024359651315</v>
          </cell>
          <cell r="E10">
            <v>1.0622372634422472</v>
          </cell>
        </row>
        <row r="11">
          <cell r="B11">
            <v>46128.666666666664</v>
          </cell>
          <cell r="C11">
            <v>1.2323751771479199</v>
          </cell>
          <cell r="D11">
            <v>1.0673347157597632</v>
          </cell>
          <cell r="E11">
            <v>1.0648475558860575</v>
          </cell>
        </row>
        <row r="12">
          <cell r="B12">
            <v>46129.666666666664</v>
          </cell>
          <cell r="C12">
            <v>1.2064498936245356</v>
          </cell>
          <cell r="D12">
            <v>1.0937049588396561</v>
          </cell>
          <cell r="E12">
            <v>1.0777169046787971</v>
          </cell>
        </row>
        <row r="13">
          <cell r="B13">
            <v>46132.666666666664</v>
          </cell>
          <cell r="C13">
            <v>1.2740523956381054</v>
          </cell>
          <cell r="D13">
            <v>1.0810253615392682</v>
          </cell>
          <cell r="E13">
            <v>1.0755618958007676</v>
          </cell>
        </row>
        <row r="14">
          <cell r="B14">
            <v>46133.666666666664</v>
          </cell>
          <cell r="C14">
            <v>1.2414192113934632</v>
          </cell>
          <cell r="D14">
            <v>1.0720212941347331</v>
          </cell>
          <cell r="E14">
            <v>1.0685201766500232</v>
          </cell>
        </row>
        <row r="15">
          <cell r="B15">
            <v>46134.666666666664</v>
          </cell>
          <cell r="C15">
            <v>1.3627683169082294</v>
          </cell>
          <cell r="D15">
            <v>1.0794739187717486</v>
          </cell>
          <cell r="E15">
            <v>1.0793407493967491</v>
          </cell>
        </row>
        <row r="16">
          <cell r="B16">
            <v>46135.666666666664</v>
          </cell>
          <cell r="C16">
            <v>1.1953114136573131</v>
          </cell>
          <cell r="D16">
            <v>1.0801013885750097</v>
          </cell>
          <cell r="E16">
            <v>1.0751521405915649</v>
          </cell>
        </row>
        <row r="17">
          <cell r="B17">
            <v>46136.666666666664</v>
          </cell>
          <cell r="C17">
            <v>1.11217035199039</v>
          </cell>
          <cell r="D17">
            <v>1.0838087892811774</v>
          </cell>
          <cell r="E17">
            <v>1.0834838298453551</v>
          </cell>
        </row>
        <row r="18">
          <cell r="B18">
            <v>46139.666666666664</v>
          </cell>
          <cell r="C18">
            <v>1.1313982622280427</v>
          </cell>
          <cell r="D18">
            <v>1.0754770873944326</v>
          </cell>
          <cell r="E18">
            <v>1.0853504924650565</v>
          </cell>
        </row>
        <row r="19">
          <cell r="B19">
            <v>46140.666666666664</v>
          </cell>
          <cell r="C19">
            <v>1.0648147818283618</v>
          </cell>
          <cell r="D19">
            <v>1.0625714600237992</v>
          </cell>
          <cell r="E19">
            <v>1.0800692031019983</v>
          </cell>
        </row>
        <row r="20">
          <cell r="B20">
            <v>46141.666666666664</v>
          </cell>
          <cell r="C20">
            <v>1.0083780306778534</v>
          </cell>
          <cell r="D20">
            <v>1.0576540277680371</v>
          </cell>
          <cell r="E20">
            <v>1.0799022657945454</v>
          </cell>
        </row>
        <row r="21">
          <cell r="B21">
            <v>46142.666666666664</v>
          </cell>
          <cell r="C21">
            <v>1.1701655732484249</v>
          </cell>
          <cell r="D21">
            <v>1.0683214612715464</v>
          </cell>
          <cell r="E21">
            <v>1.0906469579469742</v>
          </cell>
        </row>
        <row r="22">
          <cell r="B22">
            <v>46143.666666666664</v>
          </cell>
          <cell r="C22">
            <v>1.1466661224403558</v>
          </cell>
          <cell r="D22">
            <v>1.0672327380066431</v>
          </cell>
          <cell r="E22">
            <v>1.0936670055999875</v>
          </cell>
        </row>
        <row r="23">
          <cell r="B23">
            <v>46146.666666666664</v>
          </cell>
          <cell r="C23">
            <v>1.2204807605488481</v>
          </cell>
          <cell r="D23">
            <v>1.0560072619464196</v>
          </cell>
          <cell r="E23">
            <v>1.0896605102211157</v>
          </cell>
        </row>
        <row r="24">
          <cell r="B24">
            <v>46147.666666666664</v>
          </cell>
          <cell r="C24">
            <v>1.201481639213748</v>
          </cell>
          <cell r="D24">
            <v>1.0703714231507946</v>
          </cell>
          <cell r="E24">
            <v>1.0984019546841086</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nal%20Project.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ushri Iyengar" refreshedDate="46141.761822685185" createdVersion="8" refreshedVersion="8" minRefreshableVersion="3" recordCount="22" xr:uid="{8B2A5F05-7EDF-4519-8F74-F751CB8C813D}">
  <cacheSource type="worksheet">
    <worksheetSource name="Table35"/>
  </cacheSource>
  <cacheFields count="7">
    <cacheField name="Ticker" numFmtId="0">
      <sharedItems/>
    </cacheField>
    <cacheField name="Mention Count" numFmtId="0">
      <sharedItems containsSemiMixedTypes="0" containsString="0" containsNumber="1" containsInteger="1" minValue="2" maxValue="89"/>
    </cacheField>
    <cacheField name="Total Score" numFmtId="0">
      <sharedItems containsSemiMixedTypes="0" containsString="0" containsNumber="1" containsInteger="1" minValue="48" maxValue="22082"/>
    </cacheField>
    <cacheField name="Avg Upvote Ratio" numFmtId="164">
      <sharedItems containsSemiMixedTypes="0" containsString="0" containsNumber="1" minValue="0.50749999999999995" maxValue="0.98499999999999999"/>
    </cacheField>
    <cacheField name="Bullish Count" numFmtId="0">
      <sharedItems containsSemiMixedTypes="0" containsString="0" containsNumber="1" containsInteger="1" minValue="0" maxValue="22"/>
    </cacheField>
    <cacheField name="Bearish Count" numFmtId="0">
      <sharedItems containsSemiMixedTypes="0" containsString="0" containsNumber="1" containsInteger="1" minValue="0" maxValue="31"/>
    </cacheField>
    <cacheField name="Net Sentiment" numFmtId="165">
      <sharedItems containsSemiMixedTypes="0" containsString="0" containsNumber="1" minValue="-1" maxValue="0.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ushri Iyengar" refreshedDate="46141.76738946759" createdVersion="8" refreshedVersion="8" minRefreshableVersion="3" recordCount="9" xr:uid="{DB89C280-5C1A-41DF-8A51-C293CFDF685F}">
  <cacheSource type="worksheet">
    <worksheetSource name="Table6"/>
  </cacheSource>
  <cacheFields count="8">
    <cacheField name="Row Labels" numFmtId="0">
      <sharedItems containsSemiMixedTypes="0" containsString="0" containsNumber="1" containsInteger="1" minValue="20260320" maxValue="20260402"/>
    </cacheField>
    <cacheField name="Bearish" numFmtId="0">
      <sharedItems containsSemiMixedTypes="0" containsString="0" containsNumber="1" containsInteger="1" minValue="40" maxValue="101"/>
    </cacheField>
    <cacheField name="Bullish" numFmtId="0">
      <sharedItems containsSemiMixedTypes="0" containsString="0" containsNumber="1" containsInteger="1" minValue="25" maxValue="75"/>
    </cacheField>
    <cacheField name="Mixed" numFmtId="0">
      <sharedItems containsSemiMixedTypes="0" containsString="0" containsNumber="1" containsInteger="1" minValue="5" maxValue="20"/>
    </cacheField>
    <cacheField name="Neutral" numFmtId="0">
      <sharedItems containsString="0" containsBlank="1" containsNumber="1" containsInteger="1" minValue="1" maxValue="7"/>
    </cacheField>
    <cacheField name="SKIP" numFmtId="0">
      <sharedItems containsSemiMixedTypes="0" containsString="0" containsNumber="1" containsInteger="1" minValue="69" maxValue="149"/>
    </cacheField>
    <cacheField name="Grand Total" numFmtId="0">
      <sharedItems containsSemiMixedTypes="0" containsString="0" containsNumber="1" containsInteger="1" minValue="151" maxValue="352"/>
    </cacheField>
    <cacheField name="Period" numFmtId="0">
      <sharedItems count="3">
        <s v="Pre-Fed"/>
        <s v="Post-Fed"/>
        <s v="Escalation"/>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ushri Iyengar" refreshedDate="46141.77797372685" createdVersion="8" refreshedVersion="8" minRefreshableVersion="3" recordCount="282" xr:uid="{6EFB8870-BD1D-40F1-8979-85E180461AB3}">
  <cacheSource type="worksheet">
    <worksheetSource ref="A1:J283" sheet="OnlyTickers" r:id="rId2"/>
  </cacheSource>
  <cacheFields count="10">
    <cacheField name="ID" numFmtId="0">
      <sharedItems containsSemiMixedTypes="0" containsString="0" containsNumber="1" containsInteger="1" minValue="33" maxValue="1790"/>
    </cacheField>
    <cacheField name="subreddit" numFmtId="0">
      <sharedItems/>
    </cacheField>
    <cacheField name="title" numFmtId="0">
      <sharedItems/>
    </cacheField>
    <cacheField name="score" numFmtId="0">
      <sharedItems containsSemiMixedTypes="0" containsString="0" containsNumber="1" containsInteger="1" minValue="0" maxValue="11614"/>
    </cacheField>
    <cacheField name="num_comments" numFmtId="0">
      <sharedItems containsSemiMixedTypes="0" containsString="0" containsNumber="1" containsInteger="1" minValue="0" maxValue="1082"/>
    </cacheField>
    <cacheField name="upvote_ratio" numFmtId="0">
      <sharedItems containsSemiMixedTypes="0" containsString="0" containsNumber="1" minValue="0.1" maxValue="1"/>
    </cacheField>
    <cacheField name="scrape_date" numFmtId="0">
      <sharedItems containsSemiMixedTypes="0" containsString="0" containsNumber="1" containsInteger="1" minValue="20260320" maxValue="20260402"/>
    </cacheField>
    <cacheField name="has_ticker_pass1" numFmtId="0">
      <sharedItems/>
    </cacheField>
    <cacheField name="ticker_extracted" numFmtId="0">
      <sharedItems count="26">
        <s v="SPY"/>
        <s v="META"/>
        <s v="TSLA"/>
        <s v="NVO"/>
        <s v="OKLO"/>
        <s v="NVDA"/>
        <s v="AMZN"/>
        <s v="MSFT"/>
        <s v="RKLB"/>
        <s v="AAPL"/>
        <s v="MU"/>
        <s v="COST"/>
        <s v="GOOGL"/>
        <s v="SOFI"/>
        <s v="USO"/>
        <s v="PLTR"/>
        <s v="UAL"/>
        <s v="SNAP"/>
        <s v="DIS"/>
        <s v="BABA"/>
        <s v="UBER"/>
        <s v="NFLX"/>
        <s v="ARM"/>
        <s v="DUOL"/>
        <s v="SMCI"/>
        <s v="HD"/>
      </sharedItems>
    </cacheField>
    <cacheField name="llm_sentiment" numFmtId="0">
      <sharedItems count="5">
        <s v="Neutral"/>
        <s v="SKIP"/>
        <s v="Bearish"/>
        <s v="Mixed"/>
        <s v="Bullish"/>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s v="NVDA"/>
    <n v="19"/>
    <n v="1096"/>
    <n v="0.78421052631578958"/>
    <n v="9"/>
    <n v="6"/>
    <n v="0.15789473684210525"/>
  </r>
  <r>
    <s v="SPY"/>
    <n v="89"/>
    <n v="22082"/>
    <n v="0.79966292134831474"/>
    <n v="22"/>
    <n v="31"/>
    <n v="-0.10112359550561797"/>
  </r>
  <r>
    <s v="TSLA"/>
    <n v="11"/>
    <n v="1266"/>
    <n v="0.74545454545454537"/>
    <n v="2"/>
    <n v="5"/>
    <n v="-0.27272727272727271"/>
  </r>
  <r>
    <s v="AAPL"/>
    <n v="4"/>
    <n v="168"/>
    <n v="0.50749999999999995"/>
    <n v="1"/>
    <n v="1"/>
    <n v="0"/>
  </r>
  <r>
    <s v="AMZN"/>
    <n v="10"/>
    <n v="1969"/>
    <n v="0.89300000000000002"/>
    <n v="3"/>
    <n v="4"/>
    <n v="-0.1"/>
  </r>
  <r>
    <s v="MSFT"/>
    <n v="25"/>
    <n v="15223"/>
    <n v="0.83360000000000001"/>
    <n v="9"/>
    <n v="8"/>
    <n v="0.04"/>
  </r>
  <r>
    <s v="GOOGL"/>
    <n v="14"/>
    <n v="10193"/>
    <n v="0.76142857142857145"/>
    <n v="5"/>
    <n v="2"/>
    <n v="0.21428571428571427"/>
  </r>
  <r>
    <s v="PLTR"/>
    <n v="4"/>
    <n v="2370"/>
    <n v="0.78"/>
    <n v="3"/>
    <n v="1"/>
    <n v="0.5"/>
  </r>
  <r>
    <s v="MU"/>
    <n v="21"/>
    <n v="2936"/>
    <n v="0.74714285714285711"/>
    <n v="10"/>
    <n v="4"/>
    <n v="0.2857142857142857"/>
  </r>
  <r>
    <s v="BABA"/>
    <n v="4"/>
    <n v="520"/>
    <n v="0.95499999999999996"/>
    <n v="2"/>
    <n v="0"/>
    <n v="0.5"/>
  </r>
  <r>
    <s v="UBER"/>
    <n v="3"/>
    <n v="256"/>
    <n v="0.89666666666666661"/>
    <n v="1"/>
    <n v="2"/>
    <n v="-0.33333333333333331"/>
  </r>
  <r>
    <s v="RKLB"/>
    <n v="5"/>
    <n v="140"/>
    <n v="0.79400000000000004"/>
    <n v="1"/>
    <n v="2"/>
    <n v="-0.2"/>
  </r>
  <r>
    <s v="OKLO"/>
    <n v="4"/>
    <n v="48"/>
    <n v="0.67500000000000004"/>
    <n v="2"/>
    <n v="0"/>
    <n v="0.5"/>
  </r>
  <r>
    <s v="DIS"/>
    <n v="2"/>
    <n v="11686"/>
    <n v="0.97"/>
    <n v="0"/>
    <n v="2"/>
    <n v="-1"/>
  </r>
  <r>
    <s v="BA"/>
    <n v="4"/>
    <n v="520"/>
    <n v="0.95499999999999996"/>
    <n v="2"/>
    <n v="0"/>
    <n v="0.5"/>
  </r>
  <r>
    <s v="NVO"/>
    <n v="6"/>
    <n v="1023"/>
    <n v="0.78499999999999981"/>
    <n v="2"/>
    <n v="2"/>
    <n v="0"/>
  </r>
  <r>
    <s v="SOFI"/>
    <n v="5"/>
    <n v="561"/>
    <n v="0.75"/>
    <n v="1"/>
    <n v="0"/>
    <n v="0.2"/>
  </r>
  <r>
    <s v="UAL"/>
    <n v="2"/>
    <n v="7206"/>
    <n v="0.98499999999999999"/>
    <n v="0"/>
    <n v="2"/>
    <n v="-1"/>
  </r>
  <r>
    <s v="COST"/>
    <n v="11"/>
    <n v="1423"/>
    <n v="0.58454545454545448"/>
    <n v="2"/>
    <n v="1"/>
    <n v="9.0909090909090912E-2"/>
  </r>
  <r>
    <s v="USO"/>
    <n v="7"/>
    <n v="267"/>
    <n v="0.8114285714285715"/>
    <n v="0"/>
    <n v="2"/>
    <n v="-0.2857142857142857"/>
  </r>
  <r>
    <s v="SNAP"/>
    <n v="10"/>
    <n v="340"/>
    <n v="0.56600000000000006"/>
    <n v="5"/>
    <n v="4"/>
    <n v="0.1"/>
  </r>
  <r>
    <s v="NFLX"/>
    <n v="2"/>
    <n v="4979"/>
    <n v="0.88"/>
    <n v="0"/>
    <n v="1"/>
    <n v="-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20260320"/>
    <n v="42"/>
    <n v="45"/>
    <n v="10"/>
    <n v="2"/>
    <n v="95"/>
    <n v="194"/>
    <x v="0"/>
  </r>
  <r>
    <n v="20260323"/>
    <n v="63"/>
    <n v="30"/>
    <n v="7"/>
    <n v="1"/>
    <n v="100"/>
    <n v="201"/>
    <x v="0"/>
  </r>
  <r>
    <n v="20260324"/>
    <n v="40"/>
    <n v="33"/>
    <n v="5"/>
    <n v="1"/>
    <n v="72"/>
    <n v="151"/>
    <x v="0"/>
  </r>
  <r>
    <n v="20260326"/>
    <n v="54"/>
    <n v="33"/>
    <n v="7"/>
    <m/>
    <n v="73"/>
    <n v="167"/>
    <x v="1"/>
  </r>
  <r>
    <n v="20260327"/>
    <n v="47"/>
    <n v="33"/>
    <n v="7"/>
    <n v="4"/>
    <n v="104"/>
    <n v="195"/>
    <x v="1"/>
  </r>
  <r>
    <n v="20260330"/>
    <n v="48"/>
    <n v="37"/>
    <n v="9"/>
    <m/>
    <n v="109"/>
    <n v="203"/>
    <x v="1"/>
  </r>
  <r>
    <n v="20260331"/>
    <n v="65"/>
    <n v="26"/>
    <n v="8"/>
    <m/>
    <n v="69"/>
    <n v="168"/>
    <x v="1"/>
  </r>
  <r>
    <n v="20260401"/>
    <n v="46"/>
    <n v="25"/>
    <n v="14"/>
    <n v="2"/>
    <n v="77"/>
    <n v="164"/>
    <x v="2"/>
  </r>
  <r>
    <n v="20260402"/>
    <n v="101"/>
    <n v="75"/>
    <n v="20"/>
    <n v="7"/>
    <n v="149"/>
    <n v="352"/>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
  <r>
    <n v="33"/>
    <s v="investing"/>
    <s v="Is anyone still just dumping new money straight into S&amp;P 500 in 2026?"/>
    <n v="226"/>
    <n v="405"/>
    <n v="0.74"/>
    <n v="20260402"/>
    <b v="0"/>
    <x v="0"/>
    <x v="0"/>
  </r>
  <r>
    <n v="44"/>
    <s v="investing"/>
    <s v="What stocks donâ€™t correlate with the major tech / top S&amp;P 500 stocks?"/>
    <n v="148"/>
    <n v="112"/>
    <n v="0.91"/>
    <n v="20260402"/>
    <b v="0"/>
    <x v="0"/>
    <x v="1"/>
  </r>
  <r>
    <n v="45"/>
    <s v="investing"/>
    <s v="ðŸš¨ Meta and YouTube found liable in social media addiction case, potential implications for business models"/>
    <n v="140"/>
    <n v="27"/>
    <n v="0.89"/>
    <n v="20260330"/>
    <b v="0"/>
    <x v="1"/>
    <x v="2"/>
  </r>
  <r>
    <n v="51"/>
    <s v="investing"/>
    <s v="Long-time Tesla bull flips to sell, sees stock plunging to $150 amid AI concerns"/>
    <n v="109"/>
    <n v="27"/>
    <n v="0.84"/>
    <n v="20260402"/>
    <b v="0"/>
    <x v="2"/>
    <x v="2"/>
  </r>
  <r>
    <n v="55"/>
    <s v="investing"/>
    <s v="Who has a 10+ year track record of beating the S&amp;P500?"/>
    <n v="103"/>
    <n v="184"/>
    <n v="0.76"/>
    <n v="20260326"/>
    <b v="0"/>
    <x v="0"/>
    <x v="1"/>
  </r>
  <r>
    <n v="63"/>
    <s v="investing"/>
    <s v="Is Novo Nordisk the new &quot;Intel&quot;? (When high ROE meets a falling knife)"/>
    <n v="66"/>
    <n v="26"/>
    <n v="0.85"/>
    <n v="20260402"/>
    <b v="0"/>
    <x v="3"/>
    <x v="3"/>
  </r>
  <r>
    <n v="78"/>
    <s v="investing"/>
    <s v="Oklo Announces DOE Approval for Nuclear Safety Design Agreement of Aurora Powerhouse at Idaho National Laboratory"/>
    <n v="40"/>
    <n v="4"/>
    <n v="0.84"/>
    <n v="20260320"/>
    <b v="0"/>
    <x v="4"/>
    <x v="4"/>
  </r>
  <r>
    <n v="86"/>
    <s v="investing"/>
    <s v="Bought more META a day or 2 before court decision"/>
    <n v="33"/>
    <n v="49"/>
    <n v="0.75"/>
    <n v="20260401"/>
    <b v="0"/>
    <x v="1"/>
    <x v="3"/>
  </r>
  <r>
    <n v="87"/>
    <s v="investing"/>
    <s v="Nvidia and Nebius thoughts? Long term and short term positions before and after 2030."/>
    <n v="29"/>
    <n v="7"/>
    <n v="0.89"/>
    <n v="20260330"/>
    <b v="0"/>
    <x v="5"/>
    <x v="1"/>
  </r>
  <r>
    <n v="123"/>
    <s v="investing"/>
    <s v="Does it make sense to diversify AMZN right now?"/>
    <n v="11"/>
    <n v="15"/>
    <n v="0.66"/>
    <n v="20260402"/>
    <b v="0"/>
    <x v="6"/>
    <x v="1"/>
  </r>
  <r>
    <n v="161"/>
    <s v="investing"/>
    <s v="MRVL ripping after NVDA deal, anyone digging into this?"/>
    <n v="7"/>
    <n v="0"/>
    <n v="0.74"/>
    <n v="20260402"/>
    <b v="0"/>
    <x v="5"/>
    <x v="4"/>
  </r>
  <r>
    <n v="164"/>
    <s v="investing"/>
    <s v="NVIDIA Segment Level Revenue for Singapore"/>
    <n v="7"/>
    <n v="2"/>
    <n v="0.89"/>
    <n v="20260330"/>
    <b v="0"/>
    <x v="5"/>
    <x v="1"/>
  </r>
  <r>
    <n v="175"/>
    <s v="investing"/>
    <s v="Different investor strategies: When to buy the SPX dip?"/>
    <n v="6"/>
    <n v="10"/>
    <n v="0.72"/>
    <n v="20260402"/>
    <b v="0"/>
    <x v="0"/>
    <x v="3"/>
  </r>
  <r>
    <n v="188"/>
    <s v="investing"/>
    <s v="Savings sitting in USFR, but eyeing VOO/SPY."/>
    <n v="5"/>
    <n v="7"/>
    <n v="0.67"/>
    <n v="20260402"/>
    <b v="0"/>
    <x v="0"/>
    <x v="1"/>
  </r>
  <r>
    <n v="211"/>
    <s v="investing"/>
    <s v="Am I missing something on UiPath ($PATH)? The market is sleeping on the Microsoft and Deloitte deals, their unmatched security moat, and the massive sector validation from Meta buying Manus."/>
    <n v="4"/>
    <n v="19"/>
    <n v="0.57999999999999996"/>
    <n v="20260327"/>
    <b v="1"/>
    <x v="7"/>
    <x v="4"/>
  </r>
  <r>
    <n v="220"/>
    <s v="investing"/>
    <s v="Planet Labs surges after earnings, perhaps the next ASTS / RKLB?"/>
    <n v="3"/>
    <n v="5"/>
    <n v="0.57999999999999996"/>
    <n v="20260323"/>
    <b v="0"/>
    <x v="8"/>
    <x v="1"/>
  </r>
  <r>
    <n v="240"/>
    <s v="investing"/>
    <s v="META Scenario: Oversold but Healthy - Worth Watching?"/>
    <n v="2"/>
    <n v="8"/>
    <n v="0.67"/>
    <n v="20260401"/>
    <b v="0"/>
    <x v="1"/>
    <x v="3"/>
  </r>
  <r>
    <n v="243"/>
    <s v="investing"/>
    <s v="Where can I track BofA / JPM / GS index targets (S&amp;P 500, Gold) in one place?"/>
    <n v="2"/>
    <n v="1"/>
    <n v="0.63"/>
    <n v="20260401"/>
    <b v="0"/>
    <x v="0"/>
    <x v="1"/>
  </r>
  <r>
    <n v="266"/>
    <s v="investing"/>
    <s v="I'm getting a lot less bullish on Apple"/>
    <n v="0"/>
    <n v="25"/>
    <n v="0.34"/>
    <n v="20260320"/>
    <b v="0"/>
    <x v="9"/>
    <x v="2"/>
  </r>
  <r>
    <n v="271"/>
    <s v="investing"/>
    <s v="Mr &quot;big short&quot; michael burry is shortin NVDA? i am surprised"/>
    <n v="0"/>
    <n v="14"/>
    <n v="0.25"/>
    <n v="20260320"/>
    <b v="0"/>
    <x v="5"/>
    <x v="4"/>
  </r>
  <r>
    <n v="273"/>
    <s v="investing"/>
    <s v="Timing my next S&amp;P 500 Lump Sum (10k-12k) considering Midterms and Geopolitical Volatility?"/>
    <n v="0"/>
    <n v="10"/>
    <n v="0.35"/>
    <n v="20260402"/>
    <b v="0"/>
    <x v="0"/>
    <x v="1"/>
  </r>
  <r>
    <n v="294"/>
    <s v="investing"/>
    <s v="Why are SNDK and MU up so much the past 9 months?"/>
    <n v="0"/>
    <n v="12"/>
    <n v="0.5"/>
    <n v="20260402"/>
    <b v="0"/>
    <x v="10"/>
    <x v="1"/>
  </r>
  <r>
    <n v="295"/>
    <s v="investing"/>
    <s v="$NVDA Analysis Fundamental"/>
    <n v="0"/>
    <n v="5"/>
    <n v="0.33"/>
    <n v="20260402"/>
    <b v="1"/>
    <x v="5"/>
    <x v="1"/>
  </r>
  <r>
    <n v="325"/>
    <s v="investing"/>
    <s v="MU is a strong buy in my model"/>
    <n v="0"/>
    <n v="42"/>
    <n v="0.5"/>
    <n v="20260330"/>
    <b v="0"/>
    <x v="10"/>
    <x v="1"/>
  </r>
  <r>
    <n v="326"/>
    <s v="investing"/>
    <s v="Why do we fall for the sunk cost fallacy?"/>
    <n v="0"/>
    <n v="51"/>
    <n v="0.39"/>
    <n v="20260330"/>
    <b v="0"/>
    <x v="11"/>
    <x v="1"/>
  </r>
  <r>
    <n v="352"/>
    <s v="investing"/>
    <s v="How close to cost basis can you tolerate your investments getting?"/>
    <n v="0"/>
    <n v="24"/>
    <n v="0.41"/>
    <n v="20260330"/>
    <b v="0"/>
    <x v="11"/>
    <x v="1"/>
  </r>
  <r>
    <n v="362"/>
    <s v="investing"/>
    <s v="QuÃ© comprar para la recesiÃ³n que se viene, Walmart o Costco son buenas alternativas?"/>
    <n v="0"/>
    <n v="2"/>
    <n v="0.2"/>
    <n v="20260320"/>
    <b v="0"/>
    <x v="11"/>
    <x v="1"/>
  </r>
  <r>
    <n v="384"/>
    <s v="investing"/>
    <s v="Time travel to 2012, Google or Meta?"/>
    <n v="0"/>
    <n v="6"/>
    <n v="0.33"/>
    <n v="20260401"/>
    <b v="0"/>
    <x v="12"/>
    <x v="1"/>
  </r>
  <r>
    <n v="385"/>
    <s v="investing"/>
    <s v="The hidden cost of constantly checking your portfolio"/>
    <n v="0"/>
    <n v="14"/>
    <n v="0.48"/>
    <n v="20260324"/>
    <b v="0"/>
    <x v="11"/>
    <x v="1"/>
  </r>
  <r>
    <n v="392"/>
    <s v="options"/>
    <s v="MSFT Looking cheap. Eyeing $360 Call 8/21"/>
    <n v="265"/>
    <n v="127"/>
    <n v="0.9"/>
    <n v="20260402"/>
    <b v="0"/>
    <x v="7"/>
    <x v="4"/>
  </r>
  <r>
    <n v="396"/>
    <s v="options"/>
    <s v="I tracked 60 SPX iron condor fills against displayed mid and the gap explains my entire P&amp;L"/>
    <n v="136"/>
    <n v="82"/>
    <n v="0.94"/>
    <n v="20260323"/>
    <b v="0"/>
    <x v="0"/>
    <x v="1"/>
  </r>
  <r>
    <n v="405"/>
    <s v="options"/>
    <s v="meta and msft"/>
    <n v="53"/>
    <n v="55"/>
    <n v="0.9"/>
    <n v="20260331"/>
    <b v="0"/>
    <x v="7"/>
    <x v="1"/>
  </r>
  <r>
    <n v="411"/>
    <s v="options"/>
    <s v="The war is killing the market and NVDA isnâ€™t helping"/>
    <n v="42"/>
    <n v="51"/>
    <n v="0.77"/>
    <n v="20260326"/>
    <b v="0"/>
    <x v="5"/>
    <x v="2"/>
  </r>
  <r>
    <n v="421"/>
    <s v="options"/>
    <s v="Selling covered calls way below Cost Basis"/>
    <n v="29"/>
    <n v="44"/>
    <n v="0.85"/>
    <n v="20260402"/>
    <b v="0"/>
    <x v="11"/>
    <x v="1"/>
  </r>
  <r>
    <n v="424"/>
    <s v="options"/>
    <s v="SPX GEX into the close, sitting on a $4B gamma wall at 6600"/>
    <n v="25"/>
    <n v="39"/>
    <n v="0.73"/>
    <n v="20260331"/>
    <b v="0"/>
    <x v="0"/>
    <x v="1"/>
  </r>
  <r>
    <n v="425"/>
    <s v="options"/>
    <s v="Managing SOFI cash secured puts?"/>
    <n v="25"/>
    <n v="40"/>
    <n v="0.77"/>
    <n v="20260331"/>
    <b v="0"/>
    <x v="13"/>
    <x v="1"/>
  </r>
  <r>
    <n v="427"/>
    <s v="options"/>
    <s v="Leaps calls on meta &amp; MSFT"/>
    <n v="25"/>
    <n v="19"/>
    <n v="0.86"/>
    <n v="20260401"/>
    <b v="0"/>
    <x v="7"/>
    <x v="4"/>
  </r>
  <r>
    <n v="428"/>
    <s v="options"/>
    <s v="Micron Technology $MU Earnings vol crush setup - market looks mispriced here!"/>
    <n v="24"/>
    <n v="75"/>
    <n v="0.74"/>
    <n v="20260327"/>
    <b v="1"/>
    <x v="10"/>
    <x v="2"/>
  </r>
  <r>
    <n v="431"/>
    <s v="options"/>
    <s v="SPX under high IV. Great for Income Strategies."/>
    <n v="23"/>
    <n v="53"/>
    <n v="0.78"/>
    <n v="20260331"/>
    <b v="0"/>
    <x v="0"/>
    <x v="2"/>
  </r>
  <r>
    <n v="432"/>
    <s v="options"/>
    <s v="SPX OpEx Morning: Spot at 6,580 | Sitting Directly on the Deepest Negative GEX Bar."/>
    <n v="22"/>
    <n v="35"/>
    <n v="0.73"/>
    <n v="20260320"/>
    <b v="0"/>
    <x v="0"/>
    <x v="1"/>
  </r>
  <r>
    <n v="436"/>
    <s v="options"/>
    <s v="NVDA Option Premiums fell off a cliff over the weekend"/>
    <n v="20"/>
    <n v="14"/>
    <n v="0.76"/>
    <n v="20260330"/>
    <b v="0"/>
    <x v="5"/>
    <x v="1"/>
  </r>
  <r>
    <n v="446"/>
    <s v="options"/>
    <s v="margin maintenance requirements for short SPX options"/>
    <n v="17"/>
    <n v="16"/>
    <n v="0.95"/>
    <n v="20260330"/>
    <b v="0"/>
    <x v="0"/>
    <x v="1"/>
  </r>
  <r>
    <n v="456"/>
    <s v="options"/>
    <s v="Selling NVDA Puts"/>
    <n v="15"/>
    <n v="38"/>
    <n v="0.72"/>
    <n v="20260320"/>
    <b v="0"/>
    <x v="5"/>
    <x v="4"/>
  </r>
  <r>
    <n v="465"/>
    <s v="options"/>
    <s v="SPX &amp; XSP spreads"/>
    <n v="12"/>
    <n v="52"/>
    <n v="0.81"/>
    <n v="20260402"/>
    <b v="0"/>
    <x v="0"/>
    <x v="1"/>
  </r>
  <r>
    <n v="473"/>
    <s v="options"/>
    <s v="spy after hour analysis."/>
    <n v="11"/>
    <n v="11"/>
    <n v="0.64"/>
    <n v="20260402"/>
    <b v="0"/>
    <x v="0"/>
    <x v="1"/>
  </r>
  <r>
    <n v="475"/>
    <s v="options"/>
    <s v="Iron condor spx 0dte"/>
    <n v="10"/>
    <n v="46"/>
    <n v="0.7"/>
    <n v="20260330"/>
    <b v="0"/>
    <x v="0"/>
    <x v="1"/>
  </r>
  <r>
    <n v="486"/>
    <s v="options"/>
    <s v="Credit spread SPX vs SPY?"/>
    <n v="8"/>
    <n v="29"/>
    <n v="0.67"/>
    <n v="20260331"/>
    <b v="0"/>
    <x v="0"/>
    <x v="1"/>
  </r>
  <r>
    <n v="488"/>
    <s v="options"/>
    <s v="Lots of Positive Put Deltas (SPY option deltas date 3/26/26)"/>
    <n v="8"/>
    <n v="16"/>
    <n v="0.84"/>
    <n v="20260331"/>
    <b v="0"/>
    <x v="0"/>
    <x v="1"/>
  </r>
  <r>
    <n v="489"/>
    <s v="options"/>
    <s v="SPY Call Credit Spread Risk if Currently $10+ OTM"/>
    <n v="8"/>
    <n v="16"/>
    <n v="0.83"/>
    <n v="20260324"/>
    <b v="0"/>
    <x v="0"/>
    <x v="1"/>
  </r>
  <r>
    <n v="492"/>
    <s v="options"/>
    <s v="Tsla June 2027 collar options, 3 dollar downside, 47 upside."/>
    <n v="8"/>
    <n v="5"/>
    <n v="0.79"/>
    <n v="20260331"/>
    <b v="0"/>
    <x v="2"/>
    <x v="1"/>
  </r>
  <r>
    <n v="504"/>
    <s v="options"/>
    <s v="Meta call recommendations"/>
    <n v="6"/>
    <n v="24"/>
    <n v="0.69"/>
    <n v="20260326"/>
    <b v="0"/>
    <x v="1"/>
    <x v="4"/>
  </r>
  <r>
    <n v="505"/>
    <s v="options"/>
    <s v="Micron $MU Earnings Trade Follow-up. Beats but volatility was underpriced (breakdown)"/>
    <n v="6"/>
    <n v="15"/>
    <n v="0.87"/>
    <n v="20260323"/>
    <b v="1"/>
    <x v="10"/>
    <x v="3"/>
  </r>
  <r>
    <n v="512"/>
    <s v="options"/>
    <s v="$META puts â€” the ad business looks bulletproof until you stress-test the regulatory assumptions"/>
    <n v="5"/>
    <n v="8"/>
    <n v="0.62"/>
    <n v="20260401"/>
    <b v="1"/>
    <x v="1"/>
    <x v="2"/>
  </r>
  <r>
    <n v="519"/>
    <s v="options"/>
    <s v="USO BNO Calls. CVNA puts"/>
    <n v="5"/>
    <n v="4"/>
    <n v="0.69"/>
    <n v="20260320"/>
    <b v="0"/>
    <x v="14"/>
    <x v="1"/>
  </r>
  <r>
    <n v="531"/>
    <s v="options"/>
    <s v="Trading USO with wide term calendars"/>
    <n v="4"/>
    <n v="7"/>
    <n v="0.7"/>
    <n v="20260320"/>
    <b v="0"/>
    <x v="14"/>
    <x v="1"/>
  </r>
  <r>
    <n v="533"/>
    <s v="options"/>
    <s v="15-min delayed option chain data into Google Sheets? Free?"/>
    <n v="3"/>
    <n v="21"/>
    <n v="0.71"/>
    <n v="20260330"/>
    <b v="0"/>
    <x v="12"/>
    <x v="1"/>
  </r>
  <r>
    <n v="540"/>
    <s v="options"/>
    <s v="spy analysis"/>
    <n v="3"/>
    <n v="6"/>
    <n v="0.8"/>
    <n v="20260402"/>
    <b v="0"/>
    <x v="0"/>
    <x v="1"/>
  </r>
  <r>
    <n v="541"/>
    <s v="options"/>
    <s v="Naked Put on Margin - MSFT"/>
    <n v="3"/>
    <n v="5"/>
    <n v="1"/>
    <n v="20260331"/>
    <b v="0"/>
    <x v="7"/>
    <x v="1"/>
  </r>
  <r>
    <n v="549"/>
    <s v="options"/>
    <s v="Need to scrub bid price for a particular symbol and expiry into Google Sheets."/>
    <n v="2"/>
    <n v="17"/>
    <n v="0.67"/>
    <n v="20260323"/>
    <b v="0"/>
    <x v="12"/>
    <x v="1"/>
  </r>
  <r>
    <n v="558"/>
    <s v="options"/>
    <s v="$PLTR â€” The AIP numbers are real and the US commercial acceleration is being ignored"/>
    <n v="1"/>
    <n v="14"/>
    <n v="0.52"/>
    <n v="20260401"/>
    <b v="1"/>
    <x v="15"/>
    <x v="4"/>
  </r>
  <r>
    <n v="562"/>
    <s v="options"/>
    <s v="Put credit spread on spy 657/664"/>
    <n v="1"/>
    <n v="16"/>
    <n v="0.54"/>
    <n v="20260323"/>
    <b v="0"/>
    <x v="0"/>
    <x v="2"/>
  </r>
  <r>
    <n v="578"/>
    <s v="options"/>
    <s v="IBKR fees (SPX)"/>
    <n v="0"/>
    <n v="50"/>
    <n v="0.41"/>
    <n v="20260327"/>
    <b v="0"/>
    <x v="0"/>
    <x v="1"/>
  </r>
  <r>
    <n v="579"/>
    <s v="options"/>
    <s v="03/25 SPY Options"/>
    <n v="0"/>
    <n v="4"/>
    <n v="0.45"/>
    <n v="20260327"/>
    <b v="0"/>
    <x v="0"/>
    <x v="1"/>
  </r>
  <r>
    <n v="581"/>
    <s v="options"/>
    <s v="I beat my own backtests trading 0DTE SPX options"/>
    <n v="0"/>
    <n v="8"/>
    <n v="0.1"/>
    <n v="20260327"/>
    <b v="0"/>
    <x v="0"/>
    <x v="1"/>
  </r>
  <r>
    <n v="582"/>
    <s v="options"/>
    <s v="4:15 pm spy options"/>
    <n v="0"/>
    <n v="24"/>
    <n v="0.4"/>
    <n v="20260327"/>
    <b v="0"/>
    <x v="0"/>
    <x v="1"/>
  </r>
  <r>
    <n v="596"/>
    <s v="options"/>
    <s v="For 0DTE traders: Do you trade SPX AM expire options"/>
    <n v="0"/>
    <n v="9"/>
    <n v="0.47"/>
    <n v="20260327"/>
    <b v="0"/>
    <x v="0"/>
    <x v="1"/>
  </r>
  <r>
    <n v="597"/>
    <s v="options"/>
    <s v="$GOOGL puts â€” the ad moat is more fragile than the $175B capex story implies"/>
    <n v="0"/>
    <n v="11"/>
    <n v="0.32"/>
    <n v="20260402"/>
    <b v="1"/>
    <x v="12"/>
    <x v="1"/>
  </r>
  <r>
    <n v="603"/>
    <s v="options"/>
    <s v="Oklo Class A $OKLO Earnings Trade Vol Crush Setup"/>
    <n v="0"/>
    <n v="3"/>
    <n v="0.5"/>
    <n v="20260326"/>
    <b v="1"/>
    <x v="4"/>
    <x v="1"/>
  </r>
  <r>
    <n v="612"/>
    <s v="options"/>
    <s v="AAPL | Weekly Bull Put Spread"/>
    <n v="0"/>
    <n v="0"/>
    <n v="0.44"/>
    <n v="20260402"/>
    <b v="0"/>
    <x v="9"/>
    <x v="4"/>
  </r>
  <r>
    <n v="634"/>
    <s v="stockmarket"/>
    <s v="$3 TRILLION swing market cap in 56 minutes this morning, just in the S&amp;P 500."/>
    <n v="2556"/>
    <n v="288"/>
    <n v="0.97"/>
    <n v="20260331"/>
    <b v="0"/>
    <x v="0"/>
    <x v="2"/>
  </r>
  <r>
    <n v="635"/>
    <s v="stockmarket"/>
    <s v="The S&amp;P 500 ETF, SPY, posts a massive reversal in after hours trade, now up over +1% - Market Manipulation"/>
    <n v="2449"/>
    <n v="431"/>
    <n v="0.93"/>
    <n v="20260326"/>
    <b v="0"/>
    <x v="0"/>
    <x v="3"/>
  </r>
  <r>
    <n v="657"/>
    <s v="stockmarket"/>
    <s v="S&amp;P 500 officially closes the day up +2.9%, adding +$1.7 TRILLION of market cap - Biggest daily gain since May 2025."/>
    <n v="1168"/>
    <n v="225"/>
    <n v="0.93"/>
    <n v="20260402"/>
    <b v="0"/>
    <x v="0"/>
    <x v="4"/>
  </r>
  <r>
    <n v="670"/>
    <s v="stockmarket"/>
    <s v="US Stocks Fall; S&amp;P 500 Set for Longest Losing Streak Since â€˜22"/>
    <n v="724"/>
    <n v="106"/>
    <n v="0.98"/>
    <n v="20260330"/>
    <b v="0"/>
    <x v="0"/>
    <x v="2"/>
  </r>
  <r>
    <n v="677"/>
    <s v="stockmarket"/>
    <s v="United Airlines cuts 5% of flights as fuel costs surge, warns of up to $11B annual hit"/>
    <n v="654"/>
    <n v="33"/>
    <n v="0.99"/>
    <n v="20260326"/>
    <b v="0"/>
    <x v="16"/>
    <x v="2"/>
  </r>
  <r>
    <n v="687"/>
    <s v="stockmarket"/>
    <s v="S&amp;P 500 falls to new low for year on Iran oil crisis, posts third-straight losing week: Live updates"/>
    <n v="514"/>
    <n v="70"/>
    <n v="0.98"/>
    <n v="20260320"/>
    <b v="0"/>
    <x v="0"/>
    <x v="2"/>
  </r>
  <r>
    <n v="708"/>
    <s v="stockmarket"/>
    <s v="Stock market today: Dow, S&amp;P 500, Nasdaq sink as oil swings amid Iran war jitters"/>
    <n v="421"/>
    <n v="82"/>
    <n v="0.98"/>
    <n v="20260326"/>
    <b v="0"/>
    <x v="0"/>
    <x v="2"/>
  </r>
  <r>
    <n v="710"/>
    <s v="stockmarket"/>
    <s v="Long-time Tesla bull flips to sell, sees stock plunging to $150 amid AI concerns By Investing.com"/>
    <n v="387"/>
    <n v="57"/>
    <n v="0.97"/>
    <n v="20260402"/>
    <b v="0"/>
    <x v="2"/>
    <x v="2"/>
  </r>
  <r>
    <n v="712"/>
    <s v="stockmarket"/>
    <s v="S&amp;P 500 rises as market continues rebound from Iran conflict turmoil"/>
    <n v="375"/>
    <n v="84"/>
    <n v="0.95"/>
    <n v="20260323"/>
    <b v="0"/>
    <x v="0"/>
    <x v="4"/>
  </r>
  <r>
    <n v="714"/>
    <s v="stockmarket"/>
    <s v="Google Just Locked In Power Equal to 2 Million Homesâ€¦ For One Data Center"/>
    <n v="363"/>
    <n v="55"/>
    <n v="0.94"/>
    <n v="20260326"/>
    <b v="0"/>
    <x v="12"/>
    <x v="4"/>
  </r>
  <r>
    <n v="715"/>
    <s v="stockmarket"/>
    <s v="US Tech Stocks Have Gone From 47% More Expensive Than the S&amp;P 500 to Just a 4% Premium in Less Than 6 Months. The Lowest Since 2019 and on Track to Be Cheaper Than the Broader Market for the First Time Since 2017"/>
    <n v="363"/>
    <n v="63"/>
    <n v="0.96"/>
    <n v="20260402"/>
    <b v="0"/>
    <x v="0"/>
    <x v="4"/>
  </r>
  <r>
    <n v="716"/>
    <s v="stockmarket"/>
    <s v="Pentagon adopts Palantir Maven AI as core military system, securing long term funding and deeper integration across US forces"/>
    <n v="363"/>
    <n v="95"/>
    <n v="0.96"/>
    <n v="20260326"/>
    <b v="0"/>
    <x v="15"/>
    <x v="4"/>
  </r>
  <r>
    <n v="719"/>
    <s v="stockmarket"/>
    <s v="Stock market today: Dow, S&amp;P 500, Nasdaq rise as oil tops $100 again, Fed meeting kicks off"/>
    <n v="349"/>
    <n v="113"/>
    <n v="0.97"/>
    <n v="20260320"/>
    <b v="0"/>
    <x v="0"/>
    <x v="2"/>
  </r>
  <r>
    <n v="726"/>
    <s v="stockmarket"/>
    <s v="Stock market today: Dow, S&amp;P 500, Nasdaq futures fall as 4-week down spiral continues, Trump threatens Iran"/>
    <n v="317"/>
    <n v="66"/>
    <n v="0.98"/>
    <n v="20260324"/>
    <b v="0"/>
    <x v="0"/>
    <x v="2"/>
  </r>
  <r>
    <n v="727"/>
    <s v="stockmarket"/>
    <s v="Jury in Los Angeles finds Meta, YouTube negligent in social media addiction trial"/>
    <n v="313"/>
    <n v="36"/>
    <n v="0.98"/>
    <n v="20260331"/>
    <b v="0"/>
    <x v="1"/>
    <x v="2"/>
  </r>
  <r>
    <n v="732"/>
    <s v="stockmarket"/>
    <s v="Microsoft Set for Worst Quarter Since 2008 as AI Takes Two Bites"/>
    <n v="298"/>
    <n v="42"/>
    <n v="0.98"/>
    <n v="20260402"/>
    <b v="0"/>
    <x v="7"/>
    <x v="3"/>
  </r>
  <r>
    <n v="733"/>
    <s v="stockmarket"/>
    <s v="Stock market today: Dow, S&amp;P 500, Nasdaq sell off to end another brutal week as Iran war rages"/>
    <n v="296"/>
    <n v="44"/>
    <n v="0.96"/>
    <n v="20260327"/>
    <b v="0"/>
    <x v="0"/>
    <x v="2"/>
  </r>
  <r>
    <n v="734"/>
    <s v="stockmarket"/>
    <s v="Stock market today: Dow, S&amp;P 500, Nasdaq futures climb as oil rises with US and Iran targeting energy infrastructure"/>
    <n v="287"/>
    <n v="87"/>
    <n v="0.95"/>
    <n v="20260320"/>
    <b v="0"/>
    <x v="0"/>
    <x v="2"/>
  </r>
  <r>
    <n v="736"/>
    <s v="stockmarket"/>
    <s v="Meta is shutting down VR social platform Horizon Worlds in further pivot away from the metaverse"/>
    <n v="276"/>
    <n v="45"/>
    <n v="0.99"/>
    <n v="20260324"/>
    <b v="0"/>
    <x v="1"/>
    <x v="3"/>
  </r>
  <r>
    <n v="740"/>
    <s v="stockmarket"/>
    <s v="Meta planning sweeping layoffs as AI costs mount"/>
    <n v="260"/>
    <n v="54"/>
    <n v="0.99"/>
    <n v="20260320"/>
    <b v="0"/>
    <x v="1"/>
    <x v="2"/>
  </r>
  <r>
    <n v="741"/>
    <s v="stockmarket"/>
    <s v="Amazon says AWS' Bahrain region 'disrupted' following drone activity"/>
    <n v="259"/>
    <n v="15"/>
    <n v="1"/>
    <n v="20260331"/>
    <b v="0"/>
    <x v="6"/>
    <x v="2"/>
  </r>
  <r>
    <n v="753"/>
    <s v="stockmarket"/>
    <s v="Stock market today: Dow, S&amp;P 500, Nasdaq futures soar as Trump postpones Iran strike, citing 'very good' talks"/>
    <n v="213"/>
    <n v="104"/>
    <n v="0.89"/>
    <n v="20260324"/>
    <b v="0"/>
    <x v="0"/>
    <x v="4"/>
  </r>
  <r>
    <n v="756"/>
    <s v="stockmarket"/>
    <s v="Microsoft weighs legal action over $50B Amazon-OpenAI cloud deal, raising risk to Azure exclusivity in AI race"/>
    <n v="192"/>
    <n v="11"/>
    <n v="0.98"/>
    <n v="20260323"/>
    <b v="0"/>
    <x v="6"/>
    <x v="2"/>
  </r>
  <r>
    <n v="757"/>
    <s v="stockmarket"/>
    <s v="Stock market today: Dow, S&amp;P 500, Nasdaq futures waver after rally as Iran war drags on"/>
    <n v="179"/>
    <n v="17"/>
    <n v="0.98"/>
    <n v="20260331"/>
    <b v="0"/>
    <x v="0"/>
    <x v="3"/>
  </r>
  <r>
    <n v="758"/>
    <s v="stockmarket"/>
    <s v="Snap Inc is extremely close to officially being &quot;worth&quot; less than it was at its 2018 rock bottom."/>
    <n v="177"/>
    <n v="44"/>
    <n v="0.94"/>
    <n v="20260326"/>
    <b v="0"/>
    <x v="17"/>
    <x v="2"/>
  </r>
  <r>
    <n v="761"/>
    <s v="stockmarket"/>
    <s v="Super Micro shares tank 25% after employees charged with smuggling Nvidia chips to China"/>
    <n v="161"/>
    <n v="0"/>
    <n v="1"/>
    <n v="20260327"/>
    <b v="0"/>
    <x v="5"/>
    <x v="2"/>
  </r>
  <r>
    <n v="767"/>
    <s v="stockmarket"/>
    <s v="S&amp;P 500 Technical View"/>
    <n v="144"/>
    <n v="60"/>
    <n v="0.86"/>
    <n v="20260330"/>
    <b v="0"/>
    <x v="0"/>
    <x v="1"/>
  </r>
  <r>
    <n v="768"/>
    <s v="stockmarket"/>
    <s v="Stock market today: Dow, S&amp;P 500, Nasdaq futures fall after PPI inflation comes in hot ahead of Fed decision"/>
    <n v="143"/>
    <n v="6"/>
    <n v="0.98"/>
    <n v="20260323"/>
    <b v="0"/>
    <x v="0"/>
    <x v="2"/>
  </r>
  <r>
    <n v="769"/>
    <s v="stockmarket"/>
    <s v="Microsoft Freezes Hiring in Major Cloud and Sales Groups"/>
    <n v="141"/>
    <n v="4"/>
    <n v="0.97"/>
    <n v="20260330"/>
    <b v="0"/>
    <x v="7"/>
    <x v="2"/>
  </r>
  <r>
    <n v="774"/>
    <s v="stockmarket"/>
    <s v="Broadcom is now bigger than Meta and Tesla"/>
    <n v="124"/>
    <n v="18"/>
    <n v="0.98"/>
    <n v="20260330"/>
    <b v="0"/>
    <x v="2"/>
    <x v="4"/>
  </r>
  <r>
    <n v="779"/>
    <s v="stockmarket"/>
    <s v="Amazon expands 1 hour delivery across US cities, escalating logistics war with Walmart and raising pressure on retail margins"/>
    <n v="109"/>
    <n v="28"/>
    <n v="0.98"/>
    <n v="20260320"/>
    <b v="0"/>
    <x v="6"/>
    <x v="4"/>
  </r>
  <r>
    <n v="780"/>
    <s v="stockmarket"/>
    <s v="A critical Fed meeting, $100 oil, and Micron earnings: What to watch this week"/>
    <n v="105"/>
    <n v="18"/>
    <n v="0.97"/>
    <n v="20260320"/>
    <b v="0"/>
    <x v="10"/>
    <x v="2"/>
  </r>
  <r>
    <n v="782"/>
    <s v="stockmarket"/>
    <s v="Stock market today: Dow, S&amp;P 500, Nasdaq slide amid inflation worries as Iran war sends oil surging"/>
    <n v="101"/>
    <n v="7"/>
    <n v="0.99"/>
    <n v="20260326"/>
    <b v="0"/>
    <x v="0"/>
    <x v="2"/>
  </r>
  <r>
    <n v="785"/>
    <s v="stockmarket"/>
    <s v="Stock market today: Dow, S&amp;P 500, Nasdaq futures rise with Fed decision on deck"/>
    <n v="97"/>
    <n v="11"/>
    <n v="0.96"/>
    <n v="20260320"/>
    <b v="0"/>
    <x v="0"/>
    <x v="4"/>
  </r>
  <r>
    <n v="798"/>
    <s v="stockmarket"/>
    <s v="OpenAI ends Disney partnership as it closes Sora video-making app"/>
    <n v="72"/>
    <n v="9"/>
    <n v="0.96"/>
    <n v="20260401"/>
    <b v="0"/>
    <x v="18"/>
    <x v="2"/>
  </r>
  <r>
    <n v="799"/>
    <s v="stockmarket"/>
    <s v="Alibaba -4% premarket as profit drops 67%, revenue rises 2%, cloud prices rise 34%, signaling urgent AI monetization push"/>
    <n v="70"/>
    <n v="4"/>
    <n v="0.99"/>
    <n v="20260320"/>
    <b v="0"/>
    <x v="19"/>
    <x v="3"/>
  </r>
  <r>
    <n v="810"/>
    <s v="stockmarket"/>
    <s v="Micron record quarter - The generational memory boom is alive and well"/>
    <n v="60"/>
    <n v="41"/>
    <n v="0.9"/>
    <n v="20260320"/>
    <b v="0"/>
    <x v="10"/>
    <x v="4"/>
  </r>
  <r>
    <n v="811"/>
    <s v="stockmarket"/>
    <s v="Huawei targets ~750K AI chip shipments as Alibaba and ByteDance plan orders, sources say"/>
    <n v="59"/>
    <n v="3"/>
    <n v="0.96"/>
    <n v="20260331"/>
    <b v="0"/>
    <x v="19"/>
    <x v="4"/>
  </r>
  <r>
    <n v="812"/>
    <s v="stockmarket"/>
    <s v="Nvidia CEO Huang says company sees more than $1 trillion in sales through 2027"/>
    <n v="55"/>
    <n v="5"/>
    <n v="0.86"/>
    <n v="20260320"/>
    <b v="0"/>
    <x v="5"/>
    <x v="4"/>
  </r>
  <r>
    <n v="817"/>
    <s v="stockmarket"/>
    <s v="PINS, RDDT, SNAP all got absolutely hammered since January 2. First came SaaS apocalypse. Then came the Strait of Hormuz situation. How will these stocks recover?"/>
    <n v="44"/>
    <n v="35"/>
    <n v="0.78"/>
    <n v="20260330"/>
    <b v="0"/>
    <x v="17"/>
    <x v="2"/>
  </r>
  <r>
    <n v="818"/>
    <s v="stockmarket"/>
    <s v="S&amp;P 500 constituents with largest drawdown from 52 week highs."/>
    <n v="40"/>
    <n v="10"/>
    <n v="0.85"/>
    <n v="20260330"/>
    <b v="0"/>
    <x v="0"/>
    <x v="1"/>
  </r>
  <r>
    <n v="824"/>
    <s v="stockmarket"/>
    <s v="Market open shows heavy hedging across megacap tech as NVDA and META see largest put skew"/>
    <n v="34"/>
    <n v="9"/>
    <n v="0.92"/>
    <n v="20260324"/>
    <b v="0"/>
    <x v="5"/>
    <x v="2"/>
  </r>
  <r>
    <n v="827"/>
    <s v="stockmarket"/>
    <s v="Stock Futures Surge Higher - Bitcoin Snap Losing Streak and Oil shed to begin New Quarter"/>
    <n v="28"/>
    <n v="33"/>
    <n v="0.77"/>
    <n v="20260402"/>
    <b v="0"/>
    <x v="17"/>
    <x v="4"/>
  </r>
  <r>
    <n v="830"/>
    <s v="stockmarket"/>
    <s v="Took a position in RKLB and ASTSâ€¦ not as obvious as it looks"/>
    <n v="20"/>
    <n v="29"/>
    <n v="0.86"/>
    <n v="20260327"/>
    <b v="0"/>
    <x v="8"/>
    <x v="2"/>
  </r>
  <r>
    <n v="835"/>
    <s v="stockmarket"/>
    <s v="Stock market today: Dow, S&amp;P 500, Nasdaq futures inch down after stocks bounce back amid 3-week losing streak"/>
    <n v="14"/>
    <n v="0"/>
    <n v="0.79"/>
    <n v="20260320"/>
    <b v="0"/>
    <x v="0"/>
    <x v="4"/>
  </r>
  <r>
    <n v="852"/>
    <s v="stockmarket"/>
    <s v="All Eyes on Nvidia GTC 2026. Will It Push NVDA Higher Again?"/>
    <n v="7"/>
    <n v="10"/>
    <n v="0.62"/>
    <n v="20260320"/>
    <b v="0"/>
    <x v="5"/>
    <x v="4"/>
  </r>
  <r>
    <n v="853"/>
    <s v="stockmarket"/>
    <s v="Oklo Announces DOE Approval for Nuclear Safety Design Agreement of Aurora Powerhouse at Idaho National Laboratory"/>
    <n v="7"/>
    <n v="2"/>
    <n v="0.81"/>
    <n v="20260323"/>
    <b v="0"/>
    <x v="4"/>
    <x v="4"/>
  </r>
  <r>
    <n v="875"/>
    <s v="stockmarket"/>
    <s v="SNAP, RDDT. When does the relief rally enter the room?"/>
    <n v="0"/>
    <n v="42"/>
    <n v="0.42"/>
    <n v="20260402"/>
    <b v="0"/>
    <x v="17"/>
    <x v="4"/>
  </r>
  <r>
    <n v="888"/>
    <s v="stocks"/>
    <s v="a $3 TRILLION swing market cap in 56 minutes, just in the S&amp;P 500."/>
    <n v="3078"/>
    <n v="348"/>
    <n v="0.96"/>
    <n v="20260326"/>
    <b v="0"/>
    <x v="0"/>
    <x v="2"/>
  </r>
  <r>
    <n v="896"/>
    <s v="stocks"/>
    <s v="Getting out of Palantir"/>
    <n v="1878"/>
    <n v="538"/>
    <n v="0.89"/>
    <n v="20260327"/>
    <b v="0"/>
    <x v="15"/>
    <x v="2"/>
  </r>
  <r>
    <n v="904"/>
    <s v="stocks"/>
    <s v="Microsoft freefall"/>
    <n v="1265"/>
    <n v="300"/>
    <n v="0.94"/>
    <n v="20260331"/>
    <b v="0"/>
    <x v="7"/>
    <x v="2"/>
  </r>
  <r>
    <n v="917"/>
    <s v="stocks"/>
    <s v="S&amp;P 500 No longer OVERVALUED"/>
    <n v="881"/>
    <n v="428"/>
    <n v="0.81"/>
    <n v="20260330"/>
    <b v="0"/>
    <x v="0"/>
    <x v="4"/>
  </r>
  <r>
    <n v="923"/>
    <s v="stocks"/>
    <s v="Jury orders Meta and Google to pay woman $6 million in social media addiction trial"/>
    <n v="815"/>
    <n v="337"/>
    <n v="0.96"/>
    <n v="20260327"/>
    <b v="0"/>
    <x v="12"/>
    <x v="4"/>
  </r>
  <r>
    <n v="938"/>
    <s v="stocks"/>
    <s v="Microsoft announces sweeping Windows changes"/>
    <n v="570"/>
    <n v="177"/>
    <n v="0.97"/>
    <n v="20260323"/>
    <b v="0"/>
    <x v="7"/>
    <x v="2"/>
  </r>
  <r>
    <n v="939"/>
    <s v="stocks"/>
    <s v="The S&amp;P 500 is 50 day Moving Average is now below the 100 day Moving Average"/>
    <n v="532"/>
    <n v="150"/>
    <n v="0.95"/>
    <n v="20260331"/>
    <b v="0"/>
    <x v="0"/>
    <x v="1"/>
  </r>
  <r>
    <n v="950"/>
    <s v="stocks"/>
    <s v="$GOOGL down 3% today and trending all over Reddit, is anyone actually buying this dip?"/>
    <n v="430"/>
    <n v="205"/>
    <n v="0.86"/>
    <n v="20260327"/>
    <b v="1"/>
    <x v="12"/>
    <x v="3"/>
  </r>
  <r>
    <n v="960"/>
    <s v="stocks"/>
    <s v="Long-time Tesla bull flips to sell, sees stock plunging to $150 amid AI concerns"/>
    <n v="378"/>
    <n v="89"/>
    <n v="0.94"/>
    <n v="20260402"/>
    <b v="0"/>
    <x v="2"/>
    <x v="2"/>
  </r>
  <r>
    <n v="970"/>
    <s v="stocks"/>
    <s v="Is market overreacting about Microsoft?"/>
    <n v="308"/>
    <n v="257"/>
    <n v="0.87"/>
    <n v="20260327"/>
    <b v="0"/>
    <x v="7"/>
    <x v="1"/>
  </r>
  <r>
    <n v="974"/>
    <s v="stocks"/>
    <s v="If 35x earnings felt wild for Costco, how are we supposed to feel about 50x?"/>
    <n v="300"/>
    <n v="124"/>
    <n v="0.92"/>
    <n v="20260326"/>
    <b v="0"/>
    <x v="11"/>
    <x v="2"/>
  </r>
  <r>
    <n v="981"/>
    <s v="stocks"/>
    <s v="Meta stock is falling this AM (-5.6%)"/>
    <n v="277"/>
    <n v="296"/>
    <n v="0.91"/>
    <n v="20260327"/>
    <b v="0"/>
    <x v="1"/>
    <x v="2"/>
  </r>
  <r>
    <n v="986"/>
    <s v="stocks"/>
    <s v="Everyone is panic selling NVO while the WHO is literally begging for more supply."/>
    <n v="242"/>
    <n v="68"/>
    <n v="0.87"/>
    <n v="20260323"/>
    <b v="0"/>
    <x v="3"/>
    <x v="1"/>
  </r>
  <r>
    <n v="989"/>
    <s v="stocks"/>
    <s v="Been a fun ride with Micron"/>
    <n v="226"/>
    <n v="149"/>
    <n v="0.91"/>
    <n v="20260402"/>
    <b v="0"/>
    <x v="10"/>
    <x v="1"/>
  </r>
  <r>
    <n v="990"/>
    <s v="stocks"/>
    <s v="MSFTâ€¦ What kind of Volume Indicator is this?!?!"/>
    <n v="220"/>
    <n v="62"/>
    <n v="0.91"/>
    <n v="20260323"/>
    <b v="0"/>
    <x v="7"/>
    <x v="2"/>
  </r>
  <r>
    <n v="993"/>
    <s v="stocks"/>
    <s v="Nvidia to sell 1 million GPUs to Amazon through 2026 and 2027"/>
    <n v="212"/>
    <n v="24"/>
    <n v="0.96"/>
    <n v="20260323"/>
    <b v="0"/>
    <x v="5"/>
    <x v="2"/>
  </r>
  <r>
    <n v="994"/>
    <s v="stocks"/>
    <s v="Supermicro stock plunges 26% after US charges co-founder with conspiracy to smuggle Nvidia chips to China"/>
    <n v="206"/>
    <n v="48"/>
    <n v="0.97"/>
    <n v="20260323"/>
    <b v="0"/>
    <x v="5"/>
    <x v="4"/>
  </r>
  <r>
    <n v="997"/>
    <s v="stocks"/>
    <s v="Uber to invest up to $1.25 billion in EV maker Rivian in deal to launch 50,000 robotaxis"/>
    <n v="199"/>
    <n v="37"/>
    <n v="0.97"/>
    <n v="20260323"/>
    <b v="0"/>
    <x v="20"/>
    <x v="2"/>
  </r>
  <r>
    <n v="999"/>
    <s v="stocks"/>
    <s v="Would love to hear perspectives from current/ex Microsoft employees. Do you think MSFT is a buy??"/>
    <n v="193"/>
    <n v="152"/>
    <n v="0.8"/>
    <n v="20260330"/>
    <b v="0"/>
    <x v="7"/>
    <x v="3"/>
  </r>
  <r>
    <n v="1002"/>
    <s v="stocks"/>
    <s v="Micron Now Trading for 24X Next Quarter's Earnings While Growing Earnings by 900%"/>
    <n v="185"/>
    <n v="102"/>
    <n v="0.93"/>
    <n v="20260323"/>
    <b v="0"/>
    <x v="10"/>
    <x v="4"/>
  </r>
  <r>
    <n v="1003"/>
    <s v="stocks"/>
    <s v="What is meta trying to become with all this AI spending"/>
    <n v="181"/>
    <n v="125"/>
    <n v="0.93"/>
    <n v="20260330"/>
    <b v="0"/>
    <x v="1"/>
    <x v="1"/>
  </r>
  <r>
    <n v="1006"/>
    <s v="stocks"/>
    <s v="Micron Technology Non-GAAP EPS of $12.20, Est $8.66, revenue of $23.86B, Est $19.3B, Guides for EPS of $19.15, Est $11.7"/>
    <n v="173"/>
    <n v="97"/>
    <n v="0.95"/>
    <n v="20260320"/>
    <b v="0"/>
    <x v="10"/>
    <x v="4"/>
  </r>
  <r>
    <n v="1008"/>
    <s v="stocks"/>
    <s v="U.S. prosecutors charge Super Micro Computer employees with smuggling Nvidia chips to China"/>
    <n v="172"/>
    <n v="25"/>
    <n v="0.98"/>
    <n v="20260323"/>
    <b v="0"/>
    <x v="5"/>
    <x v="2"/>
  </r>
  <r>
    <n v="1009"/>
    <s v="stocks"/>
    <s v="Warren Buffett says he sold Apple too soon and would buy more of it, though not in this market"/>
    <n v="168"/>
    <n v="25"/>
    <n v="0.96"/>
    <n v="20260402"/>
    <b v="0"/>
    <x v="9"/>
    <x v="3"/>
  </r>
  <r>
    <n v="1013"/>
    <s v="stocks"/>
    <s v="Micron stock falls more than 4% despite Q2 earnings beat amid growth concerns"/>
    <n v="136"/>
    <n v="65"/>
    <n v="0.94"/>
    <n v="20260320"/>
    <b v="0"/>
    <x v="10"/>
    <x v="2"/>
  </r>
  <r>
    <n v="1019"/>
    <s v="stocks"/>
    <s v="Palantir U.S. Commercial Revenue grew 109% YoY in 2025. Is the &quot;government contractor&quot; label finally dead?"/>
    <n v="128"/>
    <n v="56"/>
    <n v="0.75"/>
    <n v="20260323"/>
    <b v="0"/>
    <x v="15"/>
    <x v="4"/>
  </r>
  <r>
    <n v="1020"/>
    <s v="stocks"/>
    <s v="Alibaba reveals new AI chip designed for â€˜agentsâ€™"/>
    <n v="126"/>
    <n v="16"/>
    <n v="0.91"/>
    <n v="20260326"/>
    <b v="0"/>
    <x v="19"/>
    <x v="4"/>
  </r>
  <r>
    <n v="1028"/>
    <s v="stocks"/>
    <s v="How long are we supposed to wait for AMZN?"/>
    <n v="101"/>
    <n v="70"/>
    <n v="0.79"/>
    <n v="20260330"/>
    <b v="0"/>
    <x v="6"/>
    <x v="1"/>
  </r>
  <r>
    <n v="1034"/>
    <s v="stocks"/>
    <s v="Since SPY and NDX are officially down 5-7% on the year, what are the loses of your portfolio YTD"/>
    <n v="88"/>
    <n v="192"/>
    <n v="0.88"/>
    <n v="20260330"/>
    <b v="0"/>
    <x v="0"/>
    <x v="2"/>
  </r>
  <r>
    <n v="1035"/>
    <s v="stocks"/>
    <s v="Whatâ€™s going on with Micron (MU)?"/>
    <n v="86"/>
    <n v="141"/>
    <n v="0.82"/>
    <n v="20260330"/>
    <b v="0"/>
    <x v="10"/>
    <x v="1"/>
  </r>
  <r>
    <n v="1039"/>
    <s v="stocks"/>
    <s v="Buying Alphabet now? Correlation of tech stocks to Iran?"/>
    <n v="71"/>
    <n v="44"/>
    <n v="0.87"/>
    <n v="20260323"/>
    <b v="0"/>
    <x v="12"/>
    <x v="3"/>
  </r>
  <r>
    <n v="1046"/>
    <s v="stocks"/>
    <s v="Amazon eyes $9 billion Globalstar deal to rival SpaceX's Starlink, FT reports"/>
    <n v="58"/>
    <n v="7"/>
    <n v="0.91"/>
    <n v="20260402"/>
    <b v="0"/>
    <x v="6"/>
    <x v="2"/>
  </r>
  <r>
    <n v="1049"/>
    <s v="stocks"/>
    <s v="Meta hiring contracted by 31% over the last week."/>
    <n v="57"/>
    <n v="28"/>
    <n v="0.82"/>
    <n v="20260330"/>
    <b v="0"/>
    <x v="1"/>
    <x v="1"/>
  </r>
  <r>
    <n v="1050"/>
    <s v="stocks"/>
    <s v="I need genuine advice on Micron"/>
    <n v="55"/>
    <n v="152"/>
    <n v="0.67"/>
    <n v="20260402"/>
    <b v="0"/>
    <x v="10"/>
    <x v="4"/>
  </r>
  <r>
    <n v="1054"/>
    <s v="stocks"/>
    <s v="Tesla's first-quarter deliveries miss estimates as tax credit expiry weighs"/>
    <n v="52"/>
    <n v="8"/>
    <n v="0.96"/>
    <n v="20260402"/>
    <b v="0"/>
    <x v="2"/>
    <x v="1"/>
  </r>
  <r>
    <n v="1058"/>
    <s v="stocks"/>
    <s v="Rocket Lab Secures $190M Contract for 20x HASTE Launches, Cements Hypersonics Leadership with Department of War Partnership"/>
    <n v="50"/>
    <n v="13"/>
    <n v="0.91"/>
    <n v="20260323"/>
    <b v="0"/>
    <x v="8"/>
    <x v="2"/>
  </r>
  <r>
    <n v="1060"/>
    <s v="stocks"/>
    <s v="Key points from recent interview with Rocket Lab($RKLB) CFO Adam Spice"/>
    <n v="48"/>
    <n v="0"/>
    <n v="0.91"/>
    <n v="20260327"/>
    <b v="1"/>
    <x v="8"/>
    <x v="1"/>
  </r>
  <r>
    <n v="1070"/>
    <s v="stocks"/>
    <s v="Timing my next S&amp;P 500 Lump Sum (10k-12k) considering Midterms and Geopolitical Volatility?"/>
    <n v="39"/>
    <n v="80"/>
    <n v="0.69"/>
    <n v="20260402"/>
    <b v="0"/>
    <x v="0"/>
    <x v="1"/>
  </r>
  <r>
    <n v="1071"/>
    <s v="stocks"/>
    <s v="Anthony Noto bought another $1.5M of SoFi shares in the past 15 days"/>
    <n v="39"/>
    <n v="9"/>
    <n v="0.82"/>
    <n v="20260320"/>
    <b v="0"/>
    <x v="13"/>
    <x v="1"/>
  </r>
  <r>
    <n v="1073"/>
    <s v="stocks"/>
    <s v="These lawsuits on META arenâ€™t the catalyst people think it is. Cambridge Analytica was far far worse."/>
    <n v="37"/>
    <n v="5"/>
    <n v="0.84"/>
    <n v="20260330"/>
    <b v="0"/>
    <x v="1"/>
    <x v="2"/>
  </r>
  <r>
    <n v="1079"/>
    <s v="stocks"/>
    <s v="Senators query Nvidiaâ€™s Groq deal, NVDA says did not acquire Groq"/>
    <n v="32"/>
    <n v="8"/>
    <n v="0.9"/>
    <n v="20260323"/>
    <b v="0"/>
    <x v="5"/>
    <x v="4"/>
  </r>
  <r>
    <n v="1087"/>
    <s v="stocks"/>
    <s v="Netflix sees more prospects for live events in South Korea after BTS"/>
    <n v="28"/>
    <n v="14"/>
    <n v="0.79"/>
    <n v="20260323"/>
    <b v="0"/>
    <x v="21"/>
    <x v="1"/>
  </r>
  <r>
    <n v="1093"/>
    <s v="stocks"/>
    <s v="Tesla first-quarter deliveries likely to dip sequentially as EV demand softens"/>
    <n v="22"/>
    <n v="13"/>
    <n v="0.75"/>
    <n v="20260402"/>
    <b v="0"/>
    <x v="2"/>
    <x v="1"/>
  </r>
  <r>
    <n v="1099"/>
    <s v="stocks"/>
    <s v="Last Minute bulk buy of $SPY"/>
    <n v="20"/>
    <n v="42"/>
    <n v="0.7"/>
    <n v="20260330"/>
    <b v="1"/>
    <x v="0"/>
    <x v="4"/>
  </r>
  <r>
    <n v="1102"/>
    <s v="stocks"/>
    <s v="Could Rocket Lab serve as a defense stock?"/>
    <n v="19"/>
    <n v="17"/>
    <n v="0.71"/>
    <n v="20260323"/>
    <b v="0"/>
    <x v="8"/>
    <x v="4"/>
  </r>
  <r>
    <n v="1110"/>
    <s v="stocks"/>
    <s v="Iâ€™ve been analyzing options strategies on Meta and MU. What do you guys think?"/>
    <n v="15"/>
    <n v="12"/>
    <n v="0.78"/>
    <n v="20260401"/>
    <b v="0"/>
    <x v="1"/>
    <x v="1"/>
  </r>
  <r>
    <n v="1112"/>
    <s v="stocks"/>
    <s v="question about USO . if anyone knows the answer"/>
    <n v="15"/>
    <n v="23"/>
    <n v="0.78"/>
    <n v="20260327"/>
    <b v="0"/>
    <x v="14"/>
    <x v="1"/>
  </r>
  <r>
    <n v="1115"/>
    <s v="stocks"/>
    <s v="Has anyone here been tracking MUâ€™s Technicals? I have a question for technical traders."/>
    <n v="15"/>
    <n v="17"/>
    <n v="0.78"/>
    <n v="20260324"/>
    <b v="0"/>
    <x v="10"/>
    <x v="1"/>
  </r>
  <r>
    <n v="1120"/>
    <s v="stocks"/>
    <s v="Is Arm Holdings ADR (ARM) a great deal right now? (march 25, 2026)"/>
    <n v="14"/>
    <n v="11"/>
    <n v="0.77"/>
    <n v="20260327"/>
    <b v="0"/>
    <x v="22"/>
    <x v="4"/>
  </r>
  <r>
    <n v="1131"/>
    <s v="stocks"/>
    <s v="Nvidia may not stop selling GPUs to SMCI"/>
    <n v="12"/>
    <n v="10"/>
    <n v="0.75"/>
    <n v="20260323"/>
    <b v="0"/>
    <x v="5"/>
    <x v="4"/>
  </r>
  <r>
    <n v="1138"/>
    <s v="stocks"/>
    <s v="Nvidia Sees $1T in AI Orders by 2027, but Most U.S. Investors Canâ€™t Own the Chinese Suppliers Behind 60% of Its Optical Modules"/>
    <n v="10"/>
    <n v="9"/>
    <n v="0.7"/>
    <n v="20260320"/>
    <b v="0"/>
    <x v="5"/>
    <x v="2"/>
  </r>
  <r>
    <n v="1139"/>
    <s v="stocks"/>
    <s v="Exclusive: Rivian CEO on how its Uber deal came together, and why the AI 'driver' is the future of mobility"/>
    <n v="10"/>
    <n v="1"/>
    <n v="0.81"/>
    <n v="20260326"/>
    <b v="0"/>
    <x v="20"/>
    <x v="4"/>
  </r>
  <r>
    <n v="1151"/>
    <s v="stocks"/>
    <s v="META: Do you have any credible thesis?"/>
    <n v="9"/>
    <n v="8"/>
    <n v="0.85"/>
    <n v="20260402"/>
    <b v="0"/>
    <x v="1"/>
    <x v="1"/>
  </r>
  <r>
    <n v="1160"/>
    <s v="stocks"/>
    <s v="Qualitative thoughts on CELH v Costco. Love to hear your thoughts?"/>
    <n v="8"/>
    <n v="13"/>
    <n v="0.75"/>
    <n v="20260326"/>
    <b v="0"/>
    <x v="11"/>
    <x v="1"/>
  </r>
  <r>
    <n v="1170"/>
    <s v="stocks"/>
    <s v="Looking at Altria... Maybe now is the time to buy Alphabet and Meta?"/>
    <n v="6"/>
    <n v="2"/>
    <n v="0.8"/>
    <n v="20260401"/>
    <b v="0"/>
    <x v="12"/>
    <x v="4"/>
  </r>
  <r>
    <n v="1175"/>
    <s v="stocks"/>
    <s v="Micron stock, cut my losses or keep buying?"/>
    <n v="6"/>
    <n v="83"/>
    <n v="0.55000000000000004"/>
    <n v="20260401"/>
    <b v="0"/>
    <x v="10"/>
    <x v="2"/>
  </r>
  <r>
    <n v="1177"/>
    <s v="stocks"/>
    <s v="NVO Price Target 25$ (Analysis)"/>
    <n v="6"/>
    <n v="2"/>
    <n v="0.75"/>
    <n v="20260401"/>
    <b v="0"/>
    <x v="3"/>
    <x v="2"/>
  </r>
  <r>
    <n v="1186"/>
    <s v="stocks"/>
    <s v="Stock market today: Dow, S&amp;P 500, Nasdaq futures soar as Trump postpones Iran strike, citing 'very good' talks"/>
    <n v="5"/>
    <n v="11"/>
    <n v="0.69"/>
    <n v="20260323"/>
    <b v="0"/>
    <x v="0"/>
    <x v="4"/>
  </r>
  <r>
    <n v="1231"/>
    <s v="stocks"/>
    <s v="The bear case on DUOL is valid, but the bull case, in my opinion deserves equal attention"/>
    <n v="1"/>
    <n v="26"/>
    <n v="0.52"/>
    <n v="20260331"/>
    <b v="0"/>
    <x v="23"/>
    <x v="1"/>
  </r>
  <r>
    <n v="1232"/>
    <s v="stocks"/>
    <s v="Thoughts on SMRs (OKLO)"/>
    <n v="1"/>
    <n v="11"/>
    <n v="0.55000000000000004"/>
    <n v="20260330"/>
    <b v="0"/>
    <x v="4"/>
    <x v="1"/>
  </r>
  <r>
    <n v="1240"/>
    <s v="stocks"/>
    <s v="Transferring Old 401k to IRA, Dollar Cost Average? If so, how?"/>
    <n v="1"/>
    <n v="3"/>
    <n v="1"/>
    <n v="20260327"/>
    <b v="0"/>
    <x v="11"/>
    <x v="1"/>
  </r>
  <r>
    <n v="1241"/>
    <s v="stocks"/>
    <s v="Give me ideas for individual equities to buy/look into? Bought my first $1K into MSFT yesterday! Trying to learn all the diff sectors~"/>
    <n v="1"/>
    <n v="3"/>
    <n v="0.67"/>
    <n v="20260401"/>
    <b v="0"/>
    <x v="7"/>
    <x v="4"/>
  </r>
  <r>
    <n v="1259"/>
    <s v="stocks"/>
    <s v="How low do you thin the S&amp;P 500 will go, and when?    (cristal ball anyone?)"/>
    <n v="0"/>
    <n v="51"/>
    <n v="0.26"/>
    <n v="20260330"/>
    <b v="0"/>
    <x v="0"/>
    <x v="2"/>
  </r>
  <r>
    <n v="1260"/>
    <s v="stocks"/>
    <s v="Micron Technology"/>
    <n v="0"/>
    <n v="26"/>
    <n v="0.2"/>
    <n v="20260402"/>
    <b v="0"/>
    <x v="10"/>
    <x v="1"/>
  </r>
  <r>
    <n v="1262"/>
    <s v="stocks"/>
    <s v="Apple at 50: From Apple I to the iPhone to AI and beyond"/>
    <n v="0"/>
    <n v="6"/>
    <n v="0.28999999999999998"/>
    <n v="20260402"/>
    <b v="0"/>
    <x v="9"/>
    <x v="1"/>
  </r>
  <r>
    <n v="1273"/>
    <s v="stocks"/>
    <s v="Could snap 7x this year?"/>
    <n v="0"/>
    <n v="28"/>
    <n v="0.19"/>
    <n v="20260402"/>
    <b v="0"/>
    <x v="17"/>
    <x v="4"/>
  </r>
  <r>
    <n v="1277"/>
    <s v="stocks"/>
    <s v="Setting up a $1M Portfolio with SPY, QQQ, VIG and GLD"/>
    <n v="0"/>
    <n v="4"/>
    <n v="0.2"/>
    <n v="20260330"/>
    <b v="0"/>
    <x v="0"/>
    <x v="1"/>
  </r>
  <r>
    <n v="1282"/>
    <s v="stocks"/>
    <s v="Wanna try buying my first individual stock in taxable account, is msft a good one? Maybe $5K. Any other big companies that took big dips?"/>
    <n v="0"/>
    <n v="40"/>
    <n v="0.33"/>
    <n v="20260402"/>
    <b v="0"/>
    <x v="7"/>
    <x v="1"/>
  </r>
  <r>
    <n v="1284"/>
    <s v="stocks"/>
    <s v="TSLA prediction markets just killed the breakout narrative"/>
    <n v="0"/>
    <n v="30"/>
    <n v="0.38"/>
    <n v="20260402"/>
    <b v="0"/>
    <x v="2"/>
    <x v="2"/>
  </r>
  <r>
    <n v="1292"/>
    <s v="stocks"/>
    <s v="RDDT vs SNAP"/>
    <n v="0"/>
    <n v="8"/>
    <n v="0.13"/>
    <n v="20260320"/>
    <b v="0"/>
    <x v="17"/>
    <x v="3"/>
  </r>
  <r>
    <n v="1299"/>
    <s v="stocks"/>
    <s v="Snap average price target is $7.9. So why is it currently trading for $4.5?"/>
    <n v="0"/>
    <n v="28"/>
    <n v="0.41"/>
    <n v="20260327"/>
    <b v="0"/>
    <x v="17"/>
    <x v="2"/>
  </r>
  <r>
    <n v="1307"/>
    <s v="stocks"/>
    <s v="Is Weebit Nano about to become next Micron?"/>
    <n v="0"/>
    <n v="7"/>
    <n v="0.28999999999999998"/>
    <n v="20260320"/>
    <b v="0"/>
    <x v="10"/>
    <x v="4"/>
  </r>
  <r>
    <n v="1308"/>
    <s v="stocks"/>
    <s v="Dell's stock price went up again today, and I'm really curious to know what everyone's average cost basis is"/>
    <n v="0"/>
    <n v="9"/>
    <n v="0.18"/>
    <n v="20260320"/>
    <b v="0"/>
    <x v="11"/>
    <x v="4"/>
  </r>
  <r>
    <n v="1322"/>
    <s v="stocks"/>
    <s v="Are we buying MSFT?"/>
    <n v="0"/>
    <n v="84"/>
    <n v="0.44"/>
    <n v="20260327"/>
    <b v="0"/>
    <x v="7"/>
    <x v="1"/>
  </r>
  <r>
    <n v="1325"/>
    <s v="stocks"/>
    <s v="What actually happened if you bought SPY on the worst day of every recent panic"/>
    <n v="0"/>
    <n v="71"/>
    <n v="0.46"/>
    <n v="20260327"/>
    <b v="0"/>
    <x v="0"/>
    <x v="4"/>
  </r>
  <r>
    <n v="1334"/>
    <s v="stocks"/>
    <s v="TSLA in the spotlight again â€“ politics, EV competition, and shifting focus"/>
    <n v="0"/>
    <n v="5"/>
    <n v="0.3"/>
    <n v="20260327"/>
    <b v="0"/>
    <x v="2"/>
    <x v="3"/>
  </r>
  <r>
    <n v="1341"/>
    <s v="stocks"/>
    <s v="Stock market today: Dow, S&amp;P 500, Nasdaq futures steady after relief rally on Trump's hint of Iran deescalation"/>
    <n v="0"/>
    <n v="6"/>
    <n v="0.28999999999999998"/>
    <n v="20260324"/>
    <b v="0"/>
    <x v="0"/>
    <x v="4"/>
  </r>
  <r>
    <n v="1346"/>
    <s v="stocks"/>
    <s v="I want to buy Alphabet. Should I do it now or wait till Monday in case Donnie escalates things in Iran over the weekend?"/>
    <n v="0"/>
    <n v="37"/>
    <n v="0.4"/>
    <n v="20260324"/>
    <b v="0"/>
    <x v="12"/>
    <x v="1"/>
  </r>
  <r>
    <n v="1349"/>
    <s v="stocks"/>
    <s v="SNAP- Is it a lost cause?"/>
    <n v="0"/>
    <n v="32"/>
    <n v="0.39"/>
    <n v="20260324"/>
    <b v="0"/>
    <x v="17"/>
    <x v="2"/>
  </r>
  <r>
    <n v="1354"/>
    <s v="stocks"/>
    <s v="Micron just confirmed HBM4 capacity for 2026 is sold out. The memory cycle is different this time."/>
    <n v="0"/>
    <n v="10"/>
    <n v="0.5"/>
    <n v="20260324"/>
    <b v="0"/>
    <x v="10"/>
    <x v="4"/>
  </r>
  <r>
    <n v="1359"/>
    <s v="stocks"/>
    <s v="Given China's robust economy throughout this conflict, any investment possibilities for low-cost Chinese companies listed on US exchange?"/>
    <n v="0"/>
    <n v="8"/>
    <n v="0.28999999999999998"/>
    <n v="20260324"/>
    <b v="0"/>
    <x v="11"/>
    <x v="4"/>
  </r>
  <r>
    <n v="1385"/>
    <s v="stocks"/>
    <s v="Is it good to buy VOO, Amazon, and Tesla right now?"/>
    <n v="0"/>
    <n v="15"/>
    <n v="0.31"/>
    <n v="20260331"/>
    <b v="0"/>
    <x v="2"/>
    <x v="4"/>
  </r>
  <r>
    <n v="1386"/>
    <s v="stocks"/>
    <s v="NVO has been falling for several days in a row and is now approaching its 52-week low..."/>
    <n v="0"/>
    <n v="14"/>
    <n v="0.33"/>
    <n v="20260331"/>
    <b v="0"/>
    <x v="3"/>
    <x v="2"/>
  </r>
  <r>
    <n v="1400"/>
    <s v="wallstreetbets"/>
    <s v="Disney Exits OpenAI $1 Billion Deal After AI Giant Shutters Sora"/>
    <n v="11614"/>
    <n v="673"/>
    <n v="0.98"/>
    <n v="20260330"/>
    <b v="0"/>
    <x v="18"/>
    <x v="2"/>
  </r>
  <r>
    <n v="1409"/>
    <s v="wallstreetbets"/>
    <s v="Micron, SanDisk Stocks Tumble After Google Unveils AI Memory Compression Breakthrough"/>
    <n v="7117"/>
    <n v="418"/>
    <n v="0.97"/>
    <n v="20260331"/>
    <b v="0"/>
    <x v="12"/>
    <x v="2"/>
  </r>
  <r>
    <n v="1411"/>
    <s v="wallstreetbets"/>
    <s v="United Airlines plans for oil hitting $175 a barrel and staying above $100 next year as industry faces worst shock since COVID"/>
    <n v="6552"/>
    <n v="431"/>
    <n v="0.98"/>
    <n v="20260326"/>
    <b v="0"/>
    <x v="16"/>
    <x v="2"/>
  </r>
  <r>
    <n v="1413"/>
    <s v="wallstreetbets"/>
    <s v="Microsoft Set for Worst Quarter Since 2008 as AI Takes Two Bites"/>
    <n v="5709"/>
    <n v="398"/>
    <n v="0.99"/>
    <n v="20260331"/>
    <b v="0"/>
    <x v="7"/>
    <x v="2"/>
  </r>
  <r>
    <n v="1417"/>
    <s v="wallstreetbets"/>
    <s v="Netflix raises prices across all streaming plans"/>
    <n v="4951"/>
    <n v="1082"/>
    <n v="0.97"/>
    <n v="20260330"/>
    <b v="0"/>
    <x v="21"/>
    <x v="2"/>
  </r>
  <r>
    <n v="1422"/>
    <s v="wallstreetbets"/>
    <s v="Meta Lays off hundreds of employees"/>
    <n v="4249"/>
    <n v="323"/>
    <n v="0.97"/>
    <n v="20260330"/>
    <b v="0"/>
    <x v="1"/>
    <x v="2"/>
  </r>
  <r>
    <n v="1438"/>
    <s v="wallstreetbets"/>
    <s v="Jury awards $3M in social media addiction case, finds Meta 70% and YouTube 30% liable in landmark negligence verdict"/>
    <n v="2529"/>
    <n v="482"/>
    <n v="0.98"/>
    <n v="20260330"/>
    <b v="0"/>
    <x v="1"/>
    <x v="2"/>
  </r>
  <r>
    <n v="1453"/>
    <s v="wallstreetbets"/>
    <s v="MSFT is super under valued"/>
    <n v="1900"/>
    <n v="646"/>
    <n v="0.88"/>
    <n v="20260401"/>
    <b v="0"/>
    <x v="7"/>
    <x v="4"/>
  </r>
  <r>
    <n v="1467"/>
    <s v="wallstreetbets"/>
    <s v="Became a long term MSFT investor after trying to scalp some money for vacation money"/>
    <n v="1418"/>
    <n v="198"/>
    <n v="0.97"/>
    <n v="20260331"/>
    <b v="0"/>
    <x v="7"/>
    <x v="4"/>
  </r>
  <r>
    <n v="1468"/>
    <s v="wallstreetbets"/>
    <s v="Micron revenue almost triples, tops estimates as demand for memory soars"/>
    <n v="1408"/>
    <n v="167"/>
    <n v="0.98"/>
    <n v="20260323"/>
    <b v="0"/>
    <x v="10"/>
    <x v="4"/>
  </r>
  <r>
    <n v="1485"/>
    <s v="wallstreetbets"/>
    <s v="Option trading cost me 173 k in fees last year. Is there a bigger degenerate than I ?"/>
    <n v="1085"/>
    <n v="244"/>
    <n v="0.96"/>
    <n v="20260320"/>
    <b v="0"/>
    <x v="11"/>
    <x v="1"/>
  </r>
  <r>
    <n v="1487"/>
    <s v="wallstreetbets"/>
    <s v="A meteor just hit Ohio today.. this is the plot to every Alien invasion movie ever. Puts on SPY?"/>
    <n v="1041"/>
    <n v="139"/>
    <n v="0.94"/>
    <n v="20260320"/>
    <b v="0"/>
    <x v="0"/>
    <x v="2"/>
  </r>
  <r>
    <n v="1488"/>
    <s v="wallstreetbets"/>
    <s v="Microsoft freezes hiring in major cloud, sales groups, The Information reports"/>
    <n v="1033"/>
    <n v="99"/>
    <n v="0.98"/>
    <n v="20260331"/>
    <b v="0"/>
    <x v="7"/>
    <x v="2"/>
  </r>
  <r>
    <n v="1492"/>
    <s v="wallstreetbets"/>
    <s v="Samsung and SK Hynix Stocks Plunge Following Google's TurboQuant AI Memory Tech Reveal - Parameter"/>
    <n v="994"/>
    <n v="95"/>
    <n v="0.97"/>
    <n v="20260331"/>
    <b v="0"/>
    <x v="12"/>
    <x v="2"/>
  </r>
  <r>
    <n v="1493"/>
    <s v="wallstreetbets"/>
    <s v="Look SMCI,how about Dell, Asus, Quanta Computer all smuggling B300,H200 to Shenzhen to sell. China want latest but not old H100 or H200."/>
    <n v="982"/>
    <n v="73"/>
    <n v="0.97"/>
    <n v="20260324"/>
    <b v="0"/>
    <x v="24"/>
    <x v="2"/>
  </r>
  <r>
    <n v="1496"/>
    <s v="wallstreetbets"/>
    <s v="SPX drunk trading (Part 2) - 3.7K&gt;49K in 20 mins"/>
    <n v="931"/>
    <n v="134"/>
    <n v="0.95"/>
    <n v="20260326"/>
    <b v="0"/>
    <x v="0"/>
    <x v="4"/>
  </r>
  <r>
    <n v="1498"/>
    <s v="wallstreetbets"/>
    <s v="Exclusive-Amazon plans smartphone comeback more than a decade after Fire Phone flop"/>
    <n v="927"/>
    <n v="171"/>
    <n v="0.96"/>
    <n v="20260326"/>
    <b v="0"/>
    <x v="6"/>
    <x v="2"/>
  </r>
  <r>
    <n v="1503"/>
    <s v="wallstreetbets"/>
    <s v="$12k on MSFT, this will either age like milk or pay for my surgery."/>
    <n v="846"/>
    <n v="367"/>
    <n v="0.94"/>
    <n v="20260324"/>
    <b v="0"/>
    <x v="7"/>
    <x v="3"/>
  </r>
  <r>
    <n v="1522"/>
    <s v="wallstreetbets"/>
    <s v="Arm Holdings (ARM) up +13% as said it will start selling its own chips for 1st time. The new business is expected to generate ~$15b annually"/>
    <n v="541"/>
    <n v="62"/>
    <n v="0.97"/>
    <n v="20260330"/>
    <b v="0"/>
    <x v="22"/>
    <x v="4"/>
  </r>
  <r>
    <n v="1526"/>
    <s v="wallstreetbets"/>
    <s v="20K loss on SPY 0DTE puts"/>
    <n v="500"/>
    <n v="148"/>
    <n v="0.95"/>
    <n v="20260402"/>
    <b v="0"/>
    <x v="0"/>
    <x v="2"/>
  </r>
  <r>
    <n v="1531"/>
    <s v="wallstreetbets"/>
    <s v="MSFT $ 500 Call"/>
    <n v="435"/>
    <n v="232"/>
    <n v="0.88"/>
    <n v="20260327"/>
    <b v="0"/>
    <x v="7"/>
    <x v="4"/>
  </r>
  <r>
    <n v="1532"/>
    <s v="wallstreetbets"/>
    <s v="SpaceX in talks to favor E*Trade over Robinhood and SoFi for retail IPO shares"/>
    <n v="433"/>
    <n v="140"/>
    <n v="0.91"/>
    <n v="20260401"/>
    <b v="0"/>
    <x v="13"/>
    <x v="1"/>
  </r>
  <r>
    <n v="1535"/>
    <s v="wallstreetbets"/>
    <s v="Lilly's weight-loss pill wins US approval, sets up next battle with rival Novo Nordisk"/>
    <n v="405"/>
    <n v="50"/>
    <n v="0.97"/>
    <n v="20260402"/>
    <b v="0"/>
    <x v="3"/>
    <x v="4"/>
  </r>
  <r>
    <n v="1542"/>
    <s v="wallstreetbets"/>
    <s v="So you are telling me no SPY 700?"/>
    <n v="363"/>
    <n v="109"/>
    <n v="0.96"/>
    <n v="20260402"/>
    <b v="0"/>
    <x v="0"/>
    <x v="2"/>
  </r>
  <r>
    <n v="1544"/>
    <s v="wallstreetbets"/>
    <s v="Spx 0dte - drunk"/>
    <n v="328"/>
    <n v="40"/>
    <n v="0.94"/>
    <n v="20260402"/>
    <b v="0"/>
    <x v="0"/>
    <x v="1"/>
  </r>
  <r>
    <n v="1546"/>
    <s v="wallstreetbets"/>
    <s v="10K SPY puts because I feel like it"/>
    <n v="322"/>
    <n v="68"/>
    <n v="0.92"/>
    <n v="20260326"/>
    <b v="0"/>
    <x v="0"/>
    <x v="2"/>
  </r>
  <r>
    <n v="1547"/>
    <s v="wallstreetbets"/>
    <s v="RAM shortage = MU 7 bagger"/>
    <n v="319"/>
    <n v="40"/>
    <n v="0.94"/>
    <n v="20260320"/>
    <b v="0"/>
    <x v="10"/>
    <x v="4"/>
  </r>
  <r>
    <n v="1555"/>
    <s v="wallstreetbets"/>
    <s v="Novo Nordisk: Wegovy HD (semaglutide 7.2mg) approved by US FDA ($NVO $HIMS ðŸš€)"/>
    <n v="304"/>
    <n v="52"/>
    <n v="0.94"/>
    <n v="20260323"/>
    <b v="1"/>
    <x v="3"/>
    <x v="4"/>
  </r>
  <r>
    <n v="1567"/>
    <s v="wallstreetbets"/>
    <s v="Alibaba -4% premarket as profit drops 67%, revenue rises 2%, cloud prices rise 34%, signaling urgent AI monetization push"/>
    <n v="265"/>
    <n v="134"/>
    <n v="0.96"/>
    <n v="20260323"/>
    <b v="0"/>
    <x v="19"/>
    <x v="3"/>
  </r>
  <r>
    <n v="1580"/>
    <s v="wallstreetbets"/>
    <s v="$40k in one hour: SPY puts"/>
    <n v="240"/>
    <n v="59"/>
    <n v="0.87"/>
    <n v="20260327"/>
    <b v="0"/>
    <x v="0"/>
    <x v="2"/>
  </r>
  <r>
    <n v="1581"/>
    <s v="wallstreetbets"/>
    <s v="Amazon in talks to buy $9 billion satellite group Globalstar, FT reports"/>
    <n v="239"/>
    <n v="35"/>
    <n v="0.96"/>
    <n v="20260402"/>
    <b v="0"/>
    <x v="6"/>
    <x v="4"/>
  </r>
  <r>
    <n v="1588"/>
    <s v="wallstreetbets"/>
    <s v="20K SPY puts because the entire economy is held up by these guys"/>
    <n v="232"/>
    <n v="70"/>
    <n v="0.95"/>
    <n v="20260323"/>
    <b v="0"/>
    <x v="0"/>
    <x v="2"/>
  </r>
  <r>
    <n v="1593"/>
    <s v="wallstreetbets"/>
    <s v="SPX 0DTE or 0 brain cells â€” turned CPI report into +30k"/>
    <n v="217"/>
    <n v="50"/>
    <n v="0.92"/>
    <n v="20260320"/>
    <b v="0"/>
    <x v="0"/>
    <x v="4"/>
  </r>
  <r>
    <n v="1600"/>
    <s v="wallstreetbets"/>
    <s v="The Indictment Relating to SMCI is Bullish"/>
    <n v="211"/>
    <n v="146"/>
    <n v="0.9"/>
    <n v="20260323"/>
    <b v="0"/>
    <x v="24"/>
    <x v="4"/>
  </r>
  <r>
    <n v="1602"/>
    <s v="wallstreetbets"/>
    <s v="Murder by Microsoft"/>
    <n v="207"/>
    <n v="105"/>
    <n v="0.93"/>
    <n v="20260323"/>
    <b v="0"/>
    <x v="7"/>
    <x v="2"/>
  </r>
  <r>
    <n v="1603"/>
    <s v="wallstreetbets"/>
    <s v="100 google calls Yolo"/>
    <n v="204"/>
    <n v="82"/>
    <n v="0.93"/>
    <n v="20260327"/>
    <b v="0"/>
    <x v="12"/>
    <x v="4"/>
  </r>
  <r>
    <n v="1612"/>
    <s v="wallstreetbets"/>
    <s v="Full Port LEAPS RDDT GOOGL"/>
    <n v="188"/>
    <n v="96"/>
    <n v="0.93"/>
    <n v="20260331"/>
    <b v="0"/>
    <x v="12"/>
    <x v="4"/>
  </r>
  <r>
    <n v="1613"/>
    <s v="wallstreetbets"/>
    <s v="Tesla Q1 deliveries miss estimates in challenging EV landscape"/>
    <n v="186"/>
    <n v="79"/>
    <n v="0.98"/>
    <n v="20260402"/>
    <b v="0"/>
    <x v="2"/>
    <x v="2"/>
  </r>
  <r>
    <n v="1614"/>
    <s v="wallstreetbets"/>
    <s v="SPX puts ðŸ¥œgains"/>
    <n v="185"/>
    <n v="27"/>
    <n v="0.92"/>
    <n v="20260324"/>
    <b v="0"/>
    <x v="0"/>
    <x v="2"/>
  </r>
  <r>
    <n v="1620"/>
    <s v="wallstreetbets"/>
    <s v="I heard we like Microsoft! 20k on Jan 15 â€˜27 $450 calls"/>
    <n v="166"/>
    <n v="111"/>
    <n v="0.9"/>
    <n v="20260324"/>
    <b v="0"/>
    <x v="7"/>
    <x v="4"/>
  </r>
  <r>
    <n v="1621"/>
    <s v="wallstreetbets"/>
    <s v="buying leap calls on microsoft"/>
    <n v="163"/>
    <n v="103"/>
    <n v="0.92"/>
    <n v="20260402"/>
    <b v="0"/>
    <x v="7"/>
    <x v="4"/>
  </r>
  <r>
    <n v="1641"/>
    <s v="wallstreetbets"/>
    <s v="Just a bunch of 0dte spy"/>
    <n v="114"/>
    <n v="37"/>
    <n v="0.83"/>
    <n v="20260324"/>
    <b v="0"/>
    <x v="0"/>
    <x v="1"/>
  </r>
  <r>
    <n v="1645"/>
    <s v="wallstreetbets"/>
    <s v="SPY puts $5000 gain"/>
    <n v="112"/>
    <n v="18"/>
    <n v="0.92"/>
    <n v="20260401"/>
    <b v="0"/>
    <x v="0"/>
    <x v="2"/>
  </r>
  <r>
    <n v="1646"/>
    <s v="wallstreetbets"/>
    <s v="Oil in Middle Eastern Floating Storage Increased By 38 Million Barrels (USO BNO)"/>
    <n v="112"/>
    <n v="46"/>
    <n v="0.93"/>
    <n v="20260402"/>
    <b v="0"/>
    <x v="14"/>
    <x v="2"/>
  </r>
  <r>
    <n v="1648"/>
    <s v="wallstreetbets"/>
    <s v="spy puts"/>
    <n v="106"/>
    <n v="100"/>
    <n v="0.87"/>
    <n v="20260402"/>
    <b v="0"/>
    <x v="0"/>
    <x v="2"/>
  </r>
  <r>
    <n v="1654"/>
    <s v="wallstreetbets"/>
    <s v="10k 0dte spx puts gain"/>
    <n v="103"/>
    <n v="32"/>
    <n v="0.91"/>
    <n v="20260402"/>
    <b v="0"/>
    <x v="0"/>
    <x v="2"/>
  </r>
  <r>
    <n v="1662"/>
    <s v="wallstreetbets"/>
    <s v="SPX 0DTE - Drunk again"/>
    <n v="91"/>
    <n v="46"/>
    <n v="0.88"/>
    <n v="20260402"/>
    <b v="0"/>
    <x v="0"/>
    <x v="1"/>
  </r>
  <r>
    <n v="1664"/>
    <s v="wallstreetbets"/>
    <s v="~40k in Profit from Swing Trading 0DTE SPY Options"/>
    <n v="89"/>
    <n v="41"/>
    <n v="0.85"/>
    <n v="20260330"/>
    <b v="0"/>
    <x v="0"/>
    <x v="4"/>
  </r>
  <r>
    <n v="1669"/>
    <s v="wallstreetbets"/>
    <s v="Attempted SPY puts YOLO $27k w/ margin"/>
    <n v="87"/>
    <n v="64"/>
    <n v="0.84"/>
    <n v="20260330"/>
    <b v="0"/>
    <x v="0"/>
    <x v="2"/>
  </r>
  <r>
    <n v="1671"/>
    <s v="wallstreetbets"/>
    <s v="$69k Profit from SPX credit spreads - THANK YOU IRAN WAR (SYSTERIX - Mar 20, 2026)"/>
    <n v="85"/>
    <n v="86"/>
    <n v="0.76"/>
    <n v="20260324"/>
    <b v="0"/>
    <x v="0"/>
    <x v="4"/>
  </r>
  <r>
    <n v="1672"/>
    <s v="wallstreetbets"/>
    <s v="$87k by lunch: SPX 0dte puts"/>
    <n v="84"/>
    <n v="11"/>
    <n v="0.9"/>
    <n v="20260401"/>
    <b v="0"/>
    <x v="0"/>
    <x v="2"/>
  </r>
  <r>
    <n v="1673"/>
    <s v="wallstreetbets"/>
    <s v="5 bagger on SPY puts"/>
    <n v="84"/>
    <n v="16"/>
    <n v="0.92"/>
    <n v="20260327"/>
    <b v="0"/>
    <x v="0"/>
    <x v="2"/>
  </r>
  <r>
    <n v="1674"/>
    <s v="wallstreetbets"/>
    <s v="$13k SPY YOLO âœ…"/>
    <n v="84"/>
    <n v="44"/>
    <n v="0.89"/>
    <n v="20260324"/>
    <b v="0"/>
    <x v="0"/>
    <x v="4"/>
  </r>
  <r>
    <n v="1676"/>
    <s v="wallstreetbets"/>
    <s v="$15k+ in 2 min 0dte SPX - finally caught one"/>
    <n v="83"/>
    <n v="27"/>
    <n v="0.88"/>
    <n v="20260324"/>
    <b v="0"/>
    <x v="0"/>
    <x v="4"/>
  </r>
  <r>
    <n v="1679"/>
    <s v="wallstreetbets"/>
    <s v="0DTE $SPY gains"/>
    <n v="82"/>
    <n v="13"/>
    <n v="0.89"/>
    <n v="20260401"/>
    <b v="1"/>
    <x v="0"/>
    <x v="4"/>
  </r>
  <r>
    <n v="1685"/>
    <s v="wallstreetbets"/>
    <s v="MRVL +10% premarket after NVIDIA invests $2B in Marvell, expands AI ecosystem with NVLink Fusion partnership"/>
    <n v="75"/>
    <n v="35"/>
    <n v="0.89"/>
    <n v="20260401"/>
    <b v="0"/>
    <x v="5"/>
    <x v="4"/>
  </r>
  <r>
    <n v="1690"/>
    <s v="wallstreetbets"/>
    <s v="$USO $BNO YOLO. Rolled strikes another week. Oil $150+ in April."/>
    <n v="68"/>
    <n v="128"/>
    <n v="0.82"/>
    <n v="20260326"/>
    <b v="1"/>
    <x v="14"/>
    <x v="1"/>
  </r>
  <r>
    <n v="1692"/>
    <s v="wallstreetbets"/>
    <s v="This week was good, with MU earnings done, gonna take a break now"/>
    <n v="66"/>
    <n v="27"/>
    <n v="0.89"/>
    <n v="20260320"/>
    <b v="0"/>
    <x v="10"/>
    <x v="4"/>
  </r>
  <r>
    <n v="1693"/>
    <s v="wallstreetbets"/>
    <s v="+$12.8k in 2 hours trading shares only. SNDK WDC MU STX LITE COHR"/>
    <n v="66"/>
    <n v="29"/>
    <n v="0.86"/>
    <n v="20260323"/>
    <b v="0"/>
    <x v="10"/>
    <x v="4"/>
  </r>
  <r>
    <n v="1696"/>
    <s v="wallstreetbets"/>
    <s v="SPX 0dte Trading - Intermisson"/>
    <n v="64"/>
    <n v="15"/>
    <n v="0.88"/>
    <n v="20260327"/>
    <b v="0"/>
    <x v="0"/>
    <x v="1"/>
  </r>
  <r>
    <n v="1698"/>
    <s v="wallstreetbets"/>
    <s v="The SoFi Fair Value Debate: Why SoFi Could End The Debate Right Now By Complying with GAAP"/>
    <n v="63"/>
    <n v="85"/>
    <n v="0.74"/>
    <n v="20260327"/>
    <b v="0"/>
    <x v="13"/>
    <x v="4"/>
  </r>
  <r>
    <n v="1703"/>
    <s v="wallstreetbets"/>
    <s v="Snap Stock Gains After Activist Investor Takes New Stake"/>
    <n v="59"/>
    <n v="27"/>
    <n v="0.84"/>
    <n v="20260402"/>
    <b v="0"/>
    <x v="17"/>
    <x v="4"/>
  </r>
  <r>
    <n v="1705"/>
    <s v="wallstreetbets"/>
    <s v="26k in 30 minutes: SPX puts"/>
    <n v="58"/>
    <n v="19"/>
    <n v="0.84"/>
    <n v="20260327"/>
    <b v="0"/>
    <x v="0"/>
    <x v="2"/>
  </r>
  <r>
    <n v="1707"/>
    <s v="wallstreetbets"/>
    <s v="Algos bail my underwater SPY 0d 660c. -$6300 -&gt; +$5000 on a single green candle."/>
    <n v="56"/>
    <n v="21"/>
    <n v="0.93"/>
    <n v="20260323"/>
    <b v="0"/>
    <x v="0"/>
    <x v="4"/>
  </r>
  <r>
    <n v="1720"/>
    <s v="wallstreetbets"/>
    <s v="My LAST time trading Uber. Hate this stock"/>
    <n v="47"/>
    <n v="49"/>
    <n v="0.91"/>
    <n v="20260401"/>
    <b v="0"/>
    <x v="20"/>
    <x v="2"/>
  </r>
  <r>
    <n v="1723"/>
    <s v="wallstreetbets"/>
    <s v="If this isn't full regard status I don't know what is... 1 mil in transactions (which i don't have) on 0dte SPY to make peanuts."/>
    <n v="42"/>
    <n v="88"/>
    <n v="0.8"/>
    <n v="20260324"/>
    <b v="0"/>
    <x v="0"/>
    <x v="1"/>
  </r>
  <r>
    <n v="1724"/>
    <s v="wallstreetbets"/>
    <s v="SNDK revenge trader switches to AMZN"/>
    <n v="41"/>
    <n v="57"/>
    <n v="0.83"/>
    <n v="20260331"/>
    <b v="0"/>
    <x v="6"/>
    <x v="1"/>
  </r>
  <r>
    <n v="1725"/>
    <s v="wallstreetbets"/>
    <s v="Home Depot ($HD) puts YOLO, housing is cooked"/>
    <n v="41"/>
    <n v="75"/>
    <n v="0.79"/>
    <n v="20260323"/>
    <b v="1"/>
    <x v="25"/>
    <x v="2"/>
  </r>
  <r>
    <n v="1729"/>
    <s v="wallstreetbets"/>
    <s v="$2.6k realized profit from SPX Iron Condor. We are up 77% YTD just from running ICs."/>
    <n v="39"/>
    <n v="25"/>
    <n v="0.85"/>
    <n v="20260402"/>
    <b v="0"/>
    <x v="0"/>
    <x v="4"/>
  </r>
  <r>
    <n v="1730"/>
    <s v="wallstreetbets"/>
    <s v="Rolled USO, Trimmed BNO, Puts on LUV. Oil Yolo."/>
    <n v="39"/>
    <n v="32"/>
    <n v="0.9"/>
    <n v="20260330"/>
    <b v="0"/>
    <x v="14"/>
    <x v="2"/>
  </r>
  <r>
    <n v="1732"/>
    <s v="wallstreetbets"/>
    <s v="SMCI to ðŸŒ• ðŸš€"/>
    <n v="39"/>
    <n v="97"/>
    <n v="0.7"/>
    <n v="20260324"/>
    <b v="0"/>
    <x v="24"/>
    <x v="4"/>
  </r>
  <r>
    <n v="1741"/>
    <s v="wallstreetbets"/>
    <s v="265k Snap Leap YOLO"/>
    <n v="32"/>
    <n v="57"/>
    <n v="0.79"/>
    <n v="20260402"/>
    <b v="0"/>
    <x v="17"/>
    <x v="4"/>
  </r>
  <r>
    <n v="1742"/>
    <s v="wallstreetbets"/>
    <s v="CRM, AMZN, DIS CALLS"/>
    <n v="32"/>
    <n v="12"/>
    <n v="0.86"/>
    <n v="20260401"/>
    <b v="0"/>
    <x v="6"/>
    <x v="4"/>
  </r>
  <r>
    <n v="1745"/>
    <s v="wallstreetbets"/>
    <s v="I spy a tiny bit of green ðŸ‘€"/>
    <n v="29"/>
    <n v="13"/>
    <n v="0.82"/>
    <n v="20260320"/>
    <b v="0"/>
    <x v="0"/>
    <x v="4"/>
  </r>
  <r>
    <n v="1754"/>
    <s v="wallstreetbets"/>
    <s v="SPY puts gains, mostly 0DTEs"/>
    <n v="26"/>
    <n v="10"/>
    <n v="0.79"/>
    <n v="20260331"/>
    <b v="0"/>
    <x v="0"/>
    <x v="2"/>
  </r>
  <r>
    <n v="1757"/>
    <s v="wallstreetbets"/>
    <s v="Meta Sell Puts Profit"/>
    <n v="24"/>
    <n v="9"/>
    <n v="0.84"/>
    <n v="20260402"/>
    <b v="0"/>
    <x v="1"/>
    <x v="4"/>
  </r>
  <r>
    <n v="1759"/>
    <s v="wallstreetbets"/>
    <s v="Oil Yolo: Rolled USO Weeklies &amp; Added BNO Calls. Bought the Dip on CVNA &amp; LUV Puts"/>
    <n v="24"/>
    <n v="23"/>
    <n v="0.86"/>
    <n v="20260402"/>
    <b v="0"/>
    <x v="14"/>
    <x v="3"/>
  </r>
  <r>
    <n v="1773"/>
    <s v="wallstreetbets"/>
    <s v="2 indicators is better than 30. SPY 0DTE +100% on $4K puts using Fib retracement. Screenshots where I entered 10, added 10 more, and closed."/>
    <n v="15"/>
    <n v="18"/>
    <n v="0.71"/>
    <n v="20260401"/>
    <b v="0"/>
    <x v="0"/>
    <x v="2"/>
  </r>
  <r>
    <n v="1774"/>
    <s v="wallstreetbets"/>
    <s v="20k in spy calls Friday before close. What we opening at daddies?"/>
    <n v="14"/>
    <n v="30"/>
    <n v="0.75"/>
    <n v="20260330"/>
    <b v="0"/>
    <x v="0"/>
    <x v="4"/>
  </r>
  <r>
    <n v="1778"/>
    <s v="wallstreetbets"/>
    <s v="if you were wondering how that sndk/amzn/spx revenge trader was doing, here ya go"/>
    <n v="9"/>
    <n v="3"/>
    <n v="0.84"/>
    <n v="20260402"/>
    <b v="0"/>
    <x v="0"/>
    <x v="1"/>
  </r>
  <r>
    <n v="1787"/>
    <s v="wallstreetbets"/>
    <s v="Can SoFi Management Be Trusted? Comparing Management Statements with Hard Data"/>
    <n v="1"/>
    <n v="23"/>
    <n v="0.51"/>
    <n v="20260330"/>
    <b v="0"/>
    <x v="13"/>
    <x v="1"/>
  </r>
  <r>
    <n v="1790"/>
    <s v="wallstreetbets"/>
    <s v="Microsoft Pounding"/>
    <n v="0"/>
    <n v="5"/>
    <n v="0.33"/>
    <n v="20260327"/>
    <b v="0"/>
    <x v="7"/>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D37DD8-6B4B-4D71-B0A9-828F2A6CEBA8}"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4" firstHeaderRow="0" firstDataRow="1" firstDataCol="0"/>
  <pivotFields count="7">
    <pivotField showAll="0"/>
    <pivotField showAll="0"/>
    <pivotField showAll="0"/>
    <pivotField numFmtId="164" showAll="0"/>
    <pivotField dataField="1" showAll="0"/>
    <pivotField dataField="1" showAll="0"/>
    <pivotField numFmtId="165" showAll="0"/>
  </pivotFields>
  <rowItems count="1">
    <i/>
  </rowItems>
  <colFields count="1">
    <field x="-2"/>
  </colFields>
  <colItems count="2">
    <i>
      <x/>
    </i>
    <i i="1">
      <x v="1"/>
    </i>
  </colItems>
  <dataFields count="2">
    <dataField name="Sum of Bullish Count" fld="4" baseField="0" baseItem="0"/>
    <dataField name="Sum of Bearish Count" fld="5"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EC0A8C-9C43-4654-82DC-E394BFB84FCD}" name="PivotTable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E7" firstHeaderRow="0" firstDataRow="1" firstDataCol="1"/>
  <pivotFields count="8">
    <pivotField showAll="0"/>
    <pivotField dataField="1" showAll="0"/>
    <pivotField dataField="1" showAll="0"/>
    <pivotField dataField="1" showAll="0"/>
    <pivotField dataField="1" showAll="0"/>
    <pivotField showAll="0"/>
    <pivotField showAll="0"/>
    <pivotField axis="axisRow" showAll="0">
      <items count="4">
        <item x="2"/>
        <item x="1"/>
        <item x="0"/>
        <item t="default"/>
      </items>
    </pivotField>
  </pivotFields>
  <rowFields count="1">
    <field x="7"/>
  </rowFields>
  <rowItems count="4">
    <i>
      <x/>
    </i>
    <i>
      <x v="1"/>
    </i>
    <i>
      <x v="2"/>
    </i>
    <i t="grand">
      <x/>
    </i>
  </rowItems>
  <colFields count="1">
    <field x="-2"/>
  </colFields>
  <colItems count="4">
    <i>
      <x/>
    </i>
    <i i="1">
      <x v="1"/>
    </i>
    <i i="2">
      <x v="2"/>
    </i>
    <i i="3">
      <x v="3"/>
    </i>
  </colItems>
  <dataFields count="4">
    <dataField name="Sum of Bearish" fld="1" baseField="0" baseItem="0"/>
    <dataField name="Sum of Bullish" fld="2" baseField="0" baseItem="0"/>
    <dataField name="Sum of Mixed" fld="3" baseField="0" baseItem="0"/>
    <dataField name="Sum of Neutral" fld="4"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FEAA4D-8BB5-4FE9-AEFC-265BCE050B68}" name="PivotTable1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G15" firstHeaderRow="1" firstDataRow="2" firstDataCol="1"/>
  <pivotFields count="10">
    <pivotField showAll="0"/>
    <pivotField showAll="0"/>
    <pivotField showAll="0"/>
    <pivotField showAll="0"/>
    <pivotField showAll="0"/>
    <pivotField showAll="0"/>
    <pivotField showAll="0"/>
    <pivotField showAll="0"/>
    <pivotField axis="axisRow" showAll="0" measureFilter="1">
      <items count="27">
        <item x="9"/>
        <item x="6"/>
        <item x="22"/>
        <item x="19"/>
        <item x="11"/>
        <item x="18"/>
        <item x="23"/>
        <item x="12"/>
        <item x="25"/>
        <item x="1"/>
        <item x="7"/>
        <item x="10"/>
        <item x="21"/>
        <item x="5"/>
        <item x="3"/>
        <item x="4"/>
        <item x="15"/>
        <item x="8"/>
        <item x="24"/>
        <item x="17"/>
        <item x="13"/>
        <item x="0"/>
        <item x="2"/>
        <item x="16"/>
        <item x="20"/>
        <item x="14"/>
        <item t="default"/>
      </items>
    </pivotField>
    <pivotField axis="axisCol" dataField="1" showAll="0">
      <items count="6">
        <item x="2"/>
        <item x="4"/>
        <item x="3"/>
        <item x="0"/>
        <item x="1"/>
        <item t="default"/>
      </items>
    </pivotField>
  </pivotFields>
  <rowFields count="1">
    <field x="8"/>
  </rowFields>
  <rowItems count="11">
    <i>
      <x v="1"/>
    </i>
    <i>
      <x v="4"/>
    </i>
    <i>
      <x v="7"/>
    </i>
    <i>
      <x v="9"/>
    </i>
    <i>
      <x v="10"/>
    </i>
    <i>
      <x v="11"/>
    </i>
    <i>
      <x v="13"/>
    </i>
    <i>
      <x v="19"/>
    </i>
    <i>
      <x v="21"/>
    </i>
    <i>
      <x v="22"/>
    </i>
    <i t="grand">
      <x/>
    </i>
  </rowItems>
  <colFields count="1">
    <field x="9"/>
  </colFields>
  <colItems count="6">
    <i>
      <x/>
    </i>
    <i>
      <x v="1"/>
    </i>
    <i>
      <x v="2"/>
    </i>
    <i>
      <x v="3"/>
    </i>
    <i>
      <x v="4"/>
    </i>
    <i t="grand">
      <x/>
    </i>
  </colItems>
  <dataFields count="1">
    <dataField name="Count of llm_sentiment" fld="9" subtotal="count" baseField="0" baseItem="0"/>
  </dataFields>
  <chartFormats count="5">
    <chartFormat chart="5" format="0" series="1">
      <pivotArea type="data" outline="0" fieldPosition="0">
        <references count="2">
          <reference field="4294967294" count="1" selected="0">
            <x v="0"/>
          </reference>
          <reference field="9" count="1" selected="0">
            <x v="0"/>
          </reference>
        </references>
      </pivotArea>
    </chartFormat>
    <chartFormat chart="5" format="1" series="1">
      <pivotArea type="data" outline="0" fieldPosition="0">
        <references count="2">
          <reference field="4294967294" count="1" selected="0">
            <x v="0"/>
          </reference>
          <reference field="9" count="1" selected="0">
            <x v="1"/>
          </reference>
        </references>
      </pivotArea>
    </chartFormat>
    <chartFormat chart="5" format="2" series="1">
      <pivotArea type="data" outline="0" fieldPosition="0">
        <references count="2">
          <reference field="4294967294" count="1" selected="0">
            <x v="0"/>
          </reference>
          <reference field="9" count="1" selected="0">
            <x v="2"/>
          </reference>
        </references>
      </pivotArea>
    </chartFormat>
    <chartFormat chart="5" format="3" series="1">
      <pivotArea type="data" outline="0" fieldPosition="0">
        <references count="2">
          <reference field="4294967294" count="1" selected="0">
            <x v="0"/>
          </reference>
          <reference field="9" count="1" selected="0">
            <x v="3"/>
          </reference>
        </references>
      </pivotArea>
    </chartFormat>
    <chartFormat chart="5" format="4" series="1">
      <pivotArea type="data" outline="0" fieldPosition="0">
        <references count="2">
          <reference field="4294967294" count="1" selected="0">
            <x v="0"/>
          </reference>
          <reference field="9" count="1" selected="0">
            <x v="4"/>
          </reference>
        </references>
      </pivotArea>
    </chartFormat>
  </chartFormats>
  <pivotTableStyleInfo name="PivotStyleMedium9" showRowHeaders="1" showColHeaders="1" showRowStripes="0" showColStripes="0" showLastColumn="1"/>
  <filters count="1">
    <filter fld="8"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784220-5DF6-4398-B198-491F4B147CF4}" name="Table2" displayName="Table2" ref="A1:J1796" totalsRowShown="0" tableBorderDxfId="20">
  <autoFilter ref="A1:J1796" xr:uid="{8A784220-5DF6-4398-B198-491F4B147CF4}">
    <filterColumn colId="8">
      <customFilters>
        <customFilter operator="notEqual" val=" "/>
      </customFilters>
    </filterColumn>
  </autoFilter>
  <tableColumns count="10">
    <tableColumn id="1" xr3:uid="{C39FE126-99BE-4600-8994-785FDC9B6F93}" name="ID" dataDxfId="19"/>
    <tableColumn id="2" xr3:uid="{9215755F-634A-4755-BB09-5E046C1812D1}" name="subreddit" dataDxfId="18"/>
    <tableColumn id="3" xr3:uid="{57ADD09E-E740-41BE-B694-5BC5AF56C91B}" name="title" dataDxfId="17"/>
    <tableColumn id="4" xr3:uid="{C332E043-74C9-4C0C-9AAE-ED09C13BFB59}" name="score" dataDxfId="16"/>
    <tableColumn id="5" xr3:uid="{C2C11EF3-A6F7-4A96-817E-60BC18231E91}" name="num_comments" dataDxfId="15"/>
    <tableColumn id="6" xr3:uid="{10745E53-F918-4FA1-88CE-8096141AE5EC}" name="upvote_ratio" dataDxfId="14"/>
    <tableColumn id="7" xr3:uid="{E2C02B79-DA41-4867-9A7E-817B492CC8AF}" name="scrape_date" dataDxfId="13"/>
    <tableColumn id="8" xr3:uid="{7804A09A-AD62-453A-94C1-E000D44B655B}" name="has_ticker_pass1" dataDxfId="12">
      <calculatedColumnFormula>OR(ISNUMBER(SEARCH("$A",C2)),ISNUMBER(SEARCH("$B",C2)),ISNUMBER(SEARCH("$C",C2)),ISNUMBER(SEARCH("$D",C2)),ISNUMBER(SEARCH("$E",C2)),ISNUMBER(SEARCH("$F",C2)),ISNUMBER(SEARCH("$G",C2)),ISNUMBER(SEARCH("$H",C2)),ISNUMBER(SEARCH("$I",C2)),ISNUMBER(SEARCH("$J",C2)),ISNUMBER(SEARCH("$K",C2)),ISNUMBER(SEARCH("$L",C2)),ISNUMBER(SEARCH("$M",C2)),ISNUMBER(SEARCH("$N",C2)),ISNUMBER(SEARCH("$O",C2)),ISNUMBER(SEARCH("$P",C2)),ISNUMBER(SEARCH("$Q",C2)),ISNUMBER(SEARCH("$R",C2)),ISNUMBER(SEARCH("$S",C2)),ISNUMBER(SEARCH("$T",C2)),ISNUMBER(SEARCH("$U",C2)),ISNUMBER(SEARCH("$V",C2)),ISNUMBER(SEARCH("$W",C2)),ISNUMBER(SEARCH("$X",C2)),ISNUMBER(SEARCH("$Y",C2)),ISNUMBER(SEARCH("$Z",C2)))</calculatedColumnFormula>
    </tableColumn>
    <tableColumn id="9" xr3:uid="{F8BCB28E-D91A-4229-BFFB-2C1A516881F3}" name="ticker_extracted" dataDxfId="11">
      <calculatedColumnFormula array="1">GET_TICKER_FINAL(C2)</calculatedColumnFormula>
    </tableColumn>
    <tableColumn id="10" xr3:uid="{99C6A572-E2D5-4574-8F2F-604994A9923E}" name="llm_sentiment"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63702E7-9A32-4FD6-A119-80200257B756}" name="Table5" displayName="Table5" ref="A1:G23" totalsRowShown="0" headerRowDxfId="9" dataDxfId="8" tableBorderDxfId="7">
  <autoFilter ref="A1:G23" xr:uid="{963702E7-9A32-4FD6-A119-80200257B756}"/>
  <tableColumns count="7">
    <tableColumn id="1" xr3:uid="{A0A46726-E7DF-4749-BBC2-664FD76ED164}" name="Ticker" dataDxfId="6"/>
    <tableColumn id="2" xr3:uid="{FEF58C0F-E1DA-44F2-9C83-3E6EEE5CF6D6}" name="Mention Count" dataDxfId="5">
      <calculatedColumnFormula>COUNTIFS(SentimentsWithTicker!I:I, "*"&amp;A2&amp;"*")</calculatedColumnFormula>
    </tableColumn>
    <tableColumn id="3" xr3:uid="{A08C8BB6-A179-4A7D-A0C3-D5F16B225C9B}" name="Total Score" dataDxfId="4">
      <calculatedColumnFormula>SUMIFS(SentimentsWithTicker!D:D, SentimentsWithTicker!I:I, "*"&amp;$A2&amp;"*")</calculatedColumnFormula>
    </tableColumn>
    <tableColumn id="4" xr3:uid="{54952F61-6F17-4A95-BA71-E4E3E3C6D650}" name="Avg Upvote Ratio" dataDxfId="3">
      <calculatedColumnFormula>AVERAGEIFS(SentimentsWithTicker!F:F, SentimentsWithTicker!I:I, "*"&amp;$A2&amp;"*")</calculatedColumnFormula>
    </tableColumn>
    <tableColumn id="5" xr3:uid="{825EDF20-D70E-4E16-A492-ADFDE51831FB}" name="Bullish Count" dataDxfId="2">
      <calculatedColumnFormula>COUNTIFS(SentimentsWithTicker!I:I, "*"&amp;$A2&amp;"*", SentimentsWithTicker!J:J, "Bullish")</calculatedColumnFormula>
    </tableColumn>
    <tableColumn id="6" xr3:uid="{DDC07419-C321-4FFD-B299-8CF07B39BBC6}" name="Bearish Count" dataDxfId="1">
      <calculatedColumnFormula>COUNTIFS(SentimentsWithTicker!I:I, "*"&amp;$A2&amp;"*", SentimentsWithTicker!J:J, "Bearish")</calculatedColumnFormula>
    </tableColumn>
    <tableColumn id="7" xr3:uid="{16A1D899-5EB6-496B-B2FB-1DC4CBA7E2BA}" name="Net Sentiment" dataDxfId="0">
      <calculatedColumnFormula>(E2 - F2) / 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8428A9-66B1-4BA2-8074-25D05259FB25}" name="Table3" displayName="Table3" ref="A2:D71" totalsRowShown="0">
  <autoFilter ref="A2:D71" xr:uid="{4E0AA28F-FC66-4AD3-8509-B8C9A4066866}"/>
  <sortState xmlns:xlrd2="http://schemas.microsoft.com/office/spreadsheetml/2017/richdata2" ref="A3:D71">
    <sortCondition descending="1" ref="D2:D71"/>
  </sortState>
  <tableColumns count="4">
    <tableColumn id="1" xr3:uid="{299FB576-B73C-4E50-8F94-243D62FF8AA1}" name="Row Labels"/>
    <tableColumn id="2" xr3:uid="{33A3746D-C159-4E03-99B3-50767D60B019}" name="Average of Bull/Bear"/>
    <tableColumn id="3" xr3:uid="{BCFC7BBF-48A9-40B8-969D-8C77D6B4FACE}" name="Sum of score"/>
    <tableColumn id="4" xr3:uid="{86117D6D-FFA9-4C02-ABD7-BB211AB9DA1D}" name="Sentiment Alpha">
      <calculatedColumnFormula>$I$2*B3+$I$3*LOG(1+C3)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796"/>
  <sheetViews>
    <sheetView topLeftCell="C1" zoomScale="95" zoomScaleNormal="19" workbookViewId="0">
      <selection activeCell="K1" sqref="K1:K1048576"/>
    </sheetView>
  </sheetViews>
  <sheetFormatPr defaultRowHeight="14.4"/>
  <cols>
    <col min="7" max="7" width="8.88671875" customWidth="1"/>
    <col min="8" max="8" width="15.5546875" customWidth="1"/>
    <col min="9" max="9" width="15.109375" bestFit="1" customWidth="1"/>
  </cols>
  <sheetData>
    <row r="1" spans="1:23">
      <c r="A1" t="s">
        <v>0</v>
      </c>
      <c r="B1" s="1" t="s">
        <v>1</v>
      </c>
      <c r="C1" s="1" t="s">
        <v>2</v>
      </c>
      <c r="D1" s="1" t="s">
        <v>3</v>
      </c>
      <c r="E1" s="1" t="s">
        <v>4</v>
      </c>
      <c r="F1" s="1" t="s">
        <v>5</v>
      </c>
      <c r="G1" s="1" t="s">
        <v>6</v>
      </c>
      <c r="H1" s="4" t="s">
        <v>7</v>
      </c>
      <c r="I1" t="s">
        <v>8</v>
      </c>
      <c r="J1" s="1" t="s">
        <v>9</v>
      </c>
      <c r="K1" s="1" t="s">
        <v>10</v>
      </c>
      <c r="L1" s="1" t="s">
        <v>11</v>
      </c>
    </row>
    <row r="2" spans="1:23">
      <c r="A2">
        <v>1</v>
      </c>
      <c r="B2" s="1" t="s">
        <v>12</v>
      </c>
      <c r="C2" s="1" t="s">
        <v>13</v>
      </c>
      <c r="D2" s="1">
        <v>3787</v>
      </c>
      <c r="E2" s="1">
        <v>339</v>
      </c>
      <c r="F2" s="1">
        <v>0.96</v>
      </c>
      <c r="G2" s="1">
        <v>20260327</v>
      </c>
      <c r="H2" t="b">
        <f>OR(ISNUMBER(SEARCH("$A",C2)),ISNUMBER(SEARCH("$B",C2)),ISNUMBER(SEARCH("$C",C2)),ISNUMBER(SEARCH("$D",C2)),ISNUMBER(SEARCH("$E",C2)),ISNUMBER(SEARCH("$F",C2)),ISNUMBER(SEARCH("$G",C2)),ISNUMBER(SEARCH("$H",C2)),ISNUMBER(SEARCH("$I",C2)),ISNUMBER(SEARCH("$J",C2)),ISNUMBER(SEARCH("$K",C2)),ISNUMBER(SEARCH("$L",C2)),ISNUMBER(SEARCH("$M",C2)),ISNUMBER(SEARCH("$N",C2)),ISNUMBER(SEARCH("$O",C2)),ISNUMBER(SEARCH("$P",C2)),ISNUMBER(SEARCH("$Q",C2)),ISNUMBER(SEARCH("$R",C2)),ISNUMBER(SEARCH("$S",C2)),ISNUMBER(SEARCH("$T",C2)),ISNUMBER(SEARCH("$U",C2)),ISNUMBER(SEARCH("$V",C2)),ISNUMBER(SEARCH("$W",C2)),ISNUMBER(SEARCH("$X",C2)),ISNUMBER(SEARCH("$Y",C2)),ISNUMBER(SEARCH("$Z",C2)))</f>
        <v>0</v>
      </c>
      <c r="I2" t="str" cm="1">
        <f t="array" ref="I2">GET_TICKER_FINAL(C2)</f>
        <v/>
      </c>
      <c r="J2" s="5" t="s">
        <v>16</v>
      </c>
      <c r="K2" t="s">
        <v>14</v>
      </c>
      <c r="L2">
        <f>IF($J2=$K2, 0, 1)</f>
        <v>1</v>
      </c>
    </row>
    <row r="3" spans="1:23">
      <c r="A3">
        <v>2</v>
      </c>
      <c r="B3" s="1" t="s">
        <v>12</v>
      </c>
      <c r="C3" s="1" t="s">
        <v>15</v>
      </c>
      <c r="D3" s="1">
        <v>1698</v>
      </c>
      <c r="E3" s="1">
        <v>472</v>
      </c>
      <c r="F3" s="1">
        <v>0.91</v>
      </c>
      <c r="G3" s="1">
        <v>20260324</v>
      </c>
      <c r="H3" t="b">
        <f t="shared" ref="H3:H66" si="0">OR(ISNUMBER(SEARCH("$A",C3)),ISNUMBER(SEARCH("$B",C3)),ISNUMBER(SEARCH("$C",C3)),ISNUMBER(SEARCH("$D",C3)),ISNUMBER(SEARCH("$E",C3)),ISNUMBER(SEARCH("$F",C3)),ISNUMBER(SEARCH("$G",C3)),ISNUMBER(SEARCH("$H",C3)),ISNUMBER(SEARCH("$I",C3)),ISNUMBER(SEARCH("$J",C3)),ISNUMBER(SEARCH("$K",C3)),ISNUMBER(SEARCH("$L",C3)),ISNUMBER(SEARCH("$M",C3)),ISNUMBER(SEARCH("$N",C3)),ISNUMBER(SEARCH("$O",C3)),ISNUMBER(SEARCH("$P",C3)),ISNUMBER(SEARCH("$Q",C3)),ISNUMBER(SEARCH("$R",C3)),ISNUMBER(SEARCH("$S",C3)),ISNUMBER(SEARCH("$T",C3)),ISNUMBER(SEARCH("$U",C3)),ISNUMBER(SEARCH("$V",C3)),ISNUMBER(SEARCH("$W",C3)),ISNUMBER(SEARCH("$X",C3)),ISNUMBER(SEARCH("$Y",C3)),ISNUMBER(SEARCH("$Z",C3)))</f>
        <v>0</v>
      </c>
      <c r="I3" t="str" cm="1">
        <f t="array" ref="I3">GET_TICKER_FINAL(C3)</f>
        <v/>
      </c>
      <c r="J3" s="5" t="s">
        <v>25</v>
      </c>
      <c r="K3" t="s">
        <v>16</v>
      </c>
      <c r="L3">
        <f t="shared" ref="L3:L31" si="1">IF($J3=$K3, 0, 1)</f>
        <v>1</v>
      </c>
      <c r="P3" s="7" t="s">
        <v>17</v>
      </c>
    </row>
    <row r="4" spans="1:23" ht="14.4" customHeight="1">
      <c r="A4">
        <v>3</v>
      </c>
      <c r="B4" s="1" t="s">
        <v>12</v>
      </c>
      <c r="C4" s="1" t="s">
        <v>18</v>
      </c>
      <c r="D4" s="1">
        <v>950</v>
      </c>
      <c r="E4" s="1">
        <v>378</v>
      </c>
      <c r="F4" s="1">
        <v>0.92</v>
      </c>
      <c r="G4" s="1">
        <v>20260324</v>
      </c>
      <c r="H4" t="b">
        <f t="shared" si="0"/>
        <v>0</v>
      </c>
      <c r="I4" t="str" cm="1">
        <f t="array" ref="I4">GET_TICKER_FINAL(C4)</f>
        <v/>
      </c>
      <c r="J4" s="5" t="s">
        <v>16</v>
      </c>
      <c r="K4" s="5" t="s">
        <v>16</v>
      </c>
      <c r="L4">
        <f t="shared" si="1"/>
        <v>0</v>
      </c>
      <c r="P4" s="54" t="s">
        <v>19</v>
      </c>
      <c r="Q4" s="55"/>
      <c r="R4" s="55"/>
      <c r="S4" s="55"/>
      <c r="T4" s="55"/>
      <c r="U4" s="55"/>
      <c r="V4" s="55"/>
      <c r="W4" s="56"/>
    </row>
    <row r="5" spans="1:23">
      <c r="A5">
        <v>4</v>
      </c>
      <c r="B5" s="1" t="s">
        <v>12</v>
      </c>
      <c r="C5" s="1" t="s">
        <v>20</v>
      </c>
      <c r="D5" s="1">
        <v>932</v>
      </c>
      <c r="E5" s="1">
        <v>114</v>
      </c>
      <c r="F5" s="1">
        <v>0.98</v>
      </c>
      <c r="G5" s="1">
        <v>20260326</v>
      </c>
      <c r="H5" t="b">
        <f t="shared" si="0"/>
        <v>0</v>
      </c>
      <c r="I5" t="str" cm="1">
        <f t="array" ref="I5">GET_TICKER_FINAL(C5)</f>
        <v/>
      </c>
      <c r="J5" s="5" t="s">
        <v>16</v>
      </c>
      <c r="K5" t="s">
        <v>16</v>
      </c>
      <c r="L5">
        <f t="shared" si="1"/>
        <v>0</v>
      </c>
      <c r="P5" s="57"/>
      <c r="Q5" s="58"/>
      <c r="R5" s="58"/>
      <c r="S5" s="58"/>
      <c r="T5" s="58"/>
      <c r="U5" s="58"/>
      <c r="V5" s="58"/>
      <c r="W5" s="59"/>
    </row>
    <row r="6" spans="1:23">
      <c r="A6">
        <v>5</v>
      </c>
      <c r="B6" s="1" t="s">
        <v>12</v>
      </c>
      <c r="C6" s="1" t="s">
        <v>21</v>
      </c>
      <c r="D6" s="1">
        <v>856</v>
      </c>
      <c r="E6" s="1">
        <v>209</v>
      </c>
      <c r="F6" s="1">
        <v>0.93</v>
      </c>
      <c r="G6" s="1">
        <v>20260402</v>
      </c>
      <c r="H6" t="b">
        <f t="shared" si="0"/>
        <v>0</v>
      </c>
      <c r="I6" t="str" cm="1">
        <f t="array" ref="I6">GET_TICKER_FINAL(C6)</f>
        <v/>
      </c>
      <c r="J6" s="5" t="s">
        <v>16</v>
      </c>
      <c r="K6" t="s">
        <v>14</v>
      </c>
      <c r="L6">
        <f t="shared" si="1"/>
        <v>1</v>
      </c>
      <c r="P6" s="57"/>
      <c r="Q6" s="58"/>
      <c r="R6" s="58"/>
      <c r="S6" s="58"/>
      <c r="T6" s="58"/>
      <c r="U6" s="58"/>
      <c r="V6" s="58"/>
      <c r="W6" s="59"/>
    </row>
    <row r="7" spans="1:23">
      <c r="A7">
        <v>6</v>
      </c>
      <c r="B7" s="1" t="s">
        <v>12</v>
      </c>
      <c r="C7" s="1" t="s">
        <v>22</v>
      </c>
      <c r="D7" s="1">
        <v>763</v>
      </c>
      <c r="E7" s="1">
        <v>448</v>
      </c>
      <c r="F7" s="1">
        <v>0.74</v>
      </c>
      <c r="G7" s="1">
        <v>20260401</v>
      </c>
      <c r="H7" t="b">
        <f t="shared" si="0"/>
        <v>0</v>
      </c>
      <c r="I7" t="str" cm="1">
        <f t="array" ref="I7">GET_TICKER_FINAL(C7)</f>
        <v/>
      </c>
      <c r="J7" s="5" t="s">
        <v>1792</v>
      </c>
      <c r="K7" s="5" t="s">
        <v>1792</v>
      </c>
      <c r="L7">
        <f>IF($J7=$K7, 0, 1)</f>
        <v>0</v>
      </c>
      <c r="P7" s="57"/>
      <c r="Q7" s="58"/>
      <c r="R7" s="58"/>
      <c r="S7" s="58"/>
      <c r="T7" s="58"/>
      <c r="U7" s="58"/>
      <c r="V7" s="58"/>
      <c r="W7" s="59"/>
    </row>
    <row r="8" spans="1:23">
      <c r="A8">
        <v>7</v>
      </c>
      <c r="B8" s="1" t="s">
        <v>12</v>
      </c>
      <c r="C8" s="1" t="s">
        <v>23</v>
      </c>
      <c r="D8" s="1">
        <v>754</v>
      </c>
      <c r="E8" s="1">
        <v>131</v>
      </c>
      <c r="F8" s="1">
        <v>0.92</v>
      </c>
      <c r="G8" s="1">
        <v>20260327</v>
      </c>
      <c r="H8" t="b">
        <f t="shared" si="0"/>
        <v>0</v>
      </c>
      <c r="I8" t="str" cm="1">
        <f t="array" ref="I8">GET_TICKER_FINAL(C8)</f>
        <v/>
      </c>
      <c r="J8" s="5" t="s">
        <v>16</v>
      </c>
      <c r="K8" s="5" t="s">
        <v>16</v>
      </c>
      <c r="L8">
        <f t="shared" si="1"/>
        <v>0</v>
      </c>
      <c r="P8" s="57"/>
      <c r="Q8" s="58"/>
      <c r="R8" s="58"/>
      <c r="S8" s="58"/>
      <c r="T8" s="58"/>
      <c r="U8" s="58"/>
      <c r="V8" s="58"/>
      <c r="W8" s="59"/>
    </row>
    <row r="9" spans="1:23">
      <c r="A9">
        <v>8</v>
      </c>
      <c r="B9" s="1" t="s">
        <v>12</v>
      </c>
      <c r="C9" s="1" t="s">
        <v>24</v>
      </c>
      <c r="D9" s="1">
        <v>703</v>
      </c>
      <c r="E9" s="1">
        <v>109</v>
      </c>
      <c r="F9" s="1">
        <v>0.92</v>
      </c>
      <c r="G9" s="1">
        <v>20260331</v>
      </c>
      <c r="H9" t="b">
        <f t="shared" si="0"/>
        <v>0</v>
      </c>
      <c r="I9" t="str" cm="1">
        <f t="array" ref="I9">GET_TICKER_FINAL(C9)</f>
        <v/>
      </c>
      <c r="J9" s="5" t="s">
        <v>1792</v>
      </c>
      <c r="K9" s="5" t="s">
        <v>1792</v>
      </c>
      <c r="L9">
        <f t="shared" si="1"/>
        <v>0</v>
      </c>
      <c r="P9" s="57"/>
      <c r="Q9" s="58"/>
      <c r="R9" s="58"/>
      <c r="S9" s="58"/>
      <c r="T9" s="58"/>
      <c r="U9" s="58"/>
      <c r="V9" s="58"/>
      <c r="W9" s="59"/>
    </row>
    <row r="10" spans="1:23">
      <c r="A10">
        <v>9</v>
      </c>
      <c r="B10" s="1" t="s">
        <v>12</v>
      </c>
      <c r="C10" s="1" t="s">
        <v>26</v>
      </c>
      <c r="D10" s="1">
        <v>664</v>
      </c>
      <c r="E10" s="1">
        <v>270</v>
      </c>
      <c r="F10" s="1">
        <v>0.95</v>
      </c>
      <c r="G10" s="1">
        <v>20260330</v>
      </c>
      <c r="H10" t="b">
        <f t="shared" si="0"/>
        <v>0</v>
      </c>
      <c r="I10" t="str" cm="1">
        <f t="array" ref="I10">GET_TICKER_FINAL(C10)</f>
        <v/>
      </c>
      <c r="J10" s="5" t="s">
        <v>28</v>
      </c>
      <c r="K10" s="5" t="s">
        <v>16</v>
      </c>
      <c r="L10">
        <f t="shared" si="1"/>
        <v>1</v>
      </c>
      <c r="P10" s="57"/>
      <c r="Q10" s="58"/>
      <c r="R10" s="58"/>
      <c r="S10" s="58"/>
      <c r="T10" s="58"/>
      <c r="U10" s="58"/>
      <c r="V10" s="58"/>
      <c r="W10" s="59"/>
    </row>
    <row r="11" spans="1:23">
      <c r="A11">
        <v>10</v>
      </c>
      <c r="B11" s="1" t="s">
        <v>12</v>
      </c>
      <c r="C11" s="1" t="s">
        <v>27</v>
      </c>
      <c r="D11" s="1">
        <v>587</v>
      </c>
      <c r="E11" s="1">
        <v>169</v>
      </c>
      <c r="F11" s="1">
        <v>0.92</v>
      </c>
      <c r="G11" s="1">
        <v>20260330</v>
      </c>
      <c r="H11" t="b">
        <f t="shared" si="0"/>
        <v>0</v>
      </c>
      <c r="I11" t="str" cm="1">
        <f t="array" ref="I11">GET_TICKER_FINAL(C11)</f>
        <v/>
      </c>
      <c r="J11" s="5" t="s">
        <v>28</v>
      </c>
      <c r="K11" s="5" t="s">
        <v>28</v>
      </c>
      <c r="L11">
        <f t="shared" si="1"/>
        <v>0</v>
      </c>
      <c r="P11" s="57"/>
      <c r="Q11" s="58"/>
      <c r="R11" s="58"/>
      <c r="S11" s="58"/>
      <c r="T11" s="58"/>
      <c r="U11" s="58"/>
      <c r="V11" s="58"/>
      <c r="W11" s="59"/>
    </row>
    <row r="12" spans="1:23">
      <c r="A12">
        <v>11</v>
      </c>
      <c r="B12" s="1" t="s">
        <v>12</v>
      </c>
      <c r="C12" s="1" t="s">
        <v>29</v>
      </c>
      <c r="D12" s="1">
        <v>538</v>
      </c>
      <c r="E12" s="1">
        <v>237</v>
      </c>
      <c r="F12" s="1">
        <v>0.86</v>
      </c>
      <c r="G12" s="1">
        <v>20260327</v>
      </c>
      <c r="H12" t="b">
        <f t="shared" si="0"/>
        <v>0</v>
      </c>
      <c r="I12" t="str" cm="1">
        <f t="array" ref="I12">GET_TICKER_FINAL(C12)</f>
        <v/>
      </c>
      <c r="J12" s="5" t="s">
        <v>16</v>
      </c>
      <c r="K12" s="5" t="s">
        <v>16</v>
      </c>
      <c r="L12">
        <f t="shared" si="1"/>
        <v>0</v>
      </c>
      <c r="P12" s="57"/>
      <c r="Q12" s="58"/>
      <c r="R12" s="58"/>
      <c r="S12" s="58"/>
      <c r="T12" s="58"/>
      <c r="U12" s="58"/>
      <c r="V12" s="58"/>
      <c r="W12" s="59"/>
    </row>
    <row r="13" spans="1:23">
      <c r="A13">
        <v>12</v>
      </c>
      <c r="B13" s="1" t="s">
        <v>12</v>
      </c>
      <c r="C13" s="1" t="s">
        <v>30</v>
      </c>
      <c r="D13" s="1">
        <v>509</v>
      </c>
      <c r="E13" s="1">
        <v>446</v>
      </c>
      <c r="F13" s="1">
        <v>0.87</v>
      </c>
      <c r="G13" s="1">
        <v>20260323</v>
      </c>
      <c r="H13" t="b">
        <f t="shared" si="0"/>
        <v>0</v>
      </c>
      <c r="I13" t="str" cm="1">
        <f t="array" ref="I13">GET_TICKER_FINAL(C13)</f>
        <v/>
      </c>
      <c r="J13" s="5" t="s">
        <v>16</v>
      </c>
      <c r="K13" t="s">
        <v>16</v>
      </c>
      <c r="L13">
        <f t="shared" si="1"/>
        <v>0</v>
      </c>
      <c r="P13" s="57"/>
      <c r="Q13" s="58"/>
      <c r="R13" s="58"/>
      <c r="S13" s="58"/>
      <c r="T13" s="58"/>
      <c r="U13" s="58"/>
      <c r="V13" s="58"/>
      <c r="W13" s="59"/>
    </row>
    <row r="14" spans="1:23">
      <c r="A14">
        <v>13</v>
      </c>
      <c r="B14" s="1" t="s">
        <v>12</v>
      </c>
      <c r="C14" s="1" t="s">
        <v>31</v>
      </c>
      <c r="D14" s="1">
        <v>498</v>
      </c>
      <c r="E14" s="1">
        <v>132</v>
      </c>
      <c r="F14" s="1">
        <v>0.92</v>
      </c>
      <c r="G14" s="1">
        <v>20260323</v>
      </c>
      <c r="H14" t="b">
        <f t="shared" si="0"/>
        <v>0</v>
      </c>
      <c r="I14" t="str" cm="1">
        <f t="array" ref="I14">GET_TICKER_FINAL(C14)</f>
        <v/>
      </c>
      <c r="J14" s="5" t="s">
        <v>16</v>
      </c>
      <c r="K14" t="s">
        <v>16</v>
      </c>
      <c r="L14">
        <f t="shared" si="1"/>
        <v>0</v>
      </c>
      <c r="P14" s="57"/>
      <c r="Q14" s="58"/>
      <c r="R14" s="58"/>
      <c r="S14" s="58"/>
      <c r="T14" s="58"/>
      <c r="U14" s="58"/>
      <c r="V14" s="58"/>
      <c r="W14" s="59"/>
    </row>
    <row r="15" spans="1:23">
      <c r="A15">
        <v>14</v>
      </c>
      <c r="B15" s="1" t="s">
        <v>12</v>
      </c>
      <c r="C15" s="1" t="s">
        <v>32</v>
      </c>
      <c r="D15" s="1">
        <v>484</v>
      </c>
      <c r="E15" s="1">
        <v>257</v>
      </c>
      <c r="F15" s="1">
        <v>0.92</v>
      </c>
      <c r="G15" s="1">
        <v>20260324</v>
      </c>
      <c r="H15" t="b">
        <f t="shared" si="0"/>
        <v>0</v>
      </c>
      <c r="I15" t="str" cm="1">
        <f t="array" ref="I15">GET_TICKER_FINAL(C15)</f>
        <v/>
      </c>
      <c r="J15" s="5" t="s">
        <v>1792</v>
      </c>
      <c r="K15" s="5" t="s">
        <v>1792</v>
      </c>
      <c r="L15">
        <f t="shared" si="1"/>
        <v>0</v>
      </c>
      <c r="P15" s="57"/>
      <c r="Q15" s="58"/>
      <c r="R15" s="58"/>
      <c r="S15" s="58"/>
      <c r="T15" s="58"/>
      <c r="U15" s="58"/>
      <c r="V15" s="58"/>
      <c r="W15" s="59"/>
    </row>
    <row r="16" spans="1:23">
      <c r="A16">
        <v>15</v>
      </c>
      <c r="B16" s="1" t="s">
        <v>12</v>
      </c>
      <c r="C16" s="1" t="s">
        <v>33</v>
      </c>
      <c r="D16" s="1">
        <v>454</v>
      </c>
      <c r="E16" s="1">
        <v>497</v>
      </c>
      <c r="F16" s="1">
        <v>0.84</v>
      </c>
      <c r="G16" s="1">
        <v>20260323</v>
      </c>
      <c r="H16" t="b">
        <f t="shared" si="0"/>
        <v>0</v>
      </c>
      <c r="I16" t="str" cm="1">
        <f t="array" ref="I16">GET_TICKER_FINAL(C16)</f>
        <v/>
      </c>
      <c r="J16" s="5" t="s">
        <v>1792</v>
      </c>
      <c r="K16" s="5" t="s">
        <v>1792</v>
      </c>
      <c r="L16">
        <f t="shared" si="1"/>
        <v>0</v>
      </c>
      <c r="P16" s="57"/>
      <c r="Q16" s="58"/>
      <c r="R16" s="58"/>
      <c r="S16" s="58"/>
      <c r="T16" s="58"/>
      <c r="U16" s="58"/>
      <c r="V16" s="58"/>
      <c r="W16" s="59"/>
    </row>
    <row r="17" spans="1:23">
      <c r="A17">
        <v>16</v>
      </c>
      <c r="B17" s="1" t="s">
        <v>12</v>
      </c>
      <c r="C17" s="1" t="s">
        <v>34</v>
      </c>
      <c r="D17" s="1">
        <v>438</v>
      </c>
      <c r="E17" s="1">
        <v>157</v>
      </c>
      <c r="F17" s="1">
        <v>0.89</v>
      </c>
      <c r="G17" s="1">
        <v>20260402</v>
      </c>
      <c r="H17" t="b">
        <f t="shared" si="0"/>
        <v>0</v>
      </c>
      <c r="I17" t="str" cm="1">
        <f t="array" ref="I17">GET_TICKER_FINAL(C17)</f>
        <v/>
      </c>
      <c r="J17" s="5" t="s">
        <v>1792</v>
      </c>
      <c r="K17" s="5" t="s">
        <v>1792</v>
      </c>
      <c r="L17">
        <f t="shared" si="1"/>
        <v>0</v>
      </c>
      <c r="P17" s="57"/>
      <c r="Q17" s="58"/>
      <c r="R17" s="58"/>
      <c r="S17" s="58"/>
      <c r="T17" s="58"/>
      <c r="U17" s="58"/>
      <c r="V17" s="58"/>
      <c r="W17" s="59"/>
    </row>
    <row r="18" spans="1:23">
      <c r="A18">
        <v>17</v>
      </c>
      <c r="B18" s="1" t="s">
        <v>12</v>
      </c>
      <c r="C18" s="1" t="s">
        <v>35</v>
      </c>
      <c r="D18" s="1">
        <v>435</v>
      </c>
      <c r="E18" s="1">
        <v>44</v>
      </c>
      <c r="F18" s="1">
        <v>0.97</v>
      </c>
      <c r="G18" s="1">
        <v>20260331</v>
      </c>
      <c r="H18" t="b">
        <f t="shared" si="0"/>
        <v>0</v>
      </c>
      <c r="I18" t="str" cm="1">
        <f t="array" ref="I18">GET_TICKER_FINAL(C18)</f>
        <v/>
      </c>
      <c r="J18" s="5" t="s">
        <v>28</v>
      </c>
      <c r="K18" t="s">
        <v>25</v>
      </c>
      <c r="L18">
        <f t="shared" si="1"/>
        <v>1</v>
      </c>
      <c r="P18" s="57"/>
      <c r="Q18" s="58"/>
      <c r="R18" s="58"/>
      <c r="S18" s="58"/>
      <c r="T18" s="58"/>
      <c r="U18" s="58"/>
      <c r="V18" s="58"/>
      <c r="W18" s="59"/>
    </row>
    <row r="19" spans="1:23">
      <c r="A19">
        <v>18</v>
      </c>
      <c r="B19" s="1" t="s">
        <v>12</v>
      </c>
      <c r="C19" s="1" t="s">
        <v>36</v>
      </c>
      <c r="D19" s="1">
        <v>429</v>
      </c>
      <c r="E19" s="1">
        <v>109</v>
      </c>
      <c r="F19" s="1">
        <v>0.94</v>
      </c>
      <c r="G19" s="1">
        <v>20260331</v>
      </c>
      <c r="H19" t="b">
        <f t="shared" si="0"/>
        <v>0</v>
      </c>
      <c r="I19" t="str" cm="1">
        <f t="array" ref="I19">GET_TICKER_FINAL(C19)</f>
        <v/>
      </c>
      <c r="J19" s="5" t="s">
        <v>16</v>
      </c>
      <c r="K19" s="5" t="s">
        <v>16</v>
      </c>
      <c r="L19">
        <f t="shared" si="1"/>
        <v>0</v>
      </c>
      <c r="P19" s="57"/>
      <c r="Q19" s="58"/>
      <c r="R19" s="58"/>
      <c r="S19" s="58"/>
      <c r="T19" s="58"/>
      <c r="U19" s="58"/>
      <c r="V19" s="58"/>
      <c r="W19" s="59"/>
    </row>
    <row r="20" spans="1:23">
      <c r="A20">
        <v>19</v>
      </c>
      <c r="B20" s="1" t="s">
        <v>12</v>
      </c>
      <c r="C20" s="1" t="s">
        <v>37</v>
      </c>
      <c r="D20" s="1">
        <v>424</v>
      </c>
      <c r="E20" s="1">
        <v>192</v>
      </c>
      <c r="F20" s="1">
        <v>0.93</v>
      </c>
      <c r="G20" s="1">
        <v>20260402</v>
      </c>
      <c r="H20" t="b">
        <f t="shared" si="0"/>
        <v>0</v>
      </c>
      <c r="I20" t="str" cm="1">
        <f t="array" ref="I20">GET_TICKER_FINAL(C20)</f>
        <v/>
      </c>
      <c r="J20" s="5" t="s">
        <v>16</v>
      </c>
      <c r="K20" t="s">
        <v>16</v>
      </c>
      <c r="L20">
        <f t="shared" si="1"/>
        <v>0</v>
      </c>
      <c r="P20" s="57"/>
      <c r="Q20" s="58"/>
      <c r="R20" s="58"/>
      <c r="S20" s="58"/>
      <c r="T20" s="58"/>
      <c r="U20" s="58"/>
      <c r="V20" s="58"/>
      <c r="W20" s="59"/>
    </row>
    <row r="21" spans="1:23">
      <c r="A21">
        <v>20</v>
      </c>
      <c r="B21" s="1" t="s">
        <v>12</v>
      </c>
      <c r="C21" s="1" t="s">
        <v>38</v>
      </c>
      <c r="D21" s="1">
        <v>382</v>
      </c>
      <c r="E21" s="1">
        <v>101</v>
      </c>
      <c r="F21" s="1">
        <v>0.88</v>
      </c>
      <c r="G21" s="1">
        <v>20260326</v>
      </c>
      <c r="H21" t="b">
        <f t="shared" si="0"/>
        <v>0</v>
      </c>
      <c r="I21" t="str" cm="1">
        <f t="array" ref="I21">GET_TICKER_FINAL(C21)</f>
        <v/>
      </c>
      <c r="J21" s="5" t="s">
        <v>1792</v>
      </c>
      <c r="K21" s="5" t="s">
        <v>1792</v>
      </c>
      <c r="L21">
        <f t="shared" si="1"/>
        <v>0</v>
      </c>
      <c r="P21" s="57"/>
      <c r="Q21" s="58"/>
      <c r="R21" s="58"/>
      <c r="S21" s="58"/>
      <c r="T21" s="58"/>
      <c r="U21" s="58"/>
      <c r="V21" s="58"/>
      <c r="W21" s="59"/>
    </row>
    <row r="22" spans="1:23">
      <c r="A22">
        <v>21</v>
      </c>
      <c r="B22" s="1" t="s">
        <v>12</v>
      </c>
      <c r="C22" s="1" t="s">
        <v>39</v>
      </c>
      <c r="D22" s="1">
        <v>376</v>
      </c>
      <c r="E22" s="1">
        <v>130</v>
      </c>
      <c r="F22" s="1">
        <v>0.93</v>
      </c>
      <c r="G22" s="1">
        <v>20260402</v>
      </c>
      <c r="H22" t="b">
        <f t="shared" si="0"/>
        <v>0</v>
      </c>
      <c r="I22" t="str" cm="1">
        <f t="array" ref="I22">GET_TICKER_FINAL(C22)</f>
        <v/>
      </c>
      <c r="J22" s="5" t="s">
        <v>25</v>
      </c>
      <c r="K22" s="5" t="s">
        <v>25</v>
      </c>
      <c r="L22">
        <f t="shared" si="1"/>
        <v>0</v>
      </c>
      <c r="P22" s="57"/>
      <c r="Q22" s="58"/>
      <c r="R22" s="58"/>
      <c r="S22" s="58"/>
      <c r="T22" s="58"/>
      <c r="U22" s="58"/>
      <c r="V22" s="58"/>
      <c r="W22" s="59"/>
    </row>
    <row r="23" spans="1:23">
      <c r="A23">
        <v>22</v>
      </c>
      <c r="B23" s="1" t="s">
        <v>12</v>
      </c>
      <c r="C23" s="1" t="s">
        <v>40</v>
      </c>
      <c r="D23" s="1">
        <v>357</v>
      </c>
      <c r="E23" s="1">
        <v>87</v>
      </c>
      <c r="F23" s="1">
        <v>0.95</v>
      </c>
      <c r="G23" s="1">
        <v>20260402</v>
      </c>
      <c r="H23" t="b">
        <f t="shared" si="0"/>
        <v>0</v>
      </c>
      <c r="I23" t="str" cm="1">
        <f t="array" ref="I23">GET_TICKER_FINAL(C23)</f>
        <v/>
      </c>
      <c r="J23" s="5" t="s">
        <v>25</v>
      </c>
      <c r="K23" s="5" t="s">
        <v>25</v>
      </c>
      <c r="L23">
        <f t="shared" si="1"/>
        <v>0</v>
      </c>
      <c r="P23" s="57"/>
      <c r="Q23" s="58"/>
      <c r="R23" s="58"/>
      <c r="S23" s="58"/>
      <c r="T23" s="58"/>
      <c r="U23" s="58"/>
      <c r="V23" s="58"/>
      <c r="W23" s="59"/>
    </row>
    <row r="24" spans="1:23">
      <c r="A24">
        <v>23</v>
      </c>
      <c r="B24" s="1" t="s">
        <v>12</v>
      </c>
      <c r="C24" s="1" t="s">
        <v>41</v>
      </c>
      <c r="D24" s="1">
        <v>355</v>
      </c>
      <c r="E24" s="1">
        <v>231</v>
      </c>
      <c r="F24" s="1">
        <v>0.92</v>
      </c>
      <c r="G24" s="1">
        <v>20260320</v>
      </c>
      <c r="H24" t="b">
        <f t="shared" si="0"/>
        <v>0</v>
      </c>
      <c r="I24" t="str" cm="1">
        <f t="array" ref="I24">GET_TICKER_FINAL(C24)</f>
        <v/>
      </c>
      <c r="J24" s="5" t="s">
        <v>25</v>
      </c>
      <c r="K24" t="s">
        <v>14</v>
      </c>
      <c r="L24">
        <f t="shared" si="1"/>
        <v>1</v>
      </c>
      <c r="P24" s="57"/>
      <c r="Q24" s="58"/>
      <c r="R24" s="58"/>
      <c r="S24" s="58"/>
      <c r="T24" s="58"/>
      <c r="U24" s="58"/>
      <c r="V24" s="58"/>
      <c r="W24" s="59"/>
    </row>
    <row r="25" spans="1:23">
      <c r="A25">
        <v>24</v>
      </c>
      <c r="B25" s="1" t="s">
        <v>12</v>
      </c>
      <c r="C25" s="1" t="s">
        <v>42</v>
      </c>
      <c r="D25" s="1">
        <v>355</v>
      </c>
      <c r="E25" s="1">
        <v>506</v>
      </c>
      <c r="F25" s="1">
        <v>0.85</v>
      </c>
      <c r="G25" s="1">
        <v>20260402</v>
      </c>
      <c r="H25" t="b">
        <f t="shared" si="0"/>
        <v>0</v>
      </c>
      <c r="I25" t="str" cm="1">
        <f t="array" ref="I25">GET_TICKER_FINAL(C25)</f>
        <v/>
      </c>
      <c r="J25" s="5" t="s">
        <v>1792</v>
      </c>
      <c r="K25" s="5" t="s">
        <v>1792</v>
      </c>
      <c r="L25">
        <f t="shared" si="1"/>
        <v>0</v>
      </c>
      <c r="P25" s="57"/>
      <c r="Q25" s="58"/>
      <c r="R25" s="58"/>
      <c r="S25" s="58"/>
      <c r="T25" s="58"/>
      <c r="U25" s="58"/>
      <c r="V25" s="58"/>
      <c r="W25" s="59"/>
    </row>
    <row r="26" spans="1:23">
      <c r="A26">
        <v>25</v>
      </c>
      <c r="B26" s="1" t="s">
        <v>12</v>
      </c>
      <c r="C26" s="1" t="s">
        <v>43</v>
      </c>
      <c r="D26" s="1">
        <v>349</v>
      </c>
      <c r="E26" s="1">
        <v>188</v>
      </c>
      <c r="F26" s="1">
        <v>0.89</v>
      </c>
      <c r="G26" s="1">
        <v>20260402</v>
      </c>
      <c r="H26" t="b">
        <f t="shared" si="0"/>
        <v>0</v>
      </c>
      <c r="I26" t="str" cm="1">
        <f t="array" ref="I26">GET_TICKER_FINAL(C26)</f>
        <v/>
      </c>
      <c r="J26" s="5" t="s">
        <v>28</v>
      </c>
      <c r="K26" t="s">
        <v>14</v>
      </c>
      <c r="L26">
        <f t="shared" si="1"/>
        <v>1</v>
      </c>
      <c r="P26" s="57"/>
      <c r="Q26" s="58"/>
      <c r="R26" s="58"/>
      <c r="S26" s="58"/>
      <c r="T26" s="58"/>
      <c r="U26" s="58"/>
      <c r="V26" s="58"/>
      <c r="W26" s="59"/>
    </row>
    <row r="27" spans="1:23">
      <c r="A27">
        <v>26</v>
      </c>
      <c r="B27" s="1" t="s">
        <v>12</v>
      </c>
      <c r="C27" s="1" t="s">
        <v>44</v>
      </c>
      <c r="D27" s="1">
        <v>348</v>
      </c>
      <c r="E27" s="1">
        <v>34</v>
      </c>
      <c r="F27" s="1">
        <v>0.95</v>
      </c>
      <c r="G27" s="1">
        <v>20260327</v>
      </c>
      <c r="H27" t="b">
        <f t="shared" si="0"/>
        <v>0</v>
      </c>
      <c r="I27" t="str" cm="1">
        <f t="array" ref="I27">GET_TICKER_FINAL(C27)</f>
        <v/>
      </c>
      <c r="J27" s="5" t="s">
        <v>28</v>
      </c>
      <c r="K27" t="s">
        <v>25</v>
      </c>
      <c r="L27">
        <f t="shared" si="1"/>
        <v>1</v>
      </c>
      <c r="P27" s="57"/>
      <c r="Q27" s="58"/>
      <c r="R27" s="58"/>
      <c r="S27" s="58"/>
      <c r="T27" s="58"/>
      <c r="U27" s="58"/>
      <c r="V27" s="58"/>
      <c r="W27" s="59"/>
    </row>
    <row r="28" spans="1:23">
      <c r="A28">
        <v>27</v>
      </c>
      <c r="B28" s="1" t="s">
        <v>12</v>
      </c>
      <c r="C28" s="1" t="s">
        <v>45</v>
      </c>
      <c r="D28" s="1">
        <v>338</v>
      </c>
      <c r="E28" s="1">
        <v>208</v>
      </c>
      <c r="F28" s="1">
        <v>0.88</v>
      </c>
      <c r="G28" s="1">
        <v>20260327</v>
      </c>
      <c r="H28" t="b">
        <f t="shared" si="0"/>
        <v>0</v>
      </c>
      <c r="I28" t="str" cm="1">
        <f t="array" ref="I28">GET_TICKER_FINAL(C28)</f>
        <v/>
      </c>
      <c r="J28" s="5" t="s">
        <v>1792</v>
      </c>
      <c r="K28" s="5" t="s">
        <v>1792</v>
      </c>
      <c r="L28">
        <f t="shared" si="1"/>
        <v>0</v>
      </c>
      <c r="P28" s="57"/>
      <c r="Q28" s="58"/>
      <c r="R28" s="58"/>
      <c r="S28" s="58"/>
      <c r="T28" s="58"/>
      <c r="U28" s="58"/>
      <c r="V28" s="58"/>
      <c r="W28" s="59"/>
    </row>
    <row r="29" spans="1:23">
      <c r="A29">
        <v>28</v>
      </c>
      <c r="B29" s="1" t="s">
        <v>12</v>
      </c>
      <c r="C29" s="1" t="s">
        <v>46</v>
      </c>
      <c r="D29" s="1">
        <v>279</v>
      </c>
      <c r="E29" s="1">
        <v>56</v>
      </c>
      <c r="F29" s="1">
        <v>0.88</v>
      </c>
      <c r="G29" s="1">
        <v>20260331</v>
      </c>
      <c r="H29" t="b">
        <f t="shared" si="0"/>
        <v>0</v>
      </c>
      <c r="I29" t="str" cm="1">
        <f t="array" ref="I29">GET_TICKER_FINAL(C29)</f>
        <v/>
      </c>
      <c r="J29" s="5" t="s">
        <v>16</v>
      </c>
      <c r="K29" s="5" t="s">
        <v>16</v>
      </c>
      <c r="L29">
        <f t="shared" si="1"/>
        <v>0</v>
      </c>
      <c r="P29" s="57"/>
      <c r="Q29" s="58"/>
      <c r="R29" s="58"/>
      <c r="S29" s="58"/>
      <c r="T29" s="58"/>
      <c r="U29" s="58"/>
      <c r="V29" s="58"/>
      <c r="W29" s="59"/>
    </row>
    <row r="30" spans="1:23">
      <c r="A30">
        <v>29</v>
      </c>
      <c r="B30" s="1" t="s">
        <v>12</v>
      </c>
      <c r="C30" s="1" t="s">
        <v>47</v>
      </c>
      <c r="D30" s="1">
        <v>271</v>
      </c>
      <c r="E30" s="1">
        <v>339</v>
      </c>
      <c r="F30" s="1">
        <v>0.91</v>
      </c>
      <c r="G30" s="1">
        <v>20260323</v>
      </c>
      <c r="H30" t="b">
        <f t="shared" si="0"/>
        <v>0</v>
      </c>
      <c r="I30" t="str" cm="1">
        <f t="array" ref="I30">GET_TICKER_FINAL(C30)</f>
        <v/>
      </c>
      <c r="J30" s="5" t="s">
        <v>1792</v>
      </c>
      <c r="K30" s="5" t="s">
        <v>1792</v>
      </c>
      <c r="L30">
        <f t="shared" si="1"/>
        <v>0</v>
      </c>
      <c r="P30" s="57"/>
      <c r="Q30" s="58"/>
      <c r="R30" s="58"/>
      <c r="S30" s="58"/>
      <c r="T30" s="58"/>
      <c r="U30" s="58"/>
      <c r="V30" s="58"/>
      <c r="W30" s="59"/>
    </row>
    <row r="31" spans="1:23">
      <c r="A31">
        <v>30</v>
      </c>
      <c r="B31" s="1" t="s">
        <v>12</v>
      </c>
      <c r="C31" s="1" t="s">
        <v>48</v>
      </c>
      <c r="D31" s="1">
        <v>268</v>
      </c>
      <c r="E31" s="1">
        <v>153</v>
      </c>
      <c r="F31" s="1">
        <v>0.83</v>
      </c>
      <c r="G31" s="1">
        <v>20260327</v>
      </c>
      <c r="H31" t="b">
        <f t="shared" si="0"/>
        <v>0</v>
      </c>
      <c r="I31" t="str" cm="1">
        <f t="array" ref="I31">GET_TICKER_FINAL(C31)</f>
        <v/>
      </c>
      <c r="J31" s="5" t="s">
        <v>16</v>
      </c>
      <c r="K31" s="5" t="s">
        <v>16</v>
      </c>
      <c r="L31">
        <f t="shared" si="1"/>
        <v>0</v>
      </c>
      <c r="P31" s="57"/>
      <c r="Q31" s="58"/>
      <c r="R31" s="58"/>
      <c r="S31" s="58"/>
      <c r="T31" s="58"/>
      <c r="U31" s="58"/>
      <c r="V31" s="58"/>
      <c r="W31" s="59"/>
    </row>
    <row r="32" spans="1:23">
      <c r="A32">
        <v>31</v>
      </c>
      <c r="B32" s="1" t="s">
        <v>12</v>
      </c>
      <c r="C32" s="1" t="s">
        <v>49</v>
      </c>
      <c r="D32" s="1">
        <v>267</v>
      </c>
      <c r="E32" s="1">
        <v>9</v>
      </c>
      <c r="F32" s="1">
        <v>0.93</v>
      </c>
      <c r="G32" s="1">
        <v>20260324</v>
      </c>
      <c r="H32" t="b">
        <f t="shared" si="0"/>
        <v>0</v>
      </c>
      <c r="I32" t="str" cm="1">
        <f t="array" ref="I32">GET_TICKER_FINAL(C32)</f>
        <v/>
      </c>
      <c r="J32" s="5" t="s">
        <v>28</v>
      </c>
      <c r="P32" s="57"/>
      <c r="Q32" s="58"/>
      <c r="R32" s="58"/>
      <c r="S32" s="58"/>
      <c r="T32" s="58"/>
      <c r="U32" s="58"/>
      <c r="V32" s="58"/>
      <c r="W32" s="59"/>
    </row>
    <row r="33" spans="1:23">
      <c r="A33">
        <v>32</v>
      </c>
      <c r="B33" s="1" t="s">
        <v>12</v>
      </c>
      <c r="C33" s="1" t="s">
        <v>50</v>
      </c>
      <c r="D33" s="1">
        <v>256</v>
      </c>
      <c r="E33" s="1">
        <v>193</v>
      </c>
      <c r="F33" s="1">
        <v>0.9</v>
      </c>
      <c r="G33" s="1">
        <v>20260402</v>
      </c>
      <c r="H33" t="b">
        <f t="shared" si="0"/>
        <v>0</v>
      </c>
      <c r="I33" t="str" cm="1">
        <f t="array" ref="I33">GET_TICKER_FINAL(C33)</f>
        <v/>
      </c>
      <c r="J33" s="5" t="s">
        <v>14</v>
      </c>
      <c r="P33" s="57"/>
      <c r="Q33" s="58"/>
      <c r="R33" s="58"/>
      <c r="S33" s="58"/>
      <c r="T33" s="58"/>
      <c r="U33" s="58"/>
      <c r="V33" s="58"/>
      <c r="W33" s="59"/>
    </row>
    <row r="34" spans="1:23">
      <c r="A34">
        <v>33</v>
      </c>
      <c r="B34" s="1" t="s">
        <v>12</v>
      </c>
      <c r="C34" s="1" t="s">
        <v>51</v>
      </c>
      <c r="D34" s="1">
        <v>226</v>
      </c>
      <c r="E34" s="1">
        <v>405</v>
      </c>
      <c r="F34" s="1">
        <v>0.74</v>
      </c>
      <c r="G34" s="1">
        <v>20260402</v>
      </c>
      <c r="H34" t="b">
        <f t="shared" si="0"/>
        <v>0</v>
      </c>
      <c r="I34" t="str" cm="1">
        <f t="array" ref="I34">GET_TICKER_FINAL(C34)</f>
        <v>SPY</v>
      </c>
      <c r="J34" s="5" t="s">
        <v>14</v>
      </c>
      <c r="P34" s="57"/>
      <c r="Q34" s="58"/>
      <c r="R34" s="58"/>
      <c r="S34" s="58"/>
      <c r="T34" s="58"/>
      <c r="U34" s="58"/>
      <c r="V34" s="58"/>
      <c r="W34" s="59"/>
    </row>
    <row r="35" spans="1:23">
      <c r="A35">
        <v>34</v>
      </c>
      <c r="B35" s="1" t="s">
        <v>12</v>
      </c>
      <c r="C35" s="1" t="s">
        <v>52</v>
      </c>
      <c r="D35" s="1">
        <v>219</v>
      </c>
      <c r="E35" s="1">
        <v>541</v>
      </c>
      <c r="F35" s="1">
        <v>0.69</v>
      </c>
      <c r="G35" s="1">
        <v>20260324</v>
      </c>
      <c r="H35" t="b">
        <f t="shared" si="0"/>
        <v>0</v>
      </c>
      <c r="I35" t="str" cm="1">
        <f t="array" ref="I35">GET_TICKER_FINAL(C35)</f>
        <v/>
      </c>
      <c r="J35" s="5" t="s">
        <v>16</v>
      </c>
      <c r="P35" s="57"/>
      <c r="Q35" s="58"/>
      <c r="R35" s="58"/>
      <c r="S35" s="58"/>
      <c r="T35" s="58"/>
      <c r="U35" s="58"/>
      <c r="V35" s="58"/>
      <c r="W35" s="59"/>
    </row>
    <row r="36" spans="1:23">
      <c r="A36">
        <v>35</v>
      </c>
      <c r="B36" s="1" t="s">
        <v>12</v>
      </c>
      <c r="C36" s="1" t="s">
        <v>53</v>
      </c>
      <c r="D36" s="1">
        <v>211</v>
      </c>
      <c r="E36" s="1">
        <v>106</v>
      </c>
      <c r="F36" s="1">
        <v>0.93</v>
      </c>
      <c r="G36" s="1">
        <v>20260401</v>
      </c>
      <c r="H36" t="b">
        <f t="shared" si="0"/>
        <v>0</v>
      </c>
      <c r="I36" t="str" cm="1">
        <f t="array" ref="I36">GET_TICKER_FINAL(C36)</f>
        <v/>
      </c>
      <c r="J36" s="5" t="s">
        <v>28</v>
      </c>
      <c r="P36" s="57"/>
      <c r="Q36" s="58"/>
      <c r="R36" s="58"/>
      <c r="S36" s="58"/>
      <c r="T36" s="58"/>
      <c r="U36" s="58"/>
      <c r="V36" s="58"/>
      <c r="W36" s="59"/>
    </row>
    <row r="37" spans="1:23">
      <c r="A37">
        <v>36</v>
      </c>
      <c r="B37" s="1" t="s">
        <v>12</v>
      </c>
      <c r="C37" s="1" t="s">
        <v>54</v>
      </c>
      <c r="D37" s="1">
        <v>182</v>
      </c>
      <c r="E37" s="1">
        <v>29</v>
      </c>
      <c r="F37" s="1">
        <v>0.96</v>
      </c>
      <c r="G37" s="1">
        <v>20260327</v>
      </c>
      <c r="H37" t="b">
        <f t="shared" si="0"/>
        <v>0</v>
      </c>
      <c r="I37" t="str" cm="1">
        <f t="array" ref="I37">GET_TICKER_FINAL(C37)</f>
        <v/>
      </c>
      <c r="J37" s="5" t="s">
        <v>1792</v>
      </c>
      <c r="P37" s="57"/>
      <c r="Q37" s="58"/>
      <c r="R37" s="58"/>
      <c r="S37" s="58"/>
      <c r="T37" s="58"/>
      <c r="U37" s="58"/>
      <c r="V37" s="58"/>
      <c r="W37" s="59"/>
    </row>
    <row r="38" spans="1:23">
      <c r="A38">
        <v>37</v>
      </c>
      <c r="B38" s="1" t="s">
        <v>12</v>
      </c>
      <c r="C38" s="1" t="s">
        <v>55</v>
      </c>
      <c r="D38" s="1">
        <v>181</v>
      </c>
      <c r="E38" s="1">
        <v>125</v>
      </c>
      <c r="F38" s="1">
        <v>0.89</v>
      </c>
      <c r="G38" s="1">
        <v>20260320</v>
      </c>
      <c r="H38" t="b">
        <f t="shared" si="0"/>
        <v>0</v>
      </c>
      <c r="I38" t="str" cm="1">
        <f t="array" ref="I38">GET_TICKER_FINAL(C38)</f>
        <v/>
      </c>
      <c r="J38" s="5" t="s">
        <v>16</v>
      </c>
      <c r="P38" s="57"/>
      <c r="Q38" s="58"/>
      <c r="R38" s="58"/>
      <c r="S38" s="58"/>
      <c r="T38" s="58"/>
      <c r="U38" s="58"/>
      <c r="V38" s="58"/>
      <c r="W38" s="59"/>
    </row>
    <row r="39" spans="1:23">
      <c r="A39">
        <v>38</v>
      </c>
      <c r="B39" s="1" t="s">
        <v>12</v>
      </c>
      <c r="C39" s="1" t="s">
        <v>56</v>
      </c>
      <c r="D39" s="1">
        <v>180</v>
      </c>
      <c r="E39" s="1">
        <v>190</v>
      </c>
      <c r="F39" s="1">
        <v>0.89</v>
      </c>
      <c r="G39" s="1">
        <v>20260331</v>
      </c>
      <c r="H39" t="b">
        <f t="shared" si="0"/>
        <v>0</v>
      </c>
      <c r="I39" t="str" cm="1">
        <f t="array" ref="I39">GET_TICKER_FINAL(C39)</f>
        <v/>
      </c>
      <c r="J39" s="5" t="s">
        <v>1792</v>
      </c>
      <c r="P39" s="57"/>
      <c r="Q39" s="58"/>
      <c r="R39" s="58"/>
      <c r="S39" s="58"/>
      <c r="T39" s="58"/>
      <c r="U39" s="58"/>
      <c r="V39" s="58"/>
      <c r="W39" s="59"/>
    </row>
    <row r="40" spans="1:23">
      <c r="A40">
        <v>39</v>
      </c>
      <c r="B40" s="1" t="s">
        <v>12</v>
      </c>
      <c r="C40" s="1" t="s">
        <v>57</v>
      </c>
      <c r="D40" s="1">
        <v>179</v>
      </c>
      <c r="E40" s="1">
        <v>21</v>
      </c>
      <c r="F40" s="1">
        <v>0.94</v>
      </c>
      <c r="G40" s="1">
        <v>20260331</v>
      </c>
      <c r="H40" t="b">
        <f t="shared" si="0"/>
        <v>0</v>
      </c>
      <c r="I40" t="str" cm="1">
        <f t="array" ref="I40">GET_TICKER_FINAL(C40)</f>
        <v/>
      </c>
      <c r="J40" s="5" t="s">
        <v>16</v>
      </c>
      <c r="P40" s="57"/>
      <c r="Q40" s="58"/>
      <c r="R40" s="58"/>
      <c r="S40" s="58"/>
      <c r="T40" s="58"/>
      <c r="U40" s="58"/>
      <c r="V40" s="58"/>
      <c r="W40" s="59"/>
    </row>
    <row r="41" spans="1:23">
      <c r="A41">
        <v>40</v>
      </c>
      <c r="B41" s="1" t="s">
        <v>12</v>
      </c>
      <c r="C41" s="1" t="s">
        <v>58</v>
      </c>
      <c r="D41" s="1">
        <v>175</v>
      </c>
      <c r="E41" s="1">
        <v>36</v>
      </c>
      <c r="F41" s="1">
        <v>0.92</v>
      </c>
      <c r="G41" s="1">
        <v>20260402</v>
      </c>
      <c r="H41" t="b">
        <f t="shared" si="0"/>
        <v>0</v>
      </c>
      <c r="I41" t="str" cm="1">
        <f t="array" ref="I41">GET_TICKER_FINAL(C41)</f>
        <v/>
      </c>
      <c r="J41" s="5" t="s">
        <v>16</v>
      </c>
      <c r="P41" s="57"/>
      <c r="Q41" s="58"/>
      <c r="R41" s="58"/>
      <c r="S41" s="58"/>
      <c r="T41" s="58"/>
      <c r="U41" s="58"/>
      <c r="V41" s="58"/>
      <c r="W41" s="59"/>
    </row>
    <row r="42" spans="1:23">
      <c r="A42">
        <v>41</v>
      </c>
      <c r="B42" s="1" t="s">
        <v>12</v>
      </c>
      <c r="C42" s="1" t="s">
        <v>59</v>
      </c>
      <c r="D42" s="1">
        <v>172</v>
      </c>
      <c r="E42" s="1">
        <v>136</v>
      </c>
      <c r="F42" s="1">
        <v>0.73</v>
      </c>
      <c r="G42" s="1">
        <v>20260327</v>
      </c>
      <c r="H42" t="b">
        <f t="shared" si="0"/>
        <v>0</v>
      </c>
      <c r="I42" t="str" cm="1">
        <f t="array" ref="I42">GET_TICKER_FINAL(C42)</f>
        <v/>
      </c>
      <c r="J42" s="5" t="s">
        <v>25</v>
      </c>
      <c r="P42" s="57"/>
      <c r="Q42" s="58"/>
      <c r="R42" s="58"/>
      <c r="S42" s="58"/>
      <c r="T42" s="58"/>
      <c r="U42" s="58"/>
      <c r="V42" s="58"/>
      <c r="W42" s="59"/>
    </row>
    <row r="43" spans="1:23">
      <c r="A43">
        <v>42</v>
      </c>
      <c r="B43" s="1" t="s">
        <v>12</v>
      </c>
      <c r="C43" s="1" t="s">
        <v>60</v>
      </c>
      <c r="D43" s="1">
        <v>167</v>
      </c>
      <c r="E43" s="1">
        <v>222</v>
      </c>
      <c r="F43" s="1">
        <v>0.8</v>
      </c>
      <c r="G43" s="1">
        <v>20260324</v>
      </c>
      <c r="H43" t="b">
        <f t="shared" si="0"/>
        <v>0</v>
      </c>
      <c r="I43" t="str" cm="1">
        <f t="array" ref="I43">GET_TICKER_FINAL(C43)</f>
        <v/>
      </c>
      <c r="J43" s="5" t="s">
        <v>1792</v>
      </c>
      <c r="P43" s="57"/>
      <c r="Q43" s="58"/>
      <c r="R43" s="58"/>
      <c r="S43" s="58"/>
      <c r="T43" s="58"/>
      <c r="U43" s="58"/>
      <c r="V43" s="58"/>
      <c r="W43" s="59"/>
    </row>
    <row r="44" spans="1:23">
      <c r="A44">
        <v>43</v>
      </c>
      <c r="B44" s="1" t="s">
        <v>12</v>
      </c>
      <c r="C44" s="1" t="s">
        <v>61</v>
      </c>
      <c r="D44" s="1">
        <v>156</v>
      </c>
      <c r="E44" s="1">
        <v>40</v>
      </c>
      <c r="F44" s="1">
        <v>0.93</v>
      </c>
      <c r="G44" s="1">
        <v>20260323</v>
      </c>
      <c r="H44" t="b">
        <f t="shared" si="0"/>
        <v>0</v>
      </c>
      <c r="I44" t="str" cm="1">
        <f t="array" ref="I44">GET_TICKER_FINAL(C44)</f>
        <v/>
      </c>
      <c r="J44" s="5" t="s">
        <v>1792</v>
      </c>
      <c r="P44" s="57"/>
      <c r="Q44" s="58"/>
      <c r="R44" s="58"/>
      <c r="S44" s="58"/>
      <c r="T44" s="58"/>
      <c r="U44" s="58"/>
      <c r="V44" s="58"/>
      <c r="W44" s="59"/>
    </row>
    <row r="45" spans="1:23">
      <c r="A45">
        <v>44</v>
      </c>
      <c r="B45" s="1" t="s">
        <v>12</v>
      </c>
      <c r="C45" s="1" t="s">
        <v>62</v>
      </c>
      <c r="D45" s="1">
        <v>148</v>
      </c>
      <c r="E45" s="1">
        <v>112</v>
      </c>
      <c r="F45" s="1">
        <v>0.91</v>
      </c>
      <c r="G45" s="1">
        <v>20260402</v>
      </c>
      <c r="H45" t="b">
        <f t="shared" si="0"/>
        <v>0</v>
      </c>
      <c r="I45" t="str" cm="1">
        <f t="array" ref="I45">GET_TICKER_FINAL(C45)</f>
        <v>SPY</v>
      </c>
      <c r="J45" s="5" t="s">
        <v>1792</v>
      </c>
      <c r="P45" s="57"/>
      <c r="Q45" s="58"/>
      <c r="R45" s="58"/>
      <c r="S45" s="58"/>
      <c r="T45" s="58"/>
      <c r="U45" s="58"/>
      <c r="V45" s="58"/>
      <c r="W45" s="59"/>
    </row>
    <row r="46" spans="1:23">
      <c r="A46">
        <v>45</v>
      </c>
      <c r="B46" s="1" t="s">
        <v>12</v>
      </c>
      <c r="C46" s="1" t="s">
        <v>63</v>
      </c>
      <c r="D46" s="1">
        <v>140</v>
      </c>
      <c r="E46" s="1">
        <v>27</v>
      </c>
      <c r="F46" s="1">
        <v>0.89</v>
      </c>
      <c r="G46" s="1">
        <v>20260330</v>
      </c>
      <c r="H46" t="b">
        <f t="shared" si="0"/>
        <v>0</v>
      </c>
      <c r="I46" t="str" cm="1">
        <f t="array" ref="I46">GET_TICKER_FINAL(C46)</f>
        <v>META</v>
      </c>
      <c r="J46" s="5" t="s">
        <v>16</v>
      </c>
      <c r="P46" s="57"/>
      <c r="Q46" s="58"/>
      <c r="R46" s="58"/>
      <c r="S46" s="58"/>
      <c r="T46" s="58"/>
      <c r="U46" s="58"/>
      <c r="V46" s="58"/>
      <c r="W46" s="59"/>
    </row>
    <row r="47" spans="1:23">
      <c r="A47">
        <v>46</v>
      </c>
      <c r="B47" s="1" t="s">
        <v>12</v>
      </c>
      <c r="C47" s="1" t="s">
        <v>64</v>
      </c>
      <c r="D47" s="1">
        <v>139</v>
      </c>
      <c r="E47" s="1">
        <v>109</v>
      </c>
      <c r="F47" s="1">
        <v>0.83</v>
      </c>
      <c r="G47" s="1">
        <v>20260327</v>
      </c>
      <c r="H47" t="b">
        <f t="shared" si="0"/>
        <v>0</v>
      </c>
      <c r="I47" t="str" cm="1">
        <f t="array" ref="I47">GET_TICKER_FINAL(C47)</f>
        <v/>
      </c>
      <c r="J47" s="5" t="s">
        <v>1792</v>
      </c>
      <c r="P47" s="60"/>
      <c r="Q47" s="61"/>
      <c r="R47" s="61"/>
      <c r="S47" s="61"/>
      <c r="T47" s="61"/>
      <c r="U47" s="61"/>
      <c r="V47" s="61"/>
      <c r="W47" s="62"/>
    </row>
    <row r="48" spans="1:23">
      <c r="A48">
        <v>47</v>
      </c>
      <c r="B48" s="1" t="s">
        <v>12</v>
      </c>
      <c r="C48" s="1" t="s">
        <v>65</v>
      </c>
      <c r="D48" s="1">
        <v>138</v>
      </c>
      <c r="E48" s="1">
        <v>34</v>
      </c>
      <c r="F48" s="1">
        <v>0.93</v>
      </c>
      <c r="G48" s="1">
        <v>20260324</v>
      </c>
      <c r="H48" t="b">
        <f t="shared" si="0"/>
        <v>0</v>
      </c>
      <c r="I48" t="str" cm="1">
        <f t="array" ref="I48">GET_TICKER_FINAL(C48)</f>
        <v/>
      </c>
      <c r="J48" s="5" t="s">
        <v>16</v>
      </c>
      <c r="P48" s="6"/>
      <c r="Q48" s="6"/>
      <c r="R48" s="6"/>
      <c r="S48" s="6"/>
      <c r="T48" s="6"/>
      <c r="U48" s="6"/>
      <c r="V48" s="6"/>
      <c r="W48" s="6"/>
    </row>
    <row r="49" spans="1:23">
      <c r="A49">
        <v>48</v>
      </c>
      <c r="B49" s="1" t="s">
        <v>12</v>
      </c>
      <c r="C49" s="1" t="s">
        <v>66</v>
      </c>
      <c r="D49" s="1">
        <v>135</v>
      </c>
      <c r="E49" s="1">
        <v>51</v>
      </c>
      <c r="F49" s="1">
        <v>0.88</v>
      </c>
      <c r="G49" s="1">
        <v>20260320</v>
      </c>
      <c r="H49" t="b">
        <f t="shared" si="0"/>
        <v>0</v>
      </c>
      <c r="I49" t="str" cm="1">
        <f t="array" ref="I49">GET_TICKER_FINAL(C49)</f>
        <v/>
      </c>
      <c r="J49" s="5" t="s">
        <v>1792</v>
      </c>
      <c r="P49" s="6"/>
      <c r="Q49" s="6"/>
      <c r="R49" s="6"/>
      <c r="S49" s="6"/>
      <c r="T49" s="6"/>
      <c r="U49" s="6"/>
      <c r="V49" s="6"/>
      <c r="W49" s="6"/>
    </row>
    <row r="50" spans="1:23">
      <c r="A50">
        <v>49</v>
      </c>
      <c r="B50" s="1" t="s">
        <v>12</v>
      </c>
      <c r="C50" s="1" t="s">
        <v>67</v>
      </c>
      <c r="D50" s="1">
        <v>122</v>
      </c>
      <c r="E50" s="1">
        <v>108</v>
      </c>
      <c r="F50" s="1">
        <v>0.9</v>
      </c>
      <c r="G50" s="1">
        <v>20260324</v>
      </c>
      <c r="H50" t="b">
        <f t="shared" si="0"/>
        <v>0</v>
      </c>
      <c r="I50" t="str" cm="1">
        <f t="array" ref="I50">GET_TICKER_FINAL(C50)</f>
        <v/>
      </c>
      <c r="J50" s="5" t="s">
        <v>1792</v>
      </c>
      <c r="P50" s="50" t="s">
        <v>68</v>
      </c>
      <c r="Q50" s="51"/>
      <c r="R50" s="8">
        <f>SUM(L2:L31)</f>
        <v>8</v>
      </c>
      <c r="S50" s="13" t="s">
        <v>69</v>
      </c>
      <c r="T50" s="9">
        <f>R50/30</f>
        <v>0.26666666666666666</v>
      </c>
      <c r="U50" s="6"/>
      <c r="V50" s="6"/>
      <c r="W50" s="6"/>
    </row>
    <row r="51" spans="1:23">
      <c r="A51">
        <v>50</v>
      </c>
      <c r="B51" s="1" t="s">
        <v>12</v>
      </c>
      <c r="C51" s="1" t="s">
        <v>70</v>
      </c>
      <c r="D51" s="1">
        <v>118</v>
      </c>
      <c r="E51" s="1">
        <v>51</v>
      </c>
      <c r="F51" s="1">
        <v>0.83</v>
      </c>
      <c r="G51" s="1">
        <v>20260401</v>
      </c>
      <c r="H51" t="b">
        <f t="shared" si="0"/>
        <v>0</v>
      </c>
      <c r="I51" t="str" cm="1">
        <f t="array" ref="I51">GET_TICKER_FINAL(C51)</f>
        <v/>
      </c>
      <c r="J51" s="5" t="s">
        <v>14</v>
      </c>
      <c r="P51" s="52"/>
      <c r="Q51" s="53"/>
      <c r="R51" s="10">
        <v>30</v>
      </c>
      <c r="S51" s="11"/>
      <c r="T51" s="12"/>
      <c r="U51" s="6"/>
      <c r="V51" s="6"/>
      <c r="W51" s="6"/>
    </row>
    <row r="52" spans="1:23">
      <c r="A52">
        <v>51</v>
      </c>
      <c r="B52" s="1" t="s">
        <v>12</v>
      </c>
      <c r="C52" s="1" t="s">
        <v>71</v>
      </c>
      <c r="D52" s="1">
        <v>109</v>
      </c>
      <c r="E52" s="1">
        <v>27</v>
      </c>
      <c r="F52" s="1">
        <v>0.84</v>
      </c>
      <c r="G52" s="1">
        <v>20260402</v>
      </c>
      <c r="H52" t="b">
        <f t="shared" si="0"/>
        <v>0</v>
      </c>
      <c r="I52" t="str" cm="1">
        <f t="array" ref="I52">GET_TICKER_FINAL(C52)</f>
        <v>TSLA</v>
      </c>
      <c r="J52" s="5" t="s">
        <v>16</v>
      </c>
      <c r="P52" s="6"/>
      <c r="Q52" s="6"/>
      <c r="R52" s="6"/>
      <c r="S52" s="6"/>
      <c r="T52" s="6"/>
      <c r="U52" s="6"/>
      <c r="V52" s="6"/>
      <c r="W52" s="6"/>
    </row>
    <row r="53" spans="1:23">
      <c r="A53">
        <v>52</v>
      </c>
      <c r="B53" s="1" t="s">
        <v>12</v>
      </c>
      <c r="C53" s="1" t="s">
        <v>72</v>
      </c>
      <c r="D53" s="1">
        <v>108</v>
      </c>
      <c r="E53" s="1">
        <v>33</v>
      </c>
      <c r="F53" s="1">
        <v>0.8</v>
      </c>
      <c r="G53" s="1">
        <v>20260402</v>
      </c>
      <c r="H53" t="b">
        <f t="shared" si="0"/>
        <v>0</v>
      </c>
      <c r="I53" t="str" cm="1">
        <f t="array" ref="I53">GET_TICKER_FINAL(C53)</f>
        <v/>
      </c>
      <c r="J53" s="5" t="s">
        <v>16</v>
      </c>
      <c r="P53" s="6"/>
      <c r="Q53" s="6"/>
      <c r="R53" s="6"/>
      <c r="S53" s="6"/>
      <c r="T53" s="6"/>
      <c r="U53" s="6"/>
      <c r="V53" s="6"/>
      <c r="W53" s="6"/>
    </row>
    <row r="54" spans="1:23">
      <c r="A54">
        <v>53</v>
      </c>
      <c r="B54" s="1" t="s">
        <v>12</v>
      </c>
      <c r="C54" s="1" t="s">
        <v>73</v>
      </c>
      <c r="D54" s="1">
        <v>107</v>
      </c>
      <c r="E54" s="1">
        <v>82</v>
      </c>
      <c r="F54" s="1">
        <v>0.88</v>
      </c>
      <c r="G54" s="1">
        <v>20260326</v>
      </c>
      <c r="H54" t="b">
        <f t="shared" si="0"/>
        <v>0</v>
      </c>
      <c r="I54" t="str" cm="1">
        <f t="array" ref="I54">GET_TICKER_FINAL(C54)</f>
        <v/>
      </c>
      <c r="J54" s="5" t="s">
        <v>1792</v>
      </c>
      <c r="P54" s="6"/>
      <c r="Q54" s="6"/>
      <c r="R54" s="6"/>
      <c r="S54" s="6"/>
      <c r="T54" s="6"/>
      <c r="U54" s="6"/>
      <c r="V54" s="6"/>
      <c r="W54" s="6"/>
    </row>
    <row r="55" spans="1:23">
      <c r="A55">
        <v>54</v>
      </c>
      <c r="B55" s="1" t="s">
        <v>12</v>
      </c>
      <c r="C55" s="1" t="s">
        <v>74</v>
      </c>
      <c r="D55" s="1">
        <v>106</v>
      </c>
      <c r="E55" s="1">
        <v>112</v>
      </c>
      <c r="F55" s="1">
        <v>0.82</v>
      </c>
      <c r="G55" s="1">
        <v>20260330</v>
      </c>
      <c r="H55" t="b">
        <f t="shared" si="0"/>
        <v>0</v>
      </c>
      <c r="I55" t="str" cm="1">
        <f t="array" ref="I55">GET_TICKER_FINAL(C55)</f>
        <v/>
      </c>
      <c r="J55" s="5" t="s">
        <v>1792</v>
      </c>
      <c r="P55" s="6"/>
      <c r="Q55" s="6"/>
      <c r="R55" s="6"/>
      <c r="S55" s="6"/>
      <c r="T55" s="6"/>
      <c r="U55" s="6"/>
      <c r="V55" s="6"/>
      <c r="W55" s="6"/>
    </row>
    <row r="56" spans="1:23">
      <c r="A56">
        <v>55</v>
      </c>
      <c r="B56" s="1" t="s">
        <v>12</v>
      </c>
      <c r="C56" s="1" t="s">
        <v>75</v>
      </c>
      <c r="D56" s="1">
        <v>103</v>
      </c>
      <c r="E56" s="1">
        <v>184</v>
      </c>
      <c r="F56" s="1">
        <v>0.76</v>
      </c>
      <c r="G56" s="1">
        <v>20260326</v>
      </c>
      <c r="H56" t="b">
        <f t="shared" si="0"/>
        <v>0</v>
      </c>
      <c r="I56" t="str" cm="1">
        <f t="array" ref="I56">GET_TICKER_FINAL(C56)</f>
        <v>SPY</v>
      </c>
      <c r="J56" s="5" t="s">
        <v>1792</v>
      </c>
      <c r="P56" s="6"/>
      <c r="Q56" s="6"/>
      <c r="R56" s="6"/>
      <c r="S56" s="6"/>
      <c r="T56" s="6"/>
      <c r="U56" s="6"/>
      <c r="V56" s="6"/>
      <c r="W56" s="6"/>
    </row>
    <row r="57" spans="1:23">
      <c r="A57">
        <v>56</v>
      </c>
      <c r="B57" s="1" t="s">
        <v>12</v>
      </c>
      <c r="C57" s="1" t="s">
        <v>76</v>
      </c>
      <c r="D57" s="1">
        <v>91</v>
      </c>
      <c r="E57" s="1">
        <v>109</v>
      </c>
      <c r="F57" s="1">
        <v>0.69</v>
      </c>
      <c r="G57" s="1">
        <v>20260326</v>
      </c>
      <c r="H57" t="b">
        <f t="shared" si="0"/>
        <v>0</v>
      </c>
      <c r="I57" t="str" cm="1">
        <f t="array" ref="I57">GET_TICKER_FINAL(C57)</f>
        <v/>
      </c>
      <c r="J57" s="5" t="s">
        <v>16</v>
      </c>
      <c r="P57" s="6"/>
      <c r="Q57" s="6"/>
      <c r="R57" s="6"/>
      <c r="S57" s="6"/>
      <c r="T57" s="6"/>
      <c r="U57" s="6"/>
      <c r="V57" s="6"/>
      <c r="W57" s="6"/>
    </row>
    <row r="58" spans="1:23">
      <c r="A58">
        <v>57</v>
      </c>
      <c r="B58" s="1" t="s">
        <v>12</v>
      </c>
      <c r="C58" s="1" t="s">
        <v>77</v>
      </c>
      <c r="D58" s="1">
        <v>88</v>
      </c>
      <c r="E58" s="1">
        <v>238</v>
      </c>
      <c r="F58" s="1">
        <v>0.71</v>
      </c>
      <c r="G58" s="1">
        <v>20260331</v>
      </c>
      <c r="H58" t="b">
        <f t="shared" si="0"/>
        <v>0</v>
      </c>
      <c r="I58" t="str" cm="1">
        <f t="array" ref="I58">GET_TICKER_FINAL(C58)</f>
        <v/>
      </c>
      <c r="J58" s="5" t="s">
        <v>1792</v>
      </c>
      <c r="P58" s="6"/>
      <c r="Q58" s="6"/>
      <c r="R58" s="6"/>
      <c r="S58" s="6"/>
      <c r="T58" s="6"/>
      <c r="U58" s="6"/>
      <c r="V58" s="6"/>
      <c r="W58" s="6"/>
    </row>
    <row r="59" spans="1:23">
      <c r="A59">
        <v>58</v>
      </c>
      <c r="B59" s="1" t="s">
        <v>12</v>
      </c>
      <c r="C59" s="1" t="s">
        <v>78</v>
      </c>
      <c r="D59" s="1">
        <v>85</v>
      </c>
      <c r="E59" s="1">
        <v>40</v>
      </c>
      <c r="F59" s="1">
        <v>0.96</v>
      </c>
      <c r="G59" s="1">
        <v>20260402</v>
      </c>
      <c r="H59" t="b">
        <f t="shared" si="0"/>
        <v>0</v>
      </c>
      <c r="I59" t="str" cm="1">
        <f t="array" ref="I59">GET_TICKER_FINAL(C59)</f>
        <v/>
      </c>
      <c r="J59" s="5" t="s">
        <v>1792</v>
      </c>
      <c r="P59" s="6"/>
      <c r="Q59" s="6"/>
      <c r="R59" s="6"/>
      <c r="S59" s="6"/>
      <c r="T59" s="6"/>
      <c r="U59" s="6"/>
      <c r="V59" s="6"/>
      <c r="W59" s="6"/>
    </row>
    <row r="60" spans="1:23">
      <c r="A60">
        <v>59</v>
      </c>
      <c r="B60" s="1" t="s">
        <v>12</v>
      </c>
      <c r="C60" s="1" t="s">
        <v>79</v>
      </c>
      <c r="D60" s="1">
        <v>83</v>
      </c>
      <c r="E60" s="1">
        <v>47</v>
      </c>
      <c r="F60" s="1">
        <v>0.77</v>
      </c>
      <c r="G60" s="1">
        <v>20260320</v>
      </c>
      <c r="H60" t="b">
        <f t="shared" si="0"/>
        <v>0</v>
      </c>
      <c r="I60" t="str" cm="1">
        <f t="array" ref="I60">GET_TICKER_FINAL(C60)</f>
        <v/>
      </c>
      <c r="J60" s="5" t="s">
        <v>1792</v>
      </c>
      <c r="P60" s="6"/>
      <c r="Q60" s="6"/>
      <c r="R60" s="6"/>
      <c r="S60" s="6"/>
      <c r="T60" s="6"/>
      <c r="U60" s="6"/>
      <c r="V60" s="6"/>
      <c r="W60" s="6"/>
    </row>
    <row r="61" spans="1:23">
      <c r="A61">
        <v>60</v>
      </c>
      <c r="B61" s="1" t="s">
        <v>12</v>
      </c>
      <c r="C61" s="1" t="s">
        <v>80</v>
      </c>
      <c r="D61" s="1">
        <v>79</v>
      </c>
      <c r="E61" s="1">
        <v>97</v>
      </c>
      <c r="F61" s="1">
        <v>0.76</v>
      </c>
      <c r="G61" s="1">
        <v>20260327</v>
      </c>
      <c r="H61" t="b">
        <f t="shared" si="0"/>
        <v>0</v>
      </c>
      <c r="I61" t="str" cm="1">
        <f t="array" ref="I61">GET_TICKER_FINAL(C61)</f>
        <v/>
      </c>
      <c r="J61" s="5" t="s">
        <v>16</v>
      </c>
      <c r="P61" s="6"/>
      <c r="Q61" s="6"/>
      <c r="R61" s="6"/>
      <c r="S61" s="6"/>
      <c r="T61" s="6"/>
      <c r="U61" s="6"/>
      <c r="V61" s="6"/>
      <c r="W61" s="6"/>
    </row>
    <row r="62" spans="1:23">
      <c r="A62">
        <v>61</v>
      </c>
      <c r="B62" s="1" t="s">
        <v>12</v>
      </c>
      <c r="C62" s="1" t="s">
        <v>81</v>
      </c>
      <c r="D62" s="1">
        <v>76</v>
      </c>
      <c r="E62" s="1">
        <v>121</v>
      </c>
      <c r="F62" s="1">
        <v>0.72</v>
      </c>
      <c r="G62" s="1">
        <v>20260402</v>
      </c>
      <c r="H62" t="b">
        <f t="shared" si="0"/>
        <v>0</v>
      </c>
      <c r="I62" t="str" cm="1">
        <f t="array" ref="I62">GET_TICKER_FINAL(C62)</f>
        <v/>
      </c>
      <c r="J62" s="5" t="s">
        <v>16</v>
      </c>
    </row>
    <row r="63" spans="1:23">
      <c r="A63">
        <v>62</v>
      </c>
      <c r="B63" s="1" t="s">
        <v>12</v>
      </c>
      <c r="C63" s="1" t="s">
        <v>82</v>
      </c>
      <c r="D63" s="1">
        <v>75</v>
      </c>
      <c r="E63" s="1">
        <v>48</v>
      </c>
      <c r="F63" s="1">
        <v>0.9</v>
      </c>
      <c r="G63" s="1">
        <v>20260324</v>
      </c>
      <c r="H63" t="b">
        <f t="shared" si="0"/>
        <v>0</v>
      </c>
      <c r="I63" t="str" cm="1">
        <f t="array" ref="I63">GET_TICKER_FINAL(C63)</f>
        <v/>
      </c>
      <c r="J63" s="5" t="s">
        <v>1792</v>
      </c>
    </row>
    <row r="64" spans="1:23">
      <c r="A64">
        <v>63</v>
      </c>
      <c r="B64" s="1" t="s">
        <v>12</v>
      </c>
      <c r="C64" s="1" t="s">
        <v>83</v>
      </c>
      <c r="D64" s="1">
        <v>66</v>
      </c>
      <c r="E64" s="1">
        <v>26</v>
      </c>
      <c r="F64" s="1">
        <v>0.85</v>
      </c>
      <c r="G64" s="1">
        <v>20260402</v>
      </c>
      <c r="H64" t="b">
        <f t="shared" si="0"/>
        <v>0</v>
      </c>
      <c r="I64" t="str" cm="1">
        <f t="array" ref="I64">GET_TICKER_FINAL(C64)</f>
        <v>NVO</v>
      </c>
      <c r="J64" s="5" t="s">
        <v>28</v>
      </c>
    </row>
    <row r="65" spans="1:10">
      <c r="A65">
        <v>64</v>
      </c>
      <c r="B65" s="1" t="s">
        <v>12</v>
      </c>
      <c r="C65" s="1" t="s">
        <v>84</v>
      </c>
      <c r="D65" s="1">
        <v>66</v>
      </c>
      <c r="E65" s="1">
        <v>47</v>
      </c>
      <c r="F65" s="1">
        <v>0.76</v>
      </c>
      <c r="G65" s="1">
        <v>20260324</v>
      </c>
      <c r="H65" t="b">
        <f t="shared" si="0"/>
        <v>0</v>
      </c>
      <c r="I65" t="str" cm="1">
        <f t="array" ref="I65">GET_TICKER_FINAL(C65)</f>
        <v/>
      </c>
      <c r="J65" s="5" t="s">
        <v>28</v>
      </c>
    </row>
    <row r="66" spans="1:10">
      <c r="A66">
        <v>65</v>
      </c>
      <c r="B66" s="1" t="s">
        <v>12</v>
      </c>
      <c r="C66" s="1" t="s">
        <v>85</v>
      </c>
      <c r="D66" s="1">
        <v>65</v>
      </c>
      <c r="E66" s="1">
        <v>67</v>
      </c>
      <c r="F66" s="1">
        <v>0.8</v>
      </c>
      <c r="G66" s="1">
        <v>20260330</v>
      </c>
      <c r="H66" t="b">
        <f t="shared" si="0"/>
        <v>0</v>
      </c>
      <c r="I66" t="str" cm="1">
        <f t="array" ref="I66">GET_TICKER_FINAL(C66)</f>
        <v/>
      </c>
      <c r="J66" s="5" t="s">
        <v>1792</v>
      </c>
    </row>
    <row r="67" spans="1:10">
      <c r="A67">
        <v>66</v>
      </c>
      <c r="B67" s="1" t="s">
        <v>12</v>
      </c>
      <c r="C67" s="1" t="s">
        <v>86</v>
      </c>
      <c r="D67" s="1">
        <v>61</v>
      </c>
      <c r="E67" s="1">
        <v>73</v>
      </c>
      <c r="F67" s="1">
        <v>0.89</v>
      </c>
      <c r="G67" s="1">
        <v>20260323</v>
      </c>
      <c r="H67" t="b">
        <f t="shared" ref="H67:H130" si="2">OR(ISNUMBER(SEARCH("$A",C67)),ISNUMBER(SEARCH("$B",C67)),ISNUMBER(SEARCH("$C",C67)),ISNUMBER(SEARCH("$D",C67)),ISNUMBER(SEARCH("$E",C67)),ISNUMBER(SEARCH("$F",C67)),ISNUMBER(SEARCH("$G",C67)),ISNUMBER(SEARCH("$H",C67)),ISNUMBER(SEARCH("$I",C67)),ISNUMBER(SEARCH("$J",C67)),ISNUMBER(SEARCH("$K",C67)),ISNUMBER(SEARCH("$L",C67)),ISNUMBER(SEARCH("$M",C67)),ISNUMBER(SEARCH("$N",C67)),ISNUMBER(SEARCH("$O",C67)),ISNUMBER(SEARCH("$P",C67)),ISNUMBER(SEARCH("$Q",C67)),ISNUMBER(SEARCH("$R",C67)),ISNUMBER(SEARCH("$S",C67)),ISNUMBER(SEARCH("$T",C67)),ISNUMBER(SEARCH("$U",C67)),ISNUMBER(SEARCH("$V",C67)),ISNUMBER(SEARCH("$W",C67)),ISNUMBER(SEARCH("$X",C67)),ISNUMBER(SEARCH("$Y",C67)),ISNUMBER(SEARCH("$Z",C67)))</f>
        <v>0</v>
      </c>
      <c r="I67" t="str" cm="1">
        <f t="array" ref="I67">GET_TICKER_FINAL(C67)</f>
        <v/>
      </c>
      <c r="J67" s="5" t="s">
        <v>25</v>
      </c>
    </row>
    <row r="68" spans="1:10">
      <c r="A68">
        <v>67</v>
      </c>
      <c r="B68" s="1" t="s">
        <v>12</v>
      </c>
      <c r="C68" s="1" t="s">
        <v>87</v>
      </c>
      <c r="D68" s="1">
        <v>57</v>
      </c>
      <c r="E68" s="1">
        <v>63</v>
      </c>
      <c r="F68" s="1">
        <v>0.87</v>
      </c>
      <c r="G68" s="1">
        <v>20260330</v>
      </c>
      <c r="H68" t="b">
        <f t="shared" si="2"/>
        <v>0</v>
      </c>
      <c r="I68" t="str" cm="1">
        <f t="array" ref="I68">GET_TICKER_FINAL(C68)</f>
        <v/>
      </c>
      <c r="J68" s="5" t="s">
        <v>1792</v>
      </c>
    </row>
    <row r="69" spans="1:10">
      <c r="A69">
        <v>68</v>
      </c>
      <c r="B69" s="1" t="s">
        <v>12</v>
      </c>
      <c r="C69" s="1" t="s">
        <v>88</v>
      </c>
      <c r="D69" s="1">
        <v>57</v>
      </c>
      <c r="E69" s="1">
        <v>141</v>
      </c>
      <c r="F69" s="1">
        <v>0.69</v>
      </c>
      <c r="G69" s="1">
        <v>20260402</v>
      </c>
      <c r="H69" t="b">
        <f t="shared" si="2"/>
        <v>0</v>
      </c>
      <c r="I69" t="str" cm="1">
        <f t="array" ref="I69">GET_TICKER_FINAL(C69)</f>
        <v/>
      </c>
      <c r="J69" s="5" t="s">
        <v>28</v>
      </c>
    </row>
    <row r="70" spans="1:10">
      <c r="A70">
        <v>69</v>
      </c>
      <c r="B70" s="1" t="s">
        <v>12</v>
      </c>
      <c r="C70" s="1" t="s">
        <v>89</v>
      </c>
      <c r="D70" s="1">
        <v>56</v>
      </c>
      <c r="E70" s="1">
        <v>44</v>
      </c>
      <c r="F70" s="1">
        <v>0.68</v>
      </c>
      <c r="G70" s="1">
        <v>20260331</v>
      </c>
      <c r="H70" t="b">
        <f t="shared" si="2"/>
        <v>0</v>
      </c>
      <c r="I70" t="str" cm="1">
        <f t="array" ref="I70">GET_TICKER_FINAL(C70)</f>
        <v/>
      </c>
      <c r="J70" s="5" t="s">
        <v>16</v>
      </c>
    </row>
    <row r="71" spans="1:10">
      <c r="A71">
        <v>70</v>
      </c>
      <c r="B71" s="1" t="s">
        <v>12</v>
      </c>
      <c r="C71" s="1" t="s">
        <v>90</v>
      </c>
      <c r="D71" s="1">
        <v>54</v>
      </c>
      <c r="E71" s="1">
        <v>111</v>
      </c>
      <c r="F71" s="1">
        <v>0.7</v>
      </c>
      <c r="G71" s="1">
        <v>20260320</v>
      </c>
      <c r="H71" t="b">
        <f t="shared" si="2"/>
        <v>0</v>
      </c>
      <c r="I71" t="str" cm="1">
        <f t="array" ref="I71">GET_TICKER_FINAL(C71)</f>
        <v/>
      </c>
      <c r="J71" s="5" t="s">
        <v>1792</v>
      </c>
    </row>
    <row r="72" spans="1:10">
      <c r="A72">
        <v>71</v>
      </c>
      <c r="B72" s="1" t="s">
        <v>12</v>
      </c>
      <c r="C72" s="1" t="s">
        <v>91</v>
      </c>
      <c r="D72" s="1">
        <v>50</v>
      </c>
      <c r="E72" s="1">
        <v>177</v>
      </c>
      <c r="F72" s="1">
        <v>0.68</v>
      </c>
      <c r="G72" s="1">
        <v>20260323</v>
      </c>
      <c r="H72" t="b">
        <f t="shared" si="2"/>
        <v>0</v>
      </c>
      <c r="I72" t="str" cm="1">
        <f t="array" ref="I72">GET_TICKER_FINAL(C72)</f>
        <v/>
      </c>
      <c r="J72" s="5" t="s">
        <v>1792</v>
      </c>
    </row>
    <row r="73" spans="1:10">
      <c r="A73">
        <v>72</v>
      </c>
      <c r="B73" s="1" t="s">
        <v>12</v>
      </c>
      <c r="C73" s="1" t="s">
        <v>92</v>
      </c>
      <c r="D73" s="1">
        <v>50</v>
      </c>
      <c r="E73" s="1">
        <v>103</v>
      </c>
      <c r="F73" s="1">
        <v>0.76</v>
      </c>
      <c r="G73" s="1">
        <v>20260330</v>
      </c>
      <c r="H73" t="b">
        <f t="shared" si="2"/>
        <v>0</v>
      </c>
      <c r="I73" t="str" cm="1">
        <f t="array" ref="I73">GET_TICKER_FINAL(C73)</f>
        <v/>
      </c>
      <c r="J73" s="5" t="s">
        <v>1792</v>
      </c>
    </row>
    <row r="74" spans="1:10">
      <c r="A74">
        <v>73</v>
      </c>
      <c r="B74" s="1" t="s">
        <v>12</v>
      </c>
      <c r="C74" s="1" t="s">
        <v>93</v>
      </c>
      <c r="D74" s="1">
        <v>46</v>
      </c>
      <c r="E74" s="1">
        <v>19</v>
      </c>
      <c r="F74" s="1">
        <v>0.9</v>
      </c>
      <c r="G74" s="1">
        <v>20260327</v>
      </c>
      <c r="H74" t="b">
        <f t="shared" si="2"/>
        <v>0</v>
      </c>
      <c r="I74" t="str" cm="1">
        <f t="array" ref="I74">GET_TICKER_FINAL(C74)</f>
        <v/>
      </c>
      <c r="J74" s="5" t="s">
        <v>1792</v>
      </c>
    </row>
    <row r="75" spans="1:10">
      <c r="A75">
        <v>74</v>
      </c>
      <c r="B75" s="1" t="s">
        <v>12</v>
      </c>
      <c r="C75" s="1" t="s">
        <v>94</v>
      </c>
      <c r="D75" s="1">
        <v>44</v>
      </c>
      <c r="E75" s="1">
        <v>37</v>
      </c>
      <c r="F75" s="1">
        <v>0.78</v>
      </c>
      <c r="G75" s="1">
        <v>20260402</v>
      </c>
      <c r="H75" t="b">
        <f t="shared" si="2"/>
        <v>0</v>
      </c>
      <c r="I75" t="str" cm="1">
        <f t="array" ref="I75">GET_TICKER_FINAL(C75)</f>
        <v/>
      </c>
      <c r="J75" s="5" t="s">
        <v>16</v>
      </c>
    </row>
    <row r="76" spans="1:10">
      <c r="A76">
        <v>75</v>
      </c>
      <c r="B76" s="1" t="s">
        <v>12</v>
      </c>
      <c r="C76" s="1" t="s">
        <v>95</v>
      </c>
      <c r="D76" s="1">
        <v>44</v>
      </c>
      <c r="E76" s="1">
        <v>94</v>
      </c>
      <c r="F76" s="1">
        <v>0.69</v>
      </c>
      <c r="G76" s="1">
        <v>20260401</v>
      </c>
      <c r="H76" t="b">
        <f t="shared" si="2"/>
        <v>0</v>
      </c>
      <c r="I76" t="str" cm="1">
        <f t="array" ref="I76">GET_TICKER_FINAL(C76)</f>
        <v/>
      </c>
      <c r="J76" s="5" t="s">
        <v>28</v>
      </c>
    </row>
    <row r="77" spans="1:10">
      <c r="A77">
        <v>76</v>
      </c>
      <c r="B77" s="1" t="s">
        <v>12</v>
      </c>
      <c r="C77" s="1" t="s">
        <v>96</v>
      </c>
      <c r="D77" s="1">
        <v>42</v>
      </c>
      <c r="E77" s="1">
        <v>26</v>
      </c>
      <c r="F77" s="1">
        <v>0.78</v>
      </c>
      <c r="G77" s="1">
        <v>20260402</v>
      </c>
      <c r="H77" t="b">
        <f t="shared" si="2"/>
        <v>0</v>
      </c>
      <c r="I77" t="str" cm="1">
        <f t="array" ref="I77">GET_TICKER_FINAL(C77)</f>
        <v/>
      </c>
      <c r="J77" s="5" t="s">
        <v>1792</v>
      </c>
    </row>
    <row r="78" spans="1:10">
      <c r="A78">
        <v>77</v>
      </c>
      <c r="B78" s="1" t="s">
        <v>12</v>
      </c>
      <c r="C78" s="1" t="s">
        <v>97</v>
      </c>
      <c r="D78" s="1">
        <v>41</v>
      </c>
      <c r="E78" s="1">
        <v>52</v>
      </c>
      <c r="F78" s="1">
        <v>0.77</v>
      </c>
      <c r="G78" s="1">
        <v>20260331</v>
      </c>
      <c r="H78" t="b">
        <f t="shared" si="2"/>
        <v>0</v>
      </c>
      <c r="I78" t="str" cm="1">
        <f t="array" ref="I78">GET_TICKER_FINAL(C78)</f>
        <v/>
      </c>
      <c r="J78" s="5" t="s">
        <v>16</v>
      </c>
    </row>
    <row r="79" spans="1:10">
      <c r="A79">
        <v>78</v>
      </c>
      <c r="B79" s="1" t="s">
        <v>12</v>
      </c>
      <c r="C79" s="1" t="s">
        <v>98</v>
      </c>
      <c r="D79" s="1">
        <v>40</v>
      </c>
      <c r="E79" s="1">
        <v>4</v>
      </c>
      <c r="F79" s="1">
        <v>0.84</v>
      </c>
      <c r="G79" s="1">
        <v>20260320</v>
      </c>
      <c r="H79" t="b">
        <f t="shared" si="2"/>
        <v>0</v>
      </c>
      <c r="I79" t="str" cm="1">
        <f t="array" ref="I79">GET_TICKER_FINAL(C79)</f>
        <v>OKLO</v>
      </c>
      <c r="J79" s="5" t="s">
        <v>25</v>
      </c>
    </row>
    <row r="80" spans="1:10">
      <c r="A80">
        <v>79</v>
      </c>
      <c r="B80" s="1" t="s">
        <v>12</v>
      </c>
      <c r="C80" s="1" t="s">
        <v>99</v>
      </c>
      <c r="D80" s="1">
        <v>40</v>
      </c>
      <c r="E80" s="1">
        <v>23</v>
      </c>
      <c r="F80" s="1">
        <v>0.89</v>
      </c>
      <c r="G80" s="1">
        <v>20260330</v>
      </c>
      <c r="H80" t="b">
        <f t="shared" si="2"/>
        <v>0</v>
      </c>
      <c r="I80" t="str" cm="1">
        <f t="array" ref="I80">GET_TICKER_FINAL(C80)</f>
        <v/>
      </c>
      <c r="J80" s="5" t="s">
        <v>16</v>
      </c>
    </row>
    <row r="81" spans="1:10">
      <c r="A81">
        <v>80</v>
      </c>
      <c r="B81" s="1" t="s">
        <v>12</v>
      </c>
      <c r="C81" s="1" t="s">
        <v>100</v>
      </c>
      <c r="D81" s="1">
        <v>39</v>
      </c>
      <c r="E81" s="1">
        <v>12</v>
      </c>
      <c r="F81" s="1">
        <v>0.85</v>
      </c>
      <c r="G81" s="1">
        <v>20260323</v>
      </c>
      <c r="H81" t="b">
        <f t="shared" si="2"/>
        <v>0</v>
      </c>
      <c r="I81" t="str" cm="1">
        <f t="array" ref="I81">GET_TICKER_FINAL(C81)</f>
        <v/>
      </c>
      <c r="J81" s="5" t="s">
        <v>16</v>
      </c>
    </row>
    <row r="82" spans="1:10">
      <c r="A82">
        <v>81</v>
      </c>
      <c r="B82" s="1" t="s">
        <v>12</v>
      </c>
      <c r="C82" s="1" t="s">
        <v>101</v>
      </c>
      <c r="D82" s="1">
        <v>38</v>
      </c>
      <c r="E82" s="1">
        <v>70</v>
      </c>
      <c r="F82" s="1">
        <v>0.84</v>
      </c>
      <c r="G82" s="1">
        <v>20260326</v>
      </c>
      <c r="H82" t="b">
        <f t="shared" si="2"/>
        <v>0</v>
      </c>
      <c r="I82" t="str" cm="1">
        <f t="array" ref="I82">GET_TICKER_FINAL(C82)</f>
        <v/>
      </c>
      <c r="J82" s="5" t="s">
        <v>1792</v>
      </c>
    </row>
    <row r="83" spans="1:10">
      <c r="A83">
        <v>82</v>
      </c>
      <c r="B83" s="1" t="s">
        <v>12</v>
      </c>
      <c r="C83" s="1" t="s">
        <v>102</v>
      </c>
      <c r="D83" s="1">
        <v>37</v>
      </c>
      <c r="E83" s="1">
        <v>14</v>
      </c>
      <c r="F83" s="1">
        <v>0.8</v>
      </c>
      <c r="G83" s="1">
        <v>20260324</v>
      </c>
      <c r="H83" t="b">
        <f t="shared" si="2"/>
        <v>0</v>
      </c>
      <c r="I83" t="str" cm="1">
        <f t="array" ref="I83">GET_TICKER_FINAL(C83)</f>
        <v/>
      </c>
      <c r="J83" s="5" t="s">
        <v>16</v>
      </c>
    </row>
    <row r="84" spans="1:10">
      <c r="A84">
        <v>83</v>
      </c>
      <c r="B84" s="1" t="s">
        <v>12</v>
      </c>
      <c r="C84" s="1" t="s">
        <v>103</v>
      </c>
      <c r="D84" s="1">
        <v>35</v>
      </c>
      <c r="E84" s="1">
        <v>42</v>
      </c>
      <c r="F84" s="1">
        <v>0.93</v>
      </c>
      <c r="G84" s="1">
        <v>20260326</v>
      </c>
      <c r="H84" t="b">
        <f t="shared" si="2"/>
        <v>0</v>
      </c>
      <c r="I84" t="str" cm="1">
        <f t="array" ref="I84">GET_TICKER_FINAL(C84)</f>
        <v/>
      </c>
      <c r="J84" s="5" t="s">
        <v>1792</v>
      </c>
    </row>
    <row r="85" spans="1:10">
      <c r="A85">
        <v>84</v>
      </c>
      <c r="B85" s="1" t="s">
        <v>12</v>
      </c>
      <c r="C85" s="1" t="s">
        <v>104</v>
      </c>
      <c r="D85" s="1">
        <v>35</v>
      </c>
      <c r="E85" s="1">
        <v>103</v>
      </c>
      <c r="F85" s="1">
        <v>0.71</v>
      </c>
      <c r="G85" s="1">
        <v>20260324</v>
      </c>
      <c r="H85" t="b">
        <f t="shared" si="2"/>
        <v>0</v>
      </c>
      <c r="I85" t="str" cm="1">
        <f t="array" ref="I85">GET_TICKER_FINAL(C85)</f>
        <v/>
      </c>
      <c r="J85" s="5" t="s">
        <v>1792</v>
      </c>
    </row>
    <row r="86" spans="1:10">
      <c r="A86">
        <v>85</v>
      </c>
      <c r="B86" s="1" t="s">
        <v>12</v>
      </c>
      <c r="C86" s="1" t="s">
        <v>105</v>
      </c>
      <c r="D86" s="1">
        <v>33</v>
      </c>
      <c r="E86" s="1">
        <v>33</v>
      </c>
      <c r="F86" s="1">
        <v>0.66</v>
      </c>
      <c r="G86" s="1">
        <v>20260324</v>
      </c>
      <c r="H86" t="b">
        <f t="shared" si="2"/>
        <v>0</v>
      </c>
      <c r="I86" t="str" cm="1">
        <f t="array" ref="I86">GET_TICKER_FINAL(C86)</f>
        <v/>
      </c>
      <c r="J86" s="5" t="s">
        <v>1792</v>
      </c>
    </row>
    <row r="87" spans="1:10">
      <c r="A87">
        <v>86</v>
      </c>
      <c r="B87" s="1" t="s">
        <v>12</v>
      </c>
      <c r="C87" s="1" t="s">
        <v>106</v>
      </c>
      <c r="D87" s="1">
        <v>33</v>
      </c>
      <c r="E87" s="1">
        <v>49</v>
      </c>
      <c r="F87" s="1">
        <v>0.75</v>
      </c>
      <c r="G87" s="1">
        <v>20260401</v>
      </c>
      <c r="H87" t="b">
        <f t="shared" si="2"/>
        <v>0</v>
      </c>
      <c r="I87" t="str" cm="1">
        <f t="array" ref="I87">GET_TICKER_FINAL(C87)</f>
        <v>META</v>
      </c>
      <c r="J87" s="5" t="s">
        <v>28</v>
      </c>
    </row>
    <row r="88" spans="1:10">
      <c r="A88">
        <v>87</v>
      </c>
      <c r="B88" s="1" t="s">
        <v>12</v>
      </c>
      <c r="C88" s="1" t="s">
        <v>107</v>
      </c>
      <c r="D88" s="1">
        <v>29</v>
      </c>
      <c r="E88" s="1">
        <v>7</v>
      </c>
      <c r="F88" s="1">
        <v>0.89</v>
      </c>
      <c r="G88" s="1">
        <v>20260330</v>
      </c>
      <c r="H88" t="b">
        <f t="shared" si="2"/>
        <v>0</v>
      </c>
      <c r="I88" t="str" cm="1">
        <f t="array" ref="I88">GET_TICKER_FINAL(C88)</f>
        <v>NVDA</v>
      </c>
      <c r="J88" s="5" t="s">
        <v>1792</v>
      </c>
    </row>
    <row r="89" spans="1:10">
      <c r="A89">
        <v>88</v>
      </c>
      <c r="B89" s="1" t="s">
        <v>12</v>
      </c>
      <c r="C89" s="1" t="s">
        <v>108</v>
      </c>
      <c r="D89" s="1">
        <v>27</v>
      </c>
      <c r="E89" s="1">
        <v>21</v>
      </c>
      <c r="F89" s="1">
        <v>0.83</v>
      </c>
      <c r="G89" s="1">
        <v>20260401</v>
      </c>
      <c r="H89" t="b">
        <f t="shared" si="2"/>
        <v>0</v>
      </c>
      <c r="I89" t="str" cm="1">
        <f t="array" ref="I89">GET_TICKER_FINAL(C89)</f>
        <v/>
      </c>
      <c r="J89" s="5" t="s">
        <v>1792</v>
      </c>
    </row>
    <row r="90" spans="1:10">
      <c r="A90">
        <v>89</v>
      </c>
      <c r="B90" s="1" t="s">
        <v>12</v>
      </c>
      <c r="C90" s="1" t="s">
        <v>109</v>
      </c>
      <c r="D90" s="1">
        <v>27</v>
      </c>
      <c r="E90" s="1">
        <v>46</v>
      </c>
      <c r="F90" s="1">
        <v>0.61</v>
      </c>
      <c r="G90" s="1">
        <v>20260324</v>
      </c>
      <c r="H90" t="b">
        <f t="shared" si="2"/>
        <v>0</v>
      </c>
      <c r="I90" t="str" cm="1">
        <f t="array" ref="I90">GET_TICKER_FINAL(C90)</f>
        <v/>
      </c>
      <c r="J90" s="5" t="s">
        <v>1792</v>
      </c>
    </row>
    <row r="91" spans="1:10">
      <c r="A91">
        <v>90</v>
      </c>
      <c r="B91" s="1" t="s">
        <v>12</v>
      </c>
      <c r="C91" s="1" t="s">
        <v>110</v>
      </c>
      <c r="D91" s="1">
        <v>26</v>
      </c>
      <c r="E91" s="1">
        <v>37</v>
      </c>
      <c r="F91" s="1">
        <v>0.81</v>
      </c>
      <c r="G91" s="1">
        <v>20260330</v>
      </c>
      <c r="H91" t="b">
        <f t="shared" si="2"/>
        <v>0</v>
      </c>
      <c r="I91" t="str" cm="1">
        <f t="array" ref="I91">GET_TICKER_FINAL(C91)</f>
        <v/>
      </c>
      <c r="J91" s="5" t="s">
        <v>1792</v>
      </c>
    </row>
    <row r="92" spans="1:10">
      <c r="A92">
        <v>91</v>
      </c>
      <c r="B92" s="1" t="s">
        <v>12</v>
      </c>
      <c r="C92" s="1" t="s">
        <v>111</v>
      </c>
      <c r="D92" s="1">
        <v>26</v>
      </c>
      <c r="E92" s="1">
        <v>4</v>
      </c>
      <c r="F92" s="1">
        <v>0.86</v>
      </c>
      <c r="G92" s="1">
        <v>20260401</v>
      </c>
      <c r="H92" t="b">
        <f t="shared" si="2"/>
        <v>0</v>
      </c>
      <c r="I92" t="str" cm="1">
        <f t="array" ref="I92">GET_TICKER_FINAL(C92)</f>
        <v/>
      </c>
      <c r="J92" s="5" t="s">
        <v>1792</v>
      </c>
    </row>
    <row r="93" spans="1:10">
      <c r="A93">
        <v>92</v>
      </c>
      <c r="B93" s="1" t="s">
        <v>12</v>
      </c>
      <c r="C93" s="1" t="s">
        <v>112</v>
      </c>
      <c r="D93" s="1">
        <v>25</v>
      </c>
      <c r="E93" s="1">
        <v>47</v>
      </c>
      <c r="F93" s="1">
        <v>0.79</v>
      </c>
      <c r="G93" s="1">
        <v>20260402</v>
      </c>
      <c r="H93" t="b">
        <f t="shared" si="2"/>
        <v>0</v>
      </c>
      <c r="I93" t="str" cm="1">
        <f t="array" ref="I93">GET_TICKER_FINAL(C93)</f>
        <v/>
      </c>
      <c r="J93" s="5" t="s">
        <v>1792</v>
      </c>
    </row>
    <row r="94" spans="1:10">
      <c r="A94">
        <v>93</v>
      </c>
      <c r="B94" s="1" t="s">
        <v>12</v>
      </c>
      <c r="C94" s="1" t="s">
        <v>113</v>
      </c>
      <c r="D94" s="1">
        <v>25</v>
      </c>
      <c r="E94" s="1">
        <v>11</v>
      </c>
      <c r="F94" s="1">
        <v>0.95</v>
      </c>
      <c r="G94" s="1">
        <v>20260402</v>
      </c>
      <c r="H94" t="b">
        <f t="shared" si="2"/>
        <v>0</v>
      </c>
      <c r="I94" t="str" cm="1">
        <f t="array" ref="I94">GET_TICKER_FINAL(C94)</f>
        <v/>
      </c>
      <c r="J94" s="5" t="s">
        <v>1792</v>
      </c>
    </row>
    <row r="95" spans="1:10">
      <c r="A95">
        <v>94</v>
      </c>
      <c r="B95" s="1" t="s">
        <v>12</v>
      </c>
      <c r="C95" s="1" t="s">
        <v>114</v>
      </c>
      <c r="D95" s="1">
        <v>24</v>
      </c>
      <c r="E95" s="1">
        <v>17</v>
      </c>
      <c r="F95" s="1">
        <v>0.76</v>
      </c>
      <c r="G95" s="1">
        <v>20260401</v>
      </c>
      <c r="H95" t="b">
        <f t="shared" si="2"/>
        <v>0</v>
      </c>
      <c r="I95" t="str" cm="1">
        <f t="array" ref="I95">GET_TICKER_FINAL(C95)</f>
        <v/>
      </c>
      <c r="J95" s="5" t="s">
        <v>28</v>
      </c>
    </row>
    <row r="96" spans="1:10">
      <c r="A96">
        <v>95</v>
      </c>
      <c r="B96" s="1" t="s">
        <v>12</v>
      </c>
      <c r="C96" s="1" t="s">
        <v>115</v>
      </c>
      <c r="D96" s="1">
        <v>24</v>
      </c>
      <c r="E96" s="1">
        <v>27</v>
      </c>
      <c r="F96" s="1">
        <v>0.82</v>
      </c>
      <c r="G96" s="1">
        <v>20260330</v>
      </c>
      <c r="H96" t="b">
        <f t="shared" si="2"/>
        <v>0</v>
      </c>
      <c r="I96" t="str" cm="1">
        <f t="array" ref="I96">GET_TICKER_FINAL(C96)</f>
        <v/>
      </c>
      <c r="J96" s="5" t="s">
        <v>1792</v>
      </c>
    </row>
    <row r="97" spans="1:10">
      <c r="A97">
        <v>96</v>
      </c>
      <c r="B97" s="1" t="s">
        <v>12</v>
      </c>
      <c r="C97" s="1" t="s">
        <v>116</v>
      </c>
      <c r="D97" s="1">
        <v>24</v>
      </c>
      <c r="E97" s="1">
        <v>25</v>
      </c>
      <c r="F97" s="1">
        <v>0.87</v>
      </c>
      <c r="G97" s="1">
        <v>20260324</v>
      </c>
      <c r="H97" t="b">
        <f t="shared" si="2"/>
        <v>0</v>
      </c>
      <c r="I97" t="str" cm="1">
        <f t="array" ref="I97">GET_TICKER_FINAL(C97)</f>
        <v/>
      </c>
      <c r="J97" s="5" t="s">
        <v>25</v>
      </c>
    </row>
    <row r="98" spans="1:10">
      <c r="A98">
        <v>97</v>
      </c>
      <c r="B98" s="1" t="s">
        <v>12</v>
      </c>
      <c r="C98" s="1" t="s">
        <v>117</v>
      </c>
      <c r="D98" s="1">
        <v>24</v>
      </c>
      <c r="E98" s="1">
        <v>25</v>
      </c>
      <c r="F98" s="1">
        <v>0.82</v>
      </c>
      <c r="G98" s="1">
        <v>20260323</v>
      </c>
      <c r="H98" t="b">
        <f t="shared" si="2"/>
        <v>0</v>
      </c>
      <c r="I98" t="str" cm="1">
        <f t="array" ref="I98">GET_TICKER_FINAL(C98)</f>
        <v/>
      </c>
      <c r="J98" s="5" t="s">
        <v>16</v>
      </c>
    </row>
    <row r="99" spans="1:10">
      <c r="A99">
        <v>98</v>
      </c>
      <c r="B99" s="1" t="s">
        <v>12</v>
      </c>
      <c r="C99" s="1" t="s">
        <v>118</v>
      </c>
      <c r="D99" s="1">
        <v>23</v>
      </c>
      <c r="E99" s="1">
        <v>13</v>
      </c>
      <c r="F99" s="1">
        <v>0.71</v>
      </c>
      <c r="G99" s="1">
        <v>20260323</v>
      </c>
      <c r="H99" t="b">
        <f t="shared" si="2"/>
        <v>0</v>
      </c>
      <c r="I99" t="str" cm="1">
        <f t="array" ref="I99">GET_TICKER_FINAL(C99)</f>
        <v/>
      </c>
      <c r="J99" s="5" t="s">
        <v>1792</v>
      </c>
    </row>
    <row r="100" spans="1:10">
      <c r="A100">
        <v>99</v>
      </c>
      <c r="B100" s="1" t="s">
        <v>12</v>
      </c>
      <c r="C100" s="1" t="s">
        <v>119</v>
      </c>
      <c r="D100" s="1">
        <v>22</v>
      </c>
      <c r="E100" s="1">
        <v>8</v>
      </c>
      <c r="F100" s="1">
        <v>0.86</v>
      </c>
      <c r="G100" s="1">
        <v>20260323</v>
      </c>
      <c r="H100" t="b">
        <f t="shared" si="2"/>
        <v>0</v>
      </c>
      <c r="I100" t="str" cm="1">
        <f t="array" ref="I100">GET_TICKER_FINAL(C100)</f>
        <v/>
      </c>
      <c r="J100" s="5" t="s">
        <v>16</v>
      </c>
    </row>
    <row r="101" spans="1:10">
      <c r="A101">
        <v>100</v>
      </c>
      <c r="B101" s="1" t="s">
        <v>12</v>
      </c>
      <c r="C101" s="1" t="s">
        <v>120</v>
      </c>
      <c r="D101" s="1">
        <v>22</v>
      </c>
      <c r="E101" s="1">
        <v>6</v>
      </c>
      <c r="F101" s="1">
        <v>0.87</v>
      </c>
      <c r="G101" s="1">
        <v>20260330</v>
      </c>
      <c r="H101" t="b">
        <f t="shared" si="2"/>
        <v>0</v>
      </c>
      <c r="I101" t="str" cm="1">
        <f t="array" ref="I101">GET_TICKER_FINAL(C101)</f>
        <v/>
      </c>
      <c r="J101" s="5" t="s">
        <v>1792</v>
      </c>
    </row>
    <row r="102" spans="1:10">
      <c r="A102">
        <v>101</v>
      </c>
      <c r="B102" s="1" t="s">
        <v>12</v>
      </c>
      <c r="C102" s="1" t="s">
        <v>121</v>
      </c>
      <c r="D102" s="1">
        <v>20</v>
      </c>
      <c r="E102" s="1">
        <v>27</v>
      </c>
      <c r="F102" s="1">
        <v>0.8</v>
      </c>
      <c r="G102" s="1">
        <v>20260402</v>
      </c>
      <c r="H102" t="b">
        <f t="shared" si="2"/>
        <v>0</v>
      </c>
      <c r="I102" t="str" cm="1">
        <f t="array" ref="I102">GET_TICKER_FINAL(C102)</f>
        <v/>
      </c>
      <c r="J102" s="5" t="s">
        <v>1792</v>
      </c>
    </row>
    <row r="103" spans="1:10">
      <c r="A103">
        <v>102</v>
      </c>
      <c r="B103" s="1" t="s">
        <v>12</v>
      </c>
      <c r="C103" s="1" t="s">
        <v>122</v>
      </c>
      <c r="D103" s="1">
        <v>20</v>
      </c>
      <c r="E103" s="1">
        <v>10</v>
      </c>
      <c r="F103" s="1">
        <v>0.72</v>
      </c>
      <c r="G103" s="1">
        <v>20260327</v>
      </c>
      <c r="H103" t="b">
        <f t="shared" si="2"/>
        <v>0</v>
      </c>
      <c r="I103" t="str" cm="1">
        <f t="array" ref="I103">GET_TICKER_FINAL(C103)</f>
        <v/>
      </c>
      <c r="J103" s="5" t="s">
        <v>14</v>
      </c>
    </row>
    <row r="104" spans="1:10">
      <c r="A104">
        <v>103</v>
      </c>
      <c r="B104" s="1" t="s">
        <v>12</v>
      </c>
      <c r="C104" s="1" t="s">
        <v>123</v>
      </c>
      <c r="D104" s="1">
        <v>20</v>
      </c>
      <c r="E104" s="1">
        <v>63</v>
      </c>
      <c r="F104" s="1">
        <v>0.73</v>
      </c>
      <c r="G104" s="1">
        <v>20260327</v>
      </c>
      <c r="H104" t="b">
        <f t="shared" si="2"/>
        <v>0</v>
      </c>
      <c r="I104" t="str" cm="1">
        <f t="array" ref="I104">GET_TICKER_FINAL(C104)</f>
        <v/>
      </c>
      <c r="J104" s="5" t="s">
        <v>1792</v>
      </c>
    </row>
    <row r="105" spans="1:10">
      <c r="A105">
        <v>104</v>
      </c>
      <c r="B105" s="1" t="s">
        <v>12</v>
      </c>
      <c r="C105" s="1" t="s">
        <v>124</v>
      </c>
      <c r="D105" s="1">
        <v>19</v>
      </c>
      <c r="E105" s="1">
        <v>15</v>
      </c>
      <c r="F105" s="1">
        <v>0.76</v>
      </c>
      <c r="G105" s="1">
        <v>20260326</v>
      </c>
      <c r="H105" t="b">
        <f t="shared" si="2"/>
        <v>0</v>
      </c>
      <c r="I105" t="str" cm="1">
        <f t="array" ref="I105">GET_TICKER_FINAL(C105)</f>
        <v/>
      </c>
      <c r="J105" s="5" t="s">
        <v>1792</v>
      </c>
    </row>
    <row r="106" spans="1:10">
      <c r="A106">
        <v>105</v>
      </c>
      <c r="B106" s="1" t="s">
        <v>12</v>
      </c>
      <c r="C106" s="1" t="s">
        <v>125</v>
      </c>
      <c r="D106" s="1">
        <v>19</v>
      </c>
      <c r="E106" s="1">
        <v>9</v>
      </c>
      <c r="F106" s="1">
        <v>0.79</v>
      </c>
      <c r="G106" s="1">
        <v>20260331</v>
      </c>
      <c r="H106" t="b">
        <f t="shared" si="2"/>
        <v>0</v>
      </c>
      <c r="I106" t="str" cm="1">
        <f t="array" ref="I106">GET_TICKER_FINAL(C106)</f>
        <v/>
      </c>
      <c r="J106" s="5" t="s">
        <v>1792</v>
      </c>
    </row>
    <row r="107" spans="1:10">
      <c r="A107">
        <v>106</v>
      </c>
      <c r="B107" s="1" t="s">
        <v>12</v>
      </c>
      <c r="C107" s="1" t="s">
        <v>126</v>
      </c>
      <c r="D107" s="1">
        <v>19</v>
      </c>
      <c r="E107" s="1">
        <v>26</v>
      </c>
      <c r="F107" s="1">
        <v>0.89</v>
      </c>
      <c r="G107" s="1">
        <v>20260331</v>
      </c>
      <c r="H107" t="b">
        <f t="shared" si="2"/>
        <v>0</v>
      </c>
      <c r="I107" t="str" cm="1">
        <f t="array" ref="I107">GET_TICKER_FINAL(C107)</f>
        <v/>
      </c>
      <c r="J107" s="5" t="s">
        <v>16</v>
      </c>
    </row>
    <row r="108" spans="1:10">
      <c r="A108">
        <v>107</v>
      </c>
      <c r="B108" s="1" t="s">
        <v>12</v>
      </c>
      <c r="C108" s="1" t="s">
        <v>127</v>
      </c>
      <c r="D108" s="1">
        <v>18</v>
      </c>
      <c r="E108" s="1">
        <v>25</v>
      </c>
      <c r="F108" s="1">
        <v>0.88</v>
      </c>
      <c r="G108" s="1">
        <v>20260402</v>
      </c>
      <c r="H108" t="b">
        <f t="shared" si="2"/>
        <v>0</v>
      </c>
      <c r="I108" t="str" cm="1">
        <f t="array" ref="I108">GET_TICKER_FINAL(C108)</f>
        <v/>
      </c>
      <c r="J108" s="5" t="s">
        <v>1792</v>
      </c>
    </row>
    <row r="109" spans="1:10">
      <c r="A109">
        <v>108</v>
      </c>
      <c r="B109" s="1" t="s">
        <v>12</v>
      </c>
      <c r="C109" s="1" t="s">
        <v>128</v>
      </c>
      <c r="D109" s="1">
        <v>16</v>
      </c>
      <c r="E109" s="1">
        <v>15</v>
      </c>
      <c r="F109" s="1">
        <v>0.84</v>
      </c>
      <c r="G109" s="1">
        <v>20260330</v>
      </c>
      <c r="H109" t="b">
        <f t="shared" si="2"/>
        <v>0</v>
      </c>
      <c r="I109" t="str" cm="1">
        <f t="array" ref="I109">GET_TICKER_FINAL(C109)</f>
        <v/>
      </c>
      <c r="J109" s="5" t="s">
        <v>25</v>
      </c>
    </row>
    <row r="110" spans="1:10">
      <c r="A110">
        <v>109</v>
      </c>
      <c r="B110" s="1" t="s">
        <v>12</v>
      </c>
      <c r="C110" s="1" t="s">
        <v>129</v>
      </c>
      <c r="D110" s="1">
        <v>16</v>
      </c>
      <c r="E110" s="1">
        <v>36</v>
      </c>
      <c r="F110" s="1">
        <v>0.65</v>
      </c>
      <c r="G110" s="1">
        <v>20260320</v>
      </c>
      <c r="H110" t="b">
        <f t="shared" si="2"/>
        <v>0</v>
      </c>
      <c r="I110" t="str" cm="1">
        <f t="array" ref="I110">GET_TICKER_FINAL(C110)</f>
        <v/>
      </c>
      <c r="J110" s="5" t="s">
        <v>1792</v>
      </c>
    </row>
    <row r="111" spans="1:10">
      <c r="A111">
        <v>110</v>
      </c>
      <c r="B111" s="1" t="s">
        <v>12</v>
      </c>
      <c r="C111" s="1" t="s">
        <v>130</v>
      </c>
      <c r="D111" s="1">
        <v>15</v>
      </c>
      <c r="E111" s="1">
        <v>12</v>
      </c>
      <c r="F111" s="1">
        <v>0.76</v>
      </c>
      <c r="G111" s="1">
        <v>20260331</v>
      </c>
      <c r="H111" t="b">
        <f t="shared" si="2"/>
        <v>0</v>
      </c>
      <c r="I111" t="str" cm="1">
        <f t="array" ref="I111">GET_TICKER_FINAL(C111)</f>
        <v/>
      </c>
      <c r="J111" s="5" t="s">
        <v>28</v>
      </c>
    </row>
    <row r="112" spans="1:10">
      <c r="A112">
        <v>111</v>
      </c>
      <c r="B112" s="1" t="s">
        <v>12</v>
      </c>
      <c r="C112" s="1" t="s">
        <v>131</v>
      </c>
      <c r="D112" s="1">
        <v>14</v>
      </c>
      <c r="E112" s="1">
        <v>16</v>
      </c>
      <c r="F112" s="1">
        <v>0.7</v>
      </c>
      <c r="G112" s="1">
        <v>20260331</v>
      </c>
      <c r="H112" t="b">
        <f t="shared" si="2"/>
        <v>0</v>
      </c>
      <c r="I112" t="str" cm="1">
        <f t="array" ref="I112">GET_TICKER_FINAL(C112)</f>
        <v/>
      </c>
      <c r="J112" s="5" t="s">
        <v>25</v>
      </c>
    </row>
    <row r="113" spans="1:10">
      <c r="A113">
        <v>112</v>
      </c>
      <c r="B113" s="1" t="s">
        <v>12</v>
      </c>
      <c r="C113" s="1" t="s">
        <v>132</v>
      </c>
      <c r="D113" s="1">
        <v>13</v>
      </c>
      <c r="E113" s="1">
        <v>2</v>
      </c>
      <c r="F113" s="1">
        <v>0.85</v>
      </c>
      <c r="G113" s="1">
        <v>20260330</v>
      </c>
      <c r="H113" t="b">
        <f t="shared" si="2"/>
        <v>0</v>
      </c>
      <c r="I113" t="str" cm="1">
        <f t="array" ref="I113">GET_TICKER_FINAL(C113)</f>
        <v/>
      </c>
      <c r="J113" s="5" t="s">
        <v>25</v>
      </c>
    </row>
    <row r="114" spans="1:10">
      <c r="A114">
        <v>113</v>
      </c>
      <c r="B114" s="1" t="s">
        <v>12</v>
      </c>
      <c r="C114" s="1" t="s">
        <v>133</v>
      </c>
      <c r="D114" s="1">
        <v>13</v>
      </c>
      <c r="E114" s="1">
        <v>11</v>
      </c>
      <c r="F114" s="1">
        <v>0.66</v>
      </c>
      <c r="G114" s="1">
        <v>20260401</v>
      </c>
      <c r="H114" t="b">
        <f t="shared" si="2"/>
        <v>1</v>
      </c>
      <c r="I114" t="str" cm="1">
        <f t="array" ref="I114">GET_TICKER_FINAL(C114)</f>
        <v/>
      </c>
      <c r="J114" s="5" t="s">
        <v>1792</v>
      </c>
    </row>
    <row r="115" spans="1:10">
      <c r="A115">
        <v>114</v>
      </c>
      <c r="B115" s="1" t="s">
        <v>12</v>
      </c>
      <c r="C115" s="1" t="s">
        <v>134</v>
      </c>
      <c r="D115" s="1">
        <v>13</v>
      </c>
      <c r="E115" s="1">
        <v>4</v>
      </c>
      <c r="F115" s="1">
        <v>0.84</v>
      </c>
      <c r="G115" s="1">
        <v>20260327</v>
      </c>
      <c r="H115" t="b">
        <f t="shared" si="2"/>
        <v>0</v>
      </c>
      <c r="I115" t="str" cm="1">
        <f t="array" ref="I115">GET_TICKER_FINAL(C115)</f>
        <v/>
      </c>
      <c r="J115" s="5" t="s">
        <v>25</v>
      </c>
    </row>
    <row r="116" spans="1:10">
      <c r="A116">
        <v>115</v>
      </c>
      <c r="B116" s="1" t="s">
        <v>12</v>
      </c>
      <c r="C116" s="1" t="s">
        <v>135</v>
      </c>
      <c r="D116" s="1">
        <v>13</v>
      </c>
      <c r="E116" s="1">
        <v>19</v>
      </c>
      <c r="F116" s="1">
        <v>0.79</v>
      </c>
      <c r="G116" s="1">
        <v>20260402</v>
      </c>
      <c r="H116" t="b">
        <f t="shared" si="2"/>
        <v>0</v>
      </c>
      <c r="I116" t="str" cm="1">
        <f t="array" ref="I116">GET_TICKER_FINAL(C116)</f>
        <v/>
      </c>
      <c r="J116" s="5" t="s">
        <v>1792</v>
      </c>
    </row>
    <row r="117" spans="1:10">
      <c r="A117">
        <v>116</v>
      </c>
      <c r="B117" s="1" t="s">
        <v>12</v>
      </c>
      <c r="C117" s="1" t="s">
        <v>136</v>
      </c>
      <c r="D117" s="1">
        <v>12</v>
      </c>
      <c r="E117" s="1">
        <v>28</v>
      </c>
      <c r="F117" s="1">
        <v>0.62</v>
      </c>
      <c r="G117" s="1">
        <v>20260326</v>
      </c>
      <c r="H117" t="b">
        <f t="shared" si="2"/>
        <v>0</v>
      </c>
      <c r="I117" t="str" cm="1">
        <f t="array" ref="I117">GET_TICKER_FINAL(C117)</f>
        <v/>
      </c>
      <c r="J117" s="5" t="s">
        <v>25</v>
      </c>
    </row>
    <row r="118" spans="1:10">
      <c r="A118">
        <v>117</v>
      </c>
      <c r="B118" s="1" t="s">
        <v>12</v>
      </c>
      <c r="C118" s="1" t="s">
        <v>137</v>
      </c>
      <c r="D118" s="1">
        <v>12</v>
      </c>
      <c r="E118" s="1">
        <v>15</v>
      </c>
      <c r="F118" s="1">
        <v>0.79</v>
      </c>
      <c r="G118" s="1">
        <v>20260401</v>
      </c>
      <c r="H118" t="b">
        <f t="shared" si="2"/>
        <v>0</v>
      </c>
      <c r="I118" t="str" cm="1">
        <f t="array" ref="I118">GET_TICKER_FINAL(C118)</f>
        <v/>
      </c>
      <c r="J118" s="5" t="s">
        <v>1792</v>
      </c>
    </row>
    <row r="119" spans="1:10">
      <c r="A119">
        <v>118</v>
      </c>
      <c r="B119" s="1" t="s">
        <v>12</v>
      </c>
      <c r="C119" s="1" t="s">
        <v>138</v>
      </c>
      <c r="D119" s="1">
        <v>12</v>
      </c>
      <c r="E119" s="1">
        <v>2</v>
      </c>
      <c r="F119" s="1">
        <v>0.89</v>
      </c>
      <c r="G119" s="1">
        <v>20260401</v>
      </c>
      <c r="H119" t="b">
        <f t="shared" si="2"/>
        <v>0</v>
      </c>
      <c r="I119" t="str" cm="1">
        <f t="array" ref="I119">GET_TICKER_FINAL(C119)</f>
        <v/>
      </c>
      <c r="J119" s="5" t="s">
        <v>1792</v>
      </c>
    </row>
    <row r="120" spans="1:10">
      <c r="A120">
        <v>119</v>
      </c>
      <c r="B120" s="1" t="s">
        <v>12</v>
      </c>
      <c r="C120" s="1" t="s">
        <v>139</v>
      </c>
      <c r="D120" s="1">
        <v>12</v>
      </c>
      <c r="E120" s="1">
        <v>39</v>
      </c>
      <c r="F120" s="1">
        <v>0.62</v>
      </c>
      <c r="G120" s="1">
        <v>20260324</v>
      </c>
      <c r="H120" t="b">
        <f t="shared" si="2"/>
        <v>0</v>
      </c>
      <c r="I120" t="str" cm="1">
        <f t="array" ref="I120">GET_TICKER_FINAL(C120)</f>
        <v/>
      </c>
      <c r="J120" s="5" t="s">
        <v>1792</v>
      </c>
    </row>
    <row r="121" spans="1:10">
      <c r="A121">
        <v>120</v>
      </c>
      <c r="B121" s="1" t="s">
        <v>12</v>
      </c>
      <c r="C121" s="1" t="s">
        <v>140</v>
      </c>
      <c r="D121" s="1">
        <v>12</v>
      </c>
      <c r="E121" s="1">
        <v>2</v>
      </c>
      <c r="F121" s="1">
        <v>0.94</v>
      </c>
      <c r="G121" s="1">
        <v>20260330</v>
      </c>
      <c r="H121" t="b">
        <f t="shared" si="2"/>
        <v>0</v>
      </c>
      <c r="I121" t="str" cm="1">
        <f t="array" ref="I121">GET_TICKER_FINAL(C121)</f>
        <v/>
      </c>
      <c r="J121" s="5" t="s">
        <v>1792</v>
      </c>
    </row>
    <row r="122" spans="1:10">
      <c r="A122">
        <v>121</v>
      </c>
      <c r="B122" s="1" t="s">
        <v>12</v>
      </c>
      <c r="C122" s="1" t="s">
        <v>141</v>
      </c>
      <c r="D122" s="1">
        <v>11</v>
      </c>
      <c r="E122" s="1">
        <v>31</v>
      </c>
      <c r="F122" s="1">
        <v>0.66</v>
      </c>
      <c r="G122" s="1">
        <v>20260326</v>
      </c>
      <c r="H122" t="b">
        <f t="shared" si="2"/>
        <v>0</v>
      </c>
      <c r="I122" t="str" cm="1">
        <f t="array" ref="I122">GET_TICKER_FINAL(C122)</f>
        <v/>
      </c>
      <c r="J122" s="5" t="s">
        <v>1792</v>
      </c>
    </row>
    <row r="123" spans="1:10">
      <c r="A123">
        <v>122</v>
      </c>
      <c r="B123" s="1" t="s">
        <v>12</v>
      </c>
      <c r="C123" s="1" t="s">
        <v>142</v>
      </c>
      <c r="D123" s="1">
        <v>11</v>
      </c>
      <c r="E123" s="1">
        <v>9</v>
      </c>
      <c r="F123" s="1">
        <v>0.77</v>
      </c>
      <c r="G123" s="1">
        <v>20260324</v>
      </c>
      <c r="H123" t="b">
        <f t="shared" si="2"/>
        <v>0</v>
      </c>
      <c r="I123" t="str" cm="1">
        <f t="array" ref="I123">GET_TICKER_FINAL(C123)</f>
        <v/>
      </c>
      <c r="J123" s="5" t="s">
        <v>25</v>
      </c>
    </row>
    <row r="124" spans="1:10">
      <c r="A124">
        <v>123</v>
      </c>
      <c r="B124" s="1" t="s">
        <v>12</v>
      </c>
      <c r="C124" s="1" t="s">
        <v>143</v>
      </c>
      <c r="D124" s="1">
        <v>11</v>
      </c>
      <c r="E124" s="1">
        <v>15</v>
      </c>
      <c r="F124" s="1">
        <v>0.66</v>
      </c>
      <c r="G124" s="1">
        <v>20260402</v>
      </c>
      <c r="H124" t="b">
        <f t="shared" si="2"/>
        <v>0</v>
      </c>
      <c r="I124" t="str" cm="1">
        <f t="array" ref="I124">GET_TICKER_FINAL(C124)</f>
        <v>AMZN</v>
      </c>
      <c r="J124" s="5" t="s">
        <v>1792</v>
      </c>
    </row>
    <row r="125" spans="1:10">
      <c r="A125">
        <v>124</v>
      </c>
      <c r="B125" s="1" t="s">
        <v>12</v>
      </c>
      <c r="C125" s="1" t="s">
        <v>144</v>
      </c>
      <c r="D125" s="1">
        <v>11</v>
      </c>
      <c r="E125" s="1">
        <v>30</v>
      </c>
      <c r="F125" s="1">
        <v>0.71</v>
      </c>
      <c r="G125" s="1">
        <v>20260320</v>
      </c>
      <c r="H125" t="b">
        <f t="shared" si="2"/>
        <v>0</v>
      </c>
      <c r="I125" t="str" cm="1">
        <f t="array" ref="I125">GET_TICKER_FINAL(C125)</f>
        <v/>
      </c>
      <c r="J125" s="5" t="s">
        <v>16</v>
      </c>
    </row>
    <row r="126" spans="1:10">
      <c r="A126">
        <v>125</v>
      </c>
      <c r="B126" s="1" t="s">
        <v>12</v>
      </c>
      <c r="C126" s="1" t="s">
        <v>145</v>
      </c>
      <c r="D126" s="1">
        <v>10</v>
      </c>
      <c r="E126" s="1">
        <v>14</v>
      </c>
      <c r="F126" s="1">
        <v>0.81</v>
      </c>
      <c r="G126" s="1">
        <v>20260323</v>
      </c>
      <c r="H126" t="b">
        <f t="shared" si="2"/>
        <v>0</v>
      </c>
      <c r="I126" t="str" cm="1">
        <f t="array" ref="I126">GET_TICKER_FINAL(C126)</f>
        <v/>
      </c>
      <c r="J126" s="5" t="s">
        <v>1792</v>
      </c>
    </row>
    <row r="127" spans="1:10">
      <c r="A127">
        <v>126</v>
      </c>
      <c r="B127" s="1" t="s">
        <v>12</v>
      </c>
      <c r="C127" s="1" t="s">
        <v>146</v>
      </c>
      <c r="D127" s="1">
        <v>10</v>
      </c>
      <c r="E127" s="1">
        <v>1</v>
      </c>
      <c r="F127" s="1">
        <v>1</v>
      </c>
      <c r="G127" s="1">
        <v>20260327</v>
      </c>
      <c r="H127" t="b">
        <f t="shared" si="2"/>
        <v>0</v>
      </c>
      <c r="I127" t="str" cm="1">
        <f t="array" ref="I127">GET_TICKER_FINAL(C127)</f>
        <v/>
      </c>
      <c r="J127" s="5" t="s">
        <v>1792</v>
      </c>
    </row>
    <row r="128" spans="1:10">
      <c r="A128">
        <v>127</v>
      </c>
      <c r="B128" s="1" t="s">
        <v>12</v>
      </c>
      <c r="C128" s="1" t="s">
        <v>147</v>
      </c>
      <c r="D128" s="1">
        <v>10</v>
      </c>
      <c r="E128" s="1">
        <v>13</v>
      </c>
      <c r="F128" s="1">
        <v>0.92</v>
      </c>
      <c r="G128" s="1">
        <v>20260326</v>
      </c>
      <c r="H128" t="b">
        <f t="shared" si="2"/>
        <v>0</v>
      </c>
      <c r="I128" t="str" cm="1">
        <f t="array" ref="I128">GET_TICKER_FINAL(C128)</f>
        <v/>
      </c>
      <c r="J128" s="5" t="s">
        <v>1792</v>
      </c>
    </row>
    <row r="129" spans="1:10">
      <c r="A129">
        <v>128</v>
      </c>
      <c r="B129" s="1" t="s">
        <v>12</v>
      </c>
      <c r="C129" s="1" t="s">
        <v>148</v>
      </c>
      <c r="D129" s="1">
        <v>10</v>
      </c>
      <c r="E129" s="1">
        <v>1</v>
      </c>
      <c r="F129" s="1">
        <v>0.73</v>
      </c>
      <c r="G129" s="1">
        <v>20260326</v>
      </c>
      <c r="H129" t="b">
        <f t="shared" si="2"/>
        <v>0</v>
      </c>
      <c r="I129" t="str" cm="1">
        <f t="array" ref="I129">GET_TICKER_FINAL(C129)</f>
        <v/>
      </c>
      <c r="J129" s="5" t="s">
        <v>25</v>
      </c>
    </row>
    <row r="130" spans="1:10">
      <c r="A130">
        <v>129</v>
      </c>
      <c r="B130" s="1" t="s">
        <v>12</v>
      </c>
      <c r="C130" s="1" t="s">
        <v>149</v>
      </c>
      <c r="D130" s="1">
        <v>10</v>
      </c>
      <c r="E130" s="1">
        <v>5</v>
      </c>
      <c r="F130" s="1">
        <v>0.86</v>
      </c>
      <c r="G130" s="1">
        <v>20260330</v>
      </c>
      <c r="H130" t="b">
        <f t="shared" si="2"/>
        <v>0</v>
      </c>
      <c r="I130" t="str" cm="1">
        <f t="array" ref="I130">GET_TICKER_FINAL(C130)</f>
        <v/>
      </c>
      <c r="J130" s="5" t="s">
        <v>1792</v>
      </c>
    </row>
    <row r="131" spans="1:10">
      <c r="A131">
        <v>130</v>
      </c>
      <c r="B131" s="1" t="s">
        <v>12</v>
      </c>
      <c r="C131" s="1" t="s">
        <v>150</v>
      </c>
      <c r="D131" s="1">
        <v>10</v>
      </c>
      <c r="E131" s="1">
        <v>22</v>
      </c>
      <c r="F131" s="1">
        <v>0.79</v>
      </c>
      <c r="G131" s="1">
        <v>20260330</v>
      </c>
      <c r="H131" t="b">
        <f t="shared" ref="H131:H194" si="3">OR(ISNUMBER(SEARCH("$A",C131)),ISNUMBER(SEARCH("$B",C131)),ISNUMBER(SEARCH("$C",C131)),ISNUMBER(SEARCH("$D",C131)),ISNUMBER(SEARCH("$E",C131)),ISNUMBER(SEARCH("$F",C131)),ISNUMBER(SEARCH("$G",C131)),ISNUMBER(SEARCH("$H",C131)),ISNUMBER(SEARCH("$I",C131)),ISNUMBER(SEARCH("$J",C131)),ISNUMBER(SEARCH("$K",C131)),ISNUMBER(SEARCH("$L",C131)),ISNUMBER(SEARCH("$M",C131)),ISNUMBER(SEARCH("$N",C131)),ISNUMBER(SEARCH("$O",C131)),ISNUMBER(SEARCH("$P",C131)),ISNUMBER(SEARCH("$Q",C131)),ISNUMBER(SEARCH("$R",C131)),ISNUMBER(SEARCH("$S",C131)),ISNUMBER(SEARCH("$T",C131)),ISNUMBER(SEARCH("$U",C131)),ISNUMBER(SEARCH("$V",C131)),ISNUMBER(SEARCH("$W",C131)),ISNUMBER(SEARCH("$X",C131)),ISNUMBER(SEARCH("$Y",C131)),ISNUMBER(SEARCH("$Z",C131)))</f>
        <v>0</v>
      </c>
      <c r="I131" t="str" cm="1">
        <f t="array" ref="I131">GET_TICKER_FINAL(C131)</f>
        <v/>
      </c>
      <c r="J131" s="5" t="s">
        <v>1792</v>
      </c>
    </row>
    <row r="132" spans="1:10">
      <c r="A132">
        <v>131</v>
      </c>
      <c r="B132" s="1" t="s">
        <v>12</v>
      </c>
      <c r="C132" s="1" t="s">
        <v>151</v>
      </c>
      <c r="D132" s="1">
        <v>10</v>
      </c>
      <c r="E132" s="1">
        <v>19</v>
      </c>
      <c r="F132" s="1">
        <v>1</v>
      </c>
      <c r="G132" s="1">
        <v>20260402</v>
      </c>
      <c r="H132" t="b">
        <f t="shared" si="3"/>
        <v>0</v>
      </c>
      <c r="I132" t="str" cm="1">
        <f t="array" ref="I132">GET_TICKER_FINAL(C132)</f>
        <v/>
      </c>
      <c r="J132" s="5" t="s">
        <v>1792</v>
      </c>
    </row>
    <row r="133" spans="1:10">
      <c r="A133">
        <v>132</v>
      </c>
      <c r="B133" s="1" t="s">
        <v>12</v>
      </c>
      <c r="C133" s="1" t="s">
        <v>152</v>
      </c>
      <c r="D133" s="1">
        <v>10</v>
      </c>
      <c r="E133" s="1">
        <v>20</v>
      </c>
      <c r="F133" s="1">
        <v>0.69</v>
      </c>
      <c r="G133" s="1">
        <v>20260330</v>
      </c>
      <c r="H133" t="b">
        <f t="shared" si="3"/>
        <v>0</v>
      </c>
      <c r="I133" t="str" cm="1">
        <f t="array" ref="I133">GET_TICKER_FINAL(C133)</f>
        <v/>
      </c>
      <c r="J133" s="5" t="s">
        <v>1792</v>
      </c>
    </row>
    <row r="134" spans="1:10">
      <c r="A134">
        <v>133</v>
      </c>
      <c r="B134" s="1" t="s">
        <v>12</v>
      </c>
      <c r="C134" s="1" t="s">
        <v>153</v>
      </c>
      <c r="D134" s="1">
        <v>9</v>
      </c>
      <c r="E134" s="1">
        <v>9</v>
      </c>
      <c r="F134" s="1">
        <v>0.81</v>
      </c>
      <c r="G134" s="1">
        <v>20260324</v>
      </c>
      <c r="H134" t="b">
        <f t="shared" si="3"/>
        <v>0</v>
      </c>
      <c r="I134" t="str" cm="1">
        <f t="array" ref="I134">GET_TICKER_FINAL(C134)</f>
        <v/>
      </c>
      <c r="J134" s="5" t="s">
        <v>1792</v>
      </c>
    </row>
    <row r="135" spans="1:10">
      <c r="A135">
        <v>134</v>
      </c>
      <c r="B135" s="1" t="s">
        <v>12</v>
      </c>
      <c r="C135" s="1" t="s">
        <v>154</v>
      </c>
      <c r="D135" s="1">
        <v>9</v>
      </c>
      <c r="E135" s="1">
        <v>36</v>
      </c>
      <c r="F135" s="1">
        <v>0.67</v>
      </c>
      <c r="G135" s="1">
        <v>20260323</v>
      </c>
      <c r="H135" t="b">
        <f t="shared" si="3"/>
        <v>0</v>
      </c>
      <c r="I135" t="str" cm="1">
        <f t="array" ref="I135">GET_TICKER_FINAL(C135)</f>
        <v/>
      </c>
      <c r="J135" s="5" t="s">
        <v>1792</v>
      </c>
    </row>
    <row r="136" spans="1:10">
      <c r="A136">
        <v>135</v>
      </c>
      <c r="B136" s="1" t="s">
        <v>12</v>
      </c>
      <c r="C136" s="1" t="s">
        <v>155</v>
      </c>
      <c r="D136" s="1">
        <v>9</v>
      </c>
      <c r="E136" s="1">
        <v>9</v>
      </c>
      <c r="F136" s="1">
        <v>0.9</v>
      </c>
      <c r="G136" s="1">
        <v>20260323</v>
      </c>
      <c r="H136" t="b">
        <f t="shared" si="3"/>
        <v>0</v>
      </c>
      <c r="I136" t="str" cm="1">
        <f t="array" ref="I136">GET_TICKER_FINAL(C136)</f>
        <v/>
      </c>
      <c r="J136" s="5" t="s">
        <v>1792</v>
      </c>
    </row>
    <row r="137" spans="1:10">
      <c r="A137">
        <v>136</v>
      </c>
      <c r="B137" s="1" t="s">
        <v>12</v>
      </c>
      <c r="C137" s="1" t="s">
        <v>156</v>
      </c>
      <c r="D137" s="1">
        <v>9</v>
      </c>
      <c r="E137" s="1">
        <v>25</v>
      </c>
      <c r="F137" s="1">
        <v>0.57999999999999996</v>
      </c>
      <c r="G137" s="1">
        <v>20260331</v>
      </c>
      <c r="H137" t="b">
        <f t="shared" si="3"/>
        <v>0</v>
      </c>
      <c r="I137" t="str" cm="1">
        <f t="array" ref="I137">GET_TICKER_FINAL(C137)</f>
        <v/>
      </c>
      <c r="J137" s="5" t="s">
        <v>1792</v>
      </c>
    </row>
    <row r="138" spans="1:10">
      <c r="A138">
        <v>137</v>
      </c>
      <c r="B138" s="1" t="s">
        <v>12</v>
      </c>
      <c r="C138" s="1" t="s">
        <v>157</v>
      </c>
      <c r="D138" s="1">
        <v>9</v>
      </c>
      <c r="E138" s="1">
        <v>51</v>
      </c>
      <c r="F138" s="1">
        <v>0.71</v>
      </c>
      <c r="G138" s="1">
        <v>20260323</v>
      </c>
      <c r="H138" t="b">
        <f t="shared" si="3"/>
        <v>0</v>
      </c>
      <c r="I138" t="str" cm="1">
        <f t="array" ref="I138">GET_TICKER_FINAL(C138)</f>
        <v/>
      </c>
      <c r="J138" s="5" t="s">
        <v>1792</v>
      </c>
    </row>
    <row r="139" spans="1:10">
      <c r="A139">
        <v>138</v>
      </c>
      <c r="B139" s="1" t="s">
        <v>12</v>
      </c>
      <c r="C139" s="1" t="s">
        <v>158</v>
      </c>
      <c r="D139" s="1">
        <v>9</v>
      </c>
      <c r="E139" s="1">
        <v>9</v>
      </c>
      <c r="F139" s="1">
        <v>0.71</v>
      </c>
      <c r="G139" s="1">
        <v>20260327</v>
      </c>
      <c r="H139" t="b">
        <f t="shared" si="3"/>
        <v>0</v>
      </c>
      <c r="I139" t="str" cm="1">
        <f t="array" ref="I139">GET_TICKER_FINAL(C139)</f>
        <v/>
      </c>
      <c r="J139" s="5" t="s">
        <v>1792</v>
      </c>
    </row>
    <row r="140" spans="1:10">
      <c r="A140">
        <v>139</v>
      </c>
      <c r="B140" s="1" t="s">
        <v>12</v>
      </c>
      <c r="C140" s="1" t="s">
        <v>159</v>
      </c>
      <c r="D140" s="1">
        <v>9</v>
      </c>
      <c r="E140" s="1">
        <v>15</v>
      </c>
      <c r="F140" s="1">
        <v>0.71</v>
      </c>
      <c r="G140" s="1">
        <v>20260326</v>
      </c>
      <c r="H140" t="b">
        <f t="shared" si="3"/>
        <v>0</v>
      </c>
      <c r="I140" t="str" cm="1">
        <f t="array" ref="I140">GET_TICKER_FINAL(C140)</f>
        <v/>
      </c>
      <c r="J140" s="5" t="s">
        <v>1792</v>
      </c>
    </row>
    <row r="141" spans="1:10">
      <c r="A141">
        <v>140</v>
      </c>
      <c r="B141" s="1" t="s">
        <v>12</v>
      </c>
      <c r="C141" s="1" t="s">
        <v>160</v>
      </c>
      <c r="D141" s="1">
        <v>9</v>
      </c>
      <c r="E141" s="1">
        <v>2</v>
      </c>
      <c r="F141" s="1">
        <v>0.85</v>
      </c>
      <c r="G141" s="1">
        <v>20260327</v>
      </c>
      <c r="H141" t="b">
        <f t="shared" si="3"/>
        <v>0</v>
      </c>
      <c r="I141" t="str" cm="1">
        <f t="array" ref="I141">GET_TICKER_FINAL(C141)</f>
        <v/>
      </c>
      <c r="J141" s="5" t="s">
        <v>1792</v>
      </c>
    </row>
    <row r="142" spans="1:10">
      <c r="A142">
        <v>141</v>
      </c>
      <c r="B142" s="1" t="s">
        <v>12</v>
      </c>
      <c r="C142" s="1" t="s">
        <v>161</v>
      </c>
      <c r="D142" s="1">
        <v>9</v>
      </c>
      <c r="E142" s="1">
        <v>23</v>
      </c>
      <c r="F142" s="1">
        <v>0.73</v>
      </c>
      <c r="G142" s="1">
        <v>20260402</v>
      </c>
      <c r="H142" t="b">
        <f t="shared" si="3"/>
        <v>0</v>
      </c>
      <c r="I142" t="str" cm="1">
        <f t="array" ref="I142">GET_TICKER_FINAL(C142)</f>
        <v/>
      </c>
      <c r="J142" s="5" t="s">
        <v>1792</v>
      </c>
    </row>
    <row r="143" spans="1:10">
      <c r="A143">
        <v>142</v>
      </c>
      <c r="B143" s="1" t="s">
        <v>12</v>
      </c>
      <c r="C143" s="1" t="s">
        <v>162</v>
      </c>
      <c r="D143" s="1">
        <v>8</v>
      </c>
      <c r="E143" s="1">
        <v>12</v>
      </c>
      <c r="F143" s="1">
        <v>0.79</v>
      </c>
      <c r="G143" s="1">
        <v>20260323</v>
      </c>
      <c r="H143" t="b">
        <f t="shared" si="3"/>
        <v>0</v>
      </c>
      <c r="I143" t="str" cm="1">
        <f t="array" ref="I143">GET_TICKER_FINAL(C143)</f>
        <v/>
      </c>
      <c r="J143" s="5" t="s">
        <v>1792</v>
      </c>
    </row>
    <row r="144" spans="1:10">
      <c r="A144">
        <v>143</v>
      </c>
      <c r="B144" s="1" t="s">
        <v>12</v>
      </c>
      <c r="C144" s="1" t="s">
        <v>163</v>
      </c>
      <c r="D144" s="1">
        <v>8</v>
      </c>
      <c r="E144" s="1">
        <v>16</v>
      </c>
      <c r="F144" s="1">
        <v>0.83</v>
      </c>
      <c r="G144" s="1">
        <v>20260402</v>
      </c>
      <c r="H144" t="b">
        <f t="shared" si="3"/>
        <v>0</v>
      </c>
      <c r="I144" t="str" cm="1">
        <f t="array" ref="I144">GET_TICKER_FINAL(C144)</f>
        <v/>
      </c>
      <c r="J144" s="5" t="s">
        <v>1792</v>
      </c>
    </row>
    <row r="145" spans="1:10">
      <c r="A145">
        <v>144</v>
      </c>
      <c r="B145" s="1" t="s">
        <v>12</v>
      </c>
      <c r="C145" s="1" t="s">
        <v>164</v>
      </c>
      <c r="D145" s="1">
        <v>8</v>
      </c>
      <c r="E145" s="1">
        <v>9</v>
      </c>
      <c r="F145" s="1">
        <v>0.7</v>
      </c>
      <c r="G145" s="1">
        <v>20260402</v>
      </c>
      <c r="H145" t="b">
        <f t="shared" si="3"/>
        <v>0</v>
      </c>
      <c r="I145" t="str" cm="1">
        <f t="array" ref="I145">GET_TICKER_FINAL(C145)</f>
        <v/>
      </c>
      <c r="J145" s="5" t="s">
        <v>16</v>
      </c>
    </row>
    <row r="146" spans="1:10">
      <c r="A146">
        <v>145</v>
      </c>
      <c r="B146" s="1" t="s">
        <v>12</v>
      </c>
      <c r="C146" s="1" t="s">
        <v>165</v>
      </c>
      <c r="D146" s="1">
        <v>8</v>
      </c>
      <c r="E146" s="1">
        <v>12</v>
      </c>
      <c r="F146" s="1">
        <v>0.9</v>
      </c>
      <c r="G146" s="1">
        <v>20260327</v>
      </c>
      <c r="H146" t="b">
        <f t="shared" si="3"/>
        <v>0</v>
      </c>
      <c r="I146" t="str" cm="1">
        <f t="array" ref="I146">GET_TICKER_FINAL(C146)</f>
        <v/>
      </c>
      <c r="J146" s="5" t="s">
        <v>1792</v>
      </c>
    </row>
    <row r="147" spans="1:10">
      <c r="A147">
        <v>146</v>
      </c>
      <c r="B147" s="1" t="s">
        <v>12</v>
      </c>
      <c r="C147" s="1" t="s">
        <v>166</v>
      </c>
      <c r="D147" s="1">
        <v>8</v>
      </c>
      <c r="E147" s="1">
        <v>10</v>
      </c>
      <c r="F147" s="1">
        <v>0.91</v>
      </c>
      <c r="G147" s="1">
        <v>20260327</v>
      </c>
      <c r="H147" t="b">
        <f t="shared" si="3"/>
        <v>0</v>
      </c>
      <c r="I147" t="str" cm="1">
        <f t="array" ref="I147">GET_TICKER_FINAL(C147)</f>
        <v/>
      </c>
      <c r="J147" s="5" t="s">
        <v>1792</v>
      </c>
    </row>
    <row r="148" spans="1:10">
      <c r="A148">
        <v>147</v>
      </c>
      <c r="B148" s="1" t="s">
        <v>12</v>
      </c>
      <c r="C148" s="1" t="s">
        <v>167</v>
      </c>
      <c r="D148" s="1">
        <v>8</v>
      </c>
      <c r="E148" s="1">
        <v>6</v>
      </c>
      <c r="F148" s="1">
        <v>1</v>
      </c>
      <c r="G148" s="1">
        <v>20260326</v>
      </c>
      <c r="H148" t="b">
        <f t="shared" si="3"/>
        <v>0</v>
      </c>
      <c r="I148" t="str" cm="1">
        <f t="array" ref="I148">GET_TICKER_FINAL(C148)</f>
        <v/>
      </c>
      <c r="J148" s="5" t="s">
        <v>1792</v>
      </c>
    </row>
    <row r="149" spans="1:10">
      <c r="A149">
        <v>148</v>
      </c>
      <c r="B149" s="1" t="s">
        <v>12</v>
      </c>
      <c r="C149" s="1" t="s">
        <v>168</v>
      </c>
      <c r="D149" s="1">
        <v>8</v>
      </c>
      <c r="E149" s="1">
        <v>9</v>
      </c>
      <c r="F149" s="1">
        <v>0.79</v>
      </c>
      <c r="G149" s="1">
        <v>20260326</v>
      </c>
      <c r="H149" t="b">
        <f t="shared" si="3"/>
        <v>0</v>
      </c>
      <c r="I149" t="str" cm="1">
        <f t="array" ref="I149">GET_TICKER_FINAL(C149)</f>
        <v/>
      </c>
      <c r="J149" s="5" t="s">
        <v>1792</v>
      </c>
    </row>
    <row r="150" spans="1:10">
      <c r="A150">
        <v>149</v>
      </c>
      <c r="B150" s="1" t="s">
        <v>12</v>
      </c>
      <c r="C150" s="1" t="s">
        <v>169</v>
      </c>
      <c r="D150" s="1">
        <v>8</v>
      </c>
      <c r="E150" s="1">
        <v>9</v>
      </c>
      <c r="F150" s="1">
        <v>1</v>
      </c>
      <c r="G150" s="1">
        <v>20260327</v>
      </c>
      <c r="H150" t="b">
        <f t="shared" si="3"/>
        <v>0</v>
      </c>
      <c r="I150" t="str" cm="1">
        <f t="array" ref="I150">GET_TICKER_FINAL(C150)</f>
        <v/>
      </c>
      <c r="J150" s="5" t="s">
        <v>1792</v>
      </c>
    </row>
    <row r="151" spans="1:10">
      <c r="A151">
        <v>150</v>
      </c>
      <c r="B151" s="1" t="s">
        <v>12</v>
      </c>
      <c r="C151" s="1" t="s">
        <v>170</v>
      </c>
      <c r="D151" s="1">
        <v>8</v>
      </c>
      <c r="E151" s="1">
        <v>13</v>
      </c>
      <c r="F151" s="1">
        <v>0.7</v>
      </c>
      <c r="G151" s="1">
        <v>20260320</v>
      </c>
      <c r="H151" t="b">
        <f t="shared" si="3"/>
        <v>0</v>
      </c>
      <c r="I151" t="str" cm="1">
        <f t="array" ref="I151">GET_TICKER_FINAL(C151)</f>
        <v/>
      </c>
      <c r="J151" s="5" t="s">
        <v>1792</v>
      </c>
    </row>
    <row r="152" spans="1:10">
      <c r="A152">
        <v>151</v>
      </c>
      <c r="B152" s="1" t="s">
        <v>12</v>
      </c>
      <c r="C152" s="1" t="s">
        <v>171</v>
      </c>
      <c r="D152" s="1">
        <v>7</v>
      </c>
      <c r="E152" s="1">
        <v>6</v>
      </c>
      <c r="F152" s="1">
        <v>0.72</v>
      </c>
      <c r="G152" s="1">
        <v>20260327</v>
      </c>
      <c r="H152" t="b">
        <f t="shared" si="3"/>
        <v>0</v>
      </c>
      <c r="I152" t="str" cm="1">
        <f t="array" ref="I152">GET_TICKER_FINAL(C152)</f>
        <v/>
      </c>
      <c r="J152" s="5" t="s">
        <v>1792</v>
      </c>
    </row>
    <row r="153" spans="1:10">
      <c r="A153">
        <v>152</v>
      </c>
      <c r="B153" s="1" t="s">
        <v>12</v>
      </c>
      <c r="C153" s="1" t="s">
        <v>172</v>
      </c>
      <c r="D153" s="1">
        <v>7</v>
      </c>
      <c r="E153" s="1">
        <v>11</v>
      </c>
      <c r="F153" s="1">
        <v>0.65</v>
      </c>
      <c r="G153" s="1">
        <v>20260323</v>
      </c>
      <c r="H153" t="b">
        <f t="shared" si="3"/>
        <v>0</v>
      </c>
      <c r="I153" t="str" cm="1">
        <f t="array" ref="I153">GET_TICKER_FINAL(C153)</f>
        <v/>
      </c>
      <c r="J153" s="5" t="s">
        <v>1792</v>
      </c>
    </row>
    <row r="154" spans="1:10">
      <c r="A154">
        <v>153</v>
      </c>
      <c r="B154" s="1" t="s">
        <v>12</v>
      </c>
      <c r="C154" s="1" t="s">
        <v>173</v>
      </c>
      <c r="D154" s="1">
        <v>7</v>
      </c>
      <c r="E154" s="1">
        <v>27</v>
      </c>
      <c r="F154" s="1">
        <v>0.9</v>
      </c>
      <c r="G154" s="1">
        <v>20260327</v>
      </c>
      <c r="H154" t="b">
        <f t="shared" si="3"/>
        <v>0</v>
      </c>
      <c r="I154" t="str" cm="1">
        <f t="array" ref="I154">GET_TICKER_FINAL(C154)</f>
        <v/>
      </c>
      <c r="J154" s="5" t="s">
        <v>1792</v>
      </c>
    </row>
    <row r="155" spans="1:10">
      <c r="A155">
        <v>154</v>
      </c>
      <c r="B155" s="1" t="s">
        <v>12</v>
      </c>
      <c r="C155" s="1" t="s">
        <v>174</v>
      </c>
      <c r="D155" s="1">
        <v>7</v>
      </c>
      <c r="E155" s="1">
        <v>12</v>
      </c>
      <c r="F155" s="1">
        <v>0.65</v>
      </c>
      <c r="G155" s="1">
        <v>20260323</v>
      </c>
      <c r="H155" t="b">
        <f t="shared" si="3"/>
        <v>0</v>
      </c>
      <c r="I155" t="str" cm="1">
        <f t="array" ref="I155">GET_TICKER_FINAL(C155)</f>
        <v/>
      </c>
      <c r="J155" s="5" t="s">
        <v>25</v>
      </c>
    </row>
    <row r="156" spans="1:10">
      <c r="A156">
        <v>155</v>
      </c>
      <c r="B156" s="1" t="s">
        <v>12</v>
      </c>
      <c r="C156" s="1" t="s">
        <v>175</v>
      </c>
      <c r="D156" s="1">
        <v>7</v>
      </c>
      <c r="E156" s="1">
        <v>13</v>
      </c>
      <c r="F156" s="1">
        <v>0.73</v>
      </c>
      <c r="G156" s="1">
        <v>20260324</v>
      </c>
      <c r="H156" t="b">
        <f t="shared" si="3"/>
        <v>0</v>
      </c>
      <c r="I156" t="str" cm="1">
        <f t="array" ref="I156">GET_TICKER_FINAL(C156)</f>
        <v/>
      </c>
      <c r="J156" s="5" t="s">
        <v>1792</v>
      </c>
    </row>
    <row r="157" spans="1:10">
      <c r="A157">
        <v>156</v>
      </c>
      <c r="B157" s="1" t="s">
        <v>12</v>
      </c>
      <c r="C157" s="1" t="s">
        <v>176</v>
      </c>
      <c r="D157" s="1">
        <v>7</v>
      </c>
      <c r="E157" s="1">
        <v>22</v>
      </c>
      <c r="F157" s="1">
        <v>0.77</v>
      </c>
      <c r="G157" s="1">
        <v>20260401</v>
      </c>
      <c r="H157" t="b">
        <f t="shared" si="3"/>
        <v>0</v>
      </c>
      <c r="I157" t="str" cm="1">
        <f t="array" ref="I157">GET_TICKER_FINAL(C157)</f>
        <v/>
      </c>
      <c r="J157" s="5" t="s">
        <v>1792</v>
      </c>
    </row>
    <row r="158" spans="1:10">
      <c r="A158">
        <v>157</v>
      </c>
      <c r="B158" s="1" t="s">
        <v>12</v>
      </c>
      <c r="C158" s="1" t="s">
        <v>177</v>
      </c>
      <c r="D158" s="1">
        <v>7</v>
      </c>
      <c r="E158" s="1">
        <v>31</v>
      </c>
      <c r="F158" s="1">
        <v>0.67</v>
      </c>
      <c r="G158" s="1">
        <v>20260323</v>
      </c>
      <c r="H158" t="b">
        <f t="shared" si="3"/>
        <v>0</v>
      </c>
      <c r="I158" t="str" cm="1">
        <f t="array" ref="I158">GET_TICKER_FINAL(C158)</f>
        <v/>
      </c>
      <c r="J158" s="5" t="s">
        <v>1792</v>
      </c>
    </row>
    <row r="159" spans="1:10">
      <c r="A159">
        <v>158</v>
      </c>
      <c r="B159" s="1" t="s">
        <v>12</v>
      </c>
      <c r="C159" s="1" t="s">
        <v>178</v>
      </c>
      <c r="D159" s="1">
        <v>7</v>
      </c>
      <c r="E159" s="1">
        <v>1</v>
      </c>
      <c r="F159" s="1">
        <v>0.77</v>
      </c>
      <c r="G159" s="1">
        <v>20260326</v>
      </c>
      <c r="H159" t="b">
        <f t="shared" si="3"/>
        <v>0</v>
      </c>
      <c r="I159" t="str" cm="1">
        <f t="array" ref="I159">GET_TICKER_FINAL(C159)</f>
        <v/>
      </c>
      <c r="J159" s="5" t="s">
        <v>25</v>
      </c>
    </row>
    <row r="160" spans="1:10">
      <c r="A160">
        <v>159</v>
      </c>
      <c r="B160" s="1" t="s">
        <v>12</v>
      </c>
      <c r="C160" s="1" t="s">
        <v>179</v>
      </c>
      <c r="D160" s="1">
        <v>7</v>
      </c>
      <c r="E160" s="1">
        <v>14</v>
      </c>
      <c r="F160" s="1">
        <v>0.77</v>
      </c>
      <c r="G160" s="1">
        <v>20260327</v>
      </c>
      <c r="H160" t="b">
        <f t="shared" si="3"/>
        <v>0</v>
      </c>
      <c r="I160" t="str" cm="1">
        <f t="array" ref="I160">GET_TICKER_FINAL(C160)</f>
        <v/>
      </c>
      <c r="J160" s="5" t="s">
        <v>1792</v>
      </c>
    </row>
    <row r="161" spans="1:10">
      <c r="A161">
        <v>160</v>
      </c>
      <c r="B161" s="1" t="s">
        <v>12</v>
      </c>
      <c r="C161" s="1" t="s">
        <v>180</v>
      </c>
      <c r="D161" s="1">
        <v>7</v>
      </c>
      <c r="E161" s="1">
        <v>9</v>
      </c>
      <c r="F161" s="1">
        <v>0.77</v>
      </c>
      <c r="G161" s="1">
        <v>20260331</v>
      </c>
      <c r="H161" t="b">
        <f t="shared" si="3"/>
        <v>0</v>
      </c>
      <c r="I161" t="str" cm="1">
        <f t="array" ref="I161">GET_TICKER_FINAL(C161)</f>
        <v/>
      </c>
      <c r="J161" s="5" t="s">
        <v>1792</v>
      </c>
    </row>
    <row r="162" spans="1:10">
      <c r="A162">
        <v>161</v>
      </c>
      <c r="B162" s="1" t="s">
        <v>12</v>
      </c>
      <c r="C162" s="1" t="s">
        <v>181</v>
      </c>
      <c r="D162" s="1">
        <v>7</v>
      </c>
      <c r="E162" s="1">
        <v>0</v>
      </c>
      <c r="F162" s="1">
        <v>0.74</v>
      </c>
      <c r="G162" s="1">
        <v>20260402</v>
      </c>
      <c r="H162" t="b">
        <f t="shared" si="3"/>
        <v>0</v>
      </c>
      <c r="I162" t="str" cm="1">
        <f t="array" ref="I162">GET_TICKER_FINAL(C162)</f>
        <v>NVDA</v>
      </c>
      <c r="J162" s="5" t="s">
        <v>25</v>
      </c>
    </row>
    <row r="163" spans="1:10">
      <c r="A163">
        <v>162</v>
      </c>
      <c r="B163" s="1" t="s">
        <v>12</v>
      </c>
      <c r="C163" s="1" t="s">
        <v>182</v>
      </c>
      <c r="D163" s="1">
        <v>7</v>
      </c>
      <c r="E163" s="1">
        <v>35</v>
      </c>
      <c r="F163" s="1">
        <v>0.71</v>
      </c>
      <c r="G163" s="1">
        <v>20260330</v>
      </c>
      <c r="H163" t="b">
        <f t="shared" si="3"/>
        <v>0</v>
      </c>
      <c r="I163" t="str" cm="1">
        <f t="array" ref="I163">GET_TICKER_FINAL(C163)</f>
        <v/>
      </c>
      <c r="J163" s="5" t="s">
        <v>1792</v>
      </c>
    </row>
    <row r="164" spans="1:10">
      <c r="A164">
        <v>163</v>
      </c>
      <c r="B164" s="1" t="s">
        <v>12</v>
      </c>
      <c r="C164" s="1" t="s">
        <v>183</v>
      </c>
      <c r="D164" s="1">
        <v>7</v>
      </c>
      <c r="E164" s="1">
        <v>2</v>
      </c>
      <c r="F164" s="1">
        <v>1</v>
      </c>
      <c r="G164" s="1">
        <v>20260401</v>
      </c>
      <c r="H164" t="b">
        <f t="shared" si="3"/>
        <v>0</v>
      </c>
      <c r="I164" t="str" cm="1">
        <f t="array" ref="I164">GET_TICKER_FINAL(C164)</f>
        <v/>
      </c>
      <c r="J164" s="5" t="s">
        <v>1792</v>
      </c>
    </row>
    <row r="165" spans="1:10">
      <c r="A165">
        <v>164</v>
      </c>
      <c r="B165" s="1" t="s">
        <v>12</v>
      </c>
      <c r="C165" s="1" t="s">
        <v>184</v>
      </c>
      <c r="D165" s="1">
        <v>7</v>
      </c>
      <c r="E165" s="1">
        <v>2</v>
      </c>
      <c r="F165" s="1">
        <v>0.89</v>
      </c>
      <c r="G165" s="1">
        <v>20260330</v>
      </c>
      <c r="H165" t="b">
        <f t="shared" si="3"/>
        <v>0</v>
      </c>
      <c r="I165" t="str" cm="1">
        <f t="array" ref="I165">GET_TICKER_FINAL(C165)</f>
        <v>NVDA</v>
      </c>
      <c r="J165" s="5" t="s">
        <v>1792</v>
      </c>
    </row>
    <row r="166" spans="1:10">
      <c r="A166">
        <v>165</v>
      </c>
      <c r="B166" s="1" t="s">
        <v>12</v>
      </c>
      <c r="C166" s="1" t="s">
        <v>185</v>
      </c>
      <c r="D166" s="1">
        <v>6</v>
      </c>
      <c r="E166" s="1">
        <v>8</v>
      </c>
      <c r="F166" s="1">
        <v>0.63</v>
      </c>
      <c r="G166" s="1">
        <v>20260324</v>
      </c>
      <c r="H166" t="b">
        <f t="shared" si="3"/>
        <v>0</v>
      </c>
      <c r="I166" t="str" cm="1">
        <f t="array" ref="I166">GET_TICKER_FINAL(C166)</f>
        <v/>
      </c>
      <c r="J166" s="5" t="s">
        <v>25</v>
      </c>
    </row>
    <row r="167" spans="1:10">
      <c r="A167">
        <v>166</v>
      </c>
      <c r="B167" s="1" t="s">
        <v>12</v>
      </c>
      <c r="C167" s="1" t="s">
        <v>186</v>
      </c>
      <c r="D167" s="1">
        <v>6</v>
      </c>
      <c r="E167" s="1">
        <v>1</v>
      </c>
      <c r="F167" s="1">
        <v>0.8</v>
      </c>
      <c r="G167" s="1">
        <v>20260323</v>
      </c>
      <c r="H167" t="b">
        <f t="shared" si="3"/>
        <v>0</v>
      </c>
      <c r="I167" t="str" cm="1">
        <f t="array" ref="I167">GET_TICKER_FINAL(C167)</f>
        <v/>
      </c>
      <c r="J167" s="5" t="s">
        <v>1792</v>
      </c>
    </row>
    <row r="168" spans="1:10">
      <c r="A168">
        <v>167</v>
      </c>
      <c r="B168" s="1" t="s">
        <v>12</v>
      </c>
      <c r="C168" s="1" t="s">
        <v>187</v>
      </c>
      <c r="D168" s="1">
        <v>6</v>
      </c>
      <c r="E168" s="1">
        <v>2</v>
      </c>
      <c r="F168" s="1">
        <v>0.75</v>
      </c>
      <c r="G168" s="1">
        <v>20260320</v>
      </c>
      <c r="H168" t="b">
        <f t="shared" si="3"/>
        <v>0</v>
      </c>
      <c r="I168" t="str" cm="1">
        <f t="array" ref="I168">GET_TICKER_FINAL(C168)</f>
        <v/>
      </c>
      <c r="J168" s="5" t="s">
        <v>1792</v>
      </c>
    </row>
    <row r="169" spans="1:10">
      <c r="A169">
        <v>168</v>
      </c>
      <c r="B169" s="1" t="s">
        <v>12</v>
      </c>
      <c r="C169" s="1" t="s">
        <v>188</v>
      </c>
      <c r="D169" s="1">
        <v>6</v>
      </c>
      <c r="E169" s="1">
        <v>2</v>
      </c>
      <c r="F169" s="1">
        <v>0.76</v>
      </c>
      <c r="G169" s="1">
        <v>20260330</v>
      </c>
      <c r="H169" t="b">
        <f t="shared" si="3"/>
        <v>0</v>
      </c>
      <c r="I169" t="str" cm="1">
        <f t="array" ref="I169">GET_TICKER_FINAL(C169)</f>
        <v/>
      </c>
      <c r="J169" s="5" t="s">
        <v>28</v>
      </c>
    </row>
    <row r="170" spans="1:10">
      <c r="A170">
        <v>169</v>
      </c>
      <c r="B170" s="1" t="s">
        <v>12</v>
      </c>
      <c r="C170" s="1" t="s">
        <v>189</v>
      </c>
      <c r="D170" s="1">
        <v>6</v>
      </c>
      <c r="E170" s="1">
        <v>6</v>
      </c>
      <c r="F170" s="1">
        <v>0.88</v>
      </c>
      <c r="G170" s="1">
        <v>20260330</v>
      </c>
      <c r="H170" t="b">
        <f t="shared" si="3"/>
        <v>0</v>
      </c>
      <c r="I170" t="str" cm="1">
        <f t="array" ref="I170">GET_TICKER_FINAL(C170)</f>
        <v/>
      </c>
      <c r="J170" s="5" t="s">
        <v>1792</v>
      </c>
    </row>
    <row r="171" spans="1:10">
      <c r="A171">
        <v>170</v>
      </c>
      <c r="B171" s="1" t="s">
        <v>12</v>
      </c>
      <c r="C171" s="1" t="s">
        <v>190</v>
      </c>
      <c r="D171" s="1">
        <v>6</v>
      </c>
      <c r="E171" s="1">
        <v>6</v>
      </c>
      <c r="F171" s="1">
        <v>0.61</v>
      </c>
      <c r="G171" s="1">
        <v>20260327</v>
      </c>
      <c r="H171" t="b">
        <f t="shared" si="3"/>
        <v>0</v>
      </c>
      <c r="I171" t="str" cm="1">
        <f t="array" ref="I171">GET_TICKER_FINAL(C171)</f>
        <v/>
      </c>
      <c r="J171" s="5" t="s">
        <v>1792</v>
      </c>
    </row>
    <row r="172" spans="1:10">
      <c r="A172">
        <v>171</v>
      </c>
      <c r="B172" s="1" t="s">
        <v>12</v>
      </c>
      <c r="C172" s="1" t="s">
        <v>191</v>
      </c>
      <c r="D172" s="1">
        <v>6</v>
      </c>
      <c r="E172" s="1">
        <v>4</v>
      </c>
      <c r="F172" s="1">
        <v>0.87</v>
      </c>
      <c r="G172" s="1">
        <v>20260401</v>
      </c>
      <c r="H172" t="b">
        <f t="shared" si="3"/>
        <v>0</v>
      </c>
      <c r="I172" t="str" cm="1">
        <f t="array" ref="I172">GET_TICKER_FINAL(C172)</f>
        <v/>
      </c>
      <c r="J172" s="5" t="s">
        <v>1792</v>
      </c>
    </row>
    <row r="173" spans="1:10">
      <c r="A173">
        <v>172</v>
      </c>
      <c r="B173" s="1" t="s">
        <v>12</v>
      </c>
      <c r="C173" s="1" t="s">
        <v>192</v>
      </c>
      <c r="D173" s="1">
        <v>6</v>
      </c>
      <c r="E173" s="1">
        <v>7</v>
      </c>
      <c r="F173" s="1">
        <v>0.63</v>
      </c>
      <c r="G173" s="1">
        <v>20260324</v>
      </c>
      <c r="H173" t="b">
        <f t="shared" si="3"/>
        <v>0</v>
      </c>
      <c r="I173" t="str" cm="1">
        <f t="array" ref="I173">GET_TICKER_FINAL(C173)</f>
        <v/>
      </c>
      <c r="J173" s="5" t="s">
        <v>1792</v>
      </c>
    </row>
    <row r="174" spans="1:10">
      <c r="A174">
        <v>173</v>
      </c>
      <c r="B174" s="1" t="s">
        <v>12</v>
      </c>
      <c r="C174" s="1" t="s">
        <v>193</v>
      </c>
      <c r="D174" s="1">
        <v>6</v>
      </c>
      <c r="E174" s="1">
        <v>13</v>
      </c>
      <c r="F174" s="1">
        <v>0.87</v>
      </c>
      <c r="G174" s="1">
        <v>20260330</v>
      </c>
      <c r="H174" t="b">
        <f t="shared" si="3"/>
        <v>0</v>
      </c>
      <c r="I174" t="str" cm="1">
        <f t="array" ref="I174">GET_TICKER_FINAL(C174)</f>
        <v/>
      </c>
      <c r="J174" s="5" t="s">
        <v>1792</v>
      </c>
    </row>
    <row r="175" spans="1:10">
      <c r="A175">
        <v>174</v>
      </c>
      <c r="B175" s="1" t="s">
        <v>12</v>
      </c>
      <c r="C175" s="1" t="s">
        <v>194</v>
      </c>
      <c r="D175" s="1">
        <v>6</v>
      </c>
      <c r="E175" s="1">
        <v>38</v>
      </c>
      <c r="F175" s="1">
        <v>0.61</v>
      </c>
      <c r="G175" s="1">
        <v>20260330</v>
      </c>
      <c r="H175" t="b">
        <f t="shared" si="3"/>
        <v>0</v>
      </c>
      <c r="I175" t="str" cm="1">
        <f t="array" ref="I175">GET_TICKER_FINAL(C175)</f>
        <v/>
      </c>
      <c r="J175" s="5" t="s">
        <v>1792</v>
      </c>
    </row>
    <row r="176" spans="1:10">
      <c r="A176">
        <v>175</v>
      </c>
      <c r="B176" s="1" t="s">
        <v>12</v>
      </c>
      <c r="C176" s="1" t="s">
        <v>195</v>
      </c>
      <c r="D176" s="1">
        <v>6</v>
      </c>
      <c r="E176" s="1">
        <v>10</v>
      </c>
      <c r="F176" s="1">
        <v>0.72</v>
      </c>
      <c r="G176" s="1">
        <v>20260402</v>
      </c>
      <c r="H176" t="b">
        <f t="shared" si="3"/>
        <v>0</v>
      </c>
      <c r="I176" t="str" cm="1">
        <f t="array" ref="I176">GET_TICKER_FINAL(C176)</f>
        <v>SPY</v>
      </c>
      <c r="J176" s="5" t="s">
        <v>28</v>
      </c>
    </row>
    <row r="177" spans="1:10">
      <c r="A177">
        <v>176</v>
      </c>
      <c r="B177" s="1" t="s">
        <v>12</v>
      </c>
      <c r="C177" s="1" t="s">
        <v>196</v>
      </c>
      <c r="D177" s="1">
        <v>5</v>
      </c>
      <c r="E177" s="1">
        <v>12</v>
      </c>
      <c r="F177" s="1">
        <v>0.62</v>
      </c>
      <c r="G177" s="1">
        <v>20260323</v>
      </c>
      <c r="H177" t="b">
        <f t="shared" si="3"/>
        <v>0</v>
      </c>
      <c r="I177" t="str" cm="1">
        <f t="array" ref="I177">GET_TICKER_FINAL(C177)</f>
        <v/>
      </c>
      <c r="J177" s="5" t="s">
        <v>1792</v>
      </c>
    </row>
    <row r="178" spans="1:10">
      <c r="A178">
        <v>177</v>
      </c>
      <c r="B178" s="1" t="s">
        <v>12</v>
      </c>
      <c r="C178" s="1" t="s">
        <v>197</v>
      </c>
      <c r="D178" s="1">
        <v>5</v>
      </c>
      <c r="E178" s="1">
        <v>26</v>
      </c>
      <c r="F178" s="1">
        <v>0.59</v>
      </c>
      <c r="G178" s="1">
        <v>20260331</v>
      </c>
      <c r="H178" t="b">
        <f t="shared" si="3"/>
        <v>0</v>
      </c>
      <c r="I178" t="str" cm="1">
        <f t="array" ref="I178">GET_TICKER_FINAL(C178)</f>
        <v/>
      </c>
      <c r="J178" s="5" t="s">
        <v>16</v>
      </c>
    </row>
    <row r="179" spans="1:10">
      <c r="A179">
        <v>178</v>
      </c>
      <c r="B179" s="1" t="s">
        <v>12</v>
      </c>
      <c r="C179" s="1" t="s">
        <v>198</v>
      </c>
      <c r="D179" s="1">
        <v>5</v>
      </c>
      <c r="E179" s="1">
        <v>10</v>
      </c>
      <c r="F179" s="1">
        <v>0.86</v>
      </c>
      <c r="G179" s="1">
        <v>20260401</v>
      </c>
      <c r="H179" t="b">
        <f t="shared" si="3"/>
        <v>0</v>
      </c>
      <c r="I179" t="str" cm="1">
        <f t="array" ref="I179">GET_TICKER_FINAL(C179)</f>
        <v/>
      </c>
      <c r="J179" s="5" t="s">
        <v>28</v>
      </c>
    </row>
    <row r="180" spans="1:10">
      <c r="A180">
        <v>179</v>
      </c>
      <c r="B180" s="1" t="s">
        <v>12</v>
      </c>
      <c r="C180" s="1" t="s">
        <v>199</v>
      </c>
      <c r="D180" s="1">
        <v>5</v>
      </c>
      <c r="E180" s="1">
        <v>4</v>
      </c>
      <c r="F180" s="1">
        <v>0.73</v>
      </c>
      <c r="G180" s="1">
        <v>20260327</v>
      </c>
      <c r="H180" t="b">
        <f t="shared" si="3"/>
        <v>0</v>
      </c>
      <c r="I180" t="str" cm="1">
        <f t="array" ref="I180">GET_TICKER_FINAL(C180)</f>
        <v/>
      </c>
      <c r="J180" s="5" t="s">
        <v>28</v>
      </c>
    </row>
    <row r="181" spans="1:10">
      <c r="A181">
        <v>180</v>
      </c>
      <c r="B181" s="1" t="s">
        <v>12</v>
      </c>
      <c r="C181" s="1" t="s">
        <v>200</v>
      </c>
      <c r="D181" s="1">
        <v>5</v>
      </c>
      <c r="E181" s="1">
        <v>0</v>
      </c>
      <c r="F181" s="1">
        <v>1</v>
      </c>
      <c r="G181" s="1">
        <v>20260330</v>
      </c>
      <c r="H181" t="b">
        <f t="shared" si="3"/>
        <v>0</v>
      </c>
      <c r="I181" t="str" cm="1">
        <f t="array" ref="I181">GET_TICKER_FINAL(C181)</f>
        <v/>
      </c>
      <c r="J181" s="5" t="s">
        <v>1792</v>
      </c>
    </row>
    <row r="182" spans="1:10">
      <c r="A182">
        <v>181</v>
      </c>
      <c r="B182" s="1" t="s">
        <v>12</v>
      </c>
      <c r="C182" s="1" t="s">
        <v>201</v>
      </c>
      <c r="D182" s="1">
        <v>5</v>
      </c>
      <c r="E182" s="1">
        <v>6</v>
      </c>
      <c r="F182" s="1">
        <v>0.7</v>
      </c>
      <c r="G182" s="1">
        <v>20260401</v>
      </c>
      <c r="H182" t="b">
        <f t="shared" si="3"/>
        <v>0</v>
      </c>
      <c r="I182" t="str" cm="1">
        <f t="array" ref="I182">GET_TICKER_FINAL(C182)</f>
        <v/>
      </c>
      <c r="J182" s="5" t="s">
        <v>1792</v>
      </c>
    </row>
    <row r="183" spans="1:10">
      <c r="A183">
        <v>182</v>
      </c>
      <c r="B183" s="1" t="s">
        <v>12</v>
      </c>
      <c r="C183" s="1" t="s">
        <v>202</v>
      </c>
      <c r="D183" s="1">
        <v>5</v>
      </c>
      <c r="E183" s="1">
        <v>5</v>
      </c>
      <c r="F183" s="1">
        <v>0.66</v>
      </c>
      <c r="G183" s="1">
        <v>20260326</v>
      </c>
      <c r="H183" t="b">
        <f t="shared" si="3"/>
        <v>0</v>
      </c>
      <c r="I183" t="str" cm="1">
        <f t="array" ref="I183">GET_TICKER_FINAL(C183)</f>
        <v/>
      </c>
      <c r="J183" s="5" t="s">
        <v>1792</v>
      </c>
    </row>
    <row r="184" spans="1:10">
      <c r="A184">
        <v>183</v>
      </c>
      <c r="B184" s="1" t="s">
        <v>12</v>
      </c>
      <c r="C184" s="1" t="s">
        <v>203</v>
      </c>
      <c r="D184" s="1">
        <v>5</v>
      </c>
      <c r="E184" s="1">
        <v>3</v>
      </c>
      <c r="F184" s="1">
        <v>0.73</v>
      </c>
      <c r="G184" s="1">
        <v>20260326</v>
      </c>
      <c r="H184" t="b">
        <f t="shared" si="3"/>
        <v>0</v>
      </c>
      <c r="I184" t="str" cm="1">
        <f t="array" ref="I184">GET_TICKER_FINAL(C184)</f>
        <v/>
      </c>
      <c r="J184" s="5" t="s">
        <v>16</v>
      </c>
    </row>
    <row r="185" spans="1:10">
      <c r="A185">
        <v>184</v>
      </c>
      <c r="B185" s="1" t="s">
        <v>12</v>
      </c>
      <c r="C185" s="1" t="s">
        <v>204</v>
      </c>
      <c r="D185" s="1">
        <v>5</v>
      </c>
      <c r="E185" s="1">
        <v>0</v>
      </c>
      <c r="F185" s="1">
        <v>0.69</v>
      </c>
      <c r="G185" s="1">
        <v>20260323</v>
      </c>
      <c r="H185" t="b">
        <f t="shared" si="3"/>
        <v>0</v>
      </c>
      <c r="I185" t="str" cm="1">
        <f t="array" ref="I185">GET_TICKER_FINAL(C185)</f>
        <v/>
      </c>
      <c r="J185" s="5" t="s">
        <v>25</v>
      </c>
    </row>
    <row r="186" spans="1:10">
      <c r="A186">
        <v>185</v>
      </c>
      <c r="B186" s="1" t="s">
        <v>12</v>
      </c>
      <c r="C186" s="1" t="s">
        <v>205</v>
      </c>
      <c r="D186" s="1">
        <v>5</v>
      </c>
      <c r="E186" s="1">
        <v>12</v>
      </c>
      <c r="F186" s="1">
        <v>0.61</v>
      </c>
      <c r="G186" s="1">
        <v>20260330</v>
      </c>
      <c r="H186" t="b">
        <f t="shared" si="3"/>
        <v>0</v>
      </c>
      <c r="I186" t="str" cm="1">
        <f t="array" ref="I186">GET_TICKER_FINAL(C186)</f>
        <v/>
      </c>
      <c r="J186" s="5" t="s">
        <v>1792</v>
      </c>
    </row>
    <row r="187" spans="1:10">
      <c r="A187">
        <v>186</v>
      </c>
      <c r="B187" s="1" t="s">
        <v>12</v>
      </c>
      <c r="C187" s="1" t="s">
        <v>206</v>
      </c>
      <c r="D187" s="1">
        <v>5</v>
      </c>
      <c r="E187" s="1">
        <v>0</v>
      </c>
      <c r="F187" s="1">
        <v>0.69</v>
      </c>
      <c r="G187" s="1">
        <v>20260324</v>
      </c>
      <c r="H187" t="b">
        <f t="shared" si="3"/>
        <v>1</v>
      </c>
      <c r="I187" t="str" cm="1">
        <f t="array" ref="I187">GET_TICKER_FINAL(C187)</f>
        <v/>
      </c>
      <c r="J187" s="5" t="s">
        <v>25</v>
      </c>
    </row>
    <row r="188" spans="1:10">
      <c r="A188">
        <v>187</v>
      </c>
      <c r="B188" s="1" t="s">
        <v>12</v>
      </c>
      <c r="C188" s="1" t="s">
        <v>207</v>
      </c>
      <c r="D188" s="1">
        <v>5</v>
      </c>
      <c r="E188" s="1">
        <v>3</v>
      </c>
      <c r="F188" s="1">
        <v>0.78</v>
      </c>
      <c r="G188" s="1">
        <v>20260324</v>
      </c>
      <c r="H188" t="b">
        <f t="shared" si="3"/>
        <v>0</v>
      </c>
      <c r="I188" t="str" cm="1">
        <f t="array" ref="I188">GET_TICKER_FINAL(C188)</f>
        <v/>
      </c>
      <c r="J188" s="5" t="s">
        <v>1792</v>
      </c>
    </row>
    <row r="189" spans="1:10">
      <c r="A189">
        <v>188</v>
      </c>
      <c r="B189" s="1" t="s">
        <v>12</v>
      </c>
      <c r="C189" s="1" t="s">
        <v>208</v>
      </c>
      <c r="D189" s="1">
        <v>5</v>
      </c>
      <c r="E189" s="1">
        <v>7</v>
      </c>
      <c r="F189" s="1">
        <v>0.67</v>
      </c>
      <c r="G189" s="1">
        <v>20260402</v>
      </c>
      <c r="H189" t="b">
        <f t="shared" si="3"/>
        <v>0</v>
      </c>
      <c r="I189" t="str" cm="1">
        <f t="array" ref="I189">GET_TICKER_FINAL(C189)</f>
        <v>SPY</v>
      </c>
      <c r="J189" s="5" t="s">
        <v>1792</v>
      </c>
    </row>
    <row r="190" spans="1:10">
      <c r="A190">
        <v>189</v>
      </c>
      <c r="B190" s="1" t="s">
        <v>12</v>
      </c>
      <c r="C190" s="1" t="s">
        <v>209</v>
      </c>
      <c r="D190" s="1">
        <v>5</v>
      </c>
      <c r="E190" s="1">
        <v>4</v>
      </c>
      <c r="F190" s="1">
        <v>0.78</v>
      </c>
      <c r="G190" s="1">
        <v>20260327</v>
      </c>
      <c r="H190" t="b">
        <f t="shared" si="3"/>
        <v>0</v>
      </c>
      <c r="I190" t="str" cm="1">
        <f t="array" ref="I190">GET_TICKER_FINAL(C190)</f>
        <v/>
      </c>
      <c r="J190" s="5" t="s">
        <v>1792</v>
      </c>
    </row>
    <row r="191" spans="1:10">
      <c r="A191">
        <v>190</v>
      </c>
      <c r="B191" s="1" t="s">
        <v>12</v>
      </c>
      <c r="C191" s="1" t="s">
        <v>210</v>
      </c>
      <c r="D191" s="1">
        <v>5</v>
      </c>
      <c r="E191" s="1">
        <v>47</v>
      </c>
      <c r="F191" s="1">
        <v>0.78</v>
      </c>
      <c r="G191" s="1">
        <v>20260330</v>
      </c>
      <c r="H191" t="b">
        <f t="shared" si="3"/>
        <v>0</v>
      </c>
      <c r="I191" t="str" cm="1">
        <f t="array" ref="I191">GET_TICKER_FINAL(C191)</f>
        <v/>
      </c>
      <c r="J191" s="5" t="s">
        <v>1792</v>
      </c>
    </row>
    <row r="192" spans="1:10">
      <c r="A192">
        <v>191</v>
      </c>
      <c r="B192" s="1" t="s">
        <v>12</v>
      </c>
      <c r="C192" s="1" t="s">
        <v>211</v>
      </c>
      <c r="D192" s="1">
        <v>5</v>
      </c>
      <c r="E192" s="1">
        <v>13</v>
      </c>
      <c r="F192" s="1">
        <v>1</v>
      </c>
      <c r="G192" s="1">
        <v>20260402</v>
      </c>
      <c r="H192" t="b">
        <f t="shared" si="3"/>
        <v>0</v>
      </c>
      <c r="I192" t="str" cm="1">
        <f t="array" ref="I192">GET_TICKER_FINAL(C192)</f>
        <v/>
      </c>
      <c r="J192" s="5" t="s">
        <v>1792</v>
      </c>
    </row>
    <row r="193" spans="1:10">
      <c r="A193">
        <v>192</v>
      </c>
      <c r="B193" s="1" t="s">
        <v>12</v>
      </c>
      <c r="C193" s="1" t="s">
        <v>212</v>
      </c>
      <c r="D193" s="1">
        <v>5</v>
      </c>
      <c r="E193" s="1">
        <v>16</v>
      </c>
      <c r="F193" s="1">
        <v>0.78</v>
      </c>
      <c r="G193" s="1">
        <v>20260327</v>
      </c>
      <c r="H193" t="b">
        <f t="shared" si="3"/>
        <v>0</v>
      </c>
      <c r="I193" t="str" cm="1">
        <f t="array" ref="I193">GET_TICKER_FINAL(C193)</f>
        <v/>
      </c>
      <c r="J193" s="5" t="s">
        <v>1792</v>
      </c>
    </row>
    <row r="194" spans="1:10">
      <c r="A194">
        <v>193</v>
      </c>
      <c r="B194" s="1" t="s">
        <v>12</v>
      </c>
      <c r="C194" s="1" t="s">
        <v>213</v>
      </c>
      <c r="D194" s="1">
        <v>5</v>
      </c>
      <c r="E194" s="1">
        <v>3</v>
      </c>
      <c r="F194" s="1">
        <v>0.67</v>
      </c>
      <c r="G194" s="1">
        <v>20260330</v>
      </c>
      <c r="H194" t="b">
        <f t="shared" si="3"/>
        <v>0</v>
      </c>
      <c r="I194" t="str" cm="1">
        <f t="array" ref="I194">GET_TICKER_FINAL(C194)</f>
        <v/>
      </c>
      <c r="J194" s="5" t="s">
        <v>25</v>
      </c>
    </row>
    <row r="195" spans="1:10">
      <c r="A195">
        <v>194</v>
      </c>
      <c r="B195" s="1" t="s">
        <v>12</v>
      </c>
      <c r="C195" s="1" t="s">
        <v>214</v>
      </c>
      <c r="D195" s="1">
        <v>5</v>
      </c>
      <c r="E195" s="1">
        <v>2</v>
      </c>
      <c r="F195" s="1">
        <v>0.86</v>
      </c>
      <c r="G195" s="1">
        <v>20260330</v>
      </c>
      <c r="H195" t="b">
        <f t="shared" ref="H195:H258" si="4">OR(ISNUMBER(SEARCH("$A",C195)),ISNUMBER(SEARCH("$B",C195)),ISNUMBER(SEARCH("$C",C195)),ISNUMBER(SEARCH("$D",C195)),ISNUMBER(SEARCH("$E",C195)),ISNUMBER(SEARCH("$F",C195)),ISNUMBER(SEARCH("$G",C195)),ISNUMBER(SEARCH("$H",C195)),ISNUMBER(SEARCH("$I",C195)),ISNUMBER(SEARCH("$J",C195)),ISNUMBER(SEARCH("$K",C195)),ISNUMBER(SEARCH("$L",C195)),ISNUMBER(SEARCH("$M",C195)),ISNUMBER(SEARCH("$N",C195)),ISNUMBER(SEARCH("$O",C195)),ISNUMBER(SEARCH("$P",C195)),ISNUMBER(SEARCH("$Q",C195)),ISNUMBER(SEARCH("$R",C195)),ISNUMBER(SEARCH("$S",C195)),ISNUMBER(SEARCH("$T",C195)),ISNUMBER(SEARCH("$U",C195)),ISNUMBER(SEARCH("$V",C195)),ISNUMBER(SEARCH("$W",C195)),ISNUMBER(SEARCH("$X",C195)),ISNUMBER(SEARCH("$Y",C195)),ISNUMBER(SEARCH("$Z",C195)))</f>
        <v>0</v>
      </c>
      <c r="I195" t="str" cm="1">
        <f t="array" ref="I195">GET_TICKER_FINAL(C195)</f>
        <v/>
      </c>
      <c r="J195" s="5" t="s">
        <v>1792</v>
      </c>
    </row>
    <row r="196" spans="1:10">
      <c r="A196">
        <v>195</v>
      </c>
      <c r="B196" s="1" t="s">
        <v>12</v>
      </c>
      <c r="C196" s="1" t="s">
        <v>215</v>
      </c>
      <c r="D196" s="1">
        <v>4</v>
      </c>
      <c r="E196" s="1">
        <v>0</v>
      </c>
      <c r="F196" s="1">
        <v>1</v>
      </c>
      <c r="G196" s="1">
        <v>20260401</v>
      </c>
      <c r="H196" t="b">
        <f t="shared" si="4"/>
        <v>0</v>
      </c>
      <c r="I196" t="str" cm="1">
        <f t="array" ref="I196">GET_TICKER_FINAL(C196)</f>
        <v/>
      </c>
      <c r="J196" s="5" t="s">
        <v>1792</v>
      </c>
    </row>
    <row r="197" spans="1:10">
      <c r="A197">
        <v>196</v>
      </c>
      <c r="B197" s="1" t="s">
        <v>12</v>
      </c>
      <c r="C197" s="1" t="s">
        <v>216</v>
      </c>
      <c r="D197" s="1">
        <v>4</v>
      </c>
      <c r="E197" s="1">
        <v>39</v>
      </c>
      <c r="F197" s="1">
        <v>0.56999999999999995</v>
      </c>
      <c r="G197" s="1">
        <v>20260402</v>
      </c>
      <c r="H197" t="b">
        <f t="shared" si="4"/>
        <v>0</v>
      </c>
      <c r="I197" t="str" cm="1">
        <f t="array" ref="I197">GET_TICKER_FINAL(C197)</f>
        <v/>
      </c>
      <c r="J197" s="5" t="s">
        <v>1792</v>
      </c>
    </row>
    <row r="198" spans="1:10">
      <c r="A198">
        <v>197</v>
      </c>
      <c r="B198" s="1" t="s">
        <v>12</v>
      </c>
      <c r="C198" s="1" t="s">
        <v>217</v>
      </c>
      <c r="D198" s="1">
        <v>4</v>
      </c>
      <c r="E198" s="1">
        <v>4</v>
      </c>
      <c r="F198" s="1">
        <v>0.65</v>
      </c>
      <c r="G198" s="1">
        <v>20260402</v>
      </c>
      <c r="H198" t="b">
        <f t="shared" si="4"/>
        <v>0</v>
      </c>
      <c r="I198" t="str" cm="1">
        <f t="array" ref="I198">GET_TICKER_FINAL(C198)</f>
        <v/>
      </c>
      <c r="J198" s="5" t="s">
        <v>1792</v>
      </c>
    </row>
    <row r="199" spans="1:10">
      <c r="A199">
        <v>198</v>
      </c>
      <c r="B199" s="1" t="s">
        <v>12</v>
      </c>
      <c r="C199" s="1" t="s">
        <v>218</v>
      </c>
      <c r="D199" s="1">
        <v>4</v>
      </c>
      <c r="E199" s="1">
        <v>15</v>
      </c>
      <c r="F199" s="1">
        <v>1</v>
      </c>
      <c r="G199" s="1">
        <v>20260323</v>
      </c>
      <c r="H199" t="b">
        <f t="shared" si="4"/>
        <v>0</v>
      </c>
      <c r="I199" t="str" cm="1">
        <f t="array" ref="I199">GET_TICKER_FINAL(C199)</f>
        <v/>
      </c>
      <c r="J199" s="5" t="s">
        <v>1792</v>
      </c>
    </row>
    <row r="200" spans="1:10">
      <c r="A200">
        <v>199</v>
      </c>
      <c r="B200" s="1" t="s">
        <v>12</v>
      </c>
      <c r="C200" s="1" t="s">
        <v>219</v>
      </c>
      <c r="D200" s="1">
        <v>4</v>
      </c>
      <c r="E200" s="1">
        <v>11</v>
      </c>
      <c r="F200" s="1">
        <v>0.76</v>
      </c>
      <c r="G200" s="1">
        <v>20260402</v>
      </c>
      <c r="H200" t="b">
        <f t="shared" si="4"/>
        <v>0</v>
      </c>
      <c r="I200" t="str" cm="1">
        <f t="array" ref="I200">GET_TICKER_FINAL(C200)</f>
        <v/>
      </c>
      <c r="J200" s="5" t="s">
        <v>1792</v>
      </c>
    </row>
    <row r="201" spans="1:10">
      <c r="A201">
        <v>200</v>
      </c>
      <c r="B201" s="1" t="s">
        <v>12</v>
      </c>
      <c r="C201" s="1" t="s">
        <v>220</v>
      </c>
      <c r="D201" s="1">
        <v>4</v>
      </c>
      <c r="E201" s="1">
        <v>9</v>
      </c>
      <c r="F201" s="1">
        <v>0.6</v>
      </c>
      <c r="G201" s="1">
        <v>20260320</v>
      </c>
      <c r="H201" t="b">
        <f t="shared" si="4"/>
        <v>0</v>
      </c>
      <c r="I201" t="str" cm="1">
        <f t="array" ref="I201">GET_TICKER_FINAL(C201)</f>
        <v/>
      </c>
      <c r="J201" s="5" t="s">
        <v>1792</v>
      </c>
    </row>
    <row r="202" spans="1:10">
      <c r="A202">
        <v>201</v>
      </c>
      <c r="B202" s="1" t="s">
        <v>12</v>
      </c>
      <c r="C202" s="1" t="s">
        <v>221</v>
      </c>
      <c r="D202" s="1">
        <v>4</v>
      </c>
      <c r="E202" s="1">
        <v>15</v>
      </c>
      <c r="F202" s="1">
        <v>1</v>
      </c>
      <c r="G202" s="1">
        <v>20260331</v>
      </c>
      <c r="H202" t="b">
        <f t="shared" si="4"/>
        <v>0</v>
      </c>
      <c r="I202" t="str" cm="1">
        <f t="array" ref="I202">GET_TICKER_FINAL(C202)</f>
        <v/>
      </c>
      <c r="J202" s="5" t="s">
        <v>1792</v>
      </c>
    </row>
    <row r="203" spans="1:10">
      <c r="A203">
        <v>202</v>
      </c>
      <c r="B203" s="1" t="s">
        <v>12</v>
      </c>
      <c r="C203" s="1" t="s">
        <v>222</v>
      </c>
      <c r="D203" s="1">
        <v>4</v>
      </c>
      <c r="E203" s="1">
        <v>2</v>
      </c>
      <c r="F203" s="1">
        <v>0.84</v>
      </c>
      <c r="G203" s="1">
        <v>20260330</v>
      </c>
      <c r="H203" t="b">
        <f t="shared" si="4"/>
        <v>0</v>
      </c>
      <c r="I203" t="str" cm="1">
        <f t="array" ref="I203">GET_TICKER_FINAL(C203)</f>
        <v/>
      </c>
      <c r="J203" s="5" t="s">
        <v>1792</v>
      </c>
    </row>
    <row r="204" spans="1:10">
      <c r="A204">
        <v>203</v>
      </c>
      <c r="B204" s="1" t="s">
        <v>12</v>
      </c>
      <c r="C204" s="1" t="s">
        <v>223</v>
      </c>
      <c r="D204" s="1">
        <v>4</v>
      </c>
      <c r="E204" s="1">
        <v>8</v>
      </c>
      <c r="F204" s="1">
        <v>1</v>
      </c>
      <c r="G204" s="1">
        <v>20260320</v>
      </c>
      <c r="H204" t="b">
        <f t="shared" si="4"/>
        <v>0</v>
      </c>
      <c r="I204" t="str" cm="1">
        <f t="array" ref="I204">GET_TICKER_FINAL(C204)</f>
        <v/>
      </c>
      <c r="J204" s="5" t="s">
        <v>1792</v>
      </c>
    </row>
    <row r="205" spans="1:10">
      <c r="A205">
        <v>204</v>
      </c>
      <c r="B205" s="1" t="s">
        <v>12</v>
      </c>
      <c r="C205" s="1" t="s">
        <v>224</v>
      </c>
      <c r="D205" s="1">
        <v>4</v>
      </c>
      <c r="E205" s="1">
        <v>5</v>
      </c>
      <c r="F205" s="1">
        <v>0.84</v>
      </c>
      <c r="G205" s="1">
        <v>20260330</v>
      </c>
      <c r="H205" t="b">
        <f t="shared" si="4"/>
        <v>0</v>
      </c>
      <c r="I205" t="str" cm="1">
        <f t="array" ref="I205">GET_TICKER_FINAL(C205)</f>
        <v/>
      </c>
      <c r="J205" s="5" t="s">
        <v>1792</v>
      </c>
    </row>
    <row r="206" spans="1:10">
      <c r="A206">
        <v>205</v>
      </c>
      <c r="B206" s="1" t="s">
        <v>12</v>
      </c>
      <c r="C206" s="1" t="s">
        <v>225</v>
      </c>
      <c r="D206" s="1">
        <v>4</v>
      </c>
      <c r="E206" s="1">
        <v>3</v>
      </c>
      <c r="F206" s="1">
        <v>0.75</v>
      </c>
      <c r="G206" s="1">
        <v>20260323</v>
      </c>
      <c r="H206" t="b">
        <f t="shared" si="4"/>
        <v>0</v>
      </c>
      <c r="I206" t="str" cm="1">
        <f t="array" ref="I206">GET_TICKER_FINAL(C206)</f>
        <v/>
      </c>
      <c r="J206" s="5" t="s">
        <v>1792</v>
      </c>
    </row>
    <row r="207" spans="1:10">
      <c r="A207">
        <v>206</v>
      </c>
      <c r="B207" s="1" t="s">
        <v>12</v>
      </c>
      <c r="C207" s="1" t="s">
        <v>226</v>
      </c>
      <c r="D207" s="1">
        <v>4</v>
      </c>
      <c r="E207" s="1">
        <v>34</v>
      </c>
      <c r="F207" s="1">
        <v>0.54</v>
      </c>
      <c r="G207" s="1">
        <v>20260402</v>
      </c>
      <c r="H207" t="b">
        <f t="shared" si="4"/>
        <v>0</v>
      </c>
      <c r="I207" t="str" cm="1">
        <f t="array" ref="I207">GET_TICKER_FINAL(C207)</f>
        <v/>
      </c>
      <c r="J207" s="5" t="s">
        <v>1792</v>
      </c>
    </row>
    <row r="208" spans="1:10">
      <c r="A208">
        <v>207</v>
      </c>
      <c r="B208" s="1" t="s">
        <v>12</v>
      </c>
      <c r="C208" s="1" t="s">
        <v>227</v>
      </c>
      <c r="D208" s="1">
        <v>4</v>
      </c>
      <c r="E208" s="1">
        <v>13</v>
      </c>
      <c r="F208" s="1">
        <v>0.67</v>
      </c>
      <c r="G208" s="1">
        <v>20260327</v>
      </c>
      <c r="H208" t="b">
        <f t="shared" si="4"/>
        <v>0</v>
      </c>
      <c r="I208" t="str" cm="1">
        <f t="array" ref="I208">GET_TICKER_FINAL(C208)</f>
        <v/>
      </c>
      <c r="J208" s="5" t="s">
        <v>25</v>
      </c>
    </row>
    <row r="209" spans="1:10">
      <c r="A209">
        <v>208</v>
      </c>
      <c r="B209" s="1" t="s">
        <v>12</v>
      </c>
      <c r="C209" s="1" t="s">
        <v>228</v>
      </c>
      <c r="D209" s="1">
        <v>4</v>
      </c>
      <c r="E209" s="1">
        <v>2</v>
      </c>
      <c r="F209" s="1">
        <v>0.83</v>
      </c>
      <c r="G209" s="1">
        <v>20260401</v>
      </c>
      <c r="H209" t="b">
        <f t="shared" si="4"/>
        <v>0</v>
      </c>
      <c r="I209" t="str" cm="1">
        <f t="array" ref="I209">GET_TICKER_FINAL(C209)</f>
        <v/>
      </c>
      <c r="J209" s="5" t="s">
        <v>1792</v>
      </c>
    </row>
    <row r="210" spans="1:10">
      <c r="A210">
        <v>209</v>
      </c>
      <c r="B210" s="1" t="s">
        <v>12</v>
      </c>
      <c r="C210" s="1" t="s">
        <v>229</v>
      </c>
      <c r="D210" s="1">
        <v>4</v>
      </c>
      <c r="E210" s="1">
        <v>19</v>
      </c>
      <c r="F210" s="1">
        <v>0.6</v>
      </c>
      <c r="G210" s="1">
        <v>20260401</v>
      </c>
      <c r="H210" t="b">
        <f t="shared" si="4"/>
        <v>0</v>
      </c>
      <c r="I210" t="str" cm="1">
        <f t="array" ref="I210">GET_TICKER_FINAL(C210)</f>
        <v/>
      </c>
      <c r="J210" s="5" t="s">
        <v>25</v>
      </c>
    </row>
    <row r="211" spans="1:10">
      <c r="A211">
        <v>210</v>
      </c>
      <c r="B211" s="1" t="s">
        <v>12</v>
      </c>
      <c r="C211" s="1" t="s">
        <v>230</v>
      </c>
      <c r="D211" s="1">
        <v>4</v>
      </c>
      <c r="E211" s="1">
        <v>7</v>
      </c>
      <c r="F211" s="1">
        <v>0.56999999999999995</v>
      </c>
      <c r="G211" s="1">
        <v>20260320</v>
      </c>
      <c r="H211" t="b">
        <f t="shared" si="4"/>
        <v>0</v>
      </c>
      <c r="I211" t="str" cm="1">
        <f t="array" ref="I211">GET_TICKER_FINAL(C211)</f>
        <v/>
      </c>
      <c r="J211" s="5" t="s">
        <v>1792</v>
      </c>
    </row>
    <row r="212" spans="1:10">
      <c r="A212">
        <v>211</v>
      </c>
      <c r="B212" s="1" t="s">
        <v>12</v>
      </c>
      <c r="C212" s="1" t="s">
        <v>231</v>
      </c>
      <c r="D212" s="1">
        <v>4</v>
      </c>
      <c r="E212" s="1">
        <v>19</v>
      </c>
      <c r="F212" s="1">
        <v>0.57999999999999996</v>
      </c>
      <c r="G212" s="1">
        <v>20260327</v>
      </c>
      <c r="H212" t="b">
        <f t="shared" si="4"/>
        <v>1</v>
      </c>
      <c r="I212" t="str" cm="1">
        <f t="array" ref="I212">GET_TICKER_FINAL(C212)</f>
        <v>MSFT</v>
      </c>
      <c r="J212" s="5" t="s">
        <v>25</v>
      </c>
    </row>
    <row r="213" spans="1:10">
      <c r="A213">
        <v>212</v>
      </c>
      <c r="B213" s="1" t="s">
        <v>12</v>
      </c>
      <c r="C213" s="1" t="s">
        <v>232</v>
      </c>
      <c r="D213" s="1">
        <v>4</v>
      </c>
      <c r="E213" s="1">
        <v>0</v>
      </c>
      <c r="F213" s="1">
        <v>0.63</v>
      </c>
      <c r="G213" s="1">
        <v>20260323</v>
      </c>
      <c r="H213" t="b">
        <f t="shared" si="4"/>
        <v>0</v>
      </c>
      <c r="I213" t="str" cm="1">
        <f t="array" ref="I213">GET_TICKER_FINAL(C213)</f>
        <v/>
      </c>
      <c r="J213" s="5" t="s">
        <v>1792</v>
      </c>
    </row>
    <row r="214" spans="1:10">
      <c r="A214">
        <v>213</v>
      </c>
      <c r="B214" s="1" t="s">
        <v>12</v>
      </c>
      <c r="C214" s="1" t="s">
        <v>233</v>
      </c>
      <c r="D214" s="1">
        <v>4</v>
      </c>
      <c r="E214" s="1">
        <v>3</v>
      </c>
      <c r="F214" s="1">
        <v>0.83</v>
      </c>
      <c r="G214" s="1">
        <v>20260323</v>
      </c>
      <c r="H214" t="b">
        <f t="shared" si="4"/>
        <v>0</v>
      </c>
      <c r="I214" t="str" cm="1">
        <f t="array" ref="I214">GET_TICKER_FINAL(C214)</f>
        <v/>
      </c>
      <c r="J214" s="5" t="s">
        <v>1792</v>
      </c>
    </row>
    <row r="215" spans="1:10">
      <c r="A215">
        <v>214</v>
      </c>
      <c r="B215" s="1" t="s">
        <v>12</v>
      </c>
      <c r="C215" s="1" t="s">
        <v>234</v>
      </c>
      <c r="D215" s="1">
        <v>4</v>
      </c>
      <c r="E215" s="1">
        <v>9</v>
      </c>
      <c r="F215" s="1">
        <v>0.75</v>
      </c>
      <c r="G215" s="1">
        <v>20260324</v>
      </c>
      <c r="H215" t="b">
        <f t="shared" si="4"/>
        <v>0</v>
      </c>
      <c r="I215" t="str" cm="1">
        <f t="array" ref="I215">GET_TICKER_FINAL(C215)</f>
        <v/>
      </c>
      <c r="J215" s="5" t="s">
        <v>1792</v>
      </c>
    </row>
    <row r="216" spans="1:10">
      <c r="A216">
        <v>215</v>
      </c>
      <c r="B216" s="1" t="s">
        <v>12</v>
      </c>
      <c r="C216" s="1" t="s">
        <v>235</v>
      </c>
      <c r="D216" s="1">
        <v>4</v>
      </c>
      <c r="E216" s="1">
        <v>16</v>
      </c>
      <c r="F216" s="1">
        <v>1</v>
      </c>
      <c r="G216" s="1">
        <v>20260326</v>
      </c>
      <c r="H216" t="b">
        <f t="shared" si="4"/>
        <v>0</v>
      </c>
      <c r="I216" t="str" cm="1">
        <f t="array" ref="I216">GET_TICKER_FINAL(C216)</f>
        <v/>
      </c>
      <c r="J216" s="5" t="s">
        <v>1792</v>
      </c>
    </row>
    <row r="217" spans="1:10">
      <c r="A217">
        <v>216</v>
      </c>
      <c r="B217" s="1" t="s">
        <v>12</v>
      </c>
      <c r="C217" s="1" t="s">
        <v>236</v>
      </c>
      <c r="D217" s="1">
        <v>4</v>
      </c>
      <c r="E217" s="1">
        <v>10</v>
      </c>
      <c r="F217" s="1">
        <v>0.67</v>
      </c>
      <c r="G217" s="1">
        <v>20260401</v>
      </c>
      <c r="H217" t="b">
        <f t="shared" si="4"/>
        <v>0</v>
      </c>
      <c r="I217" t="str" cm="1">
        <f t="array" ref="I217">GET_TICKER_FINAL(C217)</f>
        <v/>
      </c>
      <c r="J217" s="5" t="s">
        <v>1792</v>
      </c>
    </row>
    <row r="218" spans="1:10">
      <c r="A218">
        <v>217</v>
      </c>
      <c r="B218" s="1" t="s">
        <v>12</v>
      </c>
      <c r="C218" s="1" t="s">
        <v>237</v>
      </c>
      <c r="D218" s="1">
        <v>4</v>
      </c>
      <c r="E218" s="1">
        <v>16</v>
      </c>
      <c r="F218" s="1">
        <v>0.75</v>
      </c>
      <c r="G218" s="1">
        <v>20260331</v>
      </c>
      <c r="H218" t="b">
        <f t="shared" si="4"/>
        <v>0</v>
      </c>
      <c r="I218" t="str" cm="1">
        <f t="array" ref="I218">GET_TICKER_FINAL(C218)</f>
        <v/>
      </c>
      <c r="J218" s="5" t="s">
        <v>1792</v>
      </c>
    </row>
    <row r="219" spans="1:10">
      <c r="A219">
        <v>218</v>
      </c>
      <c r="B219" s="1" t="s">
        <v>12</v>
      </c>
      <c r="C219" s="1" t="s">
        <v>238</v>
      </c>
      <c r="D219" s="1">
        <v>4</v>
      </c>
      <c r="E219" s="1">
        <v>6</v>
      </c>
      <c r="F219" s="1">
        <v>0.65</v>
      </c>
      <c r="G219" s="1">
        <v>20260401</v>
      </c>
      <c r="H219" t="b">
        <f t="shared" si="4"/>
        <v>0</v>
      </c>
      <c r="I219" t="str" cm="1">
        <f t="array" ref="I219">GET_TICKER_FINAL(C219)</f>
        <v/>
      </c>
      <c r="J219" s="5" t="s">
        <v>14</v>
      </c>
    </row>
    <row r="220" spans="1:10">
      <c r="A220">
        <v>219</v>
      </c>
      <c r="B220" s="1" t="s">
        <v>12</v>
      </c>
      <c r="C220" s="1" t="s">
        <v>239</v>
      </c>
      <c r="D220" s="1">
        <v>4</v>
      </c>
      <c r="E220" s="1">
        <v>0</v>
      </c>
      <c r="F220" s="1">
        <v>0.83</v>
      </c>
      <c r="G220" s="1">
        <v>20260320</v>
      </c>
      <c r="H220" t="b">
        <f t="shared" si="4"/>
        <v>0</v>
      </c>
      <c r="I220" t="str" cm="1">
        <f t="array" ref="I220">GET_TICKER_FINAL(C220)</f>
        <v/>
      </c>
      <c r="J220" s="5" t="s">
        <v>16</v>
      </c>
    </row>
    <row r="221" spans="1:10">
      <c r="A221">
        <v>220</v>
      </c>
      <c r="B221" s="1" t="s">
        <v>12</v>
      </c>
      <c r="C221" s="1" t="s">
        <v>240</v>
      </c>
      <c r="D221" s="1">
        <v>3</v>
      </c>
      <c r="E221" s="1">
        <v>5</v>
      </c>
      <c r="F221" s="1">
        <v>0.57999999999999996</v>
      </c>
      <c r="G221" s="1">
        <v>20260323</v>
      </c>
      <c r="H221" t="b">
        <f t="shared" si="4"/>
        <v>0</v>
      </c>
      <c r="I221" t="str" cm="1">
        <f t="array" ref="I221">GET_TICKER_FINAL(C221)</f>
        <v>RKLB</v>
      </c>
      <c r="J221" s="5" t="s">
        <v>1792</v>
      </c>
    </row>
    <row r="222" spans="1:10">
      <c r="A222">
        <v>221</v>
      </c>
      <c r="B222" s="1" t="s">
        <v>12</v>
      </c>
      <c r="C222" s="1" t="s">
        <v>241</v>
      </c>
      <c r="D222" s="1">
        <v>3</v>
      </c>
      <c r="E222" s="1">
        <v>8</v>
      </c>
      <c r="F222" s="1">
        <v>1</v>
      </c>
      <c r="G222" s="1">
        <v>20260401</v>
      </c>
      <c r="H222" t="b">
        <f t="shared" si="4"/>
        <v>0</v>
      </c>
      <c r="I222" t="str" cm="1">
        <f t="array" ref="I222">GET_TICKER_FINAL(C222)</f>
        <v/>
      </c>
      <c r="J222" s="5" t="s">
        <v>25</v>
      </c>
    </row>
    <row r="223" spans="1:10">
      <c r="A223">
        <v>222</v>
      </c>
      <c r="B223" s="1" t="s">
        <v>12</v>
      </c>
      <c r="C223" s="1" t="s">
        <v>242</v>
      </c>
      <c r="D223" s="1">
        <v>3</v>
      </c>
      <c r="E223" s="1">
        <v>2</v>
      </c>
      <c r="F223" s="1">
        <v>0.81</v>
      </c>
      <c r="G223" s="1">
        <v>20260330</v>
      </c>
      <c r="H223" t="b">
        <f t="shared" si="4"/>
        <v>0</v>
      </c>
      <c r="I223" t="str" cm="1">
        <f t="array" ref="I223">GET_TICKER_FINAL(C223)</f>
        <v/>
      </c>
      <c r="J223" s="5" t="s">
        <v>1792</v>
      </c>
    </row>
    <row r="224" spans="1:10">
      <c r="A224">
        <v>223</v>
      </c>
      <c r="B224" s="1" t="s">
        <v>12</v>
      </c>
      <c r="C224" s="1" t="s">
        <v>243</v>
      </c>
      <c r="D224" s="1">
        <v>3</v>
      </c>
      <c r="E224" s="1">
        <v>23</v>
      </c>
      <c r="F224" s="1">
        <v>0.64</v>
      </c>
      <c r="G224" s="1">
        <v>20260330</v>
      </c>
      <c r="H224" t="b">
        <f t="shared" si="4"/>
        <v>0</v>
      </c>
      <c r="I224" t="str" cm="1">
        <f t="array" ref="I224">GET_TICKER_FINAL(C224)</f>
        <v/>
      </c>
      <c r="J224" s="5" t="s">
        <v>1792</v>
      </c>
    </row>
    <row r="225" spans="1:10">
      <c r="A225">
        <v>224</v>
      </c>
      <c r="B225" s="1" t="s">
        <v>12</v>
      </c>
      <c r="C225" s="1" t="s">
        <v>244</v>
      </c>
      <c r="D225" s="1">
        <v>3</v>
      </c>
      <c r="E225" s="1">
        <v>7</v>
      </c>
      <c r="F225" s="1">
        <v>0.71</v>
      </c>
      <c r="G225" s="1">
        <v>20260326</v>
      </c>
      <c r="H225" t="b">
        <f t="shared" si="4"/>
        <v>0</v>
      </c>
      <c r="I225" t="str" cm="1">
        <f t="array" ref="I225">GET_TICKER_FINAL(C225)</f>
        <v/>
      </c>
      <c r="J225" s="5" t="s">
        <v>28</v>
      </c>
    </row>
    <row r="226" spans="1:10">
      <c r="A226">
        <v>225</v>
      </c>
      <c r="B226" s="1" t="s">
        <v>12</v>
      </c>
      <c r="C226" s="1" t="s">
        <v>245</v>
      </c>
      <c r="D226" s="1">
        <v>3</v>
      </c>
      <c r="E226" s="1">
        <v>0</v>
      </c>
      <c r="F226" s="1">
        <v>0.67</v>
      </c>
      <c r="G226" s="1">
        <v>20260401</v>
      </c>
      <c r="H226" t="b">
        <f t="shared" si="4"/>
        <v>0</v>
      </c>
      <c r="I226" t="str" cm="1">
        <f t="array" ref="I226">GET_TICKER_FINAL(C226)</f>
        <v/>
      </c>
      <c r="J226" s="5" t="s">
        <v>1792</v>
      </c>
    </row>
    <row r="227" spans="1:10">
      <c r="A227">
        <v>226</v>
      </c>
      <c r="B227" s="1" t="s">
        <v>12</v>
      </c>
      <c r="C227" s="1" t="s">
        <v>246</v>
      </c>
      <c r="D227" s="1">
        <v>3</v>
      </c>
      <c r="E227" s="1">
        <v>4</v>
      </c>
      <c r="F227" s="1">
        <v>0.61</v>
      </c>
      <c r="G227" s="1">
        <v>20260324</v>
      </c>
      <c r="H227" t="b">
        <f t="shared" si="4"/>
        <v>0</v>
      </c>
      <c r="I227" t="str" cm="1">
        <f t="array" ref="I227">GET_TICKER_FINAL(C227)</f>
        <v/>
      </c>
      <c r="J227" s="5" t="s">
        <v>1792</v>
      </c>
    </row>
    <row r="228" spans="1:10">
      <c r="A228">
        <v>227</v>
      </c>
      <c r="B228" s="1" t="s">
        <v>12</v>
      </c>
      <c r="C228" s="1" t="s">
        <v>247</v>
      </c>
      <c r="D228" s="1">
        <v>3</v>
      </c>
      <c r="E228" s="1">
        <v>1</v>
      </c>
      <c r="F228" s="1">
        <v>1</v>
      </c>
      <c r="G228" s="1">
        <v>20260324</v>
      </c>
      <c r="H228" t="b">
        <f t="shared" si="4"/>
        <v>0</v>
      </c>
      <c r="I228" t="str" cm="1">
        <f t="array" ref="I228">GET_TICKER_FINAL(C228)</f>
        <v/>
      </c>
      <c r="J228" s="5" t="s">
        <v>14</v>
      </c>
    </row>
    <row r="229" spans="1:10">
      <c r="A229">
        <v>228</v>
      </c>
      <c r="B229" s="1" t="s">
        <v>12</v>
      </c>
      <c r="C229" s="1" t="s">
        <v>248</v>
      </c>
      <c r="D229" s="1">
        <v>3</v>
      </c>
      <c r="E229" s="1">
        <v>5</v>
      </c>
      <c r="F229" s="1">
        <v>0.61</v>
      </c>
      <c r="G229" s="1">
        <v>20260401</v>
      </c>
      <c r="H229" t="b">
        <f t="shared" si="4"/>
        <v>0</v>
      </c>
      <c r="I229" t="str" cm="1">
        <f t="array" ref="I229">GET_TICKER_FINAL(C229)</f>
        <v/>
      </c>
      <c r="J229" s="5" t="s">
        <v>1792</v>
      </c>
    </row>
    <row r="230" spans="1:10">
      <c r="A230">
        <v>229</v>
      </c>
      <c r="B230" s="1" t="s">
        <v>12</v>
      </c>
      <c r="C230" s="1" t="s">
        <v>249</v>
      </c>
      <c r="D230" s="1">
        <v>3</v>
      </c>
      <c r="E230" s="1">
        <v>44</v>
      </c>
      <c r="F230" s="1">
        <v>0.55000000000000004</v>
      </c>
      <c r="G230" s="1">
        <v>20260326</v>
      </c>
      <c r="H230" t="b">
        <f t="shared" si="4"/>
        <v>0</v>
      </c>
      <c r="I230" t="str" cm="1">
        <f t="array" ref="I230">GET_TICKER_FINAL(C230)</f>
        <v/>
      </c>
      <c r="J230" s="5" t="s">
        <v>16</v>
      </c>
    </row>
    <row r="231" spans="1:10">
      <c r="A231">
        <v>230</v>
      </c>
      <c r="B231" s="1" t="s">
        <v>12</v>
      </c>
      <c r="C231" s="1" t="s">
        <v>250</v>
      </c>
      <c r="D231" s="1">
        <v>3</v>
      </c>
      <c r="E231" s="1">
        <v>10</v>
      </c>
      <c r="F231" s="1">
        <v>0.67</v>
      </c>
      <c r="G231" s="1">
        <v>20260327</v>
      </c>
      <c r="H231" t="b">
        <f t="shared" si="4"/>
        <v>0</v>
      </c>
      <c r="I231" t="str" cm="1">
        <f t="array" ref="I231">GET_TICKER_FINAL(C231)</f>
        <v/>
      </c>
      <c r="J231" s="5" t="s">
        <v>14</v>
      </c>
    </row>
    <row r="232" spans="1:10">
      <c r="A232">
        <v>231</v>
      </c>
      <c r="B232" s="1" t="s">
        <v>12</v>
      </c>
      <c r="C232" s="1" t="s">
        <v>251</v>
      </c>
      <c r="D232" s="1">
        <v>3</v>
      </c>
      <c r="E232" s="1">
        <v>3</v>
      </c>
      <c r="F232" s="1">
        <v>0.68</v>
      </c>
      <c r="G232" s="1">
        <v>20260402</v>
      </c>
      <c r="H232" t="b">
        <f t="shared" si="4"/>
        <v>0</v>
      </c>
      <c r="I232" t="str" cm="1">
        <f t="array" ref="I232">GET_TICKER_FINAL(C232)</f>
        <v/>
      </c>
      <c r="J232" s="5" t="s">
        <v>1792</v>
      </c>
    </row>
    <row r="233" spans="1:10">
      <c r="A233">
        <v>232</v>
      </c>
      <c r="B233" s="1" t="s">
        <v>12</v>
      </c>
      <c r="C233" s="1" t="s">
        <v>252</v>
      </c>
      <c r="D233" s="1">
        <v>3</v>
      </c>
      <c r="E233" s="1">
        <v>3</v>
      </c>
      <c r="F233" s="1">
        <v>1</v>
      </c>
      <c r="G233" s="1">
        <v>20260402</v>
      </c>
      <c r="H233" t="b">
        <f t="shared" si="4"/>
        <v>1</v>
      </c>
      <c r="I233" t="str" cm="1">
        <f t="array" ref="I233">GET_TICKER_FINAL(C233)</f>
        <v/>
      </c>
      <c r="J233" s="5" t="s">
        <v>1792</v>
      </c>
    </row>
    <row r="234" spans="1:10">
      <c r="A234">
        <v>233</v>
      </c>
      <c r="B234" s="1" t="s">
        <v>12</v>
      </c>
      <c r="C234" s="1" t="s">
        <v>253</v>
      </c>
      <c r="D234" s="1">
        <v>3</v>
      </c>
      <c r="E234" s="1">
        <v>2</v>
      </c>
      <c r="F234" s="1">
        <v>1</v>
      </c>
      <c r="G234" s="1">
        <v>20260402</v>
      </c>
      <c r="H234" t="b">
        <f t="shared" si="4"/>
        <v>0</v>
      </c>
      <c r="I234" t="str" cm="1">
        <f t="array" ref="I234">GET_TICKER_FINAL(C234)</f>
        <v/>
      </c>
      <c r="J234" s="5" t="s">
        <v>25</v>
      </c>
    </row>
    <row r="235" spans="1:10">
      <c r="A235">
        <v>234</v>
      </c>
      <c r="B235" s="1" t="s">
        <v>12</v>
      </c>
      <c r="C235" s="1" t="s">
        <v>254</v>
      </c>
      <c r="D235" s="1">
        <v>2</v>
      </c>
      <c r="E235" s="1">
        <v>0</v>
      </c>
      <c r="F235" s="1">
        <v>0.63</v>
      </c>
      <c r="G235" s="1">
        <v>20260401</v>
      </c>
      <c r="H235" t="b">
        <f t="shared" si="4"/>
        <v>0</v>
      </c>
      <c r="I235" t="str" cm="1">
        <f t="array" ref="I235">GET_TICKER_FINAL(C235)</f>
        <v/>
      </c>
      <c r="J235" s="5" t="s">
        <v>1792</v>
      </c>
    </row>
    <row r="236" spans="1:10">
      <c r="A236">
        <v>235</v>
      </c>
      <c r="B236" s="1" t="s">
        <v>12</v>
      </c>
      <c r="C236" s="1" t="s">
        <v>255</v>
      </c>
      <c r="D236" s="1">
        <v>2</v>
      </c>
      <c r="E236" s="1">
        <v>1</v>
      </c>
      <c r="F236" s="1">
        <v>1</v>
      </c>
      <c r="G236" s="1">
        <v>20260401</v>
      </c>
      <c r="H236" t="b">
        <f t="shared" si="4"/>
        <v>0</v>
      </c>
      <c r="I236" t="str" cm="1">
        <f t="array" ref="I236">GET_TICKER_FINAL(C236)</f>
        <v/>
      </c>
      <c r="J236" s="5" t="s">
        <v>1792</v>
      </c>
    </row>
    <row r="237" spans="1:10">
      <c r="A237">
        <v>236</v>
      </c>
      <c r="B237" s="1" t="s">
        <v>12</v>
      </c>
      <c r="C237" s="1" t="s">
        <v>256</v>
      </c>
      <c r="D237" s="1">
        <v>2</v>
      </c>
      <c r="E237" s="1">
        <v>3</v>
      </c>
      <c r="F237" s="1">
        <v>0.67</v>
      </c>
      <c r="G237" s="1">
        <v>20260327</v>
      </c>
      <c r="H237" t="b">
        <f t="shared" si="4"/>
        <v>0</v>
      </c>
      <c r="I237" t="str" cm="1">
        <f t="array" ref="I237">GET_TICKER_FINAL(C237)</f>
        <v/>
      </c>
      <c r="J237" s="5" t="s">
        <v>1792</v>
      </c>
    </row>
    <row r="238" spans="1:10">
      <c r="A238">
        <v>237</v>
      </c>
      <c r="B238" s="1" t="s">
        <v>12</v>
      </c>
      <c r="C238" s="1" t="s">
        <v>257</v>
      </c>
      <c r="D238" s="1">
        <v>2</v>
      </c>
      <c r="E238" s="1">
        <v>9</v>
      </c>
      <c r="F238" s="1">
        <v>0.57999999999999996</v>
      </c>
      <c r="G238" s="1">
        <v>20260323</v>
      </c>
      <c r="H238" t="b">
        <f t="shared" si="4"/>
        <v>0</v>
      </c>
      <c r="I238" t="str" cm="1">
        <f t="array" ref="I238">GET_TICKER_FINAL(C238)</f>
        <v/>
      </c>
      <c r="J238" s="5" t="s">
        <v>1792</v>
      </c>
    </row>
    <row r="239" spans="1:10">
      <c r="A239">
        <v>238</v>
      </c>
      <c r="B239" s="1" t="s">
        <v>12</v>
      </c>
      <c r="C239" s="1" t="s">
        <v>258</v>
      </c>
      <c r="D239" s="1">
        <v>2</v>
      </c>
      <c r="E239" s="1">
        <v>6</v>
      </c>
      <c r="F239" s="1">
        <v>0.56000000000000005</v>
      </c>
      <c r="G239" s="1">
        <v>20260323</v>
      </c>
      <c r="H239" t="b">
        <f t="shared" si="4"/>
        <v>0</v>
      </c>
      <c r="I239" t="str" cm="1">
        <f t="array" ref="I239">GET_TICKER_FINAL(C239)</f>
        <v/>
      </c>
      <c r="J239" s="5" t="s">
        <v>1792</v>
      </c>
    </row>
    <row r="240" spans="1:10">
      <c r="A240">
        <v>239</v>
      </c>
      <c r="B240" s="1" t="s">
        <v>12</v>
      </c>
      <c r="C240" s="1" t="s">
        <v>259</v>
      </c>
      <c r="D240" s="1">
        <v>2</v>
      </c>
      <c r="E240" s="1">
        <v>10</v>
      </c>
      <c r="F240" s="1">
        <v>0.67</v>
      </c>
      <c r="G240" s="1">
        <v>20260327</v>
      </c>
      <c r="H240" t="b">
        <f t="shared" si="4"/>
        <v>0</v>
      </c>
      <c r="I240" t="str" cm="1">
        <f t="array" ref="I240">GET_TICKER_FINAL(C240)</f>
        <v/>
      </c>
      <c r="J240" s="5" t="s">
        <v>1792</v>
      </c>
    </row>
    <row r="241" spans="1:10">
      <c r="A241">
        <v>240</v>
      </c>
      <c r="B241" s="1" t="s">
        <v>12</v>
      </c>
      <c r="C241" s="1" t="s">
        <v>260</v>
      </c>
      <c r="D241" s="1">
        <v>2</v>
      </c>
      <c r="E241" s="1">
        <v>8</v>
      </c>
      <c r="F241" s="1">
        <v>0.67</v>
      </c>
      <c r="G241" s="1">
        <v>20260401</v>
      </c>
      <c r="H241" t="b">
        <f t="shared" si="4"/>
        <v>0</v>
      </c>
      <c r="I241" t="str" cm="1">
        <f t="array" ref="I241">GET_TICKER_FINAL(C241)</f>
        <v>META</v>
      </c>
      <c r="J241" s="5" t="s">
        <v>28</v>
      </c>
    </row>
    <row r="242" spans="1:10">
      <c r="A242">
        <v>241</v>
      </c>
      <c r="B242" s="1" t="s">
        <v>12</v>
      </c>
      <c r="C242" s="1" t="s">
        <v>261</v>
      </c>
      <c r="D242" s="1">
        <v>2</v>
      </c>
      <c r="E242" s="1">
        <v>11</v>
      </c>
      <c r="F242" s="1">
        <v>0.67</v>
      </c>
      <c r="G242" s="1">
        <v>20260323</v>
      </c>
      <c r="H242" t="b">
        <f t="shared" si="4"/>
        <v>0</v>
      </c>
      <c r="I242" t="str" cm="1">
        <f t="array" ref="I242">GET_TICKER_FINAL(C242)</f>
        <v/>
      </c>
      <c r="J242" s="5" t="s">
        <v>1792</v>
      </c>
    </row>
    <row r="243" spans="1:10">
      <c r="A243">
        <v>242</v>
      </c>
      <c r="B243" s="1" t="s">
        <v>12</v>
      </c>
      <c r="C243" s="1" t="s">
        <v>262</v>
      </c>
      <c r="D243" s="1">
        <v>2</v>
      </c>
      <c r="E243" s="1">
        <v>0</v>
      </c>
      <c r="F243" s="1">
        <v>0.75</v>
      </c>
      <c r="G243" s="1">
        <v>20260401</v>
      </c>
      <c r="H243" t="b">
        <f t="shared" si="4"/>
        <v>0</v>
      </c>
      <c r="I243" t="str" cm="1">
        <f t="array" ref="I243">GET_TICKER_FINAL(C243)</f>
        <v/>
      </c>
      <c r="J243" s="5" t="s">
        <v>1792</v>
      </c>
    </row>
    <row r="244" spans="1:10">
      <c r="A244">
        <v>243</v>
      </c>
      <c r="B244" s="1" t="s">
        <v>12</v>
      </c>
      <c r="C244" s="1" t="s">
        <v>263</v>
      </c>
      <c r="D244" s="1">
        <v>2</v>
      </c>
      <c r="E244" s="1">
        <v>1</v>
      </c>
      <c r="F244" s="1">
        <v>0.63</v>
      </c>
      <c r="G244" s="1">
        <v>20260401</v>
      </c>
      <c r="H244" t="b">
        <f t="shared" si="4"/>
        <v>0</v>
      </c>
      <c r="I244" t="str" cm="1">
        <f t="array" ref="I244">GET_TICKER_FINAL(C244)</f>
        <v>SPY</v>
      </c>
      <c r="J244" s="5" t="s">
        <v>1792</v>
      </c>
    </row>
    <row r="245" spans="1:10">
      <c r="A245">
        <v>244</v>
      </c>
      <c r="B245" s="1" t="s">
        <v>12</v>
      </c>
      <c r="C245" s="1" t="s">
        <v>264</v>
      </c>
      <c r="D245" s="1">
        <v>2</v>
      </c>
      <c r="E245" s="1">
        <v>2</v>
      </c>
      <c r="F245" s="1">
        <v>0.67</v>
      </c>
      <c r="G245" s="1">
        <v>20260330</v>
      </c>
      <c r="H245" t="b">
        <f t="shared" si="4"/>
        <v>0</v>
      </c>
      <c r="I245" t="str" cm="1">
        <f t="array" ref="I245">GET_TICKER_FINAL(C245)</f>
        <v/>
      </c>
      <c r="J245" s="5" t="s">
        <v>1792</v>
      </c>
    </row>
    <row r="246" spans="1:10">
      <c r="A246">
        <v>245</v>
      </c>
      <c r="B246" s="1" t="s">
        <v>12</v>
      </c>
      <c r="C246" s="1" t="s">
        <v>265</v>
      </c>
      <c r="D246" s="1">
        <v>2</v>
      </c>
      <c r="E246" s="1">
        <v>3</v>
      </c>
      <c r="F246" s="1">
        <v>0.76</v>
      </c>
      <c r="G246" s="1">
        <v>20260330</v>
      </c>
      <c r="H246" t="b">
        <f t="shared" si="4"/>
        <v>0</v>
      </c>
      <c r="I246" t="str" cm="1">
        <f t="array" ref="I246">GET_TICKER_FINAL(C246)</f>
        <v/>
      </c>
      <c r="J246" s="5" t="s">
        <v>1792</v>
      </c>
    </row>
    <row r="247" spans="1:10">
      <c r="A247">
        <v>246</v>
      </c>
      <c r="B247" s="1" t="s">
        <v>12</v>
      </c>
      <c r="C247" s="1" t="s">
        <v>266</v>
      </c>
      <c r="D247" s="1">
        <v>2</v>
      </c>
      <c r="E247" s="1">
        <v>8</v>
      </c>
      <c r="F247" s="1">
        <v>0.67</v>
      </c>
      <c r="G247" s="1">
        <v>20260401</v>
      </c>
      <c r="H247" t="b">
        <f t="shared" si="4"/>
        <v>0</v>
      </c>
      <c r="I247" t="str" cm="1">
        <f t="array" ref="I247">GET_TICKER_FINAL(C247)</f>
        <v/>
      </c>
      <c r="J247" s="5" t="s">
        <v>1792</v>
      </c>
    </row>
    <row r="248" spans="1:10">
      <c r="A248">
        <v>247</v>
      </c>
      <c r="B248" s="1" t="s">
        <v>12</v>
      </c>
      <c r="C248" s="1" t="s">
        <v>267</v>
      </c>
      <c r="D248" s="1">
        <v>1</v>
      </c>
      <c r="E248" s="1">
        <v>5</v>
      </c>
      <c r="F248" s="1">
        <v>0.6</v>
      </c>
      <c r="G248" s="1">
        <v>20260323</v>
      </c>
      <c r="H248" t="b">
        <f t="shared" si="4"/>
        <v>0</v>
      </c>
      <c r="I248" t="str" cm="1">
        <f t="array" ref="I248">GET_TICKER_FINAL(C248)</f>
        <v/>
      </c>
      <c r="J248" s="5" t="s">
        <v>1792</v>
      </c>
    </row>
    <row r="249" spans="1:10">
      <c r="A249">
        <v>248</v>
      </c>
      <c r="B249" s="1" t="s">
        <v>12</v>
      </c>
      <c r="C249" s="1" t="s">
        <v>268</v>
      </c>
      <c r="D249" s="1">
        <v>1</v>
      </c>
      <c r="E249" s="1">
        <v>5</v>
      </c>
      <c r="F249" s="1">
        <v>0.56999999999999995</v>
      </c>
      <c r="G249" s="1">
        <v>20260320</v>
      </c>
      <c r="H249" t="b">
        <f t="shared" si="4"/>
        <v>0</v>
      </c>
      <c r="I249" t="str" cm="1">
        <f t="array" ref="I249">GET_TICKER_FINAL(C249)</f>
        <v/>
      </c>
      <c r="J249" s="5" t="s">
        <v>1792</v>
      </c>
    </row>
    <row r="250" spans="1:10">
      <c r="A250">
        <v>249</v>
      </c>
      <c r="B250" s="1" t="s">
        <v>12</v>
      </c>
      <c r="C250" s="1" t="s">
        <v>269</v>
      </c>
      <c r="D250" s="1">
        <v>1</v>
      </c>
      <c r="E250" s="1">
        <v>2</v>
      </c>
      <c r="F250" s="1">
        <v>0.6</v>
      </c>
      <c r="G250" s="1">
        <v>20260320</v>
      </c>
      <c r="H250" t="b">
        <f t="shared" si="4"/>
        <v>0</v>
      </c>
      <c r="I250" t="str" cm="1">
        <f t="array" ref="I250">GET_TICKER_FINAL(C250)</f>
        <v/>
      </c>
      <c r="J250" s="5" t="s">
        <v>1792</v>
      </c>
    </row>
    <row r="251" spans="1:10">
      <c r="A251">
        <v>250</v>
      </c>
      <c r="B251" s="1" t="s">
        <v>12</v>
      </c>
      <c r="C251" s="1" t="s">
        <v>270</v>
      </c>
      <c r="D251" s="1">
        <v>1</v>
      </c>
      <c r="E251" s="1">
        <v>6</v>
      </c>
      <c r="F251" s="1">
        <v>0.56999999999999995</v>
      </c>
      <c r="G251" s="1">
        <v>20260401</v>
      </c>
      <c r="H251" t="b">
        <f t="shared" si="4"/>
        <v>0</v>
      </c>
      <c r="I251" t="str" cm="1">
        <f t="array" ref="I251">GET_TICKER_FINAL(C251)</f>
        <v/>
      </c>
      <c r="J251" s="5" t="s">
        <v>1792</v>
      </c>
    </row>
    <row r="252" spans="1:10">
      <c r="A252">
        <v>251</v>
      </c>
      <c r="B252" s="1" t="s">
        <v>12</v>
      </c>
      <c r="C252" s="1" t="s">
        <v>271</v>
      </c>
      <c r="D252" s="1">
        <v>1</v>
      </c>
      <c r="E252" s="1">
        <v>4</v>
      </c>
      <c r="F252" s="1">
        <v>0.67</v>
      </c>
      <c r="G252" s="1">
        <v>20260320</v>
      </c>
      <c r="H252" t="b">
        <f t="shared" si="4"/>
        <v>0</v>
      </c>
      <c r="I252" t="str" cm="1">
        <f t="array" ref="I252">GET_TICKER_FINAL(C252)</f>
        <v/>
      </c>
      <c r="J252" s="5" t="s">
        <v>1792</v>
      </c>
    </row>
    <row r="253" spans="1:10">
      <c r="A253">
        <v>252</v>
      </c>
      <c r="B253" s="1" t="s">
        <v>12</v>
      </c>
      <c r="C253" s="1" t="s">
        <v>272</v>
      </c>
      <c r="D253" s="1">
        <v>1</v>
      </c>
      <c r="E253" s="1">
        <v>1</v>
      </c>
      <c r="F253" s="1">
        <v>1</v>
      </c>
      <c r="G253" s="1">
        <v>20260401</v>
      </c>
      <c r="H253" t="b">
        <f t="shared" si="4"/>
        <v>0</v>
      </c>
      <c r="I253" t="str" cm="1">
        <f t="array" ref="I253">GET_TICKER_FINAL(C253)</f>
        <v/>
      </c>
      <c r="J253" s="5" t="s">
        <v>25</v>
      </c>
    </row>
    <row r="254" spans="1:10">
      <c r="A254">
        <v>253</v>
      </c>
      <c r="B254" s="1" t="s">
        <v>12</v>
      </c>
      <c r="C254" s="1" t="s">
        <v>273</v>
      </c>
      <c r="D254" s="1">
        <v>1</v>
      </c>
      <c r="E254" s="1">
        <v>1</v>
      </c>
      <c r="F254" s="1">
        <v>1</v>
      </c>
      <c r="G254" s="1">
        <v>20260402</v>
      </c>
      <c r="H254" t="b">
        <f t="shared" si="4"/>
        <v>0</v>
      </c>
      <c r="I254" t="str" cm="1">
        <f t="array" ref="I254">GET_TICKER_FINAL(C254)</f>
        <v/>
      </c>
      <c r="J254" s="5" t="s">
        <v>1792</v>
      </c>
    </row>
    <row r="255" spans="1:10">
      <c r="A255">
        <v>254</v>
      </c>
      <c r="B255" s="1" t="s">
        <v>12</v>
      </c>
      <c r="C255" s="1" t="s">
        <v>274</v>
      </c>
      <c r="D255" s="1">
        <v>1</v>
      </c>
      <c r="E255" s="1">
        <v>6</v>
      </c>
      <c r="F255" s="1">
        <v>0.6</v>
      </c>
      <c r="G255" s="1">
        <v>20260320</v>
      </c>
      <c r="H255" t="b">
        <f t="shared" si="4"/>
        <v>0</v>
      </c>
      <c r="I255" t="str" cm="1">
        <f t="array" ref="I255">GET_TICKER_FINAL(C255)</f>
        <v/>
      </c>
      <c r="J255" s="5" t="s">
        <v>1792</v>
      </c>
    </row>
    <row r="256" spans="1:10">
      <c r="A256">
        <v>255</v>
      </c>
      <c r="B256" s="1" t="s">
        <v>12</v>
      </c>
      <c r="C256" s="1" t="s">
        <v>275</v>
      </c>
      <c r="D256" s="1">
        <v>1</v>
      </c>
      <c r="E256" s="1">
        <v>8</v>
      </c>
      <c r="F256" s="1">
        <v>0.56000000000000005</v>
      </c>
      <c r="G256" s="1">
        <v>20260402</v>
      </c>
      <c r="H256" t="b">
        <f t="shared" si="4"/>
        <v>0</v>
      </c>
      <c r="I256" t="str" cm="1">
        <f t="array" ref="I256">GET_TICKER_FINAL(C256)</f>
        <v/>
      </c>
      <c r="J256" s="5" t="s">
        <v>1792</v>
      </c>
    </row>
    <row r="257" spans="1:10">
      <c r="A257">
        <v>256</v>
      </c>
      <c r="B257" s="1" t="s">
        <v>12</v>
      </c>
      <c r="C257" s="1" t="s">
        <v>276</v>
      </c>
      <c r="D257" s="1">
        <v>1</v>
      </c>
      <c r="E257" s="1">
        <v>2</v>
      </c>
      <c r="F257" s="1">
        <v>0.67</v>
      </c>
      <c r="G257" s="1">
        <v>20260401</v>
      </c>
      <c r="H257" t="b">
        <f t="shared" si="4"/>
        <v>0</v>
      </c>
      <c r="I257" t="str" cm="1">
        <f t="array" ref="I257">GET_TICKER_FINAL(C257)</f>
        <v/>
      </c>
      <c r="J257" s="5" t="s">
        <v>1792</v>
      </c>
    </row>
    <row r="258" spans="1:10">
      <c r="A258">
        <v>257</v>
      </c>
      <c r="B258" s="1" t="s">
        <v>12</v>
      </c>
      <c r="C258" s="1" t="s">
        <v>277</v>
      </c>
      <c r="D258" s="1">
        <v>1</v>
      </c>
      <c r="E258" s="1">
        <v>3</v>
      </c>
      <c r="F258" s="1">
        <v>0.54</v>
      </c>
      <c r="G258" s="1">
        <v>20260327</v>
      </c>
      <c r="H258" t="b">
        <f t="shared" si="4"/>
        <v>0</v>
      </c>
      <c r="I258" t="str" cm="1">
        <f t="array" ref="I258">GET_TICKER_FINAL(C258)</f>
        <v/>
      </c>
      <c r="J258" s="5" t="s">
        <v>1792</v>
      </c>
    </row>
    <row r="259" spans="1:10">
      <c r="A259">
        <v>258</v>
      </c>
      <c r="B259" s="1" t="s">
        <v>12</v>
      </c>
      <c r="C259" s="1" t="s">
        <v>278</v>
      </c>
      <c r="D259" s="1">
        <v>1</v>
      </c>
      <c r="E259" s="1">
        <v>128</v>
      </c>
      <c r="F259" s="1">
        <v>0.5</v>
      </c>
      <c r="G259" s="1">
        <v>20260326</v>
      </c>
      <c r="H259" t="b">
        <f t="shared" ref="H259:H322" si="5">OR(ISNUMBER(SEARCH("$A",C259)),ISNUMBER(SEARCH("$B",C259)),ISNUMBER(SEARCH("$C",C259)),ISNUMBER(SEARCH("$D",C259)),ISNUMBER(SEARCH("$E",C259)),ISNUMBER(SEARCH("$F",C259)),ISNUMBER(SEARCH("$G",C259)),ISNUMBER(SEARCH("$H",C259)),ISNUMBER(SEARCH("$I",C259)),ISNUMBER(SEARCH("$J",C259)),ISNUMBER(SEARCH("$K",C259)),ISNUMBER(SEARCH("$L",C259)),ISNUMBER(SEARCH("$M",C259)),ISNUMBER(SEARCH("$N",C259)),ISNUMBER(SEARCH("$O",C259)),ISNUMBER(SEARCH("$P",C259)),ISNUMBER(SEARCH("$Q",C259)),ISNUMBER(SEARCH("$R",C259)),ISNUMBER(SEARCH("$S",C259)),ISNUMBER(SEARCH("$T",C259)),ISNUMBER(SEARCH("$U",C259)),ISNUMBER(SEARCH("$V",C259)),ISNUMBER(SEARCH("$W",C259)),ISNUMBER(SEARCH("$X",C259)),ISNUMBER(SEARCH("$Y",C259)),ISNUMBER(SEARCH("$Z",C259)))</f>
        <v>0</v>
      </c>
      <c r="I259" t="str" cm="1">
        <f t="array" ref="I259">GET_TICKER_FINAL(C259)</f>
        <v/>
      </c>
      <c r="J259" s="5" t="s">
        <v>16</v>
      </c>
    </row>
    <row r="260" spans="1:10">
      <c r="A260">
        <v>259</v>
      </c>
      <c r="B260" s="1" t="s">
        <v>12</v>
      </c>
      <c r="C260" s="1" t="s">
        <v>279</v>
      </c>
      <c r="D260" s="1">
        <v>1</v>
      </c>
      <c r="E260" s="1">
        <v>0</v>
      </c>
      <c r="F260" s="1">
        <v>0.67</v>
      </c>
      <c r="G260" s="1">
        <v>20260324</v>
      </c>
      <c r="H260" t="b">
        <f t="shared" si="5"/>
        <v>0</v>
      </c>
      <c r="I260" t="str" cm="1">
        <f t="array" ref="I260">GET_TICKER_FINAL(C260)</f>
        <v/>
      </c>
      <c r="J260" s="5" t="s">
        <v>1792</v>
      </c>
    </row>
    <row r="261" spans="1:10">
      <c r="A261">
        <v>260</v>
      </c>
      <c r="B261" s="1" t="s">
        <v>12</v>
      </c>
      <c r="C261" s="1" t="s">
        <v>280</v>
      </c>
      <c r="D261" s="1">
        <v>1</v>
      </c>
      <c r="E261" s="1">
        <v>0</v>
      </c>
      <c r="F261" s="1">
        <v>1</v>
      </c>
      <c r="G261" s="1">
        <v>20260331</v>
      </c>
      <c r="H261" t="b">
        <f t="shared" si="5"/>
        <v>0</v>
      </c>
      <c r="I261" t="str" cm="1">
        <f t="array" ref="I261">GET_TICKER_FINAL(C261)</f>
        <v/>
      </c>
      <c r="J261" s="5" t="s">
        <v>16</v>
      </c>
    </row>
    <row r="262" spans="1:10">
      <c r="A262">
        <v>261</v>
      </c>
      <c r="B262" s="1" t="s">
        <v>12</v>
      </c>
      <c r="C262" s="1" t="s">
        <v>281</v>
      </c>
      <c r="D262" s="1">
        <v>1</v>
      </c>
      <c r="E262" s="1">
        <v>0</v>
      </c>
      <c r="F262" s="1">
        <v>0.6</v>
      </c>
      <c r="G262" s="1">
        <v>20260324</v>
      </c>
      <c r="H262" t="b">
        <f t="shared" si="5"/>
        <v>1</v>
      </c>
      <c r="I262" t="str" cm="1">
        <f t="array" ref="I262">GET_TICKER_FINAL(C262)</f>
        <v/>
      </c>
      <c r="J262" s="5" t="s">
        <v>1792</v>
      </c>
    </row>
    <row r="263" spans="1:10">
      <c r="A263">
        <v>262</v>
      </c>
      <c r="B263" s="1" t="s">
        <v>12</v>
      </c>
      <c r="C263" s="1" t="s">
        <v>282</v>
      </c>
      <c r="D263" s="1">
        <v>1</v>
      </c>
      <c r="E263" s="1">
        <v>10</v>
      </c>
      <c r="F263" s="1">
        <v>0.53</v>
      </c>
      <c r="G263" s="1">
        <v>20260331</v>
      </c>
      <c r="H263" t="b">
        <f t="shared" si="5"/>
        <v>0</v>
      </c>
      <c r="I263" t="str" cm="1">
        <f t="array" ref="I263">GET_TICKER_FINAL(C263)</f>
        <v/>
      </c>
      <c r="J263" s="5" t="s">
        <v>1792</v>
      </c>
    </row>
    <row r="264" spans="1:10">
      <c r="A264">
        <v>263</v>
      </c>
      <c r="B264" s="1" t="s">
        <v>12</v>
      </c>
      <c r="C264" s="1" t="s">
        <v>283</v>
      </c>
      <c r="D264" s="1">
        <v>1</v>
      </c>
      <c r="E264" s="1">
        <v>24</v>
      </c>
      <c r="F264" s="1">
        <v>0.52</v>
      </c>
      <c r="G264" s="1">
        <v>20260323</v>
      </c>
      <c r="H264" t="b">
        <f t="shared" si="5"/>
        <v>0</v>
      </c>
      <c r="I264" t="str" cm="1">
        <f t="array" ref="I264">GET_TICKER_FINAL(C264)</f>
        <v/>
      </c>
      <c r="J264" s="5" t="s">
        <v>16</v>
      </c>
    </row>
    <row r="265" spans="1:10">
      <c r="A265">
        <v>264</v>
      </c>
      <c r="B265" s="1" t="s">
        <v>12</v>
      </c>
      <c r="C265" s="1" t="s">
        <v>284</v>
      </c>
      <c r="D265" s="1">
        <v>1</v>
      </c>
      <c r="E265" s="1">
        <v>1</v>
      </c>
      <c r="F265" s="1">
        <v>0.6</v>
      </c>
      <c r="G265" s="1">
        <v>20260330</v>
      </c>
      <c r="H265" t="b">
        <f t="shared" si="5"/>
        <v>0</v>
      </c>
      <c r="I265" t="str" cm="1">
        <f t="array" ref="I265">GET_TICKER_FINAL(C265)</f>
        <v/>
      </c>
      <c r="J265" s="5" t="s">
        <v>1792</v>
      </c>
    </row>
    <row r="266" spans="1:10">
      <c r="A266">
        <v>265</v>
      </c>
      <c r="B266" s="1" t="s">
        <v>12</v>
      </c>
      <c r="C266" s="1" t="s">
        <v>285</v>
      </c>
      <c r="D266" s="1">
        <v>0</v>
      </c>
      <c r="E266" s="1">
        <v>3</v>
      </c>
      <c r="F266" s="1">
        <v>0.5</v>
      </c>
      <c r="G266" s="1">
        <v>20260320</v>
      </c>
      <c r="H266" t="b">
        <f t="shared" si="5"/>
        <v>0</v>
      </c>
      <c r="I266" t="str" cm="1">
        <f t="array" ref="I266">GET_TICKER_FINAL(C266)</f>
        <v/>
      </c>
      <c r="J266" s="5" t="s">
        <v>16</v>
      </c>
    </row>
    <row r="267" spans="1:10">
      <c r="A267">
        <v>266</v>
      </c>
      <c r="B267" s="1" t="s">
        <v>12</v>
      </c>
      <c r="C267" s="1" t="s">
        <v>286</v>
      </c>
      <c r="D267" s="1">
        <v>0</v>
      </c>
      <c r="E267" s="1">
        <v>25</v>
      </c>
      <c r="F267" s="1">
        <v>0.34</v>
      </c>
      <c r="G267" s="1">
        <v>20260320</v>
      </c>
      <c r="H267" t="b">
        <f t="shared" si="5"/>
        <v>0</v>
      </c>
      <c r="I267" t="str" cm="1">
        <f t="array" ref="I267">GET_TICKER_FINAL(C267)</f>
        <v>AAPL</v>
      </c>
      <c r="J267" s="5" t="s">
        <v>16</v>
      </c>
    </row>
    <row r="268" spans="1:10">
      <c r="A268">
        <v>267</v>
      </c>
      <c r="B268" s="1" t="s">
        <v>12</v>
      </c>
      <c r="C268" s="1" t="s">
        <v>287</v>
      </c>
      <c r="D268" s="1">
        <v>0</v>
      </c>
      <c r="E268" s="1">
        <v>5</v>
      </c>
      <c r="F268" s="1">
        <v>0.42</v>
      </c>
      <c r="G268" s="1">
        <v>20260326</v>
      </c>
      <c r="H268" t="b">
        <f t="shared" si="5"/>
        <v>0</v>
      </c>
      <c r="I268" t="str" cm="1">
        <f t="array" ref="I268">GET_TICKER_FINAL(C268)</f>
        <v/>
      </c>
      <c r="J268" s="5" t="s">
        <v>1792</v>
      </c>
    </row>
    <row r="269" spans="1:10">
      <c r="A269">
        <v>268</v>
      </c>
      <c r="B269" s="1" t="s">
        <v>12</v>
      </c>
      <c r="C269" s="1" t="s">
        <v>288</v>
      </c>
      <c r="D269" s="1">
        <v>0</v>
      </c>
      <c r="E269" s="1">
        <v>34</v>
      </c>
      <c r="F269" s="1">
        <v>0.31</v>
      </c>
      <c r="G269" s="1">
        <v>20260402</v>
      </c>
      <c r="H269" t="b">
        <f t="shared" si="5"/>
        <v>0</v>
      </c>
      <c r="I269" t="str" cm="1">
        <f t="array" ref="I269">GET_TICKER_FINAL(C269)</f>
        <v/>
      </c>
      <c r="J269" s="5" t="s">
        <v>16</v>
      </c>
    </row>
    <row r="270" spans="1:10">
      <c r="A270">
        <v>269</v>
      </c>
      <c r="B270" s="1" t="s">
        <v>12</v>
      </c>
      <c r="C270" s="1" t="s">
        <v>289</v>
      </c>
      <c r="D270" s="1">
        <v>0</v>
      </c>
      <c r="E270" s="1">
        <v>2</v>
      </c>
      <c r="F270" s="1">
        <v>0.28999999999999998</v>
      </c>
      <c r="G270" s="1">
        <v>20260320</v>
      </c>
      <c r="H270" t="b">
        <f t="shared" si="5"/>
        <v>0</v>
      </c>
      <c r="I270" t="str" cm="1">
        <f t="array" ref="I270">GET_TICKER_FINAL(C270)</f>
        <v/>
      </c>
      <c r="J270" s="5" t="s">
        <v>1792</v>
      </c>
    </row>
    <row r="271" spans="1:10">
      <c r="A271">
        <v>270</v>
      </c>
      <c r="B271" s="1" t="s">
        <v>12</v>
      </c>
      <c r="C271" s="1" t="s">
        <v>290</v>
      </c>
      <c r="D271" s="1">
        <v>0</v>
      </c>
      <c r="E271" s="1">
        <v>16</v>
      </c>
      <c r="F271" s="1">
        <v>0.33</v>
      </c>
      <c r="G271" s="1">
        <v>20260402</v>
      </c>
      <c r="H271" t="b">
        <f t="shared" si="5"/>
        <v>0</v>
      </c>
      <c r="I271" t="str" cm="1">
        <f t="array" ref="I271">GET_TICKER_FINAL(C271)</f>
        <v/>
      </c>
      <c r="J271" s="5" t="s">
        <v>1792</v>
      </c>
    </row>
    <row r="272" spans="1:10">
      <c r="A272">
        <v>271</v>
      </c>
      <c r="B272" s="1" t="s">
        <v>12</v>
      </c>
      <c r="C272" s="1" t="s">
        <v>291</v>
      </c>
      <c r="D272" s="1">
        <v>0</v>
      </c>
      <c r="E272" s="1">
        <v>14</v>
      </c>
      <c r="F272" s="1">
        <v>0.25</v>
      </c>
      <c r="G272" s="1">
        <v>20260320</v>
      </c>
      <c r="H272" t="b">
        <f t="shared" si="5"/>
        <v>0</v>
      </c>
      <c r="I272" t="str" cm="1">
        <f t="array" ref="I272">GET_TICKER_FINAL(C272)</f>
        <v>NVDA</v>
      </c>
      <c r="J272" s="5" t="s">
        <v>25</v>
      </c>
    </row>
    <row r="273" spans="1:10">
      <c r="A273">
        <v>272</v>
      </c>
      <c r="B273" s="1" t="s">
        <v>12</v>
      </c>
      <c r="C273" s="1" t="s">
        <v>292</v>
      </c>
      <c r="D273" s="1">
        <v>0</v>
      </c>
      <c r="E273" s="1">
        <v>35</v>
      </c>
      <c r="F273" s="1">
        <v>0.36</v>
      </c>
      <c r="G273" s="1">
        <v>20260402</v>
      </c>
      <c r="H273" t="b">
        <f t="shared" si="5"/>
        <v>0</v>
      </c>
      <c r="I273" t="str" cm="1">
        <f t="array" ref="I273">GET_TICKER_FINAL(C273)</f>
        <v/>
      </c>
      <c r="J273" s="5" t="s">
        <v>1792</v>
      </c>
    </row>
    <row r="274" spans="1:10">
      <c r="A274">
        <v>273</v>
      </c>
      <c r="B274" s="1" t="s">
        <v>12</v>
      </c>
      <c r="C274" s="1" t="s">
        <v>293</v>
      </c>
      <c r="D274" s="1">
        <v>0</v>
      </c>
      <c r="E274" s="1">
        <v>10</v>
      </c>
      <c r="F274" s="1">
        <v>0.35</v>
      </c>
      <c r="G274" s="1">
        <v>20260402</v>
      </c>
      <c r="H274" t="b">
        <f t="shared" si="5"/>
        <v>0</v>
      </c>
      <c r="I274" t="str" cm="1">
        <f t="array" ref="I274">GET_TICKER_FINAL(C274)</f>
        <v>SPY</v>
      </c>
      <c r="J274" s="5" t="s">
        <v>1792</v>
      </c>
    </row>
    <row r="275" spans="1:10">
      <c r="A275">
        <v>274</v>
      </c>
      <c r="B275" s="1" t="s">
        <v>12</v>
      </c>
      <c r="C275" s="1" t="s">
        <v>294</v>
      </c>
      <c r="D275" s="1">
        <v>0</v>
      </c>
      <c r="E275" s="1">
        <v>67</v>
      </c>
      <c r="F275" s="1">
        <v>0.4</v>
      </c>
      <c r="G275" s="1">
        <v>20260330</v>
      </c>
      <c r="H275" t="b">
        <f t="shared" si="5"/>
        <v>0</v>
      </c>
      <c r="I275" t="str" cm="1">
        <f t="array" ref="I275">GET_TICKER_FINAL(C275)</f>
        <v/>
      </c>
      <c r="J275" s="5" t="s">
        <v>16</v>
      </c>
    </row>
    <row r="276" spans="1:10">
      <c r="A276">
        <v>275</v>
      </c>
      <c r="B276" s="1" t="s">
        <v>12</v>
      </c>
      <c r="C276" s="1" t="s">
        <v>295</v>
      </c>
      <c r="D276" s="1">
        <v>0</v>
      </c>
      <c r="E276" s="1">
        <v>12</v>
      </c>
      <c r="F276" s="1">
        <v>0.43</v>
      </c>
      <c r="G276" s="1">
        <v>20260320</v>
      </c>
      <c r="H276" t="b">
        <f t="shared" si="5"/>
        <v>0</v>
      </c>
      <c r="I276" t="str" cm="1">
        <f t="array" ref="I276">GET_TICKER_FINAL(C276)</f>
        <v/>
      </c>
      <c r="J276" s="5" t="s">
        <v>28</v>
      </c>
    </row>
    <row r="277" spans="1:10">
      <c r="A277">
        <v>276</v>
      </c>
      <c r="B277" s="1" t="s">
        <v>12</v>
      </c>
      <c r="C277" s="1" t="s">
        <v>296</v>
      </c>
      <c r="D277" s="1">
        <v>0</v>
      </c>
      <c r="E277" s="1">
        <v>47</v>
      </c>
      <c r="F277" s="1">
        <v>0.5</v>
      </c>
      <c r="G277" s="1">
        <v>20260330</v>
      </c>
      <c r="H277" t="b">
        <f t="shared" si="5"/>
        <v>0</v>
      </c>
      <c r="I277" t="str" cm="1">
        <f t="array" ref="I277">GET_TICKER_FINAL(C277)</f>
        <v/>
      </c>
      <c r="J277" s="5" t="s">
        <v>25</v>
      </c>
    </row>
    <row r="278" spans="1:10">
      <c r="A278">
        <v>277</v>
      </c>
      <c r="B278" s="1" t="s">
        <v>12</v>
      </c>
      <c r="C278" s="1" t="s">
        <v>297</v>
      </c>
      <c r="D278" s="1">
        <v>0</v>
      </c>
      <c r="E278" s="1">
        <v>31</v>
      </c>
      <c r="F278" s="1">
        <v>0.43</v>
      </c>
      <c r="G278" s="1">
        <v>20260326</v>
      </c>
      <c r="H278" t="b">
        <f t="shared" si="5"/>
        <v>0</v>
      </c>
      <c r="I278" t="str" cm="1">
        <f t="array" ref="I278">GET_TICKER_FINAL(C278)</f>
        <v/>
      </c>
      <c r="J278" s="5" t="s">
        <v>16</v>
      </c>
    </row>
    <row r="279" spans="1:10">
      <c r="A279">
        <v>278</v>
      </c>
      <c r="B279" s="1" t="s">
        <v>12</v>
      </c>
      <c r="C279" s="1" t="s">
        <v>298</v>
      </c>
      <c r="D279" s="1">
        <v>0</v>
      </c>
      <c r="E279" s="1">
        <v>23</v>
      </c>
      <c r="F279" s="1">
        <v>0.17</v>
      </c>
      <c r="G279" s="1">
        <v>20260320</v>
      </c>
      <c r="H279" t="b">
        <f t="shared" si="5"/>
        <v>0</v>
      </c>
      <c r="I279" t="str" cm="1">
        <f t="array" ref="I279">GET_TICKER_FINAL(C279)</f>
        <v/>
      </c>
      <c r="J279" s="5" t="s">
        <v>25</v>
      </c>
    </row>
    <row r="280" spans="1:10">
      <c r="A280">
        <v>279</v>
      </c>
      <c r="B280" s="1" t="s">
        <v>12</v>
      </c>
      <c r="C280" s="1" t="s">
        <v>299</v>
      </c>
      <c r="D280" s="1">
        <v>0</v>
      </c>
      <c r="E280" s="1">
        <v>34</v>
      </c>
      <c r="F280" s="1">
        <v>0.24</v>
      </c>
      <c r="G280" s="1">
        <v>20260330</v>
      </c>
      <c r="H280" t="b">
        <f t="shared" si="5"/>
        <v>0</v>
      </c>
      <c r="I280" t="str" cm="1">
        <f t="array" ref="I280">GET_TICKER_FINAL(C280)</f>
        <v/>
      </c>
      <c r="J280" s="5" t="s">
        <v>25</v>
      </c>
    </row>
    <row r="281" spans="1:10">
      <c r="A281">
        <v>280</v>
      </c>
      <c r="B281" s="1" t="s">
        <v>12</v>
      </c>
      <c r="C281" s="1" t="s">
        <v>300</v>
      </c>
      <c r="D281" s="1">
        <v>0</v>
      </c>
      <c r="E281" s="1">
        <v>66</v>
      </c>
      <c r="F281" s="1">
        <v>0.36</v>
      </c>
      <c r="G281" s="1">
        <v>20260330</v>
      </c>
      <c r="H281" t="b">
        <f t="shared" si="5"/>
        <v>0</v>
      </c>
      <c r="I281" t="str" cm="1">
        <f t="array" ref="I281">GET_TICKER_FINAL(C281)</f>
        <v/>
      </c>
      <c r="J281" s="5" t="s">
        <v>16</v>
      </c>
    </row>
    <row r="282" spans="1:10">
      <c r="A282">
        <v>281</v>
      </c>
      <c r="B282" s="1" t="s">
        <v>12</v>
      </c>
      <c r="C282" s="1" t="s">
        <v>301</v>
      </c>
      <c r="D282" s="1">
        <v>0</v>
      </c>
      <c r="E282" s="1">
        <v>6</v>
      </c>
      <c r="F282" s="1">
        <v>0.15</v>
      </c>
      <c r="G282" s="1">
        <v>20260402</v>
      </c>
      <c r="H282" t="b">
        <f t="shared" si="5"/>
        <v>0</v>
      </c>
      <c r="I282" t="str" cm="1">
        <f t="array" ref="I282">GET_TICKER_FINAL(C282)</f>
        <v/>
      </c>
      <c r="J282" s="5" t="s">
        <v>1792</v>
      </c>
    </row>
    <row r="283" spans="1:10">
      <c r="A283">
        <v>282</v>
      </c>
      <c r="B283" s="1" t="s">
        <v>12</v>
      </c>
      <c r="C283" s="1" t="s">
        <v>302</v>
      </c>
      <c r="D283" s="1">
        <v>0</v>
      </c>
      <c r="E283" s="1">
        <v>3</v>
      </c>
      <c r="F283" s="1">
        <v>0.25</v>
      </c>
      <c r="G283" s="1">
        <v>20260320</v>
      </c>
      <c r="H283" t="b">
        <f t="shared" si="5"/>
        <v>0</v>
      </c>
      <c r="I283" t="str" cm="1">
        <f t="array" ref="I283">GET_TICKER_FINAL(C283)</f>
        <v/>
      </c>
      <c r="J283" s="5" t="s">
        <v>1792</v>
      </c>
    </row>
    <row r="284" spans="1:10">
      <c r="A284">
        <v>283</v>
      </c>
      <c r="B284" s="1" t="s">
        <v>12</v>
      </c>
      <c r="C284" s="1" t="s">
        <v>303</v>
      </c>
      <c r="D284" s="1">
        <v>0</v>
      </c>
      <c r="E284" s="1">
        <v>16</v>
      </c>
      <c r="F284" s="1">
        <v>0.33</v>
      </c>
      <c r="G284" s="1">
        <v>20260320</v>
      </c>
      <c r="H284" t="b">
        <f t="shared" si="5"/>
        <v>0</v>
      </c>
      <c r="I284" t="str" cm="1">
        <f t="array" ref="I284">GET_TICKER_FINAL(C284)</f>
        <v/>
      </c>
      <c r="J284" s="5" t="s">
        <v>1792</v>
      </c>
    </row>
    <row r="285" spans="1:10">
      <c r="A285">
        <v>284</v>
      </c>
      <c r="B285" s="1" t="s">
        <v>12</v>
      </c>
      <c r="C285" s="1" t="s">
        <v>304</v>
      </c>
      <c r="D285" s="1">
        <v>0</v>
      </c>
      <c r="E285" s="1">
        <v>1</v>
      </c>
      <c r="F285" s="1">
        <v>0.4</v>
      </c>
      <c r="G285" s="1">
        <v>20260402</v>
      </c>
      <c r="H285" t="b">
        <f t="shared" si="5"/>
        <v>0</v>
      </c>
      <c r="I285" t="str" cm="1">
        <f t="array" ref="I285">GET_TICKER_FINAL(C285)</f>
        <v/>
      </c>
      <c r="J285" s="5" t="s">
        <v>1792</v>
      </c>
    </row>
    <row r="286" spans="1:10">
      <c r="A286">
        <v>285</v>
      </c>
      <c r="B286" s="1" t="s">
        <v>12</v>
      </c>
      <c r="C286" s="1" t="s">
        <v>305</v>
      </c>
      <c r="D286" s="1">
        <v>0</v>
      </c>
      <c r="E286" s="1">
        <v>49</v>
      </c>
      <c r="F286" s="1">
        <v>0.28999999999999998</v>
      </c>
      <c r="G286" s="1">
        <v>20260402</v>
      </c>
      <c r="H286" t="b">
        <f t="shared" si="5"/>
        <v>0</v>
      </c>
      <c r="I286" t="str" cm="1">
        <f t="array" ref="I286">GET_TICKER_FINAL(C286)</f>
        <v/>
      </c>
      <c r="J286" s="5" t="s">
        <v>25</v>
      </c>
    </row>
    <row r="287" spans="1:10">
      <c r="A287">
        <v>286</v>
      </c>
      <c r="B287" s="1" t="s">
        <v>12</v>
      </c>
      <c r="C287" s="1" t="s">
        <v>306</v>
      </c>
      <c r="D287" s="1">
        <v>0</v>
      </c>
      <c r="E287" s="1">
        <v>5</v>
      </c>
      <c r="F287" s="1">
        <v>0.32</v>
      </c>
      <c r="G287" s="1">
        <v>20260326</v>
      </c>
      <c r="H287" t="b">
        <f t="shared" si="5"/>
        <v>0</v>
      </c>
      <c r="I287" t="str" cm="1">
        <f t="array" ref="I287">GET_TICKER_FINAL(C287)</f>
        <v/>
      </c>
      <c r="J287" s="5" t="s">
        <v>1792</v>
      </c>
    </row>
    <row r="288" spans="1:10">
      <c r="A288">
        <v>287</v>
      </c>
      <c r="B288" s="1" t="s">
        <v>12</v>
      </c>
      <c r="C288" s="1" t="s">
        <v>307</v>
      </c>
      <c r="D288" s="1">
        <v>0</v>
      </c>
      <c r="E288" s="1">
        <v>8</v>
      </c>
      <c r="F288" s="1">
        <v>0.33</v>
      </c>
      <c r="G288" s="1">
        <v>20260320</v>
      </c>
      <c r="H288" t="b">
        <f t="shared" si="5"/>
        <v>0</v>
      </c>
      <c r="I288" t="str" cm="1">
        <f t="array" ref="I288">GET_TICKER_FINAL(C288)</f>
        <v/>
      </c>
      <c r="J288" s="5" t="s">
        <v>1792</v>
      </c>
    </row>
    <row r="289" spans="1:10">
      <c r="A289">
        <v>288</v>
      </c>
      <c r="B289" s="1" t="s">
        <v>12</v>
      </c>
      <c r="C289" s="1" t="s">
        <v>308</v>
      </c>
      <c r="D289" s="1">
        <v>0</v>
      </c>
      <c r="E289" s="1">
        <v>29</v>
      </c>
      <c r="F289" s="1">
        <v>0.22</v>
      </c>
      <c r="G289" s="1">
        <v>20260402</v>
      </c>
      <c r="H289" t="b">
        <f t="shared" si="5"/>
        <v>0</v>
      </c>
      <c r="I289" t="str" cm="1">
        <f t="array" ref="I289">GET_TICKER_FINAL(C289)</f>
        <v/>
      </c>
      <c r="J289" s="5" t="s">
        <v>25</v>
      </c>
    </row>
    <row r="290" spans="1:10">
      <c r="A290">
        <v>289</v>
      </c>
      <c r="B290" s="1" t="s">
        <v>12</v>
      </c>
      <c r="C290" s="1" t="s">
        <v>309</v>
      </c>
      <c r="D290" s="1">
        <v>0</v>
      </c>
      <c r="E290" s="1">
        <v>8</v>
      </c>
      <c r="F290" s="1">
        <v>0.21</v>
      </c>
      <c r="G290" s="1">
        <v>20260326</v>
      </c>
      <c r="H290" t="b">
        <f t="shared" si="5"/>
        <v>0</v>
      </c>
      <c r="I290" t="str" cm="1">
        <f t="array" ref="I290">GET_TICKER_FINAL(C290)</f>
        <v/>
      </c>
      <c r="J290" s="5" t="s">
        <v>16</v>
      </c>
    </row>
    <row r="291" spans="1:10">
      <c r="A291">
        <v>290</v>
      </c>
      <c r="B291" s="1" t="s">
        <v>12</v>
      </c>
      <c r="C291" s="1" t="s">
        <v>310</v>
      </c>
      <c r="D291" s="1">
        <v>0</v>
      </c>
      <c r="E291" s="1">
        <v>40</v>
      </c>
      <c r="F291" s="1">
        <v>0.45</v>
      </c>
      <c r="G291" s="1">
        <v>20260326</v>
      </c>
      <c r="H291" t="b">
        <f t="shared" si="5"/>
        <v>0</v>
      </c>
      <c r="I291" t="str" cm="1">
        <f t="array" ref="I291">GET_TICKER_FINAL(C291)</f>
        <v/>
      </c>
      <c r="J291" s="5" t="s">
        <v>1792</v>
      </c>
    </row>
    <row r="292" spans="1:10">
      <c r="A292">
        <v>291</v>
      </c>
      <c r="B292" s="1" t="s">
        <v>12</v>
      </c>
      <c r="C292" s="1" t="s">
        <v>311</v>
      </c>
      <c r="D292" s="1">
        <v>0</v>
      </c>
      <c r="E292" s="1">
        <v>21</v>
      </c>
      <c r="F292" s="1">
        <v>0.41</v>
      </c>
      <c r="G292" s="1">
        <v>20260402</v>
      </c>
      <c r="H292" t="b">
        <f t="shared" si="5"/>
        <v>0</v>
      </c>
      <c r="I292" t="str" cm="1">
        <f t="array" ref="I292">GET_TICKER_FINAL(C292)</f>
        <v/>
      </c>
      <c r="J292" s="5" t="s">
        <v>1792</v>
      </c>
    </row>
    <row r="293" spans="1:10">
      <c r="A293">
        <v>292</v>
      </c>
      <c r="B293" s="1" t="s">
        <v>12</v>
      </c>
      <c r="C293" s="1" t="s">
        <v>312</v>
      </c>
      <c r="D293" s="1">
        <v>0</v>
      </c>
      <c r="E293" s="1">
        <v>8</v>
      </c>
      <c r="F293" s="1">
        <v>0.44</v>
      </c>
      <c r="G293" s="1">
        <v>20260326</v>
      </c>
      <c r="H293" t="b">
        <f t="shared" si="5"/>
        <v>0</v>
      </c>
      <c r="I293" t="str" cm="1">
        <f t="array" ref="I293">GET_TICKER_FINAL(C293)</f>
        <v/>
      </c>
      <c r="J293" s="5" t="s">
        <v>1792</v>
      </c>
    </row>
    <row r="294" spans="1:10">
      <c r="A294">
        <v>293</v>
      </c>
      <c r="B294" s="1" t="s">
        <v>12</v>
      </c>
      <c r="C294" s="1" t="s">
        <v>313</v>
      </c>
      <c r="D294" s="1">
        <v>0</v>
      </c>
      <c r="E294" s="1">
        <v>7</v>
      </c>
      <c r="F294" s="1">
        <v>0.25</v>
      </c>
      <c r="G294" s="1">
        <v>20260402</v>
      </c>
      <c r="H294" t="b">
        <f t="shared" si="5"/>
        <v>0</v>
      </c>
      <c r="I294" t="str" cm="1">
        <f t="array" ref="I294">GET_TICKER_FINAL(C294)</f>
        <v/>
      </c>
      <c r="J294" s="5" t="s">
        <v>1792</v>
      </c>
    </row>
    <row r="295" spans="1:10">
      <c r="A295">
        <v>294</v>
      </c>
      <c r="B295" s="1" t="s">
        <v>12</v>
      </c>
      <c r="C295" s="1" t="s">
        <v>314</v>
      </c>
      <c r="D295" s="1">
        <v>0</v>
      </c>
      <c r="E295" s="1">
        <v>12</v>
      </c>
      <c r="F295" s="1">
        <v>0.5</v>
      </c>
      <c r="G295" s="1">
        <v>20260402</v>
      </c>
      <c r="H295" t="b">
        <f t="shared" si="5"/>
        <v>0</v>
      </c>
      <c r="I295" t="str" cm="1">
        <f t="array" ref="I295">GET_TICKER_FINAL(C295)</f>
        <v>MU</v>
      </c>
      <c r="J295" s="5" t="s">
        <v>1792</v>
      </c>
    </row>
    <row r="296" spans="1:10">
      <c r="A296">
        <v>295</v>
      </c>
      <c r="B296" s="1" t="s">
        <v>12</v>
      </c>
      <c r="C296" s="1" t="s">
        <v>315</v>
      </c>
      <c r="D296" s="1">
        <v>0</v>
      </c>
      <c r="E296" s="1">
        <v>5</v>
      </c>
      <c r="F296" s="1">
        <v>0.33</v>
      </c>
      <c r="G296" s="1">
        <v>20260402</v>
      </c>
      <c r="H296" t="b">
        <f t="shared" si="5"/>
        <v>1</v>
      </c>
      <c r="I296" t="str" cm="1">
        <f t="array" ref="I296">GET_TICKER_FINAL(C296)</f>
        <v>NVDA</v>
      </c>
      <c r="J296" s="5" t="s">
        <v>1792</v>
      </c>
    </row>
    <row r="297" spans="1:10">
      <c r="A297">
        <v>296</v>
      </c>
      <c r="B297" s="1" t="s">
        <v>12</v>
      </c>
      <c r="C297" s="1" t="s">
        <v>316</v>
      </c>
      <c r="D297" s="1">
        <v>0</v>
      </c>
      <c r="E297" s="1">
        <v>17</v>
      </c>
      <c r="F297" s="1">
        <v>0.35</v>
      </c>
      <c r="G297" s="1">
        <v>20260402</v>
      </c>
      <c r="H297" t="b">
        <f t="shared" si="5"/>
        <v>0</v>
      </c>
      <c r="I297" t="str" cm="1">
        <f t="array" ref="I297">GET_TICKER_FINAL(C297)</f>
        <v/>
      </c>
      <c r="J297" s="5" t="s">
        <v>16</v>
      </c>
    </row>
    <row r="298" spans="1:10">
      <c r="A298">
        <v>297</v>
      </c>
      <c r="B298" s="1" t="s">
        <v>12</v>
      </c>
      <c r="C298" s="1" t="s">
        <v>317</v>
      </c>
      <c r="D298" s="1">
        <v>0</v>
      </c>
      <c r="E298" s="1">
        <v>15</v>
      </c>
      <c r="F298" s="1">
        <v>0.27</v>
      </c>
      <c r="G298" s="1">
        <v>20260326</v>
      </c>
      <c r="H298" t="b">
        <f t="shared" si="5"/>
        <v>0</v>
      </c>
      <c r="I298" t="str" cm="1">
        <f t="array" ref="I298">GET_TICKER_FINAL(C298)</f>
        <v/>
      </c>
      <c r="J298" s="5" t="s">
        <v>1792</v>
      </c>
    </row>
    <row r="299" spans="1:10">
      <c r="A299">
        <v>298</v>
      </c>
      <c r="B299" s="1" t="s">
        <v>12</v>
      </c>
      <c r="C299" s="1" t="s">
        <v>318</v>
      </c>
      <c r="D299" s="1">
        <v>0</v>
      </c>
      <c r="E299" s="1">
        <v>69</v>
      </c>
      <c r="F299" s="1">
        <v>0.45</v>
      </c>
      <c r="G299" s="1">
        <v>20260320</v>
      </c>
      <c r="H299" t="b">
        <f t="shared" si="5"/>
        <v>0</v>
      </c>
      <c r="I299" t="str" cm="1">
        <f t="array" ref="I299">GET_TICKER_FINAL(C299)</f>
        <v/>
      </c>
      <c r="J299" s="5" t="s">
        <v>1792</v>
      </c>
    </row>
    <row r="300" spans="1:10">
      <c r="A300">
        <v>299</v>
      </c>
      <c r="B300" s="1" t="s">
        <v>12</v>
      </c>
      <c r="C300" s="1" t="s">
        <v>319</v>
      </c>
      <c r="D300" s="1">
        <v>0</v>
      </c>
      <c r="E300" s="1">
        <v>31</v>
      </c>
      <c r="F300" s="1">
        <v>0.35</v>
      </c>
      <c r="G300" s="1">
        <v>20260326</v>
      </c>
      <c r="H300" t="b">
        <f t="shared" si="5"/>
        <v>0</v>
      </c>
      <c r="I300" t="str" cm="1">
        <f t="array" ref="I300">GET_TICKER_FINAL(C300)</f>
        <v/>
      </c>
      <c r="J300" s="5" t="s">
        <v>1792</v>
      </c>
    </row>
    <row r="301" spans="1:10">
      <c r="A301">
        <v>300</v>
      </c>
      <c r="B301" s="1" t="s">
        <v>12</v>
      </c>
      <c r="C301" s="1" t="s">
        <v>320</v>
      </c>
      <c r="D301" s="1">
        <v>0</v>
      </c>
      <c r="E301" s="1">
        <v>7</v>
      </c>
      <c r="F301" s="1">
        <v>0.2</v>
      </c>
      <c r="G301" s="1">
        <v>20260326</v>
      </c>
      <c r="H301" t="b">
        <f t="shared" si="5"/>
        <v>0</v>
      </c>
      <c r="I301" t="str" cm="1">
        <f t="array" ref="I301">GET_TICKER_FINAL(C301)</f>
        <v/>
      </c>
      <c r="J301" s="5" t="s">
        <v>1792</v>
      </c>
    </row>
    <row r="302" spans="1:10">
      <c r="A302">
        <v>301</v>
      </c>
      <c r="B302" s="1" t="s">
        <v>12</v>
      </c>
      <c r="C302" s="1" t="s">
        <v>321</v>
      </c>
      <c r="D302" s="1">
        <v>0</v>
      </c>
      <c r="E302" s="1">
        <v>6</v>
      </c>
      <c r="F302" s="1">
        <v>0.42</v>
      </c>
      <c r="G302" s="1">
        <v>20260402</v>
      </c>
      <c r="H302" t="b">
        <f t="shared" si="5"/>
        <v>0</v>
      </c>
      <c r="I302" t="str" cm="1">
        <f t="array" ref="I302">GET_TICKER_FINAL(C302)</f>
        <v/>
      </c>
      <c r="J302" s="5" t="s">
        <v>25</v>
      </c>
    </row>
    <row r="303" spans="1:10">
      <c r="A303">
        <v>302</v>
      </c>
      <c r="B303" s="1" t="s">
        <v>12</v>
      </c>
      <c r="C303" s="1" t="s">
        <v>322</v>
      </c>
      <c r="D303" s="1">
        <v>0</v>
      </c>
      <c r="E303" s="1">
        <v>10</v>
      </c>
      <c r="F303" s="1">
        <v>0.22</v>
      </c>
      <c r="G303" s="1">
        <v>20260320</v>
      </c>
      <c r="H303" t="b">
        <f t="shared" si="5"/>
        <v>0</v>
      </c>
      <c r="I303" t="str" cm="1">
        <f t="array" ref="I303">GET_TICKER_FINAL(C303)</f>
        <v/>
      </c>
      <c r="J303" s="5" t="s">
        <v>1792</v>
      </c>
    </row>
    <row r="304" spans="1:10">
      <c r="A304">
        <v>303</v>
      </c>
      <c r="B304" s="1" t="s">
        <v>12</v>
      </c>
      <c r="C304" s="1" t="s">
        <v>323</v>
      </c>
      <c r="D304" s="1">
        <v>0</v>
      </c>
      <c r="E304" s="1">
        <v>22</v>
      </c>
      <c r="F304" s="1">
        <v>0.49</v>
      </c>
      <c r="G304" s="1">
        <v>20260402</v>
      </c>
      <c r="H304" t="b">
        <f t="shared" si="5"/>
        <v>0</v>
      </c>
      <c r="I304" t="str" cm="1">
        <f t="array" ref="I304">GET_TICKER_FINAL(C304)</f>
        <v/>
      </c>
      <c r="J304" s="5" t="s">
        <v>1792</v>
      </c>
    </row>
    <row r="305" spans="1:10">
      <c r="A305">
        <v>304</v>
      </c>
      <c r="B305" s="1" t="s">
        <v>12</v>
      </c>
      <c r="C305" s="1" t="s">
        <v>324</v>
      </c>
      <c r="D305" s="1">
        <v>0</v>
      </c>
      <c r="E305" s="1">
        <v>31</v>
      </c>
      <c r="F305" s="1">
        <v>0.47</v>
      </c>
      <c r="G305" s="1">
        <v>20260402</v>
      </c>
      <c r="H305" t="b">
        <f t="shared" si="5"/>
        <v>0</v>
      </c>
      <c r="I305" t="str" cm="1">
        <f t="array" ref="I305">GET_TICKER_FINAL(C305)</f>
        <v/>
      </c>
      <c r="J305" s="5" t="s">
        <v>16</v>
      </c>
    </row>
    <row r="306" spans="1:10">
      <c r="A306">
        <v>305</v>
      </c>
      <c r="B306" s="1" t="s">
        <v>12</v>
      </c>
      <c r="C306" s="1" t="s">
        <v>325</v>
      </c>
      <c r="D306" s="1">
        <v>0</v>
      </c>
      <c r="E306" s="1">
        <v>3</v>
      </c>
      <c r="F306" s="1">
        <v>0.35</v>
      </c>
      <c r="G306" s="1">
        <v>20260326</v>
      </c>
      <c r="H306" t="b">
        <f t="shared" si="5"/>
        <v>0</v>
      </c>
      <c r="I306" t="str" cm="1">
        <f t="array" ref="I306">GET_TICKER_FINAL(C306)</f>
        <v/>
      </c>
      <c r="J306" s="5" t="s">
        <v>1792</v>
      </c>
    </row>
    <row r="307" spans="1:10">
      <c r="A307">
        <v>306</v>
      </c>
      <c r="B307" s="1" t="s">
        <v>12</v>
      </c>
      <c r="C307" s="1" t="s">
        <v>326</v>
      </c>
      <c r="D307" s="1">
        <v>0</v>
      </c>
      <c r="E307" s="1">
        <v>30</v>
      </c>
      <c r="F307" s="1">
        <v>0.42</v>
      </c>
      <c r="G307" s="1">
        <v>20260326</v>
      </c>
      <c r="H307" t="b">
        <f t="shared" si="5"/>
        <v>0</v>
      </c>
      <c r="I307" t="str" cm="1">
        <f t="array" ref="I307">GET_TICKER_FINAL(C307)</f>
        <v/>
      </c>
      <c r="J307" s="5" t="s">
        <v>1792</v>
      </c>
    </row>
    <row r="308" spans="1:10">
      <c r="A308">
        <v>307</v>
      </c>
      <c r="B308" s="1" t="s">
        <v>12</v>
      </c>
      <c r="C308" s="1" t="s">
        <v>327</v>
      </c>
      <c r="D308" s="1">
        <v>0</v>
      </c>
      <c r="E308" s="1">
        <v>63</v>
      </c>
      <c r="F308" s="1">
        <v>0.44</v>
      </c>
      <c r="G308" s="1">
        <v>20260402</v>
      </c>
      <c r="H308" t="b">
        <f t="shared" si="5"/>
        <v>0</v>
      </c>
      <c r="I308" t="str" cm="1">
        <f t="array" ref="I308">GET_TICKER_FINAL(C308)</f>
        <v/>
      </c>
      <c r="J308" s="5" t="s">
        <v>1792</v>
      </c>
    </row>
    <row r="309" spans="1:10">
      <c r="A309">
        <v>308</v>
      </c>
      <c r="B309" s="1" t="s">
        <v>12</v>
      </c>
      <c r="C309" s="1" t="s">
        <v>328</v>
      </c>
      <c r="D309" s="1">
        <v>0</v>
      </c>
      <c r="E309" s="1">
        <v>18</v>
      </c>
      <c r="F309" s="1">
        <v>0.36</v>
      </c>
      <c r="G309" s="1">
        <v>20260320</v>
      </c>
      <c r="H309" t="b">
        <f t="shared" si="5"/>
        <v>0</v>
      </c>
      <c r="I309" t="str" cm="1">
        <f t="array" ref="I309">GET_TICKER_FINAL(C309)</f>
        <v/>
      </c>
      <c r="J309" s="5" t="s">
        <v>1792</v>
      </c>
    </row>
    <row r="310" spans="1:10">
      <c r="A310">
        <v>309</v>
      </c>
      <c r="B310" s="1" t="s">
        <v>12</v>
      </c>
      <c r="C310" s="1" t="s">
        <v>329</v>
      </c>
      <c r="D310" s="1">
        <v>0</v>
      </c>
      <c r="E310" s="1">
        <v>12</v>
      </c>
      <c r="F310" s="1">
        <v>0.33</v>
      </c>
      <c r="G310" s="1">
        <v>20260320</v>
      </c>
      <c r="H310" t="b">
        <f t="shared" si="5"/>
        <v>0</v>
      </c>
      <c r="I310" t="str" cm="1">
        <f t="array" ref="I310">GET_TICKER_FINAL(C310)</f>
        <v/>
      </c>
      <c r="J310" s="5" t="s">
        <v>16</v>
      </c>
    </row>
    <row r="311" spans="1:10">
      <c r="A311">
        <v>310</v>
      </c>
      <c r="B311" s="1" t="s">
        <v>12</v>
      </c>
      <c r="C311" s="1" t="s">
        <v>330</v>
      </c>
      <c r="D311" s="1">
        <v>0</v>
      </c>
      <c r="E311" s="1">
        <v>5</v>
      </c>
      <c r="F311" s="1">
        <v>0.25</v>
      </c>
      <c r="G311" s="1">
        <v>20260326</v>
      </c>
      <c r="H311" t="b">
        <f t="shared" si="5"/>
        <v>0</v>
      </c>
      <c r="I311" t="str" cm="1">
        <f t="array" ref="I311">GET_TICKER_FINAL(C311)</f>
        <v/>
      </c>
      <c r="J311" s="5" t="s">
        <v>28</v>
      </c>
    </row>
    <row r="312" spans="1:10">
      <c r="A312">
        <v>311</v>
      </c>
      <c r="B312" s="1" t="s">
        <v>12</v>
      </c>
      <c r="C312" s="1" t="s">
        <v>331</v>
      </c>
      <c r="D312" s="1">
        <v>0</v>
      </c>
      <c r="E312" s="1">
        <v>4</v>
      </c>
      <c r="F312" s="1">
        <v>0.2</v>
      </c>
      <c r="G312" s="1">
        <v>20260402</v>
      </c>
      <c r="H312" t="b">
        <f t="shared" si="5"/>
        <v>0</v>
      </c>
      <c r="I312" t="str" cm="1">
        <f t="array" ref="I312">GET_TICKER_FINAL(C312)</f>
        <v/>
      </c>
      <c r="J312" s="5" t="s">
        <v>1792</v>
      </c>
    </row>
    <row r="313" spans="1:10">
      <c r="A313">
        <v>312</v>
      </c>
      <c r="B313" s="1" t="s">
        <v>12</v>
      </c>
      <c r="C313" s="1" t="s">
        <v>332</v>
      </c>
      <c r="D313" s="1">
        <v>0</v>
      </c>
      <c r="E313" s="1">
        <v>24</v>
      </c>
      <c r="F313" s="1">
        <v>0.41</v>
      </c>
      <c r="G313" s="1">
        <v>20260330</v>
      </c>
      <c r="H313" t="b">
        <f t="shared" si="5"/>
        <v>0</v>
      </c>
      <c r="I313" t="str" cm="1">
        <f t="array" ref="I313">GET_TICKER_FINAL(C313)</f>
        <v/>
      </c>
      <c r="J313" s="5" t="s">
        <v>1792</v>
      </c>
    </row>
    <row r="314" spans="1:10">
      <c r="A314">
        <v>313</v>
      </c>
      <c r="B314" s="1" t="s">
        <v>12</v>
      </c>
      <c r="C314" s="1" t="s">
        <v>333</v>
      </c>
      <c r="D314" s="1">
        <v>0</v>
      </c>
      <c r="E314" s="1">
        <v>22</v>
      </c>
      <c r="F314" s="1">
        <v>0.42</v>
      </c>
      <c r="G314" s="1">
        <v>20260330</v>
      </c>
      <c r="H314" t="b">
        <f t="shared" si="5"/>
        <v>0</v>
      </c>
      <c r="I314" t="str" cm="1">
        <f t="array" ref="I314">GET_TICKER_FINAL(C314)</f>
        <v/>
      </c>
      <c r="J314" s="5" t="s">
        <v>25</v>
      </c>
    </row>
    <row r="315" spans="1:10">
      <c r="A315">
        <v>314</v>
      </c>
      <c r="B315" s="1" t="s">
        <v>12</v>
      </c>
      <c r="C315" s="1" t="s">
        <v>334</v>
      </c>
      <c r="D315" s="1">
        <v>0</v>
      </c>
      <c r="E315" s="1">
        <v>27</v>
      </c>
      <c r="F315" s="1">
        <v>0.11</v>
      </c>
      <c r="G315" s="1">
        <v>20260330</v>
      </c>
      <c r="H315" t="b">
        <f t="shared" si="5"/>
        <v>0</v>
      </c>
      <c r="I315" t="str" cm="1">
        <f t="array" ref="I315">GET_TICKER_FINAL(C315)</f>
        <v/>
      </c>
      <c r="J315" s="5" t="s">
        <v>16</v>
      </c>
    </row>
    <row r="316" spans="1:10">
      <c r="A316">
        <v>315</v>
      </c>
      <c r="B316" s="1" t="s">
        <v>12</v>
      </c>
      <c r="C316" s="1" t="s">
        <v>335</v>
      </c>
      <c r="D316" s="1">
        <v>0</v>
      </c>
      <c r="E316" s="1">
        <v>5</v>
      </c>
      <c r="F316" s="1">
        <v>0.31</v>
      </c>
      <c r="G316" s="1">
        <v>20260320</v>
      </c>
      <c r="H316" t="b">
        <f t="shared" si="5"/>
        <v>0</v>
      </c>
      <c r="I316" t="str" cm="1">
        <f t="array" ref="I316">GET_TICKER_FINAL(C316)</f>
        <v/>
      </c>
      <c r="J316" s="5" t="s">
        <v>1792</v>
      </c>
    </row>
    <row r="317" spans="1:10">
      <c r="A317">
        <v>316</v>
      </c>
      <c r="B317" s="1" t="s">
        <v>12</v>
      </c>
      <c r="C317" s="1" t="s">
        <v>336</v>
      </c>
      <c r="D317" s="1">
        <v>0</v>
      </c>
      <c r="E317" s="1">
        <v>141</v>
      </c>
      <c r="F317" s="1">
        <v>0.42</v>
      </c>
      <c r="G317" s="1">
        <v>20260330</v>
      </c>
      <c r="H317" t="b">
        <f t="shared" si="5"/>
        <v>0</v>
      </c>
      <c r="I317" t="str" cm="1">
        <f t="array" ref="I317">GET_TICKER_FINAL(C317)</f>
        <v/>
      </c>
      <c r="J317" s="5" t="s">
        <v>1792</v>
      </c>
    </row>
    <row r="318" spans="1:10">
      <c r="A318">
        <v>317</v>
      </c>
      <c r="B318" s="1" t="s">
        <v>12</v>
      </c>
      <c r="C318" s="1" t="s">
        <v>337</v>
      </c>
      <c r="D318" s="1">
        <v>0</v>
      </c>
      <c r="E318" s="1">
        <v>4</v>
      </c>
      <c r="F318" s="1">
        <v>0.5</v>
      </c>
      <c r="G318" s="1">
        <v>20260320</v>
      </c>
      <c r="H318" t="b">
        <f t="shared" si="5"/>
        <v>0</v>
      </c>
      <c r="I318" t="str" cm="1">
        <f t="array" ref="I318">GET_TICKER_FINAL(C318)</f>
        <v/>
      </c>
      <c r="J318" s="5" t="s">
        <v>25</v>
      </c>
    </row>
    <row r="319" spans="1:10">
      <c r="A319">
        <v>318</v>
      </c>
      <c r="B319" s="1" t="s">
        <v>12</v>
      </c>
      <c r="C319" s="1" t="s">
        <v>338</v>
      </c>
      <c r="D319" s="1">
        <v>0</v>
      </c>
      <c r="E319" s="1">
        <v>67</v>
      </c>
      <c r="F319" s="1">
        <v>0.37</v>
      </c>
      <c r="G319" s="1">
        <v>20260330</v>
      </c>
      <c r="H319" t="b">
        <f t="shared" si="5"/>
        <v>0</v>
      </c>
      <c r="I319" t="str" cm="1">
        <f t="array" ref="I319">GET_TICKER_FINAL(C319)</f>
        <v/>
      </c>
      <c r="J319" s="5" t="s">
        <v>16</v>
      </c>
    </row>
    <row r="320" spans="1:10">
      <c r="A320">
        <v>319</v>
      </c>
      <c r="B320" s="1" t="s">
        <v>12</v>
      </c>
      <c r="C320" s="1" t="s">
        <v>339</v>
      </c>
      <c r="D320" s="1">
        <v>0</v>
      </c>
      <c r="E320" s="1">
        <v>31</v>
      </c>
      <c r="F320" s="1">
        <v>0.31</v>
      </c>
      <c r="G320" s="1">
        <v>20260330</v>
      </c>
      <c r="H320" t="b">
        <f t="shared" si="5"/>
        <v>0</v>
      </c>
      <c r="I320" t="str" cm="1">
        <f t="array" ref="I320">GET_TICKER_FINAL(C320)</f>
        <v/>
      </c>
      <c r="J320" s="5" t="s">
        <v>16</v>
      </c>
    </row>
    <row r="321" spans="1:10">
      <c r="A321">
        <v>320</v>
      </c>
      <c r="B321" s="1" t="s">
        <v>12</v>
      </c>
      <c r="C321" s="1" t="s">
        <v>340</v>
      </c>
      <c r="D321" s="1">
        <v>0</v>
      </c>
      <c r="E321" s="1">
        <v>14</v>
      </c>
      <c r="F321" s="1">
        <v>0.27</v>
      </c>
      <c r="G321" s="1">
        <v>20260330</v>
      </c>
      <c r="H321" t="b">
        <f t="shared" si="5"/>
        <v>0</v>
      </c>
      <c r="I321" t="str" cm="1">
        <f t="array" ref="I321">GET_TICKER_FINAL(C321)</f>
        <v/>
      </c>
      <c r="J321" s="5" t="s">
        <v>25</v>
      </c>
    </row>
    <row r="322" spans="1:10">
      <c r="A322">
        <v>321</v>
      </c>
      <c r="B322" s="1" t="s">
        <v>12</v>
      </c>
      <c r="C322" s="1" t="s">
        <v>341</v>
      </c>
      <c r="D322" s="1">
        <v>0</v>
      </c>
      <c r="E322" s="1">
        <v>13</v>
      </c>
      <c r="F322" s="1">
        <v>0.34</v>
      </c>
      <c r="G322" s="1">
        <v>20260330</v>
      </c>
      <c r="H322" t="b">
        <f t="shared" si="5"/>
        <v>0</v>
      </c>
      <c r="I322" t="str" cm="1">
        <f t="array" ref="I322">GET_TICKER_FINAL(C322)</f>
        <v/>
      </c>
      <c r="J322" s="5" t="s">
        <v>1792</v>
      </c>
    </row>
    <row r="323" spans="1:10">
      <c r="A323">
        <v>322</v>
      </c>
      <c r="B323" s="1" t="s">
        <v>12</v>
      </c>
      <c r="C323" s="1" t="s">
        <v>342</v>
      </c>
      <c r="D323" s="1">
        <v>0</v>
      </c>
      <c r="E323" s="1">
        <v>10</v>
      </c>
      <c r="F323" s="1">
        <v>0.38</v>
      </c>
      <c r="G323" s="1">
        <v>20260326</v>
      </c>
      <c r="H323" t="b">
        <f t="shared" ref="H323:H386" si="6">OR(ISNUMBER(SEARCH("$A",C323)),ISNUMBER(SEARCH("$B",C323)),ISNUMBER(SEARCH("$C",C323)),ISNUMBER(SEARCH("$D",C323)),ISNUMBER(SEARCH("$E",C323)),ISNUMBER(SEARCH("$F",C323)),ISNUMBER(SEARCH("$G",C323)),ISNUMBER(SEARCH("$H",C323)),ISNUMBER(SEARCH("$I",C323)),ISNUMBER(SEARCH("$J",C323)),ISNUMBER(SEARCH("$K",C323)),ISNUMBER(SEARCH("$L",C323)),ISNUMBER(SEARCH("$M",C323)),ISNUMBER(SEARCH("$N",C323)),ISNUMBER(SEARCH("$O",C323)),ISNUMBER(SEARCH("$P",C323)),ISNUMBER(SEARCH("$Q",C323)),ISNUMBER(SEARCH("$R",C323)),ISNUMBER(SEARCH("$S",C323)),ISNUMBER(SEARCH("$T",C323)),ISNUMBER(SEARCH("$U",C323)),ISNUMBER(SEARCH("$V",C323)),ISNUMBER(SEARCH("$W",C323)),ISNUMBER(SEARCH("$X",C323)),ISNUMBER(SEARCH("$Y",C323)),ISNUMBER(SEARCH("$Z",C323)))</f>
        <v>0</v>
      </c>
      <c r="I323" t="str" cm="1">
        <f t="array" ref="I323">GET_TICKER_FINAL(C323)</f>
        <v/>
      </c>
      <c r="J323" s="5" t="s">
        <v>16</v>
      </c>
    </row>
    <row r="324" spans="1:10">
      <c r="A324">
        <v>323</v>
      </c>
      <c r="B324" s="1" t="s">
        <v>12</v>
      </c>
      <c r="C324" s="1" t="s">
        <v>343</v>
      </c>
      <c r="D324" s="1">
        <v>0</v>
      </c>
      <c r="E324" s="1">
        <v>9</v>
      </c>
      <c r="F324" s="1">
        <v>0.33</v>
      </c>
      <c r="G324" s="1">
        <v>20260326</v>
      </c>
      <c r="H324" t="b">
        <f t="shared" si="6"/>
        <v>0</v>
      </c>
      <c r="I324" t="str" cm="1">
        <f t="array" ref="I324">GET_TICKER_FINAL(C324)</f>
        <v/>
      </c>
      <c r="J324" s="5" t="s">
        <v>16</v>
      </c>
    </row>
    <row r="325" spans="1:10">
      <c r="A325">
        <v>324</v>
      </c>
      <c r="B325" s="1" t="s">
        <v>12</v>
      </c>
      <c r="C325" s="1" t="s">
        <v>344</v>
      </c>
      <c r="D325" s="1">
        <v>0</v>
      </c>
      <c r="E325" s="1">
        <v>30</v>
      </c>
      <c r="F325" s="1">
        <v>0.34</v>
      </c>
      <c r="G325" s="1">
        <v>20260320</v>
      </c>
      <c r="H325" t="b">
        <f t="shared" si="6"/>
        <v>0</v>
      </c>
      <c r="I325" t="str" cm="1">
        <f t="array" ref="I325">GET_TICKER_FINAL(C325)</f>
        <v/>
      </c>
      <c r="J325" s="5" t="s">
        <v>25</v>
      </c>
    </row>
    <row r="326" spans="1:10">
      <c r="A326">
        <v>325</v>
      </c>
      <c r="B326" s="1" t="s">
        <v>12</v>
      </c>
      <c r="C326" s="1" t="s">
        <v>345</v>
      </c>
      <c r="D326" s="1">
        <v>0</v>
      </c>
      <c r="E326" s="1">
        <v>42</v>
      </c>
      <c r="F326" s="1">
        <v>0.5</v>
      </c>
      <c r="G326" s="1">
        <v>20260330</v>
      </c>
      <c r="H326" t="b">
        <f t="shared" si="6"/>
        <v>0</v>
      </c>
      <c r="I326" t="str" cm="1">
        <f t="array" ref="I326">GET_TICKER_FINAL(C326)</f>
        <v>MU</v>
      </c>
      <c r="J326" s="5" t="s">
        <v>1792</v>
      </c>
    </row>
    <row r="327" spans="1:10">
      <c r="A327">
        <v>326</v>
      </c>
      <c r="B327" s="1" t="s">
        <v>12</v>
      </c>
      <c r="C327" s="1" t="s">
        <v>346</v>
      </c>
      <c r="D327" s="1">
        <v>0</v>
      </c>
      <c r="E327" s="1">
        <v>51</v>
      </c>
      <c r="F327" s="1">
        <v>0.39</v>
      </c>
      <c r="G327" s="1">
        <v>20260330</v>
      </c>
      <c r="H327" t="b">
        <f t="shared" si="6"/>
        <v>0</v>
      </c>
      <c r="I327" t="str" cm="1">
        <f t="array" ref="I327">GET_TICKER_FINAL(C327)</f>
        <v>COST</v>
      </c>
      <c r="J327" s="5" t="s">
        <v>1792</v>
      </c>
    </row>
    <row r="328" spans="1:10">
      <c r="A328">
        <v>327</v>
      </c>
      <c r="B328" s="1" t="s">
        <v>12</v>
      </c>
      <c r="C328" s="1" t="s">
        <v>347</v>
      </c>
      <c r="D328" s="1">
        <v>0</v>
      </c>
      <c r="E328" s="1">
        <v>8</v>
      </c>
      <c r="F328" s="1">
        <v>0.31</v>
      </c>
      <c r="G328" s="1">
        <v>20260320</v>
      </c>
      <c r="H328" t="b">
        <f t="shared" si="6"/>
        <v>0</v>
      </c>
      <c r="I328" t="str" cm="1">
        <f t="array" ref="I328">GET_TICKER_FINAL(C328)</f>
        <v/>
      </c>
      <c r="J328" s="5" t="s">
        <v>1792</v>
      </c>
    </row>
    <row r="329" spans="1:10">
      <c r="A329">
        <v>328</v>
      </c>
      <c r="B329" s="1" t="s">
        <v>12</v>
      </c>
      <c r="C329" s="1" t="s">
        <v>348</v>
      </c>
      <c r="D329" s="1">
        <v>0</v>
      </c>
      <c r="E329" s="1">
        <v>62</v>
      </c>
      <c r="F329" s="1">
        <v>0.39</v>
      </c>
      <c r="G329" s="1">
        <v>20260330</v>
      </c>
      <c r="H329" t="b">
        <f t="shared" si="6"/>
        <v>0</v>
      </c>
      <c r="I329" t="str" cm="1">
        <f t="array" ref="I329">GET_TICKER_FINAL(C329)</f>
        <v/>
      </c>
      <c r="J329" s="5" t="s">
        <v>1792</v>
      </c>
    </row>
    <row r="330" spans="1:10">
      <c r="A330">
        <v>329</v>
      </c>
      <c r="B330" s="1" t="s">
        <v>12</v>
      </c>
      <c r="C330" s="1" t="s">
        <v>349</v>
      </c>
      <c r="D330" s="1">
        <v>0</v>
      </c>
      <c r="E330" s="1">
        <v>9</v>
      </c>
      <c r="F330" s="1">
        <v>0.28999999999999998</v>
      </c>
      <c r="G330" s="1">
        <v>20260320</v>
      </c>
      <c r="H330" t="b">
        <f t="shared" si="6"/>
        <v>0</v>
      </c>
      <c r="I330" t="str" cm="1">
        <f t="array" ref="I330">GET_TICKER_FINAL(C330)</f>
        <v/>
      </c>
      <c r="J330" s="5" t="s">
        <v>1792</v>
      </c>
    </row>
    <row r="331" spans="1:10">
      <c r="A331">
        <v>330</v>
      </c>
      <c r="B331" s="1" t="s">
        <v>12</v>
      </c>
      <c r="C331" s="1" t="s">
        <v>350</v>
      </c>
      <c r="D331" s="1">
        <v>0</v>
      </c>
      <c r="E331" s="1">
        <v>13</v>
      </c>
      <c r="F331" s="1">
        <v>0.38</v>
      </c>
      <c r="G331" s="1">
        <v>20260320</v>
      </c>
      <c r="H331" t="b">
        <f t="shared" si="6"/>
        <v>0</v>
      </c>
      <c r="I331" t="str" cm="1">
        <f t="array" ref="I331">GET_TICKER_FINAL(C331)</f>
        <v/>
      </c>
      <c r="J331" s="5" t="s">
        <v>1792</v>
      </c>
    </row>
    <row r="332" spans="1:10">
      <c r="A332">
        <v>331</v>
      </c>
      <c r="B332" s="1" t="s">
        <v>12</v>
      </c>
      <c r="C332" s="1" t="s">
        <v>351</v>
      </c>
      <c r="D332" s="1">
        <v>0</v>
      </c>
      <c r="E332" s="1">
        <v>18</v>
      </c>
      <c r="F332" s="1">
        <v>0.48</v>
      </c>
      <c r="G332" s="1">
        <v>20260326</v>
      </c>
      <c r="H332" t="b">
        <f t="shared" si="6"/>
        <v>0</v>
      </c>
      <c r="I332" t="str" cm="1">
        <f t="array" ref="I332">GET_TICKER_FINAL(C332)</f>
        <v/>
      </c>
      <c r="J332" s="5" t="s">
        <v>16</v>
      </c>
    </row>
    <row r="333" spans="1:10">
      <c r="A333">
        <v>332</v>
      </c>
      <c r="B333" s="1" t="s">
        <v>12</v>
      </c>
      <c r="C333" s="1" t="s">
        <v>352</v>
      </c>
      <c r="D333" s="1">
        <v>0</v>
      </c>
      <c r="E333" s="1">
        <v>7</v>
      </c>
      <c r="F333" s="1">
        <v>0.27</v>
      </c>
      <c r="G333" s="1">
        <v>20260320</v>
      </c>
      <c r="H333" t="b">
        <f t="shared" si="6"/>
        <v>0</v>
      </c>
      <c r="I333" t="str" cm="1">
        <f t="array" ref="I333">GET_TICKER_FINAL(C333)</f>
        <v/>
      </c>
      <c r="J333" s="5" t="s">
        <v>16</v>
      </c>
    </row>
    <row r="334" spans="1:10">
      <c r="A334">
        <v>333</v>
      </c>
      <c r="B334" s="1" t="s">
        <v>12</v>
      </c>
      <c r="C334" s="1" t="s">
        <v>353</v>
      </c>
      <c r="D334" s="1">
        <v>0</v>
      </c>
      <c r="E334" s="1">
        <v>2</v>
      </c>
      <c r="F334" s="1">
        <v>0.4</v>
      </c>
      <c r="G334" s="1">
        <v>20260330</v>
      </c>
      <c r="H334" t="b">
        <f t="shared" si="6"/>
        <v>0</v>
      </c>
      <c r="I334" t="str" cm="1">
        <f t="array" ref="I334">GET_TICKER_FINAL(C334)</f>
        <v/>
      </c>
      <c r="J334" s="5" t="s">
        <v>1792</v>
      </c>
    </row>
    <row r="335" spans="1:10">
      <c r="A335">
        <v>334</v>
      </c>
      <c r="B335" s="1" t="s">
        <v>12</v>
      </c>
      <c r="C335" s="1" t="s">
        <v>354</v>
      </c>
      <c r="D335" s="1">
        <v>0</v>
      </c>
      <c r="E335" s="1">
        <v>16</v>
      </c>
      <c r="F335" s="1">
        <v>0.19</v>
      </c>
      <c r="G335" s="1">
        <v>20260320</v>
      </c>
      <c r="H335" t="b">
        <f t="shared" si="6"/>
        <v>0</v>
      </c>
      <c r="I335" t="str" cm="1">
        <f t="array" ref="I335">GET_TICKER_FINAL(C335)</f>
        <v/>
      </c>
      <c r="J335" s="5" t="s">
        <v>1792</v>
      </c>
    </row>
    <row r="336" spans="1:10">
      <c r="A336">
        <v>335</v>
      </c>
      <c r="B336" s="1" t="s">
        <v>12</v>
      </c>
      <c r="C336" s="1" t="s">
        <v>355</v>
      </c>
      <c r="D336" s="1">
        <v>0</v>
      </c>
      <c r="E336" s="1">
        <v>0</v>
      </c>
      <c r="F336" s="1">
        <v>0.27</v>
      </c>
      <c r="G336" s="1">
        <v>20260330</v>
      </c>
      <c r="H336" t="b">
        <f t="shared" si="6"/>
        <v>0</v>
      </c>
      <c r="I336" t="str" cm="1">
        <f t="array" ref="I336">GET_TICKER_FINAL(C336)</f>
        <v/>
      </c>
      <c r="J336" s="5" t="s">
        <v>28</v>
      </c>
    </row>
    <row r="337" spans="1:10">
      <c r="A337">
        <v>336</v>
      </c>
      <c r="B337" s="1" t="s">
        <v>12</v>
      </c>
      <c r="C337" s="1" t="s">
        <v>356</v>
      </c>
      <c r="D337" s="1">
        <v>0</v>
      </c>
      <c r="E337" s="1">
        <v>10</v>
      </c>
      <c r="F337" s="1">
        <v>0.47</v>
      </c>
      <c r="G337" s="1">
        <v>20260320</v>
      </c>
      <c r="H337" t="b">
        <f t="shared" si="6"/>
        <v>0</v>
      </c>
      <c r="I337" t="str" cm="1">
        <f t="array" ref="I337">GET_TICKER_FINAL(C337)</f>
        <v/>
      </c>
      <c r="J337" s="5" t="s">
        <v>25</v>
      </c>
    </row>
    <row r="338" spans="1:10">
      <c r="A338">
        <v>337</v>
      </c>
      <c r="B338" s="1" t="s">
        <v>12</v>
      </c>
      <c r="C338" s="1" t="s">
        <v>357</v>
      </c>
      <c r="D338" s="1">
        <v>0</v>
      </c>
      <c r="E338" s="1">
        <v>43</v>
      </c>
      <c r="F338" s="1">
        <v>0.38</v>
      </c>
      <c r="G338" s="1">
        <v>20260320</v>
      </c>
      <c r="H338" t="b">
        <f t="shared" si="6"/>
        <v>0</v>
      </c>
      <c r="I338" t="str" cm="1">
        <f t="array" ref="I338">GET_TICKER_FINAL(C338)</f>
        <v/>
      </c>
      <c r="J338" s="5" t="s">
        <v>1792</v>
      </c>
    </row>
    <row r="339" spans="1:10">
      <c r="A339">
        <v>338</v>
      </c>
      <c r="B339" s="1" t="s">
        <v>12</v>
      </c>
      <c r="C339" s="1" t="s">
        <v>358</v>
      </c>
      <c r="D339" s="1">
        <v>0</v>
      </c>
      <c r="E339" s="1">
        <v>16</v>
      </c>
      <c r="F339" s="1">
        <v>0.38</v>
      </c>
      <c r="G339" s="1">
        <v>20260330</v>
      </c>
      <c r="H339" t="b">
        <f t="shared" si="6"/>
        <v>0</v>
      </c>
      <c r="I339" t="str" cm="1">
        <f t="array" ref="I339">GET_TICKER_FINAL(C339)</f>
        <v/>
      </c>
      <c r="J339" s="5" t="s">
        <v>1792</v>
      </c>
    </row>
    <row r="340" spans="1:10">
      <c r="A340">
        <v>339</v>
      </c>
      <c r="B340" s="1" t="s">
        <v>12</v>
      </c>
      <c r="C340" s="1" t="s">
        <v>359</v>
      </c>
      <c r="D340" s="1">
        <v>0</v>
      </c>
      <c r="E340" s="1">
        <v>6</v>
      </c>
      <c r="F340" s="1">
        <v>0.25</v>
      </c>
      <c r="G340" s="1">
        <v>20260330</v>
      </c>
      <c r="H340" t="b">
        <f t="shared" si="6"/>
        <v>0</v>
      </c>
      <c r="I340" t="str" cm="1">
        <f t="array" ref="I340">GET_TICKER_FINAL(C340)</f>
        <v/>
      </c>
      <c r="J340" s="5" t="s">
        <v>16</v>
      </c>
    </row>
    <row r="341" spans="1:10">
      <c r="A341">
        <v>340</v>
      </c>
      <c r="B341" s="1" t="s">
        <v>12</v>
      </c>
      <c r="C341" s="1" t="s">
        <v>360</v>
      </c>
      <c r="D341" s="1">
        <v>0</v>
      </c>
      <c r="E341" s="1">
        <v>11</v>
      </c>
      <c r="F341" s="1">
        <v>0.23</v>
      </c>
      <c r="G341" s="1">
        <v>20260320</v>
      </c>
      <c r="H341" t="b">
        <f t="shared" si="6"/>
        <v>0</v>
      </c>
      <c r="I341" t="str" cm="1">
        <f t="array" ref="I341">GET_TICKER_FINAL(C341)</f>
        <v/>
      </c>
      <c r="J341" s="5" t="s">
        <v>25</v>
      </c>
    </row>
    <row r="342" spans="1:10">
      <c r="A342">
        <v>341</v>
      </c>
      <c r="B342" s="1" t="s">
        <v>12</v>
      </c>
      <c r="C342" s="1" t="s">
        <v>361</v>
      </c>
      <c r="D342" s="1">
        <v>0</v>
      </c>
      <c r="E342" s="1">
        <v>14</v>
      </c>
      <c r="F342" s="1">
        <v>0.41</v>
      </c>
      <c r="G342" s="1">
        <v>20260326</v>
      </c>
      <c r="H342" t="b">
        <f t="shared" si="6"/>
        <v>0</v>
      </c>
      <c r="I342" t="str" cm="1">
        <f t="array" ref="I342">GET_TICKER_FINAL(C342)</f>
        <v/>
      </c>
      <c r="J342" s="5" t="s">
        <v>1792</v>
      </c>
    </row>
    <row r="343" spans="1:10">
      <c r="A343">
        <v>342</v>
      </c>
      <c r="B343" s="1" t="s">
        <v>12</v>
      </c>
      <c r="C343" s="1" t="s">
        <v>362</v>
      </c>
      <c r="D343" s="1">
        <v>0</v>
      </c>
      <c r="E343" s="1">
        <v>25</v>
      </c>
      <c r="F343" s="1">
        <v>0.44</v>
      </c>
      <c r="G343" s="1">
        <v>20260326</v>
      </c>
      <c r="H343" t="b">
        <f t="shared" si="6"/>
        <v>0</v>
      </c>
      <c r="I343" t="str" cm="1">
        <f t="array" ref="I343">GET_TICKER_FINAL(C343)</f>
        <v/>
      </c>
      <c r="J343" s="5" t="s">
        <v>16</v>
      </c>
    </row>
    <row r="344" spans="1:10">
      <c r="A344">
        <v>343</v>
      </c>
      <c r="B344" s="1" t="s">
        <v>12</v>
      </c>
      <c r="C344" s="1" t="s">
        <v>363</v>
      </c>
      <c r="D344" s="1">
        <v>0</v>
      </c>
      <c r="E344" s="1">
        <v>20</v>
      </c>
      <c r="F344" s="1">
        <v>0.38</v>
      </c>
      <c r="G344" s="1">
        <v>20260320</v>
      </c>
      <c r="H344" t="b">
        <f t="shared" si="6"/>
        <v>0</v>
      </c>
      <c r="I344" t="str" cm="1">
        <f t="array" ref="I344">GET_TICKER_FINAL(C344)</f>
        <v/>
      </c>
      <c r="J344" s="5" t="s">
        <v>28</v>
      </c>
    </row>
    <row r="345" spans="1:10">
      <c r="A345">
        <v>344</v>
      </c>
      <c r="B345" s="1" t="s">
        <v>12</v>
      </c>
      <c r="C345" s="1" t="s">
        <v>364</v>
      </c>
      <c r="D345" s="1">
        <v>0</v>
      </c>
      <c r="E345" s="1">
        <v>25</v>
      </c>
      <c r="F345" s="1">
        <v>0.35</v>
      </c>
      <c r="G345" s="1">
        <v>20260330</v>
      </c>
      <c r="H345" t="b">
        <f t="shared" si="6"/>
        <v>0</v>
      </c>
      <c r="I345" t="str" cm="1">
        <f t="array" ref="I345">GET_TICKER_FINAL(C345)</f>
        <v/>
      </c>
      <c r="J345" s="5" t="s">
        <v>1792</v>
      </c>
    </row>
    <row r="346" spans="1:10">
      <c r="A346">
        <v>345</v>
      </c>
      <c r="B346" s="1" t="s">
        <v>12</v>
      </c>
      <c r="C346" s="1" t="s">
        <v>365</v>
      </c>
      <c r="D346" s="1">
        <v>0</v>
      </c>
      <c r="E346" s="1">
        <v>26</v>
      </c>
      <c r="F346" s="1">
        <v>0.5</v>
      </c>
      <c r="G346" s="1">
        <v>20260402</v>
      </c>
      <c r="H346" t="b">
        <f t="shared" si="6"/>
        <v>0</v>
      </c>
      <c r="I346" t="str" cm="1">
        <f t="array" ref="I346">GET_TICKER_FINAL(C346)</f>
        <v/>
      </c>
      <c r="J346" s="5" t="s">
        <v>16</v>
      </c>
    </row>
    <row r="347" spans="1:10">
      <c r="A347">
        <v>346</v>
      </c>
      <c r="B347" s="1" t="s">
        <v>12</v>
      </c>
      <c r="C347" s="1" t="s">
        <v>366</v>
      </c>
      <c r="D347" s="1">
        <v>0</v>
      </c>
      <c r="E347" s="1">
        <v>8</v>
      </c>
      <c r="F347" s="1">
        <v>0.18</v>
      </c>
      <c r="G347" s="1">
        <v>20260320</v>
      </c>
      <c r="H347" t="b">
        <f t="shared" si="6"/>
        <v>0</v>
      </c>
      <c r="I347" t="str" cm="1">
        <f t="array" ref="I347">GET_TICKER_FINAL(C347)</f>
        <v/>
      </c>
      <c r="J347" s="5" t="s">
        <v>28</v>
      </c>
    </row>
    <row r="348" spans="1:10">
      <c r="A348">
        <v>347</v>
      </c>
      <c r="B348" s="1" t="s">
        <v>12</v>
      </c>
      <c r="C348" s="1" t="s">
        <v>367</v>
      </c>
      <c r="D348" s="1">
        <v>0</v>
      </c>
      <c r="E348" s="1">
        <v>43</v>
      </c>
      <c r="F348" s="1">
        <v>0.44</v>
      </c>
      <c r="G348" s="1">
        <v>20260326</v>
      </c>
      <c r="H348" t="b">
        <f t="shared" si="6"/>
        <v>0</v>
      </c>
      <c r="I348" t="str" cm="1">
        <f t="array" ref="I348">GET_TICKER_FINAL(C348)</f>
        <v/>
      </c>
      <c r="J348" s="5" t="s">
        <v>16</v>
      </c>
    </row>
    <row r="349" spans="1:10">
      <c r="A349">
        <v>348</v>
      </c>
      <c r="B349" s="1" t="s">
        <v>12</v>
      </c>
      <c r="C349" s="1" t="s">
        <v>368</v>
      </c>
      <c r="D349" s="1">
        <v>0</v>
      </c>
      <c r="E349" s="1">
        <v>23</v>
      </c>
      <c r="F349" s="1">
        <v>0.18</v>
      </c>
      <c r="G349" s="1">
        <v>20260320</v>
      </c>
      <c r="H349" t="b">
        <f t="shared" si="6"/>
        <v>0</v>
      </c>
      <c r="I349" t="str" cm="1">
        <f t="array" ref="I349">GET_TICKER_FINAL(C349)</f>
        <v/>
      </c>
      <c r="J349" s="5" t="s">
        <v>1792</v>
      </c>
    </row>
    <row r="350" spans="1:10">
      <c r="A350">
        <v>349</v>
      </c>
      <c r="B350" s="1" t="s">
        <v>12</v>
      </c>
      <c r="C350" s="1" t="s">
        <v>369</v>
      </c>
      <c r="D350" s="1">
        <v>0</v>
      </c>
      <c r="E350" s="1">
        <v>22</v>
      </c>
      <c r="F350" s="1">
        <v>0.44</v>
      </c>
      <c r="G350" s="1">
        <v>20260330</v>
      </c>
      <c r="H350" t="b">
        <f t="shared" si="6"/>
        <v>0</v>
      </c>
      <c r="I350" t="str" cm="1">
        <f t="array" ref="I350">GET_TICKER_FINAL(C350)</f>
        <v/>
      </c>
      <c r="J350" s="5" t="s">
        <v>16</v>
      </c>
    </row>
    <row r="351" spans="1:10">
      <c r="A351">
        <v>350</v>
      </c>
      <c r="B351" s="1" t="s">
        <v>12</v>
      </c>
      <c r="C351" s="1" t="s">
        <v>370</v>
      </c>
      <c r="D351" s="1">
        <v>0</v>
      </c>
      <c r="E351" s="1">
        <v>19</v>
      </c>
      <c r="F351" s="1">
        <v>0.41</v>
      </c>
      <c r="G351" s="1">
        <v>20260402</v>
      </c>
      <c r="H351" t="b">
        <f t="shared" si="6"/>
        <v>0</v>
      </c>
      <c r="I351" t="str" cm="1">
        <f t="array" ref="I351">GET_TICKER_FINAL(C351)</f>
        <v/>
      </c>
      <c r="J351" s="5" t="s">
        <v>1792</v>
      </c>
    </row>
    <row r="352" spans="1:10">
      <c r="A352">
        <v>351</v>
      </c>
      <c r="B352" s="1" t="s">
        <v>12</v>
      </c>
      <c r="C352" s="1" t="s">
        <v>371</v>
      </c>
      <c r="D352" s="1">
        <v>0</v>
      </c>
      <c r="E352" s="1">
        <v>0</v>
      </c>
      <c r="F352" s="1">
        <v>0.45</v>
      </c>
      <c r="G352" s="1">
        <v>20260320</v>
      </c>
      <c r="H352" t="b">
        <f t="shared" si="6"/>
        <v>0</v>
      </c>
      <c r="I352" t="str" cm="1">
        <f t="array" ref="I352">GET_TICKER_FINAL(C352)</f>
        <v/>
      </c>
      <c r="J352" s="5" t="s">
        <v>25</v>
      </c>
    </row>
    <row r="353" spans="1:10">
      <c r="A353">
        <v>352</v>
      </c>
      <c r="B353" s="1" t="s">
        <v>12</v>
      </c>
      <c r="C353" s="1" t="s">
        <v>372</v>
      </c>
      <c r="D353" s="1">
        <v>0</v>
      </c>
      <c r="E353" s="1">
        <v>24</v>
      </c>
      <c r="F353" s="1">
        <v>0.41</v>
      </c>
      <c r="G353" s="1">
        <v>20260330</v>
      </c>
      <c r="H353" t="b">
        <f t="shared" si="6"/>
        <v>0</v>
      </c>
      <c r="I353" t="str" cm="1">
        <f t="array" ref="I353">GET_TICKER_FINAL(C353)</f>
        <v>COST</v>
      </c>
      <c r="J353" s="5" t="s">
        <v>1792</v>
      </c>
    </row>
    <row r="354" spans="1:10">
      <c r="A354">
        <v>353</v>
      </c>
      <c r="B354" s="1" t="s">
        <v>12</v>
      </c>
      <c r="C354" s="1" t="s">
        <v>373</v>
      </c>
      <c r="D354" s="1">
        <v>0</v>
      </c>
      <c r="E354" s="1">
        <v>36</v>
      </c>
      <c r="F354" s="1">
        <v>0.36</v>
      </c>
      <c r="G354" s="1">
        <v>20260330</v>
      </c>
      <c r="H354" t="b">
        <f t="shared" si="6"/>
        <v>0</v>
      </c>
      <c r="I354" t="str" cm="1">
        <f t="array" ref="I354">GET_TICKER_FINAL(C354)</f>
        <v/>
      </c>
      <c r="J354" s="5" t="s">
        <v>1792</v>
      </c>
    </row>
    <row r="355" spans="1:10">
      <c r="A355">
        <v>354</v>
      </c>
      <c r="B355" s="1" t="s">
        <v>12</v>
      </c>
      <c r="C355" s="1" t="s">
        <v>374</v>
      </c>
      <c r="D355" s="1">
        <v>0</v>
      </c>
      <c r="E355" s="1">
        <v>11</v>
      </c>
      <c r="F355" s="1">
        <v>0.41</v>
      </c>
      <c r="G355" s="1">
        <v>20260326</v>
      </c>
      <c r="H355" t="b">
        <f t="shared" si="6"/>
        <v>0</v>
      </c>
      <c r="I355" t="str" cm="1">
        <f t="array" ref="I355">GET_TICKER_FINAL(C355)</f>
        <v/>
      </c>
      <c r="J355" s="5" t="s">
        <v>1792</v>
      </c>
    </row>
    <row r="356" spans="1:10">
      <c r="A356">
        <v>355</v>
      </c>
      <c r="B356" s="1" t="s">
        <v>12</v>
      </c>
      <c r="C356" s="1" t="s">
        <v>375</v>
      </c>
      <c r="D356" s="1">
        <v>0</v>
      </c>
      <c r="E356" s="1">
        <v>20</v>
      </c>
      <c r="F356" s="1">
        <v>0.35</v>
      </c>
      <c r="G356" s="1">
        <v>20260326</v>
      </c>
      <c r="H356" t="b">
        <f t="shared" si="6"/>
        <v>0</v>
      </c>
      <c r="I356" t="str" cm="1">
        <f t="array" ref="I356">GET_TICKER_FINAL(C356)</f>
        <v/>
      </c>
      <c r="J356" s="5" t="s">
        <v>25</v>
      </c>
    </row>
    <row r="357" spans="1:10">
      <c r="A357">
        <v>356</v>
      </c>
      <c r="B357" s="1" t="s">
        <v>12</v>
      </c>
      <c r="C357" s="1" t="s">
        <v>376</v>
      </c>
      <c r="D357" s="1">
        <v>0</v>
      </c>
      <c r="E357" s="1">
        <v>1</v>
      </c>
      <c r="F357" s="1">
        <v>0.5</v>
      </c>
      <c r="G357" s="1">
        <v>20260330</v>
      </c>
      <c r="H357" t="b">
        <f t="shared" si="6"/>
        <v>0</v>
      </c>
      <c r="I357" t="str" cm="1">
        <f t="array" ref="I357">GET_TICKER_FINAL(C357)</f>
        <v/>
      </c>
      <c r="J357" s="5" t="s">
        <v>16</v>
      </c>
    </row>
    <row r="358" spans="1:10">
      <c r="A358">
        <v>357</v>
      </c>
      <c r="B358" s="1" t="s">
        <v>12</v>
      </c>
      <c r="C358" s="1" t="s">
        <v>377</v>
      </c>
      <c r="D358" s="1">
        <v>0</v>
      </c>
      <c r="E358" s="1">
        <v>14</v>
      </c>
      <c r="F358" s="1">
        <v>0.42</v>
      </c>
      <c r="G358" s="1">
        <v>20260320</v>
      </c>
      <c r="H358" t="b">
        <f t="shared" si="6"/>
        <v>0</v>
      </c>
      <c r="I358" t="str" cm="1">
        <f t="array" ref="I358">GET_TICKER_FINAL(C358)</f>
        <v/>
      </c>
      <c r="J358" s="5" t="s">
        <v>28</v>
      </c>
    </row>
    <row r="359" spans="1:10">
      <c r="A359">
        <v>358</v>
      </c>
      <c r="B359" s="1" t="s">
        <v>12</v>
      </c>
      <c r="C359" s="1" t="s">
        <v>378</v>
      </c>
      <c r="D359" s="1">
        <v>0</v>
      </c>
      <c r="E359" s="1">
        <v>17</v>
      </c>
      <c r="F359" s="1">
        <v>0.31</v>
      </c>
      <c r="G359" s="1">
        <v>20260320</v>
      </c>
      <c r="H359" t="b">
        <f t="shared" si="6"/>
        <v>0</v>
      </c>
      <c r="I359" t="str" cm="1">
        <f t="array" ref="I359">GET_TICKER_FINAL(C359)</f>
        <v/>
      </c>
      <c r="J359" s="5" t="s">
        <v>1792</v>
      </c>
    </row>
    <row r="360" spans="1:10">
      <c r="A360">
        <v>359</v>
      </c>
      <c r="B360" s="1" t="s">
        <v>12</v>
      </c>
      <c r="C360" s="1" t="s">
        <v>379</v>
      </c>
      <c r="D360" s="1">
        <v>0</v>
      </c>
      <c r="E360" s="1">
        <v>22</v>
      </c>
      <c r="F360" s="1">
        <v>0.32</v>
      </c>
      <c r="G360" s="1">
        <v>20260330</v>
      </c>
      <c r="H360" t="b">
        <f t="shared" si="6"/>
        <v>0</v>
      </c>
      <c r="I360" t="str" cm="1">
        <f t="array" ref="I360">GET_TICKER_FINAL(C360)</f>
        <v/>
      </c>
      <c r="J360" s="5" t="s">
        <v>16</v>
      </c>
    </row>
    <row r="361" spans="1:10">
      <c r="A361">
        <v>360</v>
      </c>
      <c r="B361" s="1" t="s">
        <v>12</v>
      </c>
      <c r="C361" s="1" t="s">
        <v>380</v>
      </c>
      <c r="D361" s="1">
        <v>0</v>
      </c>
      <c r="E361" s="1">
        <v>24</v>
      </c>
      <c r="F361" s="1">
        <v>0.15</v>
      </c>
      <c r="G361" s="1">
        <v>20260320</v>
      </c>
      <c r="H361" t="b">
        <f t="shared" si="6"/>
        <v>0</v>
      </c>
      <c r="I361" t="str" cm="1">
        <f t="array" ref="I361">GET_TICKER_FINAL(C361)</f>
        <v/>
      </c>
      <c r="J361" s="5" t="s">
        <v>16</v>
      </c>
    </row>
    <row r="362" spans="1:10">
      <c r="A362">
        <v>361</v>
      </c>
      <c r="B362" s="1" t="s">
        <v>12</v>
      </c>
      <c r="C362" s="1" t="s">
        <v>381</v>
      </c>
      <c r="D362" s="1">
        <v>0</v>
      </c>
      <c r="E362" s="1">
        <v>13</v>
      </c>
      <c r="F362" s="1">
        <v>0.32</v>
      </c>
      <c r="G362" s="1">
        <v>20260402</v>
      </c>
      <c r="H362" t="b">
        <f t="shared" si="6"/>
        <v>0</v>
      </c>
      <c r="I362" t="str" cm="1">
        <f t="array" ref="I362">GET_TICKER_FINAL(C362)</f>
        <v/>
      </c>
      <c r="J362" s="5" t="s">
        <v>1792</v>
      </c>
    </row>
    <row r="363" spans="1:10">
      <c r="A363">
        <v>362</v>
      </c>
      <c r="B363" s="1" t="s">
        <v>12</v>
      </c>
      <c r="C363" s="1" t="s">
        <v>382</v>
      </c>
      <c r="D363" s="1">
        <v>0</v>
      </c>
      <c r="E363" s="1">
        <v>2</v>
      </c>
      <c r="F363" s="1">
        <v>0.2</v>
      </c>
      <c r="G363" s="1">
        <v>20260320</v>
      </c>
      <c r="H363" t="b">
        <f t="shared" si="6"/>
        <v>0</v>
      </c>
      <c r="I363" t="str" cm="1">
        <f t="array" ref="I363">GET_TICKER_FINAL(C363)</f>
        <v>COST</v>
      </c>
      <c r="J363" s="5" t="s">
        <v>1792</v>
      </c>
    </row>
    <row r="364" spans="1:10">
      <c r="A364">
        <v>363</v>
      </c>
      <c r="B364" s="1" t="s">
        <v>12</v>
      </c>
      <c r="C364" s="1" t="s">
        <v>383</v>
      </c>
      <c r="D364" s="1">
        <v>0</v>
      </c>
      <c r="E364" s="1">
        <v>10</v>
      </c>
      <c r="F364" s="1">
        <v>0.35</v>
      </c>
      <c r="G364" s="1">
        <v>20260320</v>
      </c>
      <c r="H364" t="b">
        <f t="shared" si="6"/>
        <v>0</v>
      </c>
      <c r="I364" t="str" cm="1">
        <f t="array" ref="I364">GET_TICKER_FINAL(C364)</f>
        <v/>
      </c>
      <c r="J364" s="5" t="s">
        <v>1792</v>
      </c>
    </row>
    <row r="365" spans="1:10">
      <c r="A365">
        <v>364</v>
      </c>
      <c r="B365" s="1" t="s">
        <v>12</v>
      </c>
      <c r="C365" s="1" t="s">
        <v>384</v>
      </c>
      <c r="D365" s="1">
        <v>0</v>
      </c>
      <c r="E365" s="1">
        <v>41</v>
      </c>
      <c r="F365" s="1">
        <v>0.38</v>
      </c>
      <c r="G365" s="1">
        <v>20260320</v>
      </c>
      <c r="H365" t="b">
        <f t="shared" si="6"/>
        <v>0</v>
      </c>
      <c r="I365" t="str" cm="1">
        <f t="array" ref="I365">GET_TICKER_FINAL(C365)</f>
        <v/>
      </c>
      <c r="J365" s="5" t="s">
        <v>1792</v>
      </c>
    </row>
    <row r="366" spans="1:10">
      <c r="A366">
        <v>365</v>
      </c>
      <c r="B366" s="1" t="s">
        <v>12</v>
      </c>
      <c r="C366" s="1" t="s">
        <v>385</v>
      </c>
      <c r="D366" s="1">
        <v>0</v>
      </c>
      <c r="E366" s="1">
        <v>0</v>
      </c>
      <c r="F366" s="1">
        <v>0.5</v>
      </c>
      <c r="G366" s="1">
        <v>20260330</v>
      </c>
      <c r="H366" t="b">
        <f t="shared" si="6"/>
        <v>0</v>
      </c>
      <c r="I366" t="str" cm="1">
        <f t="array" ref="I366">GET_TICKER_FINAL(C366)</f>
        <v/>
      </c>
      <c r="J366" s="5" t="s">
        <v>1792</v>
      </c>
    </row>
    <row r="367" spans="1:10">
      <c r="A367">
        <v>366</v>
      </c>
      <c r="B367" s="1" t="s">
        <v>12</v>
      </c>
      <c r="C367" s="1" t="s">
        <v>386</v>
      </c>
      <c r="D367" s="1">
        <v>0</v>
      </c>
      <c r="E367" s="1">
        <v>5</v>
      </c>
      <c r="F367" s="1">
        <v>0.27</v>
      </c>
      <c r="G367" s="1">
        <v>20260326</v>
      </c>
      <c r="H367" t="b">
        <f t="shared" si="6"/>
        <v>0</v>
      </c>
      <c r="I367" t="str" cm="1">
        <f t="array" ref="I367">GET_TICKER_FINAL(C367)</f>
        <v/>
      </c>
      <c r="J367" s="5" t="s">
        <v>1792</v>
      </c>
    </row>
    <row r="368" spans="1:10">
      <c r="A368">
        <v>367</v>
      </c>
      <c r="B368" s="1" t="s">
        <v>12</v>
      </c>
      <c r="C368" s="1" t="s">
        <v>387</v>
      </c>
      <c r="D368" s="1">
        <v>0</v>
      </c>
      <c r="E368" s="1">
        <v>14</v>
      </c>
      <c r="F368" s="1">
        <v>0.46</v>
      </c>
      <c r="G368" s="1">
        <v>20260326</v>
      </c>
      <c r="H368" t="b">
        <f t="shared" si="6"/>
        <v>0</v>
      </c>
      <c r="I368" t="str" cm="1">
        <f t="array" ref="I368">GET_TICKER_FINAL(C368)</f>
        <v/>
      </c>
      <c r="J368" s="5" t="s">
        <v>16</v>
      </c>
    </row>
    <row r="369" spans="1:10">
      <c r="A369">
        <v>368</v>
      </c>
      <c r="B369" s="1" t="s">
        <v>12</v>
      </c>
      <c r="C369" s="1" t="s">
        <v>388</v>
      </c>
      <c r="D369" s="1">
        <v>0</v>
      </c>
      <c r="E369" s="1">
        <v>5</v>
      </c>
      <c r="F369" s="1">
        <v>0.5</v>
      </c>
      <c r="G369" s="1">
        <v>20260320</v>
      </c>
      <c r="H369" t="b">
        <f t="shared" si="6"/>
        <v>0</v>
      </c>
      <c r="I369" t="str" cm="1">
        <f t="array" ref="I369">GET_TICKER_FINAL(C369)</f>
        <v/>
      </c>
      <c r="J369" s="5" t="s">
        <v>1792</v>
      </c>
    </row>
    <row r="370" spans="1:10">
      <c r="A370">
        <v>369</v>
      </c>
      <c r="B370" s="1" t="s">
        <v>12</v>
      </c>
      <c r="C370" s="1" t="s">
        <v>389</v>
      </c>
      <c r="D370" s="1">
        <v>0</v>
      </c>
      <c r="E370" s="1">
        <v>5</v>
      </c>
      <c r="F370" s="1">
        <v>0.33</v>
      </c>
      <c r="G370" s="1">
        <v>20260327</v>
      </c>
      <c r="H370" t="b">
        <f t="shared" si="6"/>
        <v>0</v>
      </c>
      <c r="I370" t="str" cm="1">
        <f t="array" ref="I370">GET_TICKER_FINAL(C370)</f>
        <v/>
      </c>
      <c r="J370" s="5" t="s">
        <v>1792</v>
      </c>
    </row>
    <row r="371" spans="1:10">
      <c r="A371">
        <v>370</v>
      </c>
      <c r="B371" s="1" t="s">
        <v>12</v>
      </c>
      <c r="C371" s="1" t="s">
        <v>390</v>
      </c>
      <c r="D371" s="1">
        <v>0</v>
      </c>
      <c r="E371" s="1">
        <v>44</v>
      </c>
      <c r="F371" s="1">
        <v>0.28999999999999998</v>
      </c>
      <c r="G371" s="1">
        <v>20260327</v>
      </c>
      <c r="H371" t="b">
        <f t="shared" si="6"/>
        <v>0</v>
      </c>
      <c r="I371" t="str" cm="1">
        <f t="array" ref="I371">GET_TICKER_FINAL(C371)</f>
        <v/>
      </c>
      <c r="J371" s="5" t="s">
        <v>28</v>
      </c>
    </row>
    <row r="372" spans="1:10">
      <c r="A372">
        <v>371</v>
      </c>
      <c r="B372" s="1" t="s">
        <v>12</v>
      </c>
      <c r="C372" s="1" t="s">
        <v>391</v>
      </c>
      <c r="D372" s="1">
        <v>0</v>
      </c>
      <c r="E372" s="1">
        <v>51</v>
      </c>
      <c r="F372" s="1">
        <v>0.38</v>
      </c>
      <c r="G372" s="1">
        <v>20260327</v>
      </c>
      <c r="H372" t="b">
        <f t="shared" si="6"/>
        <v>0</v>
      </c>
      <c r="I372" t="str" cm="1">
        <f t="array" ref="I372">GET_TICKER_FINAL(C372)</f>
        <v/>
      </c>
      <c r="J372" s="5" t="s">
        <v>1792</v>
      </c>
    </row>
    <row r="373" spans="1:10">
      <c r="A373">
        <v>372</v>
      </c>
      <c r="B373" s="1" t="s">
        <v>12</v>
      </c>
      <c r="C373" s="1" t="s">
        <v>392</v>
      </c>
      <c r="D373" s="1">
        <v>0</v>
      </c>
      <c r="E373" s="1">
        <v>57</v>
      </c>
      <c r="F373" s="1">
        <v>0.34</v>
      </c>
      <c r="G373" s="1">
        <v>20260327</v>
      </c>
      <c r="H373" t="b">
        <f t="shared" si="6"/>
        <v>0</v>
      </c>
      <c r="I373" t="str" cm="1">
        <f t="array" ref="I373">GET_TICKER_FINAL(C373)</f>
        <v/>
      </c>
      <c r="J373" s="5" t="s">
        <v>1792</v>
      </c>
    </row>
    <row r="374" spans="1:10">
      <c r="A374">
        <v>373</v>
      </c>
      <c r="B374" s="1" t="s">
        <v>12</v>
      </c>
      <c r="C374" s="1" t="s">
        <v>393</v>
      </c>
      <c r="D374" s="1">
        <v>0</v>
      </c>
      <c r="E374" s="1">
        <v>19</v>
      </c>
      <c r="F374" s="1">
        <v>0.25</v>
      </c>
      <c r="G374" s="1">
        <v>20260402</v>
      </c>
      <c r="H374" t="b">
        <f t="shared" si="6"/>
        <v>0</v>
      </c>
      <c r="I374" t="str" cm="1">
        <f t="array" ref="I374">GET_TICKER_FINAL(C374)</f>
        <v/>
      </c>
      <c r="J374" s="5" t="s">
        <v>16</v>
      </c>
    </row>
    <row r="375" spans="1:10">
      <c r="A375">
        <v>374</v>
      </c>
      <c r="B375" s="1" t="s">
        <v>12</v>
      </c>
      <c r="C375" s="1" t="s">
        <v>394</v>
      </c>
      <c r="D375" s="1">
        <v>0</v>
      </c>
      <c r="E375" s="1">
        <v>2</v>
      </c>
      <c r="F375" s="1">
        <v>0.45</v>
      </c>
      <c r="G375" s="1">
        <v>20260326</v>
      </c>
      <c r="H375" t="b">
        <f t="shared" si="6"/>
        <v>0</v>
      </c>
      <c r="I375" t="str" cm="1">
        <f t="array" ref="I375">GET_TICKER_FINAL(C375)</f>
        <v/>
      </c>
      <c r="J375" s="5" t="s">
        <v>16</v>
      </c>
    </row>
    <row r="376" spans="1:10">
      <c r="A376">
        <v>375</v>
      </c>
      <c r="B376" s="1" t="s">
        <v>12</v>
      </c>
      <c r="C376" s="1" t="s">
        <v>395</v>
      </c>
      <c r="D376" s="1">
        <v>0</v>
      </c>
      <c r="E376" s="1">
        <v>36</v>
      </c>
      <c r="F376" s="1">
        <v>0.36</v>
      </c>
      <c r="G376" s="1">
        <v>20260402</v>
      </c>
      <c r="H376" t="b">
        <f t="shared" si="6"/>
        <v>0</v>
      </c>
      <c r="I376" t="str" cm="1">
        <f t="array" ref="I376">GET_TICKER_FINAL(C376)</f>
        <v/>
      </c>
      <c r="J376" s="5" t="s">
        <v>16</v>
      </c>
    </row>
    <row r="377" spans="1:10">
      <c r="A377">
        <v>376</v>
      </c>
      <c r="B377" s="1" t="s">
        <v>12</v>
      </c>
      <c r="C377" s="1" t="s">
        <v>396</v>
      </c>
      <c r="D377" s="1">
        <v>0</v>
      </c>
      <c r="E377" s="1">
        <v>39</v>
      </c>
      <c r="F377" s="1">
        <v>0.35</v>
      </c>
      <c r="G377" s="1">
        <v>20260402</v>
      </c>
      <c r="H377" t="b">
        <f t="shared" si="6"/>
        <v>0</v>
      </c>
      <c r="I377" t="str" cm="1">
        <f t="array" ref="I377">GET_TICKER_FINAL(C377)</f>
        <v/>
      </c>
      <c r="J377" s="5" t="s">
        <v>1792</v>
      </c>
    </row>
    <row r="378" spans="1:10">
      <c r="A378">
        <v>377</v>
      </c>
      <c r="B378" s="1" t="s">
        <v>12</v>
      </c>
      <c r="C378" s="1" t="s">
        <v>397</v>
      </c>
      <c r="D378" s="1">
        <v>0</v>
      </c>
      <c r="E378" s="1">
        <v>5</v>
      </c>
      <c r="F378" s="1">
        <v>0.19</v>
      </c>
      <c r="G378" s="1">
        <v>20260402</v>
      </c>
      <c r="H378" t="b">
        <f t="shared" si="6"/>
        <v>0</v>
      </c>
      <c r="I378" t="str" cm="1">
        <f t="array" ref="I378">GET_TICKER_FINAL(C378)</f>
        <v/>
      </c>
      <c r="J378" s="5" t="s">
        <v>1792</v>
      </c>
    </row>
    <row r="379" spans="1:10">
      <c r="A379">
        <v>378</v>
      </c>
      <c r="B379" s="1" t="s">
        <v>12</v>
      </c>
      <c r="C379" s="1" t="s">
        <v>398</v>
      </c>
      <c r="D379" s="1">
        <v>0</v>
      </c>
      <c r="E379" s="1">
        <v>6</v>
      </c>
      <c r="F379" s="1">
        <v>0.38</v>
      </c>
      <c r="G379" s="1">
        <v>20260320</v>
      </c>
      <c r="H379" t="b">
        <f t="shared" si="6"/>
        <v>0</v>
      </c>
      <c r="I379" t="str" cm="1">
        <f t="array" ref="I379">GET_TICKER_FINAL(C379)</f>
        <v/>
      </c>
      <c r="J379" s="5" t="s">
        <v>1792</v>
      </c>
    </row>
    <row r="380" spans="1:10">
      <c r="A380">
        <v>379</v>
      </c>
      <c r="B380" s="1" t="s">
        <v>12</v>
      </c>
      <c r="C380" s="1" t="s">
        <v>399</v>
      </c>
      <c r="D380" s="1">
        <v>0</v>
      </c>
      <c r="E380" s="1">
        <v>5</v>
      </c>
      <c r="F380" s="1">
        <v>0.5</v>
      </c>
      <c r="G380" s="1">
        <v>20260326</v>
      </c>
      <c r="H380" t="b">
        <f t="shared" si="6"/>
        <v>0</v>
      </c>
      <c r="I380" t="str" cm="1">
        <f t="array" ref="I380">GET_TICKER_FINAL(C380)</f>
        <v/>
      </c>
      <c r="J380" s="5" t="s">
        <v>25</v>
      </c>
    </row>
    <row r="381" spans="1:10">
      <c r="A381">
        <v>380</v>
      </c>
      <c r="B381" s="1" t="s">
        <v>12</v>
      </c>
      <c r="C381" s="1" t="s">
        <v>400</v>
      </c>
      <c r="D381" s="1">
        <v>0</v>
      </c>
      <c r="E381" s="1">
        <v>16</v>
      </c>
      <c r="F381" s="1">
        <v>0.28999999999999998</v>
      </c>
      <c r="G381" s="1">
        <v>20260326</v>
      </c>
      <c r="H381" t="b">
        <f t="shared" si="6"/>
        <v>0</v>
      </c>
      <c r="I381" t="str" cm="1">
        <f t="array" ref="I381">GET_TICKER_FINAL(C381)</f>
        <v/>
      </c>
      <c r="J381" s="5" t="s">
        <v>1792</v>
      </c>
    </row>
    <row r="382" spans="1:10">
      <c r="A382">
        <v>381</v>
      </c>
      <c r="B382" s="1" t="s">
        <v>12</v>
      </c>
      <c r="C382" s="1" t="s">
        <v>401</v>
      </c>
      <c r="D382" s="1">
        <v>0</v>
      </c>
      <c r="E382" s="1">
        <v>16</v>
      </c>
      <c r="F382" s="1">
        <v>0.22</v>
      </c>
      <c r="G382" s="1">
        <v>20260326</v>
      </c>
      <c r="H382" t="b">
        <f t="shared" si="6"/>
        <v>0</v>
      </c>
      <c r="I382" t="str" cm="1">
        <f t="array" ref="I382">GET_TICKER_FINAL(C382)</f>
        <v/>
      </c>
      <c r="J382" s="5" t="s">
        <v>25</v>
      </c>
    </row>
    <row r="383" spans="1:10">
      <c r="A383">
        <v>382</v>
      </c>
      <c r="B383" s="1" t="s">
        <v>12</v>
      </c>
      <c r="C383" s="1" t="s">
        <v>402</v>
      </c>
      <c r="D383" s="1">
        <v>0</v>
      </c>
      <c r="E383" s="1">
        <v>68</v>
      </c>
      <c r="F383" s="1">
        <v>0.38</v>
      </c>
      <c r="G383" s="1">
        <v>20260326</v>
      </c>
      <c r="H383" t="b">
        <f t="shared" si="6"/>
        <v>0</v>
      </c>
      <c r="I383" t="str" cm="1">
        <f t="array" ref="I383">GET_TICKER_FINAL(C383)</f>
        <v/>
      </c>
      <c r="J383" s="5" t="s">
        <v>1792</v>
      </c>
    </row>
    <row r="384" spans="1:10">
      <c r="A384">
        <v>383</v>
      </c>
      <c r="B384" s="1" t="s">
        <v>12</v>
      </c>
      <c r="C384" s="1" t="s">
        <v>403</v>
      </c>
      <c r="D384" s="1">
        <v>0</v>
      </c>
      <c r="E384" s="1">
        <v>7</v>
      </c>
      <c r="F384" s="1">
        <v>0.19</v>
      </c>
      <c r="G384" s="1">
        <v>20260401</v>
      </c>
      <c r="H384" t="b">
        <f t="shared" si="6"/>
        <v>0</v>
      </c>
      <c r="I384" t="str" cm="1">
        <f t="array" ref="I384">GET_TICKER_FINAL(C384)</f>
        <v/>
      </c>
      <c r="J384" s="5" t="s">
        <v>1792</v>
      </c>
    </row>
    <row r="385" spans="1:10">
      <c r="A385">
        <v>384</v>
      </c>
      <c r="B385" s="1" t="s">
        <v>12</v>
      </c>
      <c r="C385" s="1" t="s">
        <v>404</v>
      </c>
      <c r="D385" s="1">
        <v>0</v>
      </c>
      <c r="E385" s="1">
        <v>6</v>
      </c>
      <c r="F385" s="1">
        <v>0.33</v>
      </c>
      <c r="G385" s="1">
        <v>20260401</v>
      </c>
      <c r="H385" t="b">
        <f t="shared" si="6"/>
        <v>0</v>
      </c>
      <c r="I385" t="str" cm="1">
        <f t="array" ref="I385">GET_TICKER_FINAL(C385)</f>
        <v>GOOGL</v>
      </c>
      <c r="J385" s="5" t="s">
        <v>1792</v>
      </c>
    </row>
    <row r="386" spans="1:10">
      <c r="A386">
        <v>385</v>
      </c>
      <c r="B386" s="1" t="s">
        <v>12</v>
      </c>
      <c r="C386" s="1" t="s">
        <v>405</v>
      </c>
      <c r="D386" s="1">
        <v>0</v>
      </c>
      <c r="E386" s="1">
        <v>14</v>
      </c>
      <c r="F386" s="1">
        <v>0.48</v>
      </c>
      <c r="G386" s="1">
        <v>20260324</v>
      </c>
      <c r="H386" t="b">
        <f t="shared" si="6"/>
        <v>0</v>
      </c>
      <c r="I386" t="str" cm="1">
        <f t="array" ref="I386">GET_TICKER_FINAL(C386)</f>
        <v>COST</v>
      </c>
      <c r="J386" s="5" t="s">
        <v>1792</v>
      </c>
    </row>
    <row r="387" spans="1:10">
      <c r="A387">
        <v>386</v>
      </c>
      <c r="B387" s="1" t="s">
        <v>12</v>
      </c>
      <c r="C387" s="1" t="s">
        <v>406</v>
      </c>
      <c r="D387" s="1">
        <v>0</v>
      </c>
      <c r="E387" s="1">
        <v>10</v>
      </c>
      <c r="F387" s="1">
        <v>0.33</v>
      </c>
      <c r="G387" s="1">
        <v>20260324</v>
      </c>
      <c r="H387" t="b">
        <f t="shared" ref="H387:H450" si="7">OR(ISNUMBER(SEARCH("$A",C387)),ISNUMBER(SEARCH("$B",C387)),ISNUMBER(SEARCH("$C",C387)),ISNUMBER(SEARCH("$D",C387)),ISNUMBER(SEARCH("$E",C387)),ISNUMBER(SEARCH("$F",C387)),ISNUMBER(SEARCH("$G",C387)),ISNUMBER(SEARCH("$H",C387)),ISNUMBER(SEARCH("$I",C387)),ISNUMBER(SEARCH("$J",C387)),ISNUMBER(SEARCH("$K",C387)),ISNUMBER(SEARCH("$L",C387)),ISNUMBER(SEARCH("$M",C387)),ISNUMBER(SEARCH("$N",C387)),ISNUMBER(SEARCH("$O",C387)),ISNUMBER(SEARCH("$P",C387)),ISNUMBER(SEARCH("$Q",C387)),ISNUMBER(SEARCH("$R",C387)),ISNUMBER(SEARCH("$S",C387)),ISNUMBER(SEARCH("$T",C387)),ISNUMBER(SEARCH("$U",C387)),ISNUMBER(SEARCH("$V",C387)),ISNUMBER(SEARCH("$W",C387)),ISNUMBER(SEARCH("$X",C387)),ISNUMBER(SEARCH("$Y",C387)),ISNUMBER(SEARCH("$Z",C387)))</f>
        <v>0</v>
      </c>
      <c r="I387" t="str" cm="1">
        <f t="array" ref="I387">GET_TICKER_FINAL(C387)</f>
        <v/>
      </c>
      <c r="J387" s="5" t="s">
        <v>16</v>
      </c>
    </row>
    <row r="388" spans="1:10">
      <c r="A388">
        <v>387</v>
      </c>
      <c r="B388" s="1" t="s">
        <v>12</v>
      </c>
      <c r="C388" s="1" t="s">
        <v>407</v>
      </c>
      <c r="D388" s="1">
        <v>0</v>
      </c>
      <c r="E388" s="1">
        <v>18</v>
      </c>
      <c r="F388" s="1">
        <v>0.22</v>
      </c>
      <c r="G388" s="1">
        <v>20260331</v>
      </c>
      <c r="H388" t="b">
        <f t="shared" si="7"/>
        <v>0</v>
      </c>
      <c r="I388" t="str" cm="1">
        <f t="array" ref="I388">GET_TICKER_FINAL(C388)</f>
        <v/>
      </c>
      <c r="J388" s="5" t="s">
        <v>1792</v>
      </c>
    </row>
    <row r="389" spans="1:10">
      <c r="A389">
        <v>388</v>
      </c>
      <c r="B389" s="1" t="s">
        <v>12</v>
      </c>
      <c r="C389" s="1" t="s">
        <v>408</v>
      </c>
      <c r="D389" s="1">
        <v>0</v>
      </c>
      <c r="E389" s="1">
        <v>6</v>
      </c>
      <c r="F389" s="1">
        <v>7.0000000000000007E-2</v>
      </c>
      <c r="G389" s="1">
        <v>20260324</v>
      </c>
      <c r="H389" t="b">
        <f t="shared" si="7"/>
        <v>0</v>
      </c>
      <c r="I389" t="str" cm="1">
        <f t="array" ref="I389">GET_TICKER_FINAL(C389)</f>
        <v/>
      </c>
      <c r="J389" s="5" t="s">
        <v>1792</v>
      </c>
    </row>
    <row r="390" spans="1:10">
      <c r="A390">
        <v>389</v>
      </c>
      <c r="B390" s="1" t="s">
        <v>409</v>
      </c>
      <c r="C390" s="1" t="s">
        <v>410</v>
      </c>
      <c r="D390" s="1">
        <v>466</v>
      </c>
      <c r="E390" s="1">
        <v>53</v>
      </c>
      <c r="F390" s="1">
        <v>0.96</v>
      </c>
      <c r="G390" s="1">
        <v>20260331</v>
      </c>
      <c r="H390" t="b">
        <f t="shared" si="7"/>
        <v>0</v>
      </c>
      <c r="I390" t="str" cm="1">
        <f t="array" ref="I390">GET_TICKER_FINAL(C390)</f>
        <v/>
      </c>
      <c r="J390" s="5" t="s">
        <v>16</v>
      </c>
    </row>
    <row r="391" spans="1:10">
      <c r="A391">
        <v>390</v>
      </c>
      <c r="B391" s="1" t="s">
        <v>409</v>
      </c>
      <c r="C391" s="1" t="s">
        <v>411</v>
      </c>
      <c r="D391" s="1">
        <v>438</v>
      </c>
      <c r="E391" s="1">
        <v>72</v>
      </c>
      <c r="F391" s="1">
        <v>0.95</v>
      </c>
      <c r="G391" s="1">
        <v>20260324</v>
      </c>
      <c r="H391" t="b">
        <f t="shared" si="7"/>
        <v>0</v>
      </c>
      <c r="I391" t="str" cm="1">
        <f t="array" ref="I391">GET_TICKER_FINAL(C391)</f>
        <v/>
      </c>
      <c r="J391" s="5" t="s">
        <v>25</v>
      </c>
    </row>
    <row r="392" spans="1:10">
      <c r="A392">
        <v>391</v>
      </c>
      <c r="B392" s="1" t="s">
        <v>409</v>
      </c>
      <c r="C392" s="1" t="s">
        <v>412</v>
      </c>
      <c r="D392" s="1">
        <v>369</v>
      </c>
      <c r="E392" s="1">
        <v>182</v>
      </c>
      <c r="F392" s="1">
        <v>0.78</v>
      </c>
      <c r="G392" s="1">
        <v>20260331</v>
      </c>
      <c r="H392" t="b">
        <f t="shared" si="7"/>
        <v>0</v>
      </c>
      <c r="I392" t="str" cm="1">
        <f t="array" ref="I392">GET_TICKER_FINAL(C392)</f>
        <v/>
      </c>
      <c r="J392" s="5" t="s">
        <v>1792</v>
      </c>
    </row>
    <row r="393" spans="1:10">
      <c r="A393">
        <v>392</v>
      </c>
      <c r="B393" s="1" t="s">
        <v>409</v>
      </c>
      <c r="C393" s="1" t="s">
        <v>413</v>
      </c>
      <c r="D393" s="1">
        <v>265</v>
      </c>
      <c r="E393" s="1">
        <v>127</v>
      </c>
      <c r="F393" s="1">
        <v>0.9</v>
      </c>
      <c r="G393" s="1">
        <v>20260402</v>
      </c>
      <c r="H393" t="b">
        <f t="shared" si="7"/>
        <v>0</v>
      </c>
      <c r="I393" t="str" cm="1">
        <f t="array" ref="I393">GET_TICKER_FINAL(C393)</f>
        <v>MSFT</v>
      </c>
      <c r="J393" s="5" t="s">
        <v>25</v>
      </c>
    </row>
    <row r="394" spans="1:10">
      <c r="A394">
        <v>393</v>
      </c>
      <c r="B394" s="1" t="s">
        <v>409</v>
      </c>
      <c r="C394" s="1" t="s">
        <v>414</v>
      </c>
      <c r="D394" s="1">
        <v>195</v>
      </c>
      <c r="E394" s="1">
        <v>79</v>
      </c>
      <c r="F394" s="1">
        <v>0.9</v>
      </c>
      <c r="G394" s="1">
        <v>20260402</v>
      </c>
      <c r="H394" t="b">
        <f t="shared" si="7"/>
        <v>0</v>
      </c>
      <c r="I394" t="str" cm="1">
        <f t="array" ref="I394">GET_TICKER_FINAL(C394)</f>
        <v/>
      </c>
      <c r="J394" s="5" t="s">
        <v>1792</v>
      </c>
    </row>
    <row r="395" spans="1:10">
      <c r="A395">
        <v>394</v>
      </c>
      <c r="B395" s="1" t="s">
        <v>409</v>
      </c>
      <c r="C395" s="1" t="s">
        <v>415</v>
      </c>
      <c r="D395" s="1">
        <v>154</v>
      </c>
      <c r="E395" s="1">
        <v>115</v>
      </c>
      <c r="F395" s="1">
        <v>0.88</v>
      </c>
      <c r="G395" s="1">
        <v>20260326</v>
      </c>
      <c r="H395" t="b">
        <f t="shared" si="7"/>
        <v>0</v>
      </c>
      <c r="I395" t="str" cm="1">
        <f t="array" ref="I395">GET_TICKER_FINAL(C395)</f>
        <v/>
      </c>
      <c r="J395" s="5" t="s">
        <v>1792</v>
      </c>
    </row>
    <row r="396" spans="1:10">
      <c r="A396">
        <v>395</v>
      </c>
      <c r="B396" s="1" t="s">
        <v>409</v>
      </c>
      <c r="C396" s="1" t="s">
        <v>416</v>
      </c>
      <c r="D396" s="1">
        <v>144</v>
      </c>
      <c r="E396" s="1">
        <v>193</v>
      </c>
      <c r="F396" s="1">
        <v>0.86</v>
      </c>
      <c r="G396" s="1">
        <v>20260330</v>
      </c>
      <c r="H396" t="b">
        <f t="shared" si="7"/>
        <v>0</v>
      </c>
      <c r="I396" t="str" cm="1">
        <f t="array" ref="I396">GET_TICKER_FINAL(C396)</f>
        <v/>
      </c>
      <c r="J396" s="5" t="s">
        <v>1792</v>
      </c>
    </row>
    <row r="397" spans="1:10">
      <c r="A397">
        <v>396</v>
      </c>
      <c r="B397" s="1" t="s">
        <v>409</v>
      </c>
      <c r="C397" s="1" t="s">
        <v>417</v>
      </c>
      <c r="D397" s="1">
        <v>136</v>
      </c>
      <c r="E397" s="1">
        <v>82</v>
      </c>
      <c r="F397" s="1">
        <v>0.94</v>
      </c>
      <c r="G397" s="1">
        <v>20260323</v>
      </c>
      <c r="H397" t="b">
        <f t="shared" si="7"/>
        <v>0</v>
      </c>
      <c r="I397" t="str" cm="1">
        <f t="array" ref="I397">GET_TICKER_FINAL(C397)</f>
        <v>SPY</v>
      </c>
      <c r="J397" s="5" t="s">
        <v>1792</v>
      </c>
    </row>
    <row r="398" spans="1:10">
      <c r="A398">
        <v>397</v>
      </c>
      <c r="B398" s="1" t="s">
        <v>409</v>
      </c>
      <c r="C398" s="1" t="s">
        <v>418</v>
      </c>
      <c r="D398" s="1">
        <v>134</v>
      </c>
      <c r="E398" s="1">
        <v>107</v>
      </c>
      <c r="F398" s="1">
        <v>0.92</v>
      </c>
      <c r="G398" s="1">
        <v>20260401</v>
      </c>
      <c r="H398" t="b">
        <f t="shared" si="7"/>
        <v>0</v>
      </c>
      <c r="I398" t="str" cm="1">
        <f t="array" ref="I398">GET_TICKER_FINAL(C398)</f>
        <v/>
      </c>
      <c r="J398" s="5" t="s">
        <v>16</v>
      </c>
    </row>
    <row r="399" spans="1:10">
      <c r="A399">
        <v>398</v>
      </c>
      <c r="B399" s="1" t="s">
        <v>409</v>
      </c>
      <c r="C399" s="1" t="s">
        <v>419</v>
      </c>
      <c r="D399" s="1">
        <v>121</v>
      </c>
      <c r="E399" s="1">
        <v>141</v>
      </c>
      <c r="F399" s="1">
        <v>0.86</v>
      </c>
      <c r="G399" s="1">
        <v>20260323</v>
      </c>
      <c r="H399" t="b">
        <f t="shared" si="7"/>
        <v>0</v>
      </c>
      <c r="I399" t="str" cm="1">
        <f t="array" ref="I399">GET_TICKER_FINAL(C399)</f>
        <v/>
      </c>
      <c r="J399" s="5" t="s">
        <v>16</v>
      </c>
    </row>
    <row r="400" spans="1:10">
      <c r="A400">
        <v>399</v>
      </c>
      <c r="B400" s="1" t="s">
        <v>409</v>
      </c>
      <c r="C400" s="1" t="s">
        <v>420</v>
      </c>
      <c r="D400" s="1">
        <v>112</v>
      </c>
      <c r="E400" s="1">
        <v>89</v>
      </c>
      <c r="F400" s="1">
        <v>0.84</v>
      </c>
      <c r="G400" s="1">
        <v>20260327</v>
      </c>
      <c r="H400" t="b">
        <f t="shared" si="7"/>
        <v>0</v>
      </c>
      <c r="I400" t="str" cm="1">
        <f t="array" ref="I400">GET_TICKER_FINAL(C400)</f>
        <v/>
      </c>
      <c r="J400" s="5" t="s">
        <v>16</v>
      </c>
    </row>
    <row r="401" spans="1:10">
      <c r="A401">
        <v>400</v>
      </c>
      <c r="B401" s="1" t="s">
        <v>409</v>
      </c>
      <c r="C401" s="1" t="s">
        <v>421</v>
      </c>
      <c r="D401" s="1">
        <v>107</v>
      </c>
      <c r="E401" s="1">
        <v>118</v>
      </c>
      <c r="F401" s="1">
        <v>0.91</v>
      </c>
      <c r="G401" s="1">
        <v>20260402</v>
      </c>
      <c r="H401" t="b">
        <f t="shared" si="7"/>
        <v>0</v>
      </c>
      <c r="I401" t="str" cm="1">
        <f t="array" ref="I401">GET_TICKER_FINAL(C401)</f>
        <v/>
      </c>
      <c r="J401" s="5" t="s">
        <v>1792</v>
      </c>
    </row>
    <row r="402" spans="1:10">
      <c r="A402">
        <v>401</v>
      </c>
      <c r="B402" s="1" t="s">
        <v>409</v>
      </c>
      <c r="C402" s="1" t="s">
        <v>422</v>
      </c>
      <c r="D402" s="1">
        <v>89</v>
      </c>
      <c r="E402" s="1">
        <v>145</v>
      </c>
      <c r="F402" s="1">
        <v>0.87</v>
      </c>
      <c r="G402" s="1">
        <v>20260320</v>
      </c>
      <c r="H402" t="b">
        <f t="shared" si="7"/>
        <v>0</v>
      </c>
      <c r="I402" t="str" cm="1">
        <f t="array" ref="I402">GET_TICKER_FINAL(C402)</f>
        <v/>
      </c>
      <c r="J402" s="5" t="s">
        <v>1792</v>
      </c>
    </row>
    <row r="403" spans="1:10">
      <c r="A403">
        <v>402</v>
      </c>
      <c r="B403" s="1" t="s">
        <v>409</v>
      </c>
      <c r="C403" s="1" t="s">
        <v>423</v>
      </c>
      <c r="D403" s="1">
        <v>64</v>
      </c>
      <c r="E403" s="1">
        <v>81</v>
      </c>
      <c r="F403" s="1">
        <v>0.81</v>
      </c>
      <c r="G403" s="1">
        <v>20260323</v>
      </c>
      <c r="H403" t="b">
        <f t="shared" si="7"/>
        <v>0</v>
      </c>
      <c r="I403" t="str" cm="1">
        <f t="array" ref="I403">GET_TICKER_FINAL(C403)</f>
        <v/>
      </c>
      <c r="J403" s="5" t="s">
        <v>1792</v>
      </c>
    </row>
    <row r="404" spans="1:10">
      <c r="A404">
        <v>403</v>
      </c>
      <c r="B404" s="1" t="s">
        <v>409</v>
      </c>
      <c r="C404" s="1" t="s">
        <v>424</v>
      </c>
      <c r="D404" s="1">
        <v>62</v>
      </c>
      <c r="E404" s="1">
        <v>53</v>
      </c>
      <c r="F404" s="1">
        <v>0.93</v>
      </c>
      <c r="G404" s="1">
        <v>20260326</v>
      </c>
      <c r="H404" t="b">
        <f t="shared" si="7"/>
        <v>0</v>
      </c>
      <c r="I404" t="str" cm="1">
        <f t="array" ref="I404">GET_TICKER_FINAL(C404)</f>
        <v/>
      </c>
      <c r="J404" s="5" t="s">
        <v>1792</v>
      </c>
    </row>
    <row r="405" spans="1:10">
      <c r="A405">
        <v>404</v>
      </c>
      <c r="B405" s="1" t="s">
        <v>409</v>
      </c>
      <c r="C405" s="1" t="s">
        <v>425</v>
      </c>
      <c r="D405" s="1">
        <v>61</v>
      </c>
      <c r="E405" s="1">
        <v>70</v>
      </c>
      <c r="F405" s="1">
        <v>0.96</v>
      </c>
      <c r="G405" s="1">
        <v>20260402</v>
      </c>
      <c r="H405" t="b">
        <f t="shared" si="7"/>
        <v>0</v>
      </c>
      <c r="I405" t="str" cm="1">
        <f t="array" ref="I405">GET_TICKER_FINAL(C405)</f>
        <v/>
      </c>
      <c r="J405" s="5" t="s">
        <v>1792</v>
      </c>
    </row>
    <row r="406" spans="1:10">
      <c r="A406">
        <v>405</v>
      </c>
      <c r="B406" s="1" t="s">
        <v>409</v>
      </c>
      <c r="C406" s="1" t="s">
        <v>426</v>
      </c>
      <c r="D406" s="1">
        <v>53</v>
      </c>
      <c r="E406" s="1">
        <v>55</v>
      </c>
      <c r="F406" s="1">
        <v>0.9</v>
      </c>
      <c r="G406" s="1">
        <v>20260331</v>
      </c>
      <c r="H406" t="b">
        <f t="shared" si="7"/>
        <v>0</v>
      </c>
      <c r="I406" t="str" cm="1">
        <f t="array" ref="I406">GET_TICKER_FINAL(C406)</f>
        <v>MSFT</v>
      </c>
      <c r="J406" s="5" t="s">
        <v>1792</v>
      </c>
    </row>
    <row r="407" spans="1:10">
      <c r="A407">
        <v>406</v>
      </c>
      <c r="B407" s="1" t="s">
        <v>409</v>
      </c>
      <c r="C407" s="1" t="s">
        <v>427</v>
      </c>
      <c r="D407" s="1">
        <v>52</v>
      </c>
      <c r="E407" s="1">
        <v>25</v>
      </c>
      <c r="F407" s="1">
        <v>0.89</v>
      </c>
      <c r="G407" s="1">
        <v>20260401</v>
      </c>
      <c r="H407" t="b">
        <f t="shared" si="7"/>
        <v>0</v>
      </c>
      <c r="I407" t="str" cm="1">
        <f t="array" ref="I407">GET_TICKER_FINAL(C407)</f>
        <v/>
      </c>
      <c r="J407" s="5" t="s">
        <v>1792</v>
      </c>
    </row>
    <row r="408" spans="1:10">
      <c r="A408">
        <v>407</v>
      </c>
      <c r="B408" s="1" t="s">
        <v>409</v>
      </c>
      <c r="C408" s="1" t="s">
        <v>428</v>
      </c>
      <c r="D408" s="1">
        <v>50</v>
      </c>
      <c r="E408" s="1">
        <v>61</v>
      </c>
      <c r="F408" s="1">
        <v>0.79</v>
      </c>
      <c r="G408" s="1">
        <v>20260320</v>
      </c>
      <c r="H408" t="b">
        <f t="shared" si="7"/>
        <v>0</v>
      </c>
      <c r="I408" t="str" cm="1">
        <f t="array" ref="I408">GET_TICKER_FINAL(C408)</f>
        <v/>
      </c>
      <c r="J408" s="5" t="s">
        <v>16</v>
      </c>
    </row>
    <row r="409" spans="1:10">
      <c r="A409">
        <v>408</v>
      </c>
      <c r="B409" s="1" t="s">
        <v>409</v>
      </c>
      <c r="C409" s="1" t="s">
        <v>429</v>
      </c>
      <c r="D409" s="1">
        <v>48</v>
      </c>
      <c r="E409" s="1">
        <v>81</v>
      </c>
      <c r="F409" s="1">
        <v>0.8</v>
      </c>
      <c r="G409" s="1">
        <v>20260327</v>
      </c>
      <c r="H409" t="b">
        <f t="shared" si="7"/>
        <v>0</v>
      </c>
      <c r="I409" t="str" cm="1">
        <f t="array" ref="I409">GET_TICKER_FINAL(C409)</f>
        <v/>
      </c>
      <c r="J409" s="5" t="s">
        <v>16</v>
      </c>
    </row>
    <row r="410" spans="1:10">
      <c r="A410">
        <v>409</v>
      </c>
      <c r="B410" s="1" t="s">
        <v>409</v>
      </c>
      <c r="C410" s="1" t="s">
        <v>430</v>
      </c>
      <c r="D410" s="1">
        <v>46</v>
      </c>
      <c r="E410" s="1">
        <v>51</v>
      </c>
      <c r="F410" s="1">
        <v>0.9</v>
      </c>
      <c r="G410" s="1">
        <v>20260324</v>
      </c>
      <c r="H410" t="b">
        <f t="shared" si="7"/>
        <v>0</v>
      </c>
      <c r="I410" t="str" cm="1">
        <f t="array" ref="I410">GET_TICKER_FINAL(C410)</f>
        <v/>
      </c>
      <c r="J410" s="5" t="s">
        <v>16</v>
      </c>
    </row>
    <row r="411" spans="1:10">
      <c r="A411">
        <v>410</v>
      </c>
      <c r="B411" s="1" t="s">
        <v>409</v>
      </c>
      <c r="C411" s="1" t="s">
        <v>431</v>
      </c>
      <c r="D411" s="1">
        <v>43</v>
      </c>
      <c r="E411" s="1">
        <v>126</v>
      </c>
      <c r="F411" s="1">
        <v>0.81</v>
      </c>
      <c r="G411" s="1">
        <v>20260331</v>
      </c>
      <c r="H411" t="b">
        <f t="shared" si="7"/>
        <v>0</v>
      </c>
      <c r="I411" t="str" cm="1">
        <f t="array" ref="I411">GET_TICKER_FINAL(C411)</f>
        <v/>
      </c>
      <c r="J411" s="5" t="s">
        <v>1792</v>
      </c>
    </row>
    <row r="412" spans="1:10">
      <c r="A412">
        <v>411</v>
      </c>
      <c r="B412" s="1" t="s">
        <v>409</v>
      </c>
      <c r="C412" s="1" t="s">
        <v>432</v>
      </c>
      <c r="D412" s="1">
        <v>42</v>
      </c>
      <c r="E412" s="1">
        <v>51</v>
      </c>
      <c r="F412" s="1">
        <v>0.77</v>
      </c>
      <c r="G412" s="1">
        <v>20260326</v>
      </c>
      <c r="H412" t="b">
        <f t="shared" si="7"/>
        <v>0</v>
      </c>
      <c r="I412" t="str" cm="1">
        <f t="array" ref="I412">GET_TICKER_FINAL(C412)</f>
        <v>NVDA</v>
      </c>
      <c r="J412" s="5" t="s">
        <v>16</v>
      </c>
    </row>
    <row r="413" spans="1:10">
      <c r="A413">
        <v>412</v>
      </c>
      <c r="B413" s="1" t="s">
        <v>409</v>
      </c>
      <c r="C413" s="1" t="s">
        <v>433</v>
      </c>
      <c r="D413" s="1">
        <v>42</v>
      </c>
      <c r="E413" s="1">
        <v>37</v>
      </c>
      <c r="F413" s="1">
        <v>0.86</v>
      </c>
      <c r="G413" s="1">
        <v>20260402</v>
      </c>
      <c r="H413" t="b">
        <f t="shared" si="7"/>
        <v>0</v>
      </c>
      <c r="I413" t="str" cm="1">
        <f t="array" ref="I413">GET_TICKER_FINAL(C413)</f>
        <v/>
      </c>
      <c r="J413" s="5" t="s">
        <v>16</v>
      </c>
    </row>
    <row r="414" spans="1:10">
      <c r="A414">
        <v>413</v>
      </c>
      <c r="B414" s="1" t="s">
        <v>409</v>
      </c>
      <c r="C414" s="1" t="s">
        <v>434</v>
      </c>
      <c r="D414" s="1">
        <v>41</v>
      </c>
      <c r="E414" s="1">
        <v>35</v>
      </c>
      <c r="F414" s="1">
        <v>0.81</v>
      </c>
      <c r="G414" s="1">
        <v>20260323</v>
      </c>
      <c r="H414" t="b">
        <f t="shared" si="7"/>
        <v>0</v>
      </c>
      <c r="I414" t="str" cm="1">
        <f t="array" ref="I414">GET_TICKER_FINAL(C414)</f>
        <v/>
      </c>
      <c r="J414" s="5" t="s">
        <v>1792</v>
      </c>
    </row>
    <row r="415" spans="1:10">
      <c r="A415">
        <v>414</v>
      </c>
      <c r="B415" s="1" t="s">
        <v>409</v>
      </c>
      <c r="C415" s="1" t="s">
        <v>435</v>
      </c>
      <c r="D415" s="1">
        <v>41</v>
      </c>
      <c r="E415" s="1">
        <v>72</v>
      </c>
      <c r="F415" s="1">
        <v>0.81</v>
      </c>
      <c r="G415" s="1">
        <v>20260330</v>
      </c>
      <c r="H415" t="b">
        <f t="shared" si="7"/>
        <v>0</v>
      </c>
      <c r="I415" t="str" cm="1">
        <f t="array" ref="I415">GET_TICKER_FINAL(C415)</f>
        <v/>
      </c>
      <c r="J415" s="5" t="s">
        <v>1792</v>
      </c>
    </row>
    <row r="416" spans="1:10">
      <c r="A416">
        <v>415</v>
      </c>
      <c r="B416" s="1" t="s">
        <v>409</v>
      </c>
      <c r="C416" s="1" t="s">
        <v>436</v>
      </c>
      <c r="D416" s="1">
        <v>39</v>
      </c>
      <c r="E416" s="1">
        <v>65</v>
      </c>
      <c r="F416" s="1">
        <v>0.85</v>
      </c>
      <c r="G416" s="1">
        <v>20260401</v>
      </c>
      <c r="H416" t="b">
        <f t="shared" si="7"/>
        <v>0</v>
      </c>
      <c r="I416" t="str" cm="1">
        <f t="array" ref="I416">GET_TICKER_FINAL(C416)</f>
        <v/>
      </c>
      <c r="J416" s="5" t="s">
        <v>1792</v>
      </c>
    </row>
    <row r="417" spans="1:10">
      <c r="A417">
        <v>416</v>
      </c>
      <c r="B417" s="1" t="s">
        <v>409</v>
      </c>
      <c r="C417" s="1" t="s">
        <v>437</v>
      </c>
      <c r="D417" s="1">
        <v>38</v>
      </c>
      <c r="E417" s="1">
        <v>55</v>
      </c>
      <c r="F417" s="1">
        <v>0.86</v>
      </c>
      <c r="G417" s="1">
        <v>20260324</v>
      </c>
      <c r="H417" t="b">
        <f t="shared" si="7"/>
        <v>0</v>
      </c>
      <c r="I417" t="str" cm="1">
        <f t="array" ref="I417">GET_TICKER_FINAL(C417)</f>
        <v/>
      </c>
      <c r="J417" s="5" t="s">
        <v>1792</v>
      </c>
    </row>
    <row r="418" spans="1:10">
      <c r="A418">
        <v>417</v>
      </c>
      <c r="B418" s="1" t="s">
        <v>409</v>
      </c>
      <c r="C418" s="1" t="s">
        <v>438</v>
      </c>
      <c r="D418" s="1">
        <v>35</v>
      </c>
      <c r="E418" s="1">
        <v>29</v>
      </c>
      <c r="F418" s="1">
        <v>0.8</v>
      </c>
      <c r="G418" s="1">
        <v>20260402</v>
      </c>
      <c r="H418" t="b">
        <f t="shared" si="7"/>
        <v>0</v>
      </c>
      <c r="I418" t="str" cm="1">
        <f t="array" ref="I418">GET_TICKER_FINAL(C418)</f>
        <v/>
      </c>
      <c r="J418" s="5" t="s">
        <v>1792</v>
      </c>
    </row>
    <row r="419" spans="1:10">
      <c r="A419">
        <v>418</v>
      </c>
      <c r="B419" s="1" t="s">
        <v>409</v>
      </c>
      <c r="C419" s="1" t="s">
        <v>439</v>
      </c>
      <c r="D419" s="1">
        <v>35</v>
      </c>
      <c r="E419" s="1">
        <v>42</v>
      </c>
      <c r="F419" s="1">
        <v>0.83</v>
      </c>
      <c r="G419" s="1">
        <v>20260323</v>
      </c>
      <c r="H419" t="b">
        <f t="shared" si="7"/>
        <v>0</v>
      </c>
      <c r="I419" t="str" cm="1">
        <f t="array" ref="I419">GET_TICKER_FINAL(C419)</f>
        <v/>
      </c>
      <c r="J419" s="5" t="s">
        <v>1792</v>
      </c>
    </row>
    <row r="420" spans="1:10">
      <c r="A420">
        <v>419</v>
      </c>
      <c r="B420" s="1" t="s">
        <v>409</v>
      </c>
      <c r="C420" s="1" t="s">
        <v>440</v>
      </c>
      <c r="D420" s="1">
        <v>32</v>
      </c>
      <c r="E420" s="1">
        <v>20</v>
      </c>
      <c r="F420" s="1">
        <v>0.87</v>
      </c>
      <c r="G420" s="1">
        <v>20260401</v>
      </c>
      <c r="H420" t="b">
        <f t="shared" si="7"/>
        <v>0</v>
      </c>
      <c r="I420" t="str" cm="1">
        <f t="array" ref="I420">GET_TICKER_FINAL(C420)</f>
        <v/>
      </c>
      <c r="J420" s="5" t="s">
        <v>1792</v>
      </c>
    </row>
    <row r="421" spans="1:10">
      <c r="A421">
        <v>420</v>
      </c>
      <c r="B421" s="1" t="s">
        <v>409</v>
      </c>
      <c r="C421" s="1" t="s">
        <v>441</v>
      </c>
      <c r="D421" s="1">
        <v>29</v>
      </c>
      <c r="E421" s="1">
        <v>26</v>
      </c>
      <c r="F421" s="1">
        <v>0.87</v>
      </c>
      <c r="G421" s="1">
        <v>20260320</v>
      </c>
      <c r="H421" t="b">
        <f t="shared" si="7"/>
        <v>0</v>
      </c>
      <c r="I421" t="str" cm="1">
        <f t="array" ref="I421">GET_TICKER_FINAL(C421)</f>
        <v/>
      </c>
      <c r="J421" s="5" t="s">
        <v>16</v>
      </c>
    </row>
    <row r="422" spans="1:10">
      <c r="A422">
        <v>421</v>
      </c>
      <c r="B422" s="1" t="s">
        <v>409</v>
      </c>
      <c r="C422" s="1" t="s">
        <v>442</v>
      </c>
      <c r="D422" s="1">
        <v>29</v>
      </c>
      <c r="E422" s="1">
        <v>44</v>
      </c>
      <c r="F422" s="1">
        <v>0.85</v>
      </c>
      <c r="G422" s="1">
        <v>20260402</v>
      </c>
      <c r="H422" t="b">
        <f t="shared" si="7"/>
        <v>0</v>
      </c>
      <c r="I422" t="str" cm="1">
        <f t="array" ref="I422">GET_TICKER_FINAL(C422)</f>
        <v>COST</v>
      </c>
      <c r="J422" s="5" t="s">
        <v>1792</v>
      </c>
    </row>
    <row r="423" spans="1:10">
      <c r="A423">
        <v>422</v>
      </c>
      <c r="B423" s="1" t="s">
        <v>409</v>
      </c>
      <c r="C423" s="1" t="s">
        <v>443</v>
      </c>
      <c r="D423" s="1">
        <v>27</v>
      </c>
      <c r="E423" s="1">
        <v>40</v>
      </c>
      <c r="F423" s="1">
        <v>0.83</v>
      </c>
      <c r="G423" s="1">
        <v>20260327</v>
      </c>
      <c r="H423" t="b">
        <f t="shared" si="7"/>
        <v>0</v>
      </c>
      <c r="I423" t="str" cm="1">
        <f t="array" ref="I423">GET_TICKER_FINAL(C423)</f>
        <v/>
      </c>
      <c r="J423" s="5" t="s">
        <v>1792</v>
      </c>
    </row>
    <row r="424" spans="1:10">
      <c r="A424">
        <v>423</v>
      </c>
      <c r="B424" s="1" t="s">
        <v>409</v>
      </c>
      <c r="C424" s="1" t="s">
        <v>444</v>
      </c>
      <c r="D424" s="1">
        <v>26</v>
      </c>
      <c r="E424" s="1">
        <v>42</v>
      </c>
      <c r="F424" s="1">
        <v>0.82</v>
      </c>
      <c r="G424" s="1">
        <v>20260330</v>
      </c>
      <c r="H424" t="b">
        <f t="shared" si="7"/>
        <v>0</v>
      </c>
      <c r="I424" t="str" cm="1">
        <f t="array" ref="I424">GET_TICKER_FINAL(C424)</f>
        <v/>
      </c>
      <c r="J424" s="5" t="s">
        <v>25</v>
      </c>
    </row>
    <row r="425" spans="1:10">
      <c r="A425">
        <v>424</v>
      </c>
      <c r="B425" s="1" t="s">
        <v>409</v>
      </c>
      <c r="C425" s="1" t="s">
        <v>445</v>
      </c>
      <c r="D425" s="1">
        <v>25</v>
      </c>
      <c r="E425" s="1">
        <v>39</v>
      </c>
      <c r="F425" s="1">
        <v>0.73</v>
      </c>
      <c r="G425" s="1">
        <v>20260331</v>
      </c>
      <c r="H425" t="b">
        <f t="shared" si="7"/>
        <v>0</v>
      </c>
      <c r="I425" t="str" cm="1">
        <f t="array" ref="I425">GET_TICKER_FINAL(C425)</f>
        <v>SPY</v>
      </c>
      <c r="J425" s="5" t="s">
        <v>1792</v>
      </c>
    </row>
    <row r="426" spans="1:10">
      <c r="A426">
        <v>425</v>
      </c>
      <c r="B426" s="1" t="s">
        <v>409</v>
      </c>
      <c r="C426" s="1" t="s">
        <v>446</v>
      </c>
      <c r="D426" s="1">
        <v>25</v>
      </c>
      <c r="E426" s="1">
        <v>40</v>
      </c>
      <c r="F426" s="1">
        <v>0.77</v>
      </c>
      <c r="G426" s="1">
        <v>20260331</v>
      </c>
      <c r="H426" t="b">
        <f t="shared" si="7"/>
        <v>0</v>
      </c>
      <c r="I426" t="str" cm="1">
        <f t="array" ref="I426">GET_TICKER_FINAL(C426)</f>
        <v>SOFI</v>
      </c>
      <c r="J426" s="5" t="s">
        <v>1792</v>
      </c>
    </row>
    <row r="427" spans="1:10">
      <c r="A427">
        <v>426</v>
      </c>
      <c r="B427" s="1" t="s">
        <v>409</v>
      </c>
      <c r="C427" s="1" t="s">
        <v>447</v>
      </c>
      <c r="D427" s="1">
        <v>25</v>
      </c>
      <c r="E427" s="1">
        <v>150</v>
      </c>
      <c r="F427" s="1">
        <v>0.73</v>
      </c>
      <c r="G427" s="1">
        <v>20260324</v>
      </c>
      <c r="H427" t="b">
        <f t="shared" si="7"/>
        <v>0</v>
      </c>
      <c r="I427" t="str" cm="1">
        <f t="array" ref="I427">GET_TICKER_FINAL(C427)</f>
        <v/>
      </c>
      <c r="J427" s="5" t="s">
        <v>25</v>
      </c>
    </row>
    <row r="428" spans="1:10">
      <c r="A428">
        <v>427</v>
      </c>
      <c r="B428" s="1" t="s">
        <v>409</v>
      </c>
      <c r="C428" s="1" t="s">
        <v>448</v>
      </c>
      <c r="D428" s="1">
        <v>25</v>
      </c>
      <c r="E428" s="1">
        <v>19</v>
      </c>
      <c r="F428" s="1">
        <v>0.86</v>
      </c>
      <c r="G428" s="1">
        <v>20260401</v>
      </c>
      <c r="H428" t="b">
        <f t="shared" si="7"/>
        <v>0</v>
      </c>
      <c r="I428" t="str" cm="1">
        <f t="array" ref="I428">GET_TICKER_FINAL(C428)</f>
        <v>MSFT</v>
      </c>
      <c r="J428" s="5" t="s">
        <v>25</v>
      </c>
    </row>
    <row r="429" spans="1:10">
      <c r="A429">
        <v>428</v>
      </c>
      <c r="B429" s="1" t="s">
        <v>409</v>
      </c>
      <c r="C429" s="1" t="s">
        <v>449</v>
      </c>
      <c r="D429" s="1">
        <v>24</v>
      </c>
      <c r="E429" s="1">
        <v>75</v>
      </c>
      <c r="F429" s="1">
        <v>0.74</v>
      </c>
      <c r="G429" s="1">
        <v>20260327</v>
      </c>
      <c r="H429" t="b">
        <f t="shared" si="7"/>
        <v>1</v>
      </c>
      <c r="I429" t="str" cm="1">
        <f t="array" ref="I429">GET_TICKER_FINAL(C429)</f>
        <v>MU</v>
      </c>
      <c r="J429" s="5" t="s">
        <v>16</v>
      </c>
    </row>
    <row r="430" spans="1:10">
      <c r="A430">
        <v>429</v>
      </c>
      <c r="B430" s="1" t="s">
        <v>409</v>
      </c>
      <c r="C430" s="1" t="s">
        <v>450</v>
      </c>
      <c r="D430" s="1">
        <v>24</v>
      </c>
      <c r="E430" s="1">
        <v>15</v>
      </c>
      <c r="F430" s="1">
        <v>0.76</v>
      </c>
      <c r="G430" s="1">
        <v>20260320</v>
      </c>
      <c r="H430" t="b">
        <f t="shared" si="7"/>
        <v>0</v>
      </c>
      <c r="I430" t="str" cm="1">
        <f t="array" ref="I430">GET_TICKER_FINAL(C430)</f>
        <v/>
      </c>
      <c r="J430" s="5" t="s">
        <v>1792</v>
      </c>
    </row>
    <row r="431" spans="1:10">
      <c r="A431">
        <v>430</v>
      </c>
      <c r="B431" s="1" t="s">
        <v>409</v>
      </c>
      <c r="C431" s="1" t="s">
        <v>451</v>
      </c>
      <c r="D431" s="1">
        <v>23</v>
      </c>
      <c r="E431" s="1">
        <v>2</v>
      </c>
      <c r="F431" s="1">
        <v>0.96</v>
      </c>
      <c r="G431" s="1">
        <v>20260402</v>
      </c>
      <c r="H431" t="b">
        <f t="shared" si="7"/>
        <v>0</v>
      </c>
      <c r="I431" t="str" cm="1">
        <f t="array" ref="I431">GET_TICKER_FINAL(C431)</f>
        <v/>
      </c>
      <c r="J431" s="5" t="s">
        <v>25</v>
      </c>
    </row>
    <row r="432" spans="1:10">
      <c r="A432">
        <v>431</v>
      </c>
      <c r="B432" s="1" t="s">
        <v>409</v>
      </c>
      <c r="C432" s="1" t="s">
        <v>452</v>
      </c>
      <c r="D432" s="1">
        <v>23</v>
      </c>
      <c r="E432" s="1">
        <v>53</v>
      </c>
      <c r="F432" s="1">
        <v>0.78</v>
      </c>
      <c r="G432" s="1">
        <v>20260331</v>
      </c>
      <c r="H432" t="b">
        <f t="shared" si="7"/>
        <v>0</v>
      </c>
      <c r="I432" t="str" cm="1">
        <f t="array" ref="I432">GET_TICKER_FINAL(C432)</f>
        <v>SPY</v>
      </c>
      <c r="J432" s="5" t="s">
        <v>16</v>
      </c>
    </row>
    <row r="433" spans="1:10">
      <c r="A433">
        <v>432</v>
      </c>
      <c r="B433" s="1" t="s">
        <v>409</v>
      </c>
      <c r="C433" s="1" t="s">
        <v>453</v>
      </c>
      <c r="D433" s="1">
        <v>22</v>
      </c>
      <c r="E433" s="1">
        <v>35</v>
      </c>
      <c r="F433" s="1">
        <v>0.73</v>
      </c>
      <c r="G433" s="1">
        <v>20260320</v>
      </c>
      <c r="H433" t="b">
        <f t="shared" si="7"/>
        <v>0</v>
      </c>
      <c r="I433" t="str" cm="1">
        <f t="array" ref="I433">GET_TICKER_FINAL(C433)</f>
        <v>SPY</v>
      </c>
      <c r="J433" s="5" t="s">
        <v>1792</v>
      </c>
    </row>
    <row r="434" spans="1:10">
      <c r="A434">
        <v>433</v>
      </c>
      <c r="B434" s="1" t="s">
        <v>409</v>
      </c>
      <c r="C434" s="1" t="s">
        <v>454</v>
      </c>
      <c r="D434" s="1">
        <v>22</v>
      </c>
      <c r="E434" s="1">
        <v>53</v>
      </c>
      <c r="F434" s="1">
        <v>0.88</v>
      </c>
      <c r="G434" s="1">
        <v>20260326</v>
      </c>
      <c r="H434" t="b">
        <f t="shared" si="7"/>
        <v>0</v>
      </c>
      <c r="I434" t="str" cm="1">
        <f t="array" ref="I434">GET_TICKER_FINAL(C434)</f>
        <v/>
      </c>
      <c r="J434" s="5" t="s">
        <v>25</v>
      </c>
    </row>
    <row r="435" spans="1:10">
      <c r="A435">
        <v>434</v>
      </c>
      <c r="B435" s="1" t="s">
        <v>409</v>
      </c>
      <c r="C435" s="1" t="s">
        <v>455</v>
      </c>
      <c r="D435" s="1">
        <v>22</v>
      </c>
      <c r="E435" s="1">
        <v>9</v>
      </c>
      <c r="F435" s="1">
        <v>0.88</v>
      </c>
      <c r="G435" s="1">
        <v>20260402</v>
      </c>
      <c r="H435" t="b">
        <f t="shared" si="7"/>
        <v>0</v>
      </c>
      <c r="I435" t="str" cm="1">
        <f t="array" ref="I435">GET_TICKER_FINAL(C435)</f>
        <v/>
      </c>
      <c r="J435" s="5" t="s">
        <v>1792</v>
      </c>
    </row>
    <row r="436" spans="1:10">
      <c r="A436">
        <v>435</v>
      </c>
      <c r="B436" s="1" t="s">
        <v>409</v>
      </c>
      <c r="C436" s="1" t="s">
        <v>456</v>
      </c>
      <c r="D436" s="1">
        <v>21</v>
      </c>
      <c r="E436" s="1">
        <v>57</v>
      </c>
      <c r="F436" s="1">
        <v>0.78</v>
      </c>
      <c r="G436" s="1">
        <v>20260331</v>
      </c>
      <c r="H436" t="b">
        <f t="shared" si="7"/>
        <v>0</v>
      </c>
      <c r="I436" t="str" cm="1">
        <f t="array" ref="I436">GET_TICKER_FINAL(C436)</f>
        <v/>
      </c>
      <c r="J436" s="5" t="s">
        <v>16</v>
      </c>
    </row>
    <row r="437" spans="1:10">
      <c r="A437">
        <v>436</v>
      </c>
      <c r="B437" s="1" t="s">
        <v>409</v>
      </c>
      <c r="C437" s="1" t="s">
        <v>457</v>
      </c>
      <c r="D437" s="1">
        <v>20</v>
      </c>
      <c r="E437" s="1">
        <v>14</v>
      </c>
      <c r="F437" s="1">
        <v>0.76</v>
      </c>
      <c r="G437" s="1">
        <v>20260330</v>
      </c>
      <c r="H437" t="b">
        <f t="shared" si="7"/>
        <v>0</v>
      </c>
      <c r="I437" t="str" cm="1">
        <f t="array" ref="I437">GET_TICKER_FINAL(C437)</f>
        <v>NVDA</v>
      </c>
      <c r="J437" s="5" t="s">
        <v>1792</v>
      </c>
    </row>
    <row r="438" spans="1:10">
      <c r="A438">
        <v>437</v>
      </c>
      <c r="B438" s="1" t="s">
        <v>409</v>
      </c>
      <c r="C438" s="1" t="s">
        <v>458</v>
      </c>
      <c r="D438" s="1">
        <v>20</v>
      </c>
      <c r="E438" s="1">
        <v>35</v>
      </c>
      <c r="F438" s="1">
        <v>0.83</v>
      </c>
      <c r="G438" s="1">
        <v>20260401</v>
      </c>
      <c r="H438" t="b">
        <f t="shared" si="7"/>
        <v>0</v>
      </c>
      <c r="I438" t="str" cm="1">
        <f t="array" ref="I438">GET_TICKER_FINAL(C438)</f>
        <v/>
      </c>
      <c r="J438" s="5" t="s">
        <v>1792</v>
      </c>
    </row>
    <row r="439" spans="1:10">
      <c r="A439">
        <v>438</v>
      </c>
      <c r="B439" s="1" t="s">
        <v>409</v>
      </c>
      <c r="C439" s="1" t="s">
        <v>459</v>
      </c>
      <c r="D439" s="1">
        <v>19</v>
      </c>
      <c r="E439" s="1">
        <v>32</v>
      </c>
      <c r="F439" s="1">
        <v>0.7</v>
      </c>
      <c r="G439" s="1">
        <v>20260323</v>
      </c>
      <c r="H439" t="b">
        <f t="shared" si="7"/>
        <v>0</v>
      </c>
      <c r="I439" t="str" cm="1">
        <f t="array" ref="I439">GET_TICKER_FINAL(C439)</f>
        <v/>
      </c>
      <c r="J439" s="5" t="s">
        <v>1792</v>
      </c>
    </row>
    <row r="440" spans="1:10">
      <c r="A440">
        <v>439</v>
      </c>
      <c r="B440" s="1" t="s">
        <v>409</v>
      </c>
      <c r="C440" s="1" t="s">
        <v>460</v>
      </c>
      <c r="D440" s="1">
        <v>19</v>
      </c>
      <c r="E440" s="1">
        <v>18</v>
      </c>
      <c r="F440" s="1">
        <v>0.85</v>
      </c>
      <c r="G440" s="1">
        <v>20260323</v>
      </c>
      <c r="H440" t="b">
        <f t="shared" si="7"/>
        <v>0</v>
      </c>
      <c r="I440" t="str" cm="1">
        <f t="array" ref="I440">GET_TICKER_FINAL(C440)</f>
        <v/>
      </c>
      <c r="J440" s="5" t="s">
        <v>16</v>
      </c>
    </row>
    <row r="441" spans="1:10">
      <c r="A441">
        <v>440</v>
      </c>
      <c r="B441" s="1" t="s">
        <v>409</v>
      </c>
      <c r="C441" s="1" t="s">
        <v>461</v>
      </c>
      <c r="D441" s="1">
        <v>19</v>
      </c>
      <c r="E441" s="1">
        <v>6</v>
      </c>
      <c r="F441" s="1">
        <v>0.77</v>
      </c>
      <c r="G441" s="1">
        <v>20260402</v>
      </c>
      <c r="H441" t="b">
        <f t="shared" si="7"/>
        <v>1</v>
      </c>
      <c r="I441" t="str" cm="1">
        <f t="array" ref="I441">GET_TICKER_FINAL(C441)</f>
        <v/>
      </c>
      <c r="J441" s="5" t="s">
        <v>1792</v>
      </c>
    </row>
    <row r="442" spans="1:10">
      <c r="A442">
        <v>441</v>
      </c>
      <c r="B442" s="1" t="s">
        <v>409</v>
      </c>
      <c r="C442" s="1" t="s">
        <v>462</v>
      </c>
      <c r="D442" s="1">
        <v>19</v>
      </c>
      <c r="E442" s="1">
        <v>17</v>
      </c>
      <c r="F442" s="1">
        <v>0.88</v>
      </c>
      <c r="G442" s="1">
        <v>20260323</v>
      </c>
      <c r="H442" t="b">
        <f t="shared" si="7"/>
        <v>0</v>
      </c>
      <c r="I442" t="str" cm="1">
        <f t="array" ref="I442">GET_TICKER_FINAL(C442)</f>
        <v/>
      </c>
      <c r="J442" s="5" t="s">
        <v>1792</v>
      </c>
    </row>
    <row r="443" spans="1:10">
      <c r="A443">
        <v>442</v>
      </c>
      <c r="B443" s="1" t="s">
        <v>409</v>
      </c>
      <c r="C443" s="1" t="s">
        <v>463</v>
      </c>
      <c r="D443" s="1">
        <v>18</v>
      </c>
      <c r="E443" s="1">
        <v>32</v>
      </c>
      <c r="F443" s="1">
        <v>0.91</v>
      </c>
      <c r="G443" s="1">
        <v>20260401</v>
      </c>
      <c r="H443" t="b">
        <f t="shared" si="7"/>
        <v>0</v>
      </c>
      <c r="I443" t="str" cm="1">
        <f t="array" ref="I443">GET_TICKER_FINAL(C443)</f>
        <v/>
      </c>
      <c r="J443" s="5" t="s">
        <v>25</v>
      </c>
    </row>
    <row r="444" spans="1:10">
      <c r="A444">
        <v>443</v>
      </c>
      <c r="B444" s="1" t="s">
        <v>409</v>
      </c>
      <c r="C444" s="1" t="s">
        <v>464</v>
      </c>
      <c r="D444" s="1">
        <v>18</v>
      </c>
      <c r="E444" s="1">
        <v>16</v>
      </c>
      <c r="F444" s="1">
        <v>0.93</v>
      </c>
      <c r="G444" s="1">
        <v>20260402</v>
      </c>
      <c r="H444" t="b">
        <f t="shared" si="7"/>
        <v>1</v>
      </c>
      <c r="I444" t="str" cm="1">
        <f t="array" ref="I444">GET_TICKER_FINAL(C444)</f>
        <v/>
      </c>
      <c r="J444" s="5" t="s">
        <v>1792</v>
      </c>
    </row>
    <row r="445" spans="1:10">
      <c r="A445">
        <v>444</v>
      </c>
      <c r="B445" s="1" t="s">
        <v>409</v>
      </c>
      <c r="C445" s="1" t="s">
        <v>465</v>
      </c>
      <c r="D445" s="1">
        <v>18</v>
      </c>
      <c r="E445" s="1">
        <v>43</v>
      </c>
      <c r="F445" s="1">
        <v>0.8</v>
      </c>
      <c r="G445" s="1">
        <v>20260323</v>
      </c>
      <c r="H445" t="b">
        <f t="shared" si="7"/>
        <v>0</v>
      </c>
      <c r="I445" t="str" cm="1">
        <f t="array" ref="I445">GET_TICKER_FINAL(C445)</f>
        <v/>
      </c>
      <c r="J445" s="5" t="s">
        <v>1792</v>
      </c>
    </row>
    <row r="446" spans="1:10">
      <c r="A446">
        <v>445</v>
      </c>
      <c r="B446" s="1" t="s">
        <v>409</v>
      </c>
      <c r="C446" s="1" t="s">
        <v>466</v>
      </c>
      <c r="D446" s="1">
        <v>18</v>
      </c>
      <c r="E446" s="1">
        <v>14</v>
      </c>
      <c r="F446" s="1">
        <v>0.78</v>
      </c>
      <c r="G446" s="1">
        <v>20260324</v>
      </c>
      <c r="H446" t="b">
        <f t="shared" si="7"/>
        <v>0</v>
      </c>
      <c r="I446" t="str" cm="1">
        <f t="array" ref="I446">GET_TICKER_FINAL(C446)</f>
        <v/>
      </c>
      <c r="J446" s="5" t="s">
        <v>1792</v>
      </c>
    </row>
    <row r="447" spans="1:10">
      <c r="A447">
        <v>446</v>
      </c>
      <c r="B447" s="1" t="s">
        <v>409</v>
      </c>
      <c r="C447" s="1" t="s">
        <v>467</v>
      </c>
      <c r="D447" s="1">
        <v>17</v>
      </c>
      <c r="E447" s="1">
        <v>16</v>
      </c>
      <c r="F447" s="1">
        <v>0.95</v>
      </c>
      <c r="G447" s="1">
        <v>20260330</v>
      </c>
      <c r="H447" t="b">
        <f t="shared" si="7"/>
        <v>0</v>
      </c>
      <c r="I447" t="str" cm="1">
        <f t="array" ref="I447">GET_TICKER_FINAL(C447)</f>
        <v>SPY</v>
      </c>
      <c r="J447" s="5" t="s">
        <v>1792</v>
      </c>
    </row>
    <row r="448" spans="1:10">
      <c r="A448">
        <v>447</v>
      </c>
      <c r="B448" s="1" t="s">
        <v>409</v>
      </c>
      <c r="C448" s="1" t="s">
        <v>468</v>
      </c>
      <c r="D448" s="1">
        <v>17</v>
      </c>
      <c r="E448" s="1">
        <v>41</v>
      </c>
      <c r="F448" s="1">
        <v>0.81</v>
      </c>
      <c r="G448" s="1">
        <v>20260323</v>
      </c>
      <c r="H448" t="b">
        <f t="shared" si="7"/>
        <v>0</v>
      </c>
      <c r="I448" t="str" cm="1">
        <f t="array" ref="I448">GET_TICKER_FINAL(C448)</f>
        <v/>
      </c>
      <c r="J448" s="5" t="s">
        <v>25</v>
      </c>
    </row>
    <row r="449" spans="1:10">
      <c r="A449">
        <v>448</v>
      </c>
      <c r="B449" s="1" t="s">
        <v>409</v>
      </c>
      <c r="C449" s="1" t="s">
        <v>469</v>
      </c>
      <c r="D449" s="1">
        <v>17</v>
      </c>
      <c r="E449" s="1">
        <v>0</v>
      </c>
      <c r="F449" s="1">
        <v>0.95</v>
      </c>
      <c r="G449" s="1">
        <v>20260324</v>
      </c>
      <c r="H449" t="b">
        <f t="shared" si="7"/>
        <v>0</v>
      </c>
      <c r="I449" t="str" cm="1">
        <f t="array" ref="I449">GET_TICKER_FINAL(C449)</f>
        <v/>
      </c>
      <c r="J449" s="5" t="s">
        <v>25</v>
      </c>
    </row>
    <row r="450" spans="1:10">
      <c r="A450">
        <v>449</v>
      </c>
      <c r="B450" s="1" t="s">
        <v>409</v>
      </c>
      <c r="C450" s="1" t="s">
        <v>470</v>
      </c>
      <c r="D450" s="1">
        <v>17</v>
      </c>
      <c r="E450" s="1">
        <v>7</v>
      </c>
      <c r="F450" s="1">
        <v>0.87</v>
      </c>
      <c r="G450" s="1">
        <v>20260401</v>
      </c>
      <c r="H450" t="b">
        <f t="shared" si="7"/>
        <v>0</v>
      </c>
      <c r="I450" t="str" cm="1">
        <f t="array" ref="I450">GET_TICKER_FINAL(C450)</f>
        <v/>
      </c>
      <c r="J450" s="5" t="s">
        <v>25</v>
      </c>
    </row>
    <row r="451" spans="1:10">
      <c r="A451">
        <v>450</v>
      </c>
      <c r="B451" s="1" t="s">
        <v>409</v>
      </c>
      <c r="C451" s="1" t="s">
        <v>471</v>
      </c>
      <c r="D451" s="1">
        <v>17</v>
      </c>
      <c r="E451" s="1">
        <v>8</v>
      </c>
      <c r="F451" s="1">
        <v>0.91</v>
      </c>
      <c r="G451" s="1">
        <v>20260401</v>
      </c>
      <c r="H451" t="b">
        <f t="shared" ref="H451:H514" si="8">OR(ISNUMBER(SEARCH("$A",C451)),ISNUMBER(SEARCH("$B",C451)),ISNUMBER(SEARCH("$C",C451)),ISNUMBER(SEARCH("$D",C451)),ISNUMBER(SEARCH("$E",C451)),ISNUMBER(SEARCH("$F",C451)),ISNUMBER(SEARCH("$G",C451)),ISNUMBER(SEARCH("$H",C451)),ISNUMBER(SEARCH("$I",C451)),ISNUMBER(SEARCH("$J",C451)),ISNUMBER(SEARCH("$K",C451)),ISNUMBER(SEARCH("$L",C451)),ISNUMBER(SEARCH("$M",C451)),ISNUMBER(SEARCH("$N",C451)),ISNUMBER(SEARCH("$O",C451)),ISNUMBER(SEARCH("$P",C451)),ISNUMBER(SEARCH("$Q",C451)),ISNUMBER(SEARCH("$R",C451)),ISNUMBER(SEARCH("$S",C451)),ISNUMBER(SEARCH("$T",C451)),ISNUMBER(SEARCH("$U",C451)),ISNUMBER(SEARCH("$V",C451)),ISNUMBER(SEARCH("$W",C451)),ISNUMBER(SEARCH("$X",C451)),ISNUMBER(SEARCH("$Y",C451)),ISNUMBER(SEARCH("$Z",C451)))</f>
        <v>1</v>
      </c>
      <c r="I451" t="str" cm="1">
        <f t="array" ref="I451">GET_TICKER_FINAL(C451)</f>
        <v/>
      </c>
      <c r="J451" s="5" t="s">
        <v>25</v>
      </c>
    </row>
    <row r="452" spans="1:10">
      <c r="A452">
        <v>451</v>
      </c>
      <c r="B452" s="1" t="s">
        <v>409</v>
      </c>
      <c r="C452" s="1" t="s">
        <v>472</v>
      </c>
      <c r="D452" s="1">
        <v>16</v>
      </c>
      <c r="E452" s="1">
        <v>10</v>
      </c>
      <c r="F452" s="1">
        <v>0.81</v>
      </c>
      <c r="G452" s="1">
        <v>20260401</v>
      </c>
      <c r="H452" t="b">
        <f t="shared" si="8"/>
        <v>0</v>
      </c>
      <c r="I452" t="str" cm="1">
        <f t="array" ref="I452">GET_TICKER_FINAL(C452)</f>
        <v/>
      </c>
      <c r="J452" s="5" t="s">
        <v>1792</v>
      </c>
    </row>
    <row r="453" spans="1:10">
      <c r="A453">
        <v>452</v>
      </c>
      <c r="B453" s="1" t="s">
        <v>409</v>
      </c>
      <c r="C453" s="1" t="s">
        <v>473</v>
      </c>
      <c r="D453" s="1">
        <v>16</v>
      </c>
      <c r="E453" s="1">
        <v>32</v>
      </c>
      <c r="F453" s="1">
        <v>0.86</v>
      </c>
      <c r="G453" s="1">
        <v>20260331</v>
      </c>
      <c r="H453" t="b">
        <f t="shared" si="8"/>
        <v>0</v>
      </c>
      <c r="I453" t="str" cm="1">
        <f t="array" ref="I453">GET_TICKER_FINAL(C453)</f>
        <v/>
      </c>
      <c r="J453" s="5" t="s">
        <v>1792</v>
      </c>
    </row>
    <row r="454" spans="1:10">
      <c r="A454">
        <v>453</v>
      </c>
      <c r="B454" s="1" t="s">
        <v>409</v>
      </c>
      <c r="C454" s="1" t="s">
        <v>474</v>
      </c>
      <c r="D454" s="1">
        <v>16</v>
      </c>
      <c r="E454" s="1">
        <v>26</v>
      </c>
      <c r="F454" s="1">
        <v>0.86</v>
      </c>
      <c r="G454" s="1">
        <v>20260327</v>
      </c>
      <c r="H454" t="b">
        <f t="shared" si="8"/>
        <v>0</v>
      </c>
      <c r="I454" t="str" cm="1">
        <f t="array" ref="I454">GET_TICKER_FINAL(C454)</f>
        <v/>
      </c>
      <c r="J454" s="5" t="s">
        <v>25</v>
      </c>
    </row>
    <row r="455" spans="1:10">
      <c r="A455">
        <v>454</v>
      </c>
      <c r="B455" s="1" t="s">
        <v>409</v>
      </c>
      <c r="C455" s="1" t="s">
        <v>475</v>
      </c>
      <c r="D455" s="1">
        <v>16</v>
      </c>
      <c r="E455" s="1">
        <v>78</v>
      </c>
      <c r="F455" s="1">
        <v>0.79</v>
      </c>
      <c r="G455" s="1">
        <v>20260320</v>
      </c>
      <c r="H455" t="b">
        <f t="shared" si="8"/>
        <v>0</v>
      </c>
      <c r="I455" t="str" cm="1">
        <f t="array" ref="I455">GET_TICKER_FINAL(C455)</f>
        <v/>
      </c>
      <c r="J455" s="5" t="s">
        <v>1792</v>
      </c>
    </row>
    <row r="456" spans="1:10">
      <c r="A456">
        <v>455</v>
      </c>
      <c r="B456" s="1" t="s">
        <v>409</v>
      </c>
      <c r="C456" s="1" t="s">
        <v>476</v>
      </c>
      <c r="D456" s="1">
        <v>15</v>
      </c>
      <c r="E456" s="1">
        <v>72</v>
      </c>
      <c r="F456" s="1">
        <v>0.66</v>
      </c>
      <c r="G456" s="1">
        <v>20260324</v>
      </c>
      <c r="H456" t="b">
        <f t="shared" si="8"/>
        <v>0</v>
      </c>
      <c r="I456" t="str" cm="1">
        <f t="array" ref="I456">GET_TICKER_FINAL(C456)</f>
        <v/>
      </c>
      <c r="J456" s="5" t="s">
        <v>16</v>
      </c>
    </row>
    <row r="457" spans="1:10">
      <c r="A457">
        <v>456</v>
      </c>
      <c r="B457" s="1" t="s">
        <v>409</v>
      </c>
      <c r="C457" s="1" t="s">
        <v>477</v>
      </c>
      <c r="D457" s="1">
        <v>15</v>
      </c>
      <c r="E457" s="1">
        <v>38</v>
      </c>
      <c r="F457" s="1">
        <v>0.72</v>
      </c>
      <c r="G457" s="1">
        <v>20260320</v>
      </c>
      <c r="H457" t="b">
        <f t="shared" si="8"/>
        <v>0</v>
      </c>
      <c r="I457" t="str" cm="1">
        <f t="array" ref="I457">GET_TICKER_FINAL(C457)</f>
        <v>NVDA</v>
      </c>
      <c r="J457" s="5" t="s">
        <v>25</v>
      </c>
    </row>
    <row r="458" spans="1:10">
      <c r="A458">
        <v>457</v>
      </c>
      <c r="B458" s="1" t="s">
        <v>409</v>
      </c>
      <c r="C458" s="1" t="s">
        <v>478</v>
      </c>
      <c r="D458" s="1">
        <v>15</v>
      </c>
      <c r="E458" s="1">
        <v>16</v>
      </c>
      <c r="F458" s="1">
        <v>0.9</v>
      </c>
      <c r="G458" s="1">
        <v>20260320</v>
      </c>
      <c r="H458" t="b">
        <f t="shared" si="8"/>
        <v>0</v>
      </c>
      <c r="I458" t="str" cm="1">
        <f t="array" ref="I458">GET_TICKER_FINAL(C458)</f>
        <v/>
      </c>
      <c r="J458" s="5" t="s">
        <v>1792</v>
      </c>
    </row>
    <row r="459" spans="1:10">
      <c r="A459">
        <v>458</v>
      </c>
      <c r="B459" s="1" t="s">
        <v>409</v>
      </c>
      <c r="C459" s="1" t="s">
        <v>479</v>
      </c>
      <c r="D459" s="1">
        <v>14</v>
      </c>
      <c r="E459" s="1">
        <v>23</v>
      </c>
      <c r="F459" s="1">
        <v>1</v>
      </c>
      <c r="G459" s="1">
        <v>20260330</v>
      </c>
      <c r="H459" t="b">
        <f t="shared" si="8"/>
        <v>0</v>
      </c>
      <c r="I459" t="str" cm="1">
        <f t="array" ref="I459">GET_TICKER_FINAL(C459)</f>
        <v/>
      </c>
      <c r="J459" s="5" t="s">
        <v>1792</v>
      </c>
    </row>
    <row r="460" spans="1:10">
      <c r="A460">
        <v>459</v>
      </c>
      <c r="B460" s="1" t="s">
        <v>409</v>
      </c>
      <c r="C460" s="1" t="s">
        <v>480</v>
      </c>
      <c r="D460" s="1">
        <v>14</v>
      </c>
      <c r="E460" s="1">
        <v>13</v>
      </c>
      <c r="F460" s="1">
        <v>0.64</v>
      </c>
      <c r="G460" s="1">
        <v>20260402</v>
      </c>
      <c r="H460" t="b">
        <f t="shared" si="8"/>
        <v>0</v>
      </c>
      <c r="I460" t="str" cm="1">
        <f t="array" ref="I460">GET_TICKER_FINAL(C460)</f>
        <v/>
      </c>
      <c r="J460" s="5" t="s">
        <v>1792</v>
      </c>
    </row>
    <row r="461" spans="1:10">
      <c r="A461">
        <v>460</v>
      </c>
      <c r="B461" s="1" t="s">
        <v>409</v>
      </c>
      <c r="C461" s="1" t="s">
        <v>481</v>
      </c>
      <c r="D461" s="1">
        <v>13</v>
      </c>
      <c r="E461" s="1">
        <v>8</v>
      </c>
      <c r="F461" s="1">
        <v>0.81</v>
      </c>
      <c r="G461" s="1">
        <v>20260401</v>
      </c>
      <c r="H461" t="b">
        <f t="shared" si="8"/>
        <v>0</v>
      </c>
      <c r="I461" t="str" cm="1">
        <f t="array" ref="I461">GET_TICKER_FINAL(C461)</f>
        <v/>
      </c>
      <c r="J461" s="5" t="s">
        <v>1792</v>
      </c>
    </row>
    <row r="462" spans="1:10">
      <c r="A462">
        <v>461</v>
      </c>
      <c r="B462" s="1" t="s">
        <v>409</v>
      </c>
      <c r="C462" s="1" t="s">
        <v>482</v>
      </c>
      <c r="D462" s="1">
        <v>13</v>
      </c>
      <c r="E462" s="1">
        <v>20</v>
      </c>
      <c r="F462" s="1">
        <v>0.93</v>
      </c>
      <c r="G462" s="1">
        <v>20260323</v>
      </c>
      <c r="H462" t="b">
        <f t="shared" si="8"/>
        <v>0</v>
      </c>
      <c r="I462" t="str" cm="1">
        <f t="array" ref="I462">GET_TICKER_FINAL(C462)</f>
        <v/>
      </c>
      <c r="J462" s="5" t="s">
        <v>1792</v>
      </c>
    </row>
    <row r="463" spans="1:10">
      <c r="A463">
        <v>462</v>
      </c>
      <c r="B463" s="1" t="s">
        <v>409</v>
      </c>
      <c r="C463" s="1" t="s">
        <v>483</v>
      </c>
      <c r="D463" s="1">
        <v>12</v>
      </c>
      <c r="E463" s="1">
        <v>42</v>
      </c>
      <c r="F463" s="1">
        <v>0.77</v>
      </c>
      <c r="G463" s="1">
        <v>20260330</v>
      </c>
      <c r="H463" t="b">
        <f t="shared" si="8"/>
        <v>0</v>
      </c>
      <c r="I463" t="str" cm="1">
        <f t="array" ref="I463">GET_TICKER_FINAL(C463)</f>
        <v/>
      </c>
      <c r="J463" s="5" t="s">
        <v>1792</v>
      </c>
    </row>
    <row r="464" spans="1:10">
      <c r="A464">
        <v>463</v>
      </c>
      <c r="B464" s="1" t="s">
        <v>409</v>
      </c>
      <c r="C464" s="1" t="s">
        <v>484</v>
      </c>
      <c r="D464" s="1">
        <v>12</v>
      </c>
      <c r="E464" s="1">
        <v>14</v>
      </c>
      <c r="F464" s="1">
        <v>1</v>
      </c>
      <c r="G464" s="1">
        <v>20260401</v>
      </c>
      <c r="H464" t="b">
        <f t="shared" si="8"/>
        <v>0</v>
      </c>
      <c r="I464" t="str" cm="1">
        <f t="array" ref="I464">GET_TICKER_FINAL(C464)</f>
        <v/>
      </c>
      <c r="J464" s="5" t="s">
        <v>1792</v>
      </c>
    </row>
    <row r="465" spans="1:10">
      <c r="A465">
        <v>464</v>
      </c>
      <c r="B465" s="1" t="s">
        <v>409</v>
      </c>
      <c r="C465" s="1" t="s">
        <v>485</v>
      </c>
      <c r="D465" s="1">
        <v>12</v>
      </c>
      <c r="E465" s="1">
        <v>22</v>
      </c>
      <c r="F465" s="1">
        <v>0.84</v>
      </c>
      <c r="G465" s="1">
        <v>20260402</v>
      </c>
      <c r="H465" t="b">
        <f t="shared" si="8"/>
        <v>0</v>
      </c>
      <c r="I465" t="str" cm="1">
        <f t="array" ref="I465">GET_TICKER_FINAL(C465)</f>
        <v/>
      </c>
      <c r="J465" s="5" t="s">
        <v>16</v>
      </c>
    </row>
    <row r="466" spans="1:10">
      <c r="A466">
        <v>465</v>
      </c>
      <c r="B466" s="1" t="s">
        <v>409</v>
      </c>
      <c r="C466" s="1" t="s">
        <v>486</v>
      </c>
      <c r="D466" s="1">
        <v>12</v>
      </c>
      <c r="E466" s="1">
        <v>52</v>
      </c>
      <c r="F466" s="1">
        <v>0.81</v>
      </c>
      <c r="G466" s="1">
        <v>20260402</v>
      </c>
      <c r="H466" t="b">
        <f t="shared" si="8"/>
        <v>0</v>
      </c>
      <c r="I466" t="str" cm="1">
        <f t="array" ref="I466">GET_TICKER_FINAL(C466)</f>
        <v>SPY</v>
      </c>
      <c r="J466" s="5" t="s">
        <v>1792</v>
      </c>
    </row>
    <row r="467" spans="1:10">
      <c r="A467">
        <v>466</v>
      </c>
      <c r="B467" s="1" t="s">
        <v>409</v>
      </c>
      <c r="C467" s="1" t="s">
        <v>487</v>
      </c>
      <c r="D467" s="1">
        <v>12</v>
      </c>
      <c r="E467" s="1">
        <v>12</v>
      </c>
      <c r="F467" s="1">
        <v>0.7</v>
      </c>
      <c r="G467" s="1">
        <v>20260331</v>
      </c>
      <c r="H467" t="b">
        <f t="shared" si="8"/>
        <v>0</v>
      </c>
      <c r="I467" t="str" cm="1">
        <f t="array" ref="I467">GET_TICKER_FINAL(C467)</f>
        <v/>
      </c>
      <c r="J467" s="5" t="s">
        <v>1792</v>
      </c>
    </row>
    <row r="468" spans="1:10">
      <c r="A468">
        <v>467</v>
      </c>
      <c r="B468" s="1" t="s">
        <v>409</v>
      </c>
      <c r="C468" s="1" t="s">
        <v>488</v>
      </c>
      <c r="D468" s="1">
        <v>11</v>
      </c>
      <c r="E468" s="1">
        <v>7</v>
      </c>
      <c r="F468" s="1">
        <v>0.83</v>
      </c>
      <c r="G468" s="1">
        <v>20260401</v>
      </c>
      <c r="H468" t="b">
        <f t="shared" si="8"/>
        <v>1</v>
      </c>
      <c r="I468" t="str" cm="1">
        <f t="array" ref="I468">GET_TICKER_FINAL(C468)</f>
        <v/>
      </c>
      <c r="J468" s="5" t="s">
        <v>25</v>
      </c>
    </row>
    <row r="469" spans="1:10">
      <c r="A469">
        <v>468</v>
      </c>
      <c r="B469" s="1" t="s">
        <v>409</v>
      </c>
      <c r="C469" s="1" t="s">
        <v>489</v>
      </c>
      <c r="D469" s="1">
        <v>11</v>
      </c>
      <c r="E469" s="1">
        <v>6</v>
      </c>
      <c r="F469" s="1">
        <v>0.79</v>
      </c>
      <c r="G469" s="1">
        <v>20260401</v>
      </c>
      <c r="H469" t="b">
        <f t="shared" si="8"/>
        <v>0</v>
      </c>
      <c r="I469" t="str" cm="1">
        <f t="array" ref="I469">GET_TICKER_FINAL(C469)</f>
        <v/>
      </c>
      <c r="J469" s="5" t="s">
        <v>1792</v>
      </c>
    </row>
    <row r="470" spans="1:10">
      <c r="A470">
        <v>469</v>
      </c>
      <c r="B470" s="1" t="s">
        <v>409</v>
      </c>
      <c r="C470" s="1" t="s">
        <v>490</v>
      </c>
      <c r="D470" s="1">
        <v>11</v>
      </c>
      <c r="E470" s="1">
        <v>16</v>
      </c>
      <c r="F470" s="1">
        <v>0.87</v>
      </c>
      <c r="G470" s="1">
        <v>20260327</v>
      </c>
      <c r="H470" t="b">
        <f t="shared" si="8"/>
        <v>0</v>
      </c>
      <c r="I470" t="str" cm="1">
        <f t="array" ref="I470">GET_TICKER_FINAL(C470)</f>
        <v/>
      </c>
      <c r="J470" s="5" t="s">
        <v>1792</v>
      </c>
    </row>
    <row r="471" spans="1:10">
      <c r="A471">
        <v>470</v>
      </c>
      <c r="B471" s="1" t="s">
        <v>409</v>
      </c>
      <c r="C471" s="1" t="s">
        <v>491</v>
      </c>
      <c r="D471" s="1">
        <v>11</v>
      </c>
      <c r="E471" s="1">
        <v>20</v>
      </c>
      <c r="F471" s="1">
        <v>0.84</v>
      </c>
      <c r="G471" s="1">
        <v>20260323</v>
      </c>
      <c r="H471" t="b">
        <f t="shared" si="8"/>
        <v>0</v>
      </c>
      <c r="I471" t="str" cm="1">
        <f t="array" ref="I471">GET_TICKER_FINAL(C471)</f>
        <v/>
      </c>
      <c r="J471" s="5" t="s">
        <v>1792</v>
      </c>
    </row>
    <row r="472" spans="1:10">
      <c r="A472">
        <v>471</v>
      </c>
      <c r="B472" s="1" t="s">
        <v>409</v>
      </c>
      <c r="C472" s="1" t="s">
        <v>492</v>
      </c>
      <c r="D472" s="1">
        <v>11</v>
      </c>
      <c r="E472" s="1">
        <v>6</v>
      </c>
      <c r="F472" s="1">
        <v>0.87</v>
      </c>
      <c r="G472" s="1">
        <v>20260402</v>
      </c>
      <c r="H472" t="b">
        <f t="shared" si="8"/>
        <v>0</v>
      </c>
      <c r="I472" t="str" cm="1">
        <f t="array" ref="I472">GET_TICKER_FINAL(C472)</f>
        <v/>
      </c>
      <c r="J472" s="5" t="s">
        <v>1792</v>
      </c>
    </row>
    <row r="473" spans="1:10">
      <c r="A473">
        <v>472</v>
      </c>
      <c r="B473" s="1" t="s">
        <v>409</v>
      </c>
      <c r="C473" s="1" t="s">
        <v>493</v>
      </c>
      <c r="D473" s="1">
        <v>11</v>
      </c>
      <c r="E473" s="1">
        <v>19</v>
      </c>
      <c r="F473" s="1">
        <v>0.77</v>
      </c>
      <c r="G473" s="1">
        <v>20260320</v>
      </c>
      <c r="H473" t="b">
        <f t="shared" si="8"/>
        <v>0</v>
      </c>
      <c r="I473" t="str" cm="1">
        <f t="array" ref="I473">GET_TICKER_FINAL(C473)</f>
        <v/>
      </c>
      <c r="J473" s="5" t="s">
        <v>16</v>
      </c>
    </row>
    <row r="474" spans="1:10">
      <c r="A474">
        <v>473</v>
      </c>
      <c r="B474" s="1" t="s">
        <v>409</v>
      </c>
      <c r="C474" s="1" t="s">
        <v>494</v>
      </c>
      <c r="D474" s="1">
        <v>11</v>
      </c>
      <c r="E474" s="1">
        <v>11</v>
      </c>
      <c r="F474" s="1">
        <v>0.64</v>
      </c>
      <c r="G474" s="1">
        <v>20260402</v>
      </c>
      <c r="H474" t="b">
        <f t="shared" si="8"/>
        <v>0</v>
      </c>
      <c r="I474" t="str" cm="1">
        <f t="array" ref="I474">GET_TICKER_FINAL(C474)</f>
        <v>SPY</v>
      </c>
      <c r="J474" s="5" t="s">
        <v>1792</v>
      </c>
    </row>
    <row r="475" spans="1:10">
      <c r="A475">
        <v>474</v>
      </c>
      <c r="B475" s="1" t="s">
        <v>409</v>
      </c>
      <c r="C475" s="1" t="s">
        <v>495</v>
      </c>
      <c r="D475" s="1">
        <v>11</v>
      </c>
      <c r="E475" s="1">
        <v>22</v>
      </c>
      <c r="F475" s="1">
        <v>0.92</v>
      </c>
      <c r="G475" s="1">
        <v>20260324</v>
      </c>
      <c r="H475" t="b">
        <f t="shared" si="8"/>
        <v>0</v>
      </c>
      <c r="I475" t="str" cm="1">
        <f t="array" ref="I475">GET_TICKER_FINAL(C475)</f>
        <v/>
      </c>
      <c r="J475" s="5" t="s">
        <v>1792</v>
      </c>
    </row>
    <row r="476" spans="1:10">
      <c r="A476">
        <v>475</v>
      </c>
      <c r="B476" s="1" t="s">
        <v>409</v>
      </c>
      <c r="C476" s="1" t="s">
        <v>496</v>
      </c>
      <c r="D476" s="1">
        <v>10</v>
      </c>
      <c r="E476" s="1">
        <v>46</v>
      </c>
      <c r="F476" s="1">
        <v>0.7</v>
      </c>
      <c r="G476" s="1">
        <v>20260330</v>
      </c>
      <c r="H476" t="b">
        <f t="shared" si="8"/>
        <v>0</v>
      </c>
      <c r="I476" t="str" cm="1">
        <f t="array" ref="I476">GET_TICKER_FINAL(C476)</f>
        <v>SPY</v>
      </c>
      <c r="J476" s="5" t="s">
        <v>1792</v>
      </c>
    </row>
    <row r="477" spans="1:10">
      <c r="A477">
        <v>476</v>
      </c>
      <c r="B477" s="1" t="s">
        <v>409</v>
      </c>
      <c r="C477" s="1" t="s">
        <v>497</v>
      </c>
      <c r="D477" s="1">
        <v>10</v>
      </c>
      <c r="E477" s="1">
        <v>14</v>
      </c>
      <c r="F477" s="1">
        <v>1</v>
      </c>
      <c r="G477" s="1">
        <v>20260330</v>
      </c>
      <c r="H477" t="b">
        <f t="shared" si="8"/>
        <v>0</v>
      </c>
      <c r="I477" t="str" cm="1">
        <f t="array" ref="I477">GET_TICKER_FINAL(C477)</f>
        <v/>
      </c>
      <c r="J477" s="5" t="s">
        <v>1792</v>
      </c>
    </row>
    <row r="478" spans="1:10">
      <c r="A478">
        <v>477</v>
      </c>
      <c r="B478" s="1" t="s">
        <v>409</v>
      </c>
      <c r="C478" s="1" t="s">
        <v>498</v>
      </c>
      <c r="D478" s="1">
        <v>10</v>
      </c>
      <c r="E478" s="1">
        <v>10</v>
      </c>
      <c r="F478" s="1">
        <v>1</v>
      </c>
      <c r="G478" s="1">
        <v>20260323</v>
      </c>
      <c r="H478" t="b">
        <f t="shared" si="8"/>
        <v>0</v>
      </c>
      <c r="I478" t="str" cm="1">
        <f t="array" ref="I478">GET_TICKER_FINAL(C478)</f>
        <v/>
      </c>
      <c r="J478" s="5" t="s">
        <v>1792</v>
      </c>
    </row>
    <row r="479" spans="1:10">
      <c r="A479">
        <v>478</v>
      </c>
      <c r="B479" s="1" t="s">
        <v>409</v>
      </c>
      <c r="C479" s="1" t="s">
        <v>499</v>
      </c>
      <c r="D479" s="1">
        <v>10</v>
      </c>
      <c r="E479" s="1">
        <v>13</v>
      </c>
      <c r="F479" s="1">
        <v>0.86</v>
      </c>
      <c r="G479" s="1">
        <v>20260401</v>
      </c>
      <c r="H479" t="b">
        <f t="shared" si="8"/>
        <v>0</v>
      </c>
      <c r="I479" t="str" cm="1">
        <f t="array" ref="I479">GET_TICKER_FINAL(C479)</f>
        <v/>
      </c>
      <c r="J479" s="5" t="s">
        <v>1792</v>
      </c>
    </row>
    <row r="480" spans="1:10">
      <c r="A480">
        <v>479</v>
      </c>
      <c r="B480" s="1" t="s">
        <v>409</v>
      </c>
      <c r="C480" s="1" t="s">
        <v>500</v>
      </c>
      <c r="D480" s="1">
        <v>9</v>
      </c>
      <c r="E480" s="1">
        <v>33</v>
      </c>
      <c r="F480" s="1">
        <v>0.68</v>
      </c>
      <c r="G480" s="1">
        <v>20260323</v>
      </c>
      <c r="H480" t="b">
        <f t="shared" si="8"/>
        <v>0</v>
      </c>
      <c r="I480" t="str" cm="1">
        <f t="array" ref="I480">GET_TICKER_FINAL(C480)</f>
        <v/>
      </c>
      <c r="J480" s="5" t="s">
        <v>16</v>
      </c>
    </row>
    <row r="481" spans="1:10">
      <c r="A481">
        <v>480</v>
      </c>
      <c r="B481" s="1" t="s">
        <v>409</v>
      </c>
      <c r="C481" s="1" t="s">
        <v>501</v>
      </c>
      <c r="D481" s="1">
        <v>9</v>
      </c>
      <c r="E481" s="1">
        <v>4</v>
      </c>
      <c r="F481" s="1">
        <v>0.8</v>
      </c>
      <c r="G481" s="1">
        <v>20260401</v>
      </c>
      <c r="H481" t="b">
        <f t="shared" si="8"/>
        <v>1</v>
      </c>
      <c r="I481" t="str" cm="1">
        <f t="array" ref="I481">GET_TICKER_FINAL(C481)</f>
        <v/>
      </c>
      <c r="J481" s="5" t="s">
        <v>1792</v>
      </c>
    </row>
    <row r="482" spans="1:10">
      <c r="A482">
        <v>481</v>
      </c>
      <c r="B482" s="1" t="s">
        <v>409</v>
      </c>
      <c r="C482" s="1" t="s">
        <v>502</v>
      </c>
      <c r="D482" s="1">
        <v>9</v>
      </c>
      <c r="E482" s="1">
        <v>31</v>
      </c>
      <c r="F482" s="1">
        <v>0.7</v>
      </c>
      <c r="G482" s="1">
        <v>20260320</v>
      </c>
      <c r="H482" t="b">
        <f t="shared" si="8"/>
        <v>0</v>
      </c>
      <c r="I482" t="str" cm="1">
        <f t="array" ref="I482">GET_TICKER_FINAL(C482)</f>
        <v/>
      </c>
      <c r="J482" s="5" t="s">
        <v>1792</v>
      </c>
    </row>
    <row r="483" spans="1:10">
      <c r="A483">
        <v>482</v>
      </c>
      <c r="B483" s="1" t="s">
        <v>409</v>
      </c>
      <c r="C483" s="1" t="s">
        <v>503</v>
      </c>
      <c r="D483" s="1">
        <v>9</v>
      </c>
      <c r="E483" s="1">
        <v>10</v>
      </c>
      <c r="F483" s="1">
        <v>0.91</v>
      </c>
      <c r="G483" s="1">
        <v>20260331</v>
      </c>
      <c r="H483" t="b">
        <f t="shared" si="8"/>
        <v>0</v>
      </c>
      <c r="I483" t="str" cm="1">
        <f t="array" ref="I483">GET_TICKER_FINAL(C483)</f>
        <v/>
      </c>
      <c r="J483" s="5" t="s">
        <v>1792</v>
      </c>
    </row>
    <row r="484" spans="1:10">
      <c r="A484">
        <v>483</v>
      </c>
      <c r="B484" s="1" t="s">
        <v>409</v>
      </c>
      <c r="C484" s="1" t="s">
        <v>504</v>
      </c>
      <c r="D484" s="1">
        <v>8</v>
      </c>
      <c r="E484" s="1">
        <v>36</v>
      </c>
      <c r="F484" s="1">
        <v>0.69</v>
      </c>
      <c r="G484" s="1">
        <v>20260401</v>
      </c>
      <c r="H484" t="b">
        <f t="shared" si="8"/>
        <v>0</v>
      </c>
      <c r="I484" t="str" cm="1">
        <f t="array" ref="I484">GET_TICKER_FINAL(C484)</f>
        <v/>
      </c>
      <c r="J484" s="5" t="s">
        <v>1792</v>
      </c>
    </row>
    <row r="485" spans="1:10">
      <c r="A485">
        <v>484</v>
      </c>
      <c r="B485" s="1" t="s">
        <v>409</v>
      </c>
      <c r="C485" s="1" t="s">
        <v>505</v>
      </c>
      <c r="D485" s="1">
        <v>8</v>
      </c>
      <c r="E485" s="1">
        <v>26</v>
      </c>
      <c r="F485" s="1">
        <v>0.73</v>
      </c>
      <c r="G485" s="1">
        <v>20260402</v>
      </c>
      <c r="H485" t="b">
        <f t="shared" si="8"/>
        <v>0</v>
      </c>
      <c r="I485" t="str" cm="1">
        <f t="array" ref="I485">GET_TICKER_FINAL(C485)</f>
        <v/>
      </c>
      <c r="J485" s="5" t="s">
        <v>16</v>
      </c>
    </row>
    <row r="486" spans="1:10">
      <c r="A486">
        <v>485</v>
      </c>
      <c r="B486" s="1" t="s">
        <v>409</v>
      </c>
      <c r="C486" s="1" t="s">
        <v>506</v>
      </c>
      <c r="D486" s="1">
        <v>8</v>
      </c>
      <c r="E486" s="1">
        <v>15</v>
      </c>
      <c r="F486" s="1">
        <v>0.83</v>
      </c>
      <c r="G486" s="1">
        <v>20260323</v>
      </c>
      <c r="H486" t="b">
        <f t="shared" si="8"/>
        <v>1</v>
      </c>
      <c r="I486" t="str" cm="1">
        <f t="array" ref="I486">GET_TICKER_FINAL(C486)</f>
        <v/>
      </c>
      <c r="J486" s="5" t="s">
        <v>1792</v>
      </c>
    </row>
    <row r="487" spans="1:10">
      <c r="A487">
        <v>486</v>
      </c>
      <c r="B487" s="1" t="s">
        <v>409</v>
      </c>
      <c r="C487" s="1" t="s">
        <v>507</v>
      </c>
      <c r="D487" s="1">
        <v>8</v>
      </c>
      <c r="E487" s="1">
        <v>29</v>
      </c>
      <c r="F487" s="1">
        <v>0.67</v>
      </c>
      <c r="G487" s="1">
        <v>20260331</v>
      </c>
      <c r="H487" t="b">
        <f t="shared" si="8"/>
        <v>0</v>
      </c>
      <c r="I487" t="str" cm="1">
        <f t="array" ref="I487">GET_TICKER_FINAL(C487)</f>
        <v>SPY</v>
      </c>
      <c r="J487" s="5" t="s">
        <v>1792</v>
      </c>
    </row>
    <row r="488" spans="1:10">
      <c r="A488">
        <v>487</v>
      </c>
      <c r="B488" s="1" t="s">
        <v>409</v>
      </c>
      <c r="C488" s="1" t="s">
        <v>508</v>
      </c>
      <c r="D488" s="1">
        <v>8</v>
      </c>
      <c r="E488" s="1">
        <v>9</v>
      </c>
      <c r="F488" s="1">
        <v>0.83</v>
      </c>
      <c r="G488" s="1">
        <v>20260320</v>
      </c>
      <c r="H488" t="b">
        <f t="shared" si="8"/>
        <v>0</v>
      </c>
      <c r="I488" t="str" cm="1">
        <f t="array" ref="I488">GET_TICKER_FINAL(C488)</f>
        <v/>
      </c>
      <c r="J488" s="5" t="s">
        <v>25</v>
      </c>
    </row>
    <row r="489" spans="1:10">
      <c r="A489">
        <v>488</v>
      </c>
      <c r="B489" s="1" t="s">
        <v>409</v>
      </c>
      <c r="C489" s="1" t="s">
        <v>509</v>
      </c>
      <c r="D489" s="1">
        <v>8</v>
      </c>
      <c r="E489" s="1">
        <v>16</v>
      </c>
      <c r="F489" s="1">
        <v>0.84</v>
      </c>
      <c r="G489" s="1">
        <v>20260331</v>
      </c>
      <c r="H489" t="b">
        <f t="shared" si="8"/>
        <v>0</v>
      </c>
      <c r="I489" t="str" cm="1">
        <f t="array" ref="I489">GET_TICKER_FINAL(C489)</f>
        <v>SPY</v>
      </c>
      <c r="J489" s="5" t="s">
        <v>1792</v>
      </c>
    </row>
    <row r="490" spans="1:10">
      <c r="A490">
        <v>489</v>
      </c>
      <c r="B490" s="1" t="s">
        <v>409</v>
      </c>
      <c r="C490" s="1" t="s">
        <v>510</v>
      </c>
      <c r="D490" s="1">
        <v>8</v>
      </c>
      <c r="E490" s="1">
        <v>16</v>
      </c>
      <c r="F490" s="1">
        <v>0.83</v>
      </c>
      <c r="G490" s="1">
        <v>20260324</v>
      </c>
      <c r="H490" t="b">
        <f t="shared" si="8"/>
        <v>0</v>
      </c>
      <c r="I490" t="str" cm="1">
        <f t="array" ref="I490">GET_TICKER_FINAL(C490)</f>
        <v>SPY</v>
      </c>
      <c r="J490" s="5" t="s">
        <v>1792</v>
      </c>
    </row>
    <row r="491" spans="1:10">
      <c r="A491">
        <v>490</v>
      </c>
      <c r="B491" s="1" t="s">
        <v>409</v>
      </c>
      <c r="C491" s="1" t="s">
        <v>511</v>
      </c>
      <c r="D491" s="1">
        <v>8</v>
      </c>
      <c r="E491" s="1">
        <v>13</v>
      </c>
      <c r="F491" s="1">
        <v>0.72</v>
      </c>
      <c r="G491" s="1">
        <v>20260320</v>
      </c>
      <c r="H491" t="b">
        <f t="shared" si="8"/>
        <v>0</v>
      </c>
      <c r="I491" t="str" cm="1">
        <f t="array" ref="I491">GET_TICKER_FINAL(C491)</f>
        <v/>
      </c>
      <c r="J491" s="5" t="s">
        <v>1792</v>
      </c>
    </row>
    <row r="492" spans="1:10">
      <c r="A492">
        <v>491</v>
      </c>
      <c r="B492" s="1" t="s">
        <v>409</v>
      </c>
      <c r="C492" s="1" t="s">
        <v>512</v>
      </c>
      <c r="D492" s="1">
        <v>8</v>
      </c>
      <c r="E492" s="1">
        <v>38</v>
      </c>
      <c r="F492" s="1">
        <v>0.72</v>
      </c>
      <c r="G492" s="1">
        <v>20260324</v>
      </c>
      <c r="H492" t="b">
        <f t="shared" si="8"/>
        <v>0</v>
      </c>
      <c r="I492" t="str" cm="1">
        <f t="array" ref="I492">GET_TICKER_FINAL(C492)</f>
        <v/>
      </c>
      <c r="J492" s="5" t="s">
        <v>1792</v>
      </c>
    </row>
    <row r="493" spans="1:10">
      <c r="A493">
        <v>492</v>
      </c>
      <c r="B493" s="1" t="s">
        <v>409</v>
      </c>
      <c r="C493" s="1" t="s">
        <v>513</v>
      </c>
      <c r="D493" s="1">
        <v>8</v>
      </c>
      <c r="E493" s="1">
        <v>5</v>
      </c>
      <c r="F493" s="1">
        <v>0.79</v>
      </c>
      <c r="G493" s="1">
        <v>20260331</v>
      </c>
      <c r="H493" t="b">
        <f t="shared" si="8"/>
        <v>0</v>
      </c>
      <c r="I493" t="str" cm="1">
        <f t="array" ref="I493">GET_TICKER_FINAL(C493)</f>
        <v>TSLA</v>
      </c>
      <c r="J493" s="5" t="s">
        <v>1792</v>
      </c>
    </row>
    <row r="494" spans="1:10">
      <c r="A494">
        <v>493</v>
      </c>
      <c r="B494" s="1" t="s">
        <v>409</v>
      </c>
      <c r="C494" s="1" t="s">
        <v>514</v>
      </c>
      <c r="D494" s="1">
        <v>8</v>
      </c>
      <c r="E494" s="1">
        <v>39</v>
      </c>
      <c r="F494" s="1">
        <v>0.9</v>
      </c>
      <c r="G494" s="1">
        <v>20260330</v>
      </c>
      <c r="H494" t="b">
        <f t="shared" si="8"/>
        <v>0</v>
      </c>
      <c r="I494" t="str" cm="1">
        <f t="array" ref="I494">GET_TICKER_FINAL(C494)</f>
        <v/>
      </c>
      <c r="J494" s="5" t="s">
        <v>25</v>
      </c>
    </row>
    <row r="495" spans="1:10">
      <c r="A495">
        <v>494</v>
      </c>
      <c r="B495" s="1" t="s">
        <v>409</v>
      </c>
      <c r="C495" s="1" t="s">
        <v>515</v>
      </c>
      <c r="D495" s="1">
        <v>8</v>
      </c>
      <c r="E495" s="1">
        <v>4</v>
      </c>
      <c r="F495" s="1">
        <v>0.7</v>
      </c>
      <c r="G495" s="1">
        <v>20260327</v>
      </c>
      <c r="H495" t="b">
        <f t="shared" si="8"/>
        <v>1</v>
      </c>
      <c r="I495" t="str" cm="1">
        <f t="array" ref="I495">GET_TICKER_FINAL(C495)</f>
        <v/>
      </c>
      <c r="J495" s="5" t="s">
        <v>1792</v>
      </c>
    </row>
    <row r="496" spans="1:10">
      <c r="A496">
        <v>495</v>
      </c>
      <c r="B496" s="1" t="s">
        <v>409</v>
      </c>
      <c r="C496" s="1" t="s">
        <v>516</v>
      </c>
      <c r="D496" s="1">
        <v>7</v>
      </c>
      <c r="E496" s="1">
        <v>37</v>
      </c>
      <c r="F496" s="1">
        <v>0.67</v>
      </c>
      <c r="G496" s="1">
        <v>20260324</v>
      </c>
      <c r="H496" t="b">
        <f t="shared" si="8"/>
        <v>0</v>
      </c>
      <c r="I496" t="str" cm="1">
        <f t="array" ref="I496">GET_TICKER_FINAL(C496)</f>
        <v/>
      </c>
      <c r="J496" s="5" t="s">
        <v>1792</v>
      </c>
    </row>
    <row r="497" spans="1:10">
      <c r="A497">
        <v>496</v>
      </c>
      <c r="B497" s="1" t="s">
        <v>409</v>
      </c>
      <c r="C497" s="1" t="s">
        <v>517</v>
      </c>
      <c r="D497" s="1">
        <v>7</v>
      </c>
      <c r="E497" s="1">
        <v>13</v>
      </c>
      <c r="F497" s="1">
        <v>0.77</v>
      </c>
      <c r="G497" s="1">
        <v>20260323</v>
      </c>
      <c r="H497" t="b">
        <f t="shared" si="8"/>
        <v>0</v>
      </c>
      <c r="I497" t="str" cm="1">
        <f t="array" ref="I497">GET_TICKER_FINAL(C497)</f>
        <v/>
      </c>
      <c r="J497" s="5" t="s">
        <v>1792</v>
      </c>
    </row>
    <row r="498" spans="1:10">
      <c r="A498">
        <v>497</v>
      </c>
      <c r="B498" s="1" t="s">
        <v>409</v>
      </c>
      <c r="C498" s="1" t="s">
        <v>518</v>
      </c>
      <c r="D498" s="1">
        <v>7</v>
      </c>
      <c r="E498" s="1">
        <v>22</v>
      </c>
      <c r="F498" s="1">
        <v>0.77</v>
      </c>
      <c r="G498" s="1">
        <v>20260402</v>
      </c>
      <c r="H498" t="b">
        <f t="shared" si="8"/>
        <v>0</v>
      </c>
      <c r="I498" t="str" cm="1">
        <f t="array" ref="I498">GET_TICKER_FINAL(C498)</f>
        <v/>
      </c>
      <c r="J498" s="5" t="s">
        <v>1792</v>
      </c>
    </row>
    <row r="499" spans="1:10">
      <c r="A499">
        <v>498</v>
      </c>
      <c r="B499" s="1" t="s">
        <v>409</v>
      </c>
      <c r="C499" s="1" t="s">
        <v>519</v>
      </c>
      <c r="D499" s="1">
        <v>7</v>
      </c>
      <c r="E499" s="1">
        <v>21</v>
      </c>
      <c r="F499" s="1">
        <v>0.78</v>
      </c>
      <c r="G499" s="1">
        <v>20260324</v>
      </c>
      <c r="H499" t="b">
        <f t="shared" si="8"/>
        <v>0</v>
      </c>
      <c r="I499" t="str" cm="1">
        <f t="array" ref="I499">GET_TICKER_FINAL(C499)</f>
        <v/>
      </c>
      <c r="J499" s="5" t="s">
        <v>1792</v>
      </c>
    </row>
    <row r="500" spans="1:10">
      <c r="A500">
        <v>499</v>
      </c>
      <c r="B500" s="1" t="s">
        <v>409</v>
      </c>
      <c r="C500" s="1" t="s">
        <v>520</v>
      </c>
      <c r="D500" s="1">
        <v>7</v>
      </c>
      <c r="E500" s="1">
        <v>16</v>
      </c>
      <c r="F500" s="1">
        <v>0.66</v>
      </c>
      <c r="G500" s="1">
        <v>20260402</v>
      </c>
      <c r="H500" t="b">
        <f t="shared" si="8"/>
        <v>0</v>
      </c>
      <c r="I500" t="str" cm="1">
        <f t="array" ref="I500">GET_TICKER_FINAL(C500)</f>
        <v/>
      </c>
      <c r="J500" s="5" t="s">
        <v>1792</v>
      </c>
    </row>
    <row r="501" spans="1:10">
      <c r="A501">
        <v>500</v>
      </c>
      <c r="B501" s="1" t="s">
        <v>409</v>
      </c>
      <c r="C501" s="1" t="s">
        <v>521</v>
      </c>
      <c r="D501" s="1">
        <v>7</v>
      </c>
      <c r="E501" s="1">
        <v>63</v>
      </c>
      <c r="F501" s="1">
        <v>1</v>
      </c>
      <c r="G501" s="1">
        <v>20260323</v>
      </c>
      <c r="H501" t="b">
        <f t="shared" si="8"/>
        <v>0</v>
      </c>
      <c r="I501" t="str" cm="1">
        <f t="array" ref="I501">GET_TICKER_FINAL(C501)</f>
        <v/>
      </c>
      <c r="J501" s="5" t="s">
        <v>1792</v>
      </c>
    </row>
    <row r="502" spans="1:10">
      <c r="A502">
        <v>501</v>
      </c>
      <c r="B502" s="1" t="s">
        <v>409</v>
      </c>
      <c r="C502" s="1" t="s">
        <v>522</v>
      </c>
      <c r="D502" s="1">
        <v>7</v>
      </c>
      <c r="E502" s="1">
        <v>32</v>
      </c>
      <c r="F502" s="1">
        <v>0.74</v>
      </c>
      <c r="G502" s="1">
        <v>20260323</v>
      </c>
      <c r="H502" t="b">
        <f t="shared" si="8"/>
        <v>0</v>
      </c>
      <c r="I502" t="str" cm="1">
        <f t="array" ref="I502">GET_TICKER_FINAL(C502)</f>
        <v/>
      </c>
      <c r="J502" s="5" t="s">
        <v>1792</v>
      </c>
    </row>
    <row r="503" spans="1:10">
      <c r="A503">
        <v>502</v>
      </c>
      <c r="B503" s="1" t="s">
        <v>409</v>
      </c>
      <c r="C503" s="1" t="s">
        <v>523</v>
      </c>
      <c r="D503" s="1">
        <v>7</v>
      </c>
      <c r="E503" s="1">
        <v>11</v>
      </c>
      <c r="F503" s="1">
        <v>0.77</v>
      </c>
      <c r="G503" s="1">
        <v>20260401</v>
      </c>
      <c r="H503" t="b">
        <f t="shared" si="8"/>
        <v>0</v>
      </c>
      <c r="I503" t="str" cm="1">
        <f t="array" ref="I503">GET_TICKER_FINAL(C503)</f>
        <v/>
      </c>
      <c r="J503" s="5" t="s">
        <v>1792</v>
      </c>
    </row>
    <row r="504" spans="1:10">
      <c r="A504">
        <v>503</v>
      </c>
      <c r="B504" s="1" t="s">
        <v>409</v>
      </c>
      <c r="C504" s="1" t="s">
        <v>524</v>
      </c>
      <c r="D504" s="1">
        <v>7</v>
      </c>
      <c r="E504" s="1">
        <v>55</v>
      </c>
      <c r="F504" s="1">
        <v>0.59</v>
      </c>
      <c r="G504" s="1">
        <v>20260327</v>
      </c>
      <c r="H504" t="b">
        <f t="shared" si="8"/>
        <v>0</v>
      </c>
      <c r="I504" t="str" cm="1">
        <f t="array" ref="I504">GET_TICKER_FINAL(C504)</f>
        <v/>
      </c>
      <c r="J504" s="5" t="s">
        <v>16</v>
      </c>
    </row>
    <row r="505" spans="1:10">
      <c r="A505">
        <v>504</v>
      </c>
      <c r="B505" s="1" t="s">
        <v>409</v>
      </c>
      <c r="C505" s="1" t="s">
        <v>525</v>
      </c>
      <c r="D505" s="1">
        <v>6</v>
      </c>
      <c r="E505" s="1">
        <v>24</v>
      </c>
      <c r="F505" s="1">
        <v>0.69</v>
      </c>
      <c r="G505" s="1">
        <v>20260326</v>
      </c>
      <c r="H505" t="b">
        <f t="shared" si="8"/>
        <v>0</v>
      </c>
      <c r="I505" t="str" cm="1">
        <f t="array" ref="I505">GET_TICKER_FINAL(C505)</f>
        <v>META</v>
      </c>
      <c r="J505" s="5" t="s">
        <v>25</v>
      </c>
    </row>
    <row r="506" spans="1:10">
      <c r="A506">
        <v>505</v>
      </c>
      <c r="B506" s="1" t="s">
        <v>409</v>
      </c>
      <c r="C506" s="1" t="s">
        <v>526</v>
      </c>
      <c r="D506" s="1">
        <v>6</v>
      </c>
      <c r="E506" s="1">
        <v>15</v>
      </c>
      <c r="F506" s="1">
        <v>0.87</v>
      </c>
      <c r="G506" s="1">
        <v>20260323</v>
      </c>
      <c r="H506" t="b">
        <f t="shared" si="8"/>
        <v>1</v>
      </c>
      <c r="I506" t="str" cm="1">
        <f t="array" ref="I506">GET_TICKER_FINAL(C506)</f>
        <v>MU</v>
      </c>
      <c r="J506" s="5" t="s">
        <v>28</v>
      </c>
    </row>
    <row r="507" spans="1:10">
      <c r="A507">
        <v>506</v>
      </c>
      <c r="B507" s="1" t="s">
        <v>409</v>
      </c>
      <c r="C507" s="1" t="s">
        <v>527</v>
      </c>
      <c r="D507" s="1">
        <v>6</v>
      </c>
      <c r="E507" s="1">
        <v>3</v>
      </c>
      <c r="F507" s="1">
        <v>0.8</v>
      </c>
      <c r="G507" s="1">
        <v>20260323</v>
      </c>
      <c r="H507" t="b">
        <f t="shared" si="8"/>
        <v>0</v>
      </c>
      <c r="I507" t="str" cm="1">
        <f t="array" ref="I507">GET_TICKER_FINAL(C507)</f>
        <v/>
      </c>
      <c r="J507" s="5" t="s">
        <v>1792</v>
      </c>
    </row>
    <row r="508" spans="1:10">
      <c r="A508">
        <v>507</v>
      </c>
      <c r="B508" s="1" t="s">
        <v>409</v>
      </c>
      <c r="C508" s="1" t="s">
        <v>528</v>
      </c>
      <c r="D508" s="1">
        <v>6</v>
      </c>
      <c r="E508" s="1">
        <v>42</v>
      </c>
      <c r="F508" s="1">
        <v>0.69</v>
      </c>
      <c r="G508" s="1">
        <v>20260324</v>
      </c>
      <c r="H508" t="b">
        <f t="shared" si="8"/>
        <v>0</v>
      </c>
      <c r="I508" t="str" cm="1">
        <f t="array" ref="I508">GET_TICKER_FINAL(C508)</f>
        <v/>
      </c>
      <c r="J508" s="5" t="s">
        <v>1792</v>
      </c>
    </row>
    <row r="509" spans="1:10">
      <c r="A509">
        <v>508</v>
      </c>
      <c r="B509" s="1" t="s">
        <v>409</v>
      </c>
      <c r="C509" s="1" t="s">
        <v>529</v>
      </c>
      <c r="D509" s="1">
        <v>6</v>
      </c>
      <c r="E509" s="1">
        <v>16</v>
      </c>
      <c r="F509" s="1">
        <v>0.65</v>
      </c>
      <c r="G509" s="1">
        <v>20260320</v>
      </c>
      <c r="H509" t="b">
        <f t="shared" si="8"/>
        <v>0</v>
      </c>
      <c r="I509" t="str" cm="1">
        <f t="array" ref="I509">GET_TICKER_FINAL(C509)</f>
        <v/>
      </c>
      <c r="J509" s="5" t="s">
        <v>1792</v>
      </c>
    </row>
    <row r="510" spans="1:10">
      <c r="A510">
        <v>509</v>
      </c>
      <c r="B510" s="1" t="s">
        <v>409</v>
      </c>
      <c r="C510" s="1" t="s">
        <v>530</v>
      </c>
      <c r="D510" s="1">
        <v>6</v>
      </c>
      <c r="E510" s="1">
        <v>37</v>
      </c>
      <c r="F510" s="1">
        <v>0.75</v>
      </c>
      <c r="G510" s="1">
        <v>20260323</v>
      </c>
      <c r="H510" t="b">
        <f t="shared" si="8"/>
        <v>0</v>
      </c>
      <c r="I510" t="str" cm="1">
        <f t="array" ref="I510">GET_TICKER_FINAL(C510)</f>
        <v/>
      </c>
      <c r="J510" s="5" t="s">
        <v>1792</v>
      </c>
    </row>
    <row r="511" spans="1:10">
      <c r="A511">
        <v>510</v>
      </c>
      <c r="B511" s="1" t="s">
        <v>409</v>
      </c>
      <c r="C511" s="1" t="s">
        <v>531</v>
      </c>
      <c r="D511" s="1">
        <v>6</v>
      </c>
      <c r="E511" s="1">
        <v>17</v>
      </c>
      <c r="F511" s="1">
        <v>0.67</v>
      </c>
      <c r="G511" s="1">
        <v>20260320</v>
      </c>
      <c r="H511" t="b">
        <f t="shared" si="8"/>
        <v>0</v>
      </c>
      <c r="I511" t="str" cm="1">
        <f t="array" ref="I511">GET_TICKER_FINAL(C511)</f>
        <v/>
      </c>
      <c r="J511" s="5" t="s">
        <v>1792</v>
      </c>
    </row>
    <row r="512" spans="1:10">
      <c r="A512">
        <v>511</v>
      </c>
      <c r="B512" s="1" t="s">
        <v>409</v>
      </c>
      <c r="C512" s="1" t="s">
        <v>532</v>
      </c>
      <c r="D512" s="1">
        <v>6</v>
      </c>
      <c r="E512" s="1">
        <v>5</v>
      </c>
      <c r="F512" s="1">
        <v>0.8</v>
      </c>
      <c r="G512" s="1">
        <v>20260320</v>
      </c>
      <c r="H512" t="b">
        <f t="shared" si="8"/>
        <v>0</v>
      </c>
      <c r="I512" t="str" cm="1">
        <f t="array" ref="I512">GET_TICKER_FINAL(C512)</f>
        <v/>
      </c>
      <c r="J512" s="5" t="s">
        <v>1792</v>
      </c>
    </row>
    <row r="513" spans="1:10">
      <c r="A513">
        <v>512</v>
      </c>
      <c r="B513" s="1" t="s">
        <v>409</v>
      </c>
      <c r="C513" s="1" t="s">
        <v>533</v>
      </c>
      <c r="D513" s="1">
        <v>5</v>
      </c>
      <c r="E513" s="1">
        <v>8</v>
      </c>
      <c r="F513" s="1">
        <v>0.62</v>
      </c>
      <c r="G513" s="1">
        <v>20260401</v>
      </c>
      <c r="H513" t="b">
        <f t="shared" si="8"/>
        <v>1</v>
      </c>
      <c r="I513" t="str" cm="1">
        <f t="array" ref="I513">GET_TICKER_FINAL(C513)</f>
        <v>META</v>
      </c>
      <c r="J513" s="5" t="s">
        <v>16</v>
      </c>
    </row>
    <row r="514" spans="1:10">
      <c r="A514">
        <v>513</v>
      </c>
      <c r="B514" s="1" t="s">
        <v>409</v>
      </c>
      <c r="C514" s="1" t="s">
        <v>534</v>
      </c>
      <c r="D514" s="1">
        <v>5</v>
      </c>
      <c r="E514" s="1">
        <v>1</v>
      </c>
      <c r="F514" s="1">
        <v>0.69</v>
      </c>
      <c r="G514" s="1">
        <v>20260402</v>
      </c>
      <c r="H514" t="b">
        <f t="shared" si="8"/>
        <v>1</v>
      </c>
      <c r="I514" t="str" cm="1">
        <f t="array" ref="I514">GET_TICKER_FINAL(C514)</f>
        <v/>
      </c>
      <c r="J514" s="5" t="s">
        <v>25</v>
      </c>
    </row>
    <row r="515" spans="1:10">
      <c r="A515">
        <v>514</v>
      </c>
      <c r="B515" s="1" t="s">
        <v>409</v>
      </c>
      <c r="C515" s="1" t="s">
        <v>535</v>
      </c>
      <c r="D515" s="1">
        <v>5</v>
      </c>
      <c r="E515" s="1">
        <v>9</v>
      </c>
      <c r="F515" s="1">
        <v>0.86</v>
      </c>
      <c r="G515" s="1">
        <v>20260401</v>
      </c>
      <c r="H515" t="b">
        <f t="shared" ref="H515:H578" si="9">OR(ISNUMBER(SEARCH("$A",C515)),ISNUMBER(SEARCH("$B",C515)),ISNUMBER(SEARCH("$C",C515)),ISNUMBER(SEARCH("$D",C515)),ISNUMBER(SEARCH("$E",C515)),ISNUMBER(SEARCH("$F",C515)),ISNUMBER(SEARCH("$G",C515)),ISNUMBER(SEARCH("$H",C515)),ISNUMBER(SEARCH("$I",C515)),ISNUMBER(SEARCH("$J",C515)),ISNUMBER(SEARCH("$K",C515)),ISNUMBER(SEARCH("$L",C515)),ISNUMBER(SEARCH("$M",C515)),ISNUMBER(SEARCH("$N",C515)),ISNUMBER(SEARCH("$O",C515)),ISNUMBER(SEARCH("$P",C515)),ISNUMBER(SEARCH("$Q",C515)),ISNUMBER(SEARCH("$R",C515)),ISNUMBER(SEARCH("$S",C515)),ISNUMBER(SEARCH("$T",C515)),ISNUMBER(SEARCH("$U",C515)),ISNUMBER(SEARCH("$V",C515)),ISNUMBER(SEARCH("$W",C515)),ISNUMBER(SEARCH("$X",C515)),ISNUMBER(SEARCH("$Y",C515)),ISNUMBER(SEARCH("$Z",C515)))</f>
        <v>0</v>
      </c>
      <c r="I515" t="str" cm="1">
        <f t="array" ref="I515">GET_TICKER_FINAL(C515)</f>
        <v/>
      </c>
      <c r="J515" s="5" t="s">
        <v>1792</v>
      </c>
    </row>
    <row r="516" spans="1:10">
      <c r="A516">
        <v>515</v>
      </c>
      <c r="B516" s="1" t="s">
        <v>409</v>
      </c>
      <c r="C516" s="1" t="s">
        <v>536</v>
      </c>
      <c r="D516" s="1">
        <v>5</v>
      </c>
      <c r="E516" s="1">
        <v>4</v>
      </c>
      <c r="F516" s="1">
        <v>0.67</v>
      </c>
      <c r="G516" s="1">
        <v>20260323</v>
      </c>
      <c r="H516" t="b">
        <f t="shared" si="9"/>
        <v>0</v>
      </c>
      <c r="I516" t="str" cm="1">
        <f t="array" ref="I516">GET_TICKER_FINAL(C516)</f>
        <v/>
      </c>
      <c r="J516" s="5" t="s">
        <v>1792</v>
      </c>
    </row>
    <row r="517" spans="1:10">
      <c r="A517">
        <v>516</v>
      </c>
      <c r="B517" s="1" t="s">
        <v>409</v>
      </c>
      <c r="C517" s="1" t="s">
        <v>537</v>
      </c>
      <c r="D517" s="1">
        <v>5</v>
      </c>
      <c r="E517" s="1">
        <v>13</v>
      </c>
      <c r="F517" s="1">
        <v>0.67</v>
      </c>
      <c r="G517" s="1">
        <v>20260402</v>
      </c>
      <c r="H517" t="b">
        <f t="shared" si="9"/>
        <v>0</v>
      </c>
      <c r="I517" t="str" cm="1">
        <f t="array" ref="I517">GET_TICKER_FINAL(C517)</f>
        <v/>
      </c>
      <c r="J517" s="5" t="s">
        <v>1792</v>
      </c>
    </row>
    <row r="518" spans="1:10">
      <c r="A518">
        <v>517</v>
      </c>
      <c r="B518" s="1" t="s">
        <v>409</v>
      </c>
      <c r="C518" s="1" t="s">
        <v>538</v>
      </c>
      <c r="D518" s="1">
        <v>5</v>
      </c>
      <c r="E518" s="1">
        <v>10</v>
      </c>
      <c r="F518" s="1">
        <v>0.78</v>
      </c>
      <c r="G518" s="1">
        <v>20260323</v>
      </c>
      <c r="H518" t="b">
        <f t="shared" si="9"/>
        <v>0</v>
      </c>
      <c r="I518" t="str" cm="1">
        <f t="array" ref="I518">GET_TICKER_FINAL(C518)</f>
        <v/>
      </c>
      <c r="J518" s="5" t="s">
        <v>1792</v>
      </c>
    </row>
    <row r="519" spans="1:10">
      <c r="A519">
        <v>518</v>
      </c>
      <c r="B519" s="1" t="s">
        <v>409</v>
      </c>
      <c r="C519" s="1" t="s">
        <v>539</v>
      </c>
      <c r="D519" s="1">
        <v>5</v>
      </c>
      <c r="E519" s="1">
        <v>3</v>
      </c>
      <c r="F519" s="1">
        <v>0.86</v>
      </c>
      <c r="G519" s="1">
        <v>20260401</v>
      </c>
      <c r="H519" t="b">
        <f t="shared" si="9"/>
        <v>0</v>
      </c>
      <c r="I519" t="str" cm="1">
        <f t="array" ref="I519">GET_TICKER_FINAL(C519)</f>
        <v/>
      </c>
      <c r="J519" s="5" t="s">
        <v>28</v>
      </c>
    </row>
    <row r="520" spans="1:10">
      <c r="A520">
        <v>519</v>
      </c>
      <c r="B520" s="1" t="s">
        <v>409</v>
      </c>
      <c r="C520" s="1" t="s">
        <v>540</v>
      </c>
      <c r="D520" s="1">
        <v>5</v>
      </c>
      <c r="E520" s="1">
        <v>4</v>
      </c>
      <c r="F520" s="1">
        <v>0.69</v>
      </c>
      <c r="G520" s="1">
        <v>20260320</v>
      </c>
      <c r="H520" t="b">
        <f t="shared" si="9"/>
        <v>0</v>
      </c>
      <c r="I520" t="str" cm="1">
        <f t="array" ref="I520">GET_TICKER_FINAL(C520)</f>
        <v>USO</v>
      </c>
      <c r="J520" s="5" t="s">
        <v>1792</v>
      </c>
    </row>
    <row r="521" spans="1:10">
      <c r="A521">
        <v>520</v>
      </c>
      <c r="B521" s="1" t="s">
        <v>409</v>
      </c>
      <c r="C521" s="1" t="s">
        <v>541</v>
      </c>
      <c r="D521" s="1">
        <v>5</v>
      </c>
      <c r="E521" s="1">
        <v>4</v>
      </c>
      <c r="F521" s="1">
        <v>0.78</v>
      </c>
      <c r="G521" s="1">
        <v>20260330</v>
      </c>
      <c r="H521" t="b">
        <f t="shared" si="9"/>
        <v>0</v>
      </c>
      <c r="I521" t="str" cm="1">
        <f t="array" ref="I521">GET_TICKER_FINAL(C521)</f>
        <v/>
      </c>
      <c r="J521" s="5" t="s">
        <v>1792</v>
      </c>
    </row>
    <row r="522" spans="1:10">
      <c r="A522">
        <v>521</v>
      </c>
      <c r="B522" s="1" t="s">
        <v>409</v>
      </c>
      <c r="C522" s="1" t="s">
        <v>542</v>
      </c>
      <c r="D522" s="1">
        <v>5</v>
      </c>
      <c r="E522" s="1">
        <v>7</v>
      </c>
      <c r="F522" s="1">
        <v>0.73</v>
      </c>
      <c r="G522" s="1">
        <v>20260320</v>
      </c>
      <c r="H522" t="b">
        <f t="shared" si="9"/>
        <v>1</v>
      </c>
      <c r="I522" t="str" cm="1">
        <f t="array" ref="I522">GET_TICKER_FINAL(C522)</f>
        <v/>
      </c>
      <c r="J522" s="5" t="s">
        <v>1792</v>
      </c>
    </row>
    <row r="523" spans="1:10">
      <c r="A523">
        <v>522</v>
      </c>
      <c r="B523" s="1" t="s">
        <v>409</v>
      </c>
      <c r="C523" s="1" t="s">
        <v>543</v>
      </c>
      <c r="D523" s="1">
        <v>5</v>
      </c>
      <c r="E523" s="1">
        <v>15</v>
      </c>
      <c r="F523" s="1">
        <v>0.78</v>
      </c>
      <c r="G523" s="1">
        <v>20260402</v>
      </c>
      <c r="H523" t="b">
        <f t="shared" si="9"/>
        <v>0</v>
      </c>
      <c r="I523" t="str" cm="1">
        <f t="array" ref="I523">GET_TICKER_FINAL(C523)</f>
        <v/>
      </c>
      <c r="J523" s="5" t="s">
        <v>1792</v>
      </c>
    </row>
    <row r="524" spans="1:10">
      <c r="A524">
        <v>523</v>
      </c>
      <c r="B524" s="1" t="s">
        <v>409</v>
      </c>
      <c r="C524" s="1" t="s">
        <v>544</v>
      </c>
      <c r="D524" s="1">
        <v>4</v>
      </c>
      <c r="E524" s="1">
        <v>3</v>
      </c>
      <c r="F524" s="1">
        <v>0.75</v>
      </c>
      <c r="G524" s="1">
        <v>20260324</v>
      </c>
      <c r="H524" t="b">
        <f t="shared" si="9"/>
        <v>0</v>
      </c>
      <c r="I524" t="str" cm="1">
        <f t="array" ref="I524">GET_TICKER_FINAL(C524)</f>
        <v/>
      </c>
      <c r="J524" s="5" t="s">
        <v>1792</v>
      </c>
    </row>
    <row r="525" spans="1:10">
      <c r="A525">
        <v>524</v>
      </c>
      <c r="B525" s="1" t="s">
        <v>409</v>
      </c>
      <c r="C525" s="1" t="s">
        <v>545</v>
      </c>
      <c r="D525" s="1">
        <v>4</v>
      </c>
      <c r="E525" s="1">
        <v>41</v>
      </c>
      <c r="F525" s="1">
        <v>0.61</v>
      </c>
      <c r="G525" s="1">
        <v>20260320</v>
      </c>
      <c r="H525" t="b">
        <f t="shared" si="9"/>
        <v>0</v>
      </c>
      <c r="I525" t="str" cm="1">
        <f t="array" ref="I525">GET_TICKER_FINAL(C525)</f>
        <v/>
      </c>
      <c r="J525" s="5" t="s">
        <v>1792</v>
      </c>
    </row>
    <row r="526" spans="1:10">
      <c r="A526">
        <v>525</v>
      </c>
      <c r="B526" s="1" t="s">
        <v>409</v>
      </c>
      <c r="C526" s="1" t="s">
        <v>546</v>
      </c>
      <c r="D526" s="1">
        <v>4</v>
      </c>
      <c r="E526" s="1">
        <v>10</v>
      </c>
      <c r="F526" s="1">
        <v>0.75</v>
      </c>
      <c r="G526" s="1">
        <v>20260320</v>
      </c>
      <c r="H526" t="b">
        <f t="shared" si="9"/>
        <v>0</v>
      </c>
      <c r="I526" t="str" cm="1">
        <f t="array" ref="I526">GET_TICKER_FINAL(C526)</f>
        <v/>
      </c>
      <c r="J526" s="5" t="s">
        <v>1792</v>
      </c>
    </row>
    <row r="527" spans="1:10">
      <c r="A527">
        <v>526</v>
      </c>
      <c r="B527" s="1" t="s">
        <v>409</v>
      </c>
      <c r="C527" s="1" t="s">
        <v>547</v>
      </c>
      <c r="D527" s="1">
        <v>4</v>
      </c>
      <c r="E527" s="1">
        <v>0</v>
      </c>
      <c r="F527" s="1">
        <v>0.83</v>
      </c>
      <c r="G527" s="1">
        <v>20260324</v>
      </c>
      <c r="H527" t="b">
        <f t="shared" si="9"/>
        <v>1</v>
      </c>
      <c r="I527" t="str" cm="1">
        <f t="array" ref="I527">GET_TICKER_FINAL(C527)</f>
        <v/>
      </c>
      <c r="J527" s="5" t="s">
        <v>1792</v>
      </c>
    </row>
    <row r="528" spans="1:10">
      <c r="A528">
        <v>527</v>
      </c>
      <c r="B528" s="1" t="s">
        <v>409</v>
      </c>
      <c r="C528" s="1" t="s">
        <v>548</v>
      </c>
      <c r="D528" s="1">
        <v>4</v>
      </c>
      <c r="E528" s="1">
        <v>7</v>
      </c>
      <c r="F528" s="1">
        <v>0.64</v>
      </c>
      <c r="G528" s="1">
        <v>20260331</v>
      </c>
      <c r="H528" t="b">
        <f t="shared" si="9"/>
        <v>0</v>
      </c>
      <c r="I528" t="str" cm="1">
        <f t="array" ref="I528">GET_TICKER_FINAL(C528)</f>
        <v/>
      </c>
      <c r="J528" s="5" t="s">
        <v>1792</v>
      </c>
    </row>
    <row r="529" spans="1:10">
      <c r="A529">
        <v>528</v>
      </c>
      <c r="B529" s="1" t="s">
        <v>409</v>
      </c>
      <c r="C529" s="1" t="s">
        <v>549</v>
      </c>
      <c r="D529" s="1">
        <v>4</v>
      </c>
      <c r="E529" s="1">
        <v>6</v>
      </c>
      <c r="F529" s="1">
        <v>0.67</v>
      </c>
      <c r="G529" s="1">
        <v>20260320</v>
      </c>
      <c r="H529" t="b">
        <f t="shared" si="9"/>
        <v>0</v>
      </c>
      <c r="I529" t="str" cm="1">
        <f t="array" ref="I529">GET_TICKER_FINAL(C529)</f>
        <v/>
      </c>
      <c r="J529" s="5" t="s">
        <v>1792</v>
      </c>
    </row>
    <row r="530" spans="1:10">
      <c r="A530">
        <v>529</v>
      </c>
      <c r="B530" s="1" t="s">
        <v>409</v>
      </c>
      <c r="C530" s="1" t="s">
        <v>550</v>
      </c>
      <c r="D530" s="1">
        <v>4</v>
      </c>
      <c r="E530" s="1">
        <v>13</v>
      </c>
      <c r="F530" s="1">
        <v>0.67</v>
      </c>
      <c r="G530" s="1">
        <v>20260323</v>
      </c>
      <c r="H530" t="b">
        <f t="shared" si="9"/>
        <v>1</v>
      </c>
      <c r="I530" t="str" cm="1">
        <f t="array" ref="I530">GET_TICKER_FINAL(C530)</f>
        <v/>
      </c>
      <c r="J530" s="5" t="s">
        <v>1792</v>
      </c>
    </row>
    <row r="531" spans="1:10">
      <c r="A531">
        <v>530</v>
      </c>
      <c r="B531" s="1" t="s">
        <v>409</v>
      </c>
      <c r="C531" s="1" t="s">
        <v>551</v>
      </c>
      <c r="D531" s="1">
        <v>4</v>
      </c>
      <c r="E531" s="1">
        <v>10</v>
      </c>
      <c r="F531" s="1">
        <v>0.83</v>
      </c>
      <c r="G531" s="1">
        <v>20260401</v>
      </c>
      <c r="H531" t="b">
        <f t="shared" si="9"/>
        <v>0</v>
      </c>
      <c r="I531" t="str" cm="1">
        <f t="array" ref="I531">GET_TICKER_FINAL(C531)</f>
        <v/>
      </c>
      <c r="J531" s="5" t="s">
        <v>1792</v>
      </c>
    </row>
    <row r="532" spans="1:10">
      <c r="A532">
        <v>531</v>
      </c>
      <c r="B532" s="1" t="s">
        <v>409</v>
      </c>
      <c r="C532" s="1" t="s">
        <v>552</v>
      </c>
      <c r="D532" s="1">
        <v>4</v>
      </c>
      <c r="E532" s="1">
        <v>7</v>
      </c>
      <c r="F532" s="1">
        <v>0.7</v>
      </c>
      <c r="G532" s="1">
        <v>20260320</v>
      </c>
      <c r="H532" t="b">
        <f t="shared" si="9"/>
        <v>0</v>
      </c>
      <c r="I532" t="str" cm="1">
        <f t="array" ref="I532">GET_TICKER_FINAL(C532)</f>
        <v>USO</v>
      </c>
      <c r="J532" s="5" t="s">
        <v>1792</v>
      </c>
    </row>
    <row r="533" spans="1:10">
      <c r="A533">
        <v>532</v>
      </c>
      <c r="B533" s="1" t="s">
        <v>409</v>
      </c>
      <c r="C533" s="1" t="s">
        <v>553</v>
      </c>
      <c r="D533" s="1">
        <v>4</v>
      </c>
      <c r="E533" s="1">
        <v>4</v>
      </c>
      <c r="F533" s="1">
        <v>0.64</v>
      </c>
      <c r="G533" s="1">
        <v>20260326</v>
      </c>
      <c r="H533" t="b">
        <f t="shared" si="9"/>
        <v>0</v>
      </c>
      <c r="I533" t="str" cm="1">
        <f t="array" ref="I533">GET_TICKER_FINAL(C533)</f>
        <v/>
      </c>
      <c r="J533" s="5" t="s">
        <v>25</v>
      </c>
    </row>
    <row r="534" spans="1:10">
      <c r="A534">
        <v>533</v>
      </c>
      <c r="B534" s="1" t="s">
        <v>409</v>
      </c>
      <c r="C534" s="1" t="s">
        <v>554</v>
      </c>
      <c r="D534" s="1">
        <v>3</v>
      </c>
      <c r="E534" s="1">
        <v>21</v>
      </c>
      <c r="F534" s="1">
        <v>0.71</v>
      </c>
      <c r="G534" s="1">
        <v>20260330</v>
      </c>
      <c r="H534" t="b">
        <f t="shared" si="9"/>
        <v>0</v>
      </c>
      <c r="I534" t="str" cm="1">
        <f t="array" ref="I534">GET_TICKER_FINAL(C534)</f>
        <v>GOOGL</v>
      </c>
      <c r="J534" s="5" t="s">
        <v>1792</v>
      </c>
    </row>
    <row r="535" spans="1:10">
      <c r="A535">
        <v>534</v>
      </c>
      <c r="B535" s="1" t="s">
        <v>409</v>
      </c>
      <c r="C535" s="1" t="s">
        <v>555</v>
      </c>
      <c r="D535" s="1">
        <v>3</v>
      </c>
      <c r="E535" s="1">
        <v>6</v>
      </c>
      <c r="F535" s="1">
        <v>0.71</v>
      </c>
      <c r="G535" s="1">
        <v>20260330</v>
      </c>
      <c r="H535" t="b">
        <f t="shared" si="9"/>
        <v>1</v>
      </c>
      <c r="I535" t="str" cm="1">
        <f t="array" ref="I535">GET_TICKER_FINAL(C535)</f>
        <v/>
      </c>
      <c r="J535" s="5" t="s">
        <v>1792</v>
      </c>
    </row>
    <row r="536" spans="1:10">
      <c r="A536">
        <v>535</v>
      </c>
      <c r="B536" s="1" t="s">
        <v>409</v>
      </c>
      <c r="C536" s="1" t="s">
        <v>556</v>
      </c>
      <c r="D536" s="1">
        <v>3</v>
      </c>
      <c r="E536" s="1">
        <v>10</v>
      </c>
      <c r="F536" s="1">
        <v>0.62</v>
      </c>
      <c r="G536" s="1">
        <v>20260323</v>
      </c>
      <c r="H536" t="b">
        <f t="shared" si="9"/>
        <v>0</v>
      </c>
      <c r="I536" t="str" cm="1">
        <f t="array" ref="I536">GET_TICKER_FINAL(C536)</f>
        <v/>
      </c>
      <c r="J536" s="5" t="s">
        <v>1792</v>
      </c>
    </row>
    <row r="537" spans="1:10">
      <c r="A537">
        <v>536</v>
      </c>
      <c r="B537" s="1" t="s">
        <v>409</v>
      </c>
      <c r="C537" s="1" t="s">
        <v>557</v>
      </c>
      <c r="D537" s="1">
        <v>3</v>
      </c>
      <c r="E537" s="1">
        <v>68</v>
      </c>
      <c r="F537" s="1">
        <v>0.62</v>
      </c>
      <c r="G537" s="1">
        <v>20260320</v>
      </c>
      <c r="H537" t="b">
        <f t="shared" si="9"/>
        <v>0</v>
      </c>
      <c r="I537" t="str" cm="1">
        <f t="array" ref="I537">GET_TICKER_FINAL(C537)</f>
        <v/>
      </c>
      <c r="J537" s="5" t="s">
        <v>25</v>
      </c>
    </row>
    <row r="538" spans="1:10">
      <c r="A538">
        <v>537</v>
      </c>
      <c r="B538" s="1" t="s">
        <v>409</v>
      </c>
      <c r="C538" s="1" t="s">
        <v>558</v>
      </c>
      <c r="D538" s="1">
        <v>3</v>
      </c>
      <c r="E538" s="1">
        <v>0</v>
      </c>
      <c r="F538" s="1">
        <v>0.71</v>
      </c>
      <c r="G538" s="1">
        <v>20260330</v>
      </c>
      <c r="H538" t="b">
        <f t="shared" si="9"/>
        <v>0</v>
      </c>
      <c r="I538" t="str" cm="1">
        <f t="array" ref="I538">GET_TICKER_FINAL(C538)</f>
        <v/>
      </c>
      <c r="J538" s="5" t="s">
        <v>1792</v>
      </c>
    </row>
    <row r="539" spans="1:10">
      <c r="A539">
        <v>538</v>
      </c>
      <c r="B539" s="1" t="s">
        <v>409</v>
      </c>
      <c r="C539" s="1" t="s">
        <v>559</v>
      </c>
      <c r="D539" s="1">
        <v>3</v>
      </c>
      <c r="E539" s="1">
        <v>8</v>
      </c>
      <c r="F539" s="1">
        <v>0.71</v>
      </c>
      <c r="G539" s="1">
        <v>20260330</v>
      </c>
      <c r="H539" t="b">
        <f t="shared" si="9"/>
        <v>1</v>
      </c>
      <c r="I539" t="str" cm="1">
        <f t="array" ref="I539">GET_TICKER_FINAL(C539)</f>
        <v/>
      </c>
      <c r="J539" s="5" t="s">
        <v>1792</v>
      </c>
    </row>
    <row r="540" spans="1:10">
      <c r="A540">
        <v>539</v>
      </c>
      <c r="B540" s="1" t="s">
        <v>409</v>
      </c>
      <c r="C540" s="1" t="s">
        <v>560</v>
      </c>
      <c r="D540" s="1">
        <v>3</v>
      </c>
      <c r="E540" s="1">
        <v>9</v>
      </c>
      <c r="F540" s="1">
        <v>0.8</v>
      </c>
      <c r="G540" s="1">
        <v>20260402</v>
      </c>
      <c r="H540" t="b">
        <f t="shared" si="9"/>
        <v>0</v>
      </c>
      <c r="I540" t="str" cm="1">
        <f t="array" ref="I540">GET_TICKER_FINAL(C540)</f>
        <v/>
      </c>
      <c r="J540" s="5" t="s">
        <v>1792</v>
      </c>
    </row>
    <row r="541" spans="1:10">
      <c r="A541">
        <v>540</v>
      </c>
      <c r="B541" s="1" t="s">
        <v>409</v>
      </c>
      <c r="C541" s="1" t="s">
        <v>561</v>
      </c>
      <c r="D541" s="1">
        <v>3</v>
      </c>
      <c r="E541" s="1">
        <v>6</v>
      </c>
      <c r="F541" s="1">
        <v>0.8</v>
      </c>
      <c r="G541" s="1">
        <v>20260402</v>
      </c>
      <c r="H541" t="b">
        <f t="shared" si="9"/>
        <v>0</v>
      </c>
      <c r="I541" t="str" cm="1">
        <f t="array" ref="I541">GET_TICKER_FINAL(C541)</f>
        <v>SPY</v>
      </c>
      <c r="J541" s="5" t="s">
        <v>1792</v>
      </c>
    </row>
    <row r="542" spans="1:10">
      <c r="A542">
        <v>541</v>
      </c>
      <c r="B542" s="1" t="s">
        <v>409</v>
      </c>
      <c r="C542" s="1" t="s">
        <v>562</v>
      </c>
      <c r="D542" s="1">
        <v>3</v>
      </c>
      <c r="E542" s="1">
        <v>5</v>
      </c>
      <c r="F542" s="1">
        <v>1</v>
      </c>
      <c r="G542" s="1">
        <v>20260331</v>
      </c>
      <c r="H542" t="b">
        <f t="shared" si="9"/>
        <v>0</v>
      </c>
      <c r="I542" t="str" cm="1">
        <f t="array" ref="I542">GET_TICKER_FINAL(C542)</f>
        <v>MSFT</v>
      </c>
      <c r="J542" s="5" t="s">
        <v>1792</v>
      </c>
    </row>
    <row r="543" spans="1:10">
      <c r="A543">
        <v>542</v>
      </c>
      <c r="B543" s="1" t="s">
        <v>409</v>
      </c>
      <c r="C543" s="1" t="s">
        <v>563</v>
      </c>
      <c r="D543" s="1">
        <v>3</v>
      </c>
      <c r="E543" s="1">
        <v>15</v>
      </c>
      <c r="F543" s="1">
        <v>0.62</v>
      </c>
      <c r="G543" s="1">
        <v>20260402</v>
      </c>
      <c r="H543" t="b">
        <f t="shared" si="9"/>
        <v>0</v>
      </c>
      <c r="I543" t="str" cm="1">
        <f t="array" ref="I543">GET_TICKER_FINAL(C543)</f>
        <v/>
      </c>
      <c r="J543" s="5" t="s">
        <v>1792</v>
      </c>
    </row>
    <row r="544" spans="1:10">
      <c r="A544">
        <v>543</v>
      </c>
      <c r="B544" s="1" t="s">
        <v>409</v>
      </c>
      <c r="C544" s="1" t="s">
        <v>564</v>
      </c>
      <c r="D544" s="1">
        <v>3</v>
      </c>
      <c r="E544" s="1">
        <v>12</v>
      </c>
      <c r="F544" s="1">
        <v>0.71</v>
      </c>
      <c r="G544" s="1">
        <v>20260323</v>
      </c>
      <c r="H544" t="b">
        <f t="shared" si="9"/>
        <v>1</v>
      </c>
      <c r="I544" t="str" cm="1">
        <f t="array" ref="I544">GET_TICKER_FINAL(C544)</f>
        <v/>
      </c>
      <c r="J544" s="5" t="s">
        <v>1792</v>
      </c>
    </row>
    <row r="545" spans="1:10">
      <c r="A545">
        <v>544</v>
      </c>
      <c r="B545" s="1" t="s">
        <v>409</v>
      </c>
      <c r="C545" s="1" t="s">
        <v>565</v>
      </c>
      <c r="D545" s="1">
        <v>3</v>
      </c>
      <c r="E545" s="1">
        <v>37</v>
      </c>
      <c r="F545" s="1">
        <v>0.6</v>
      </c>
      <c r="G545" s="1">
        <v>20260324</v>
      </c>
      <c r="H545" t="b">
        <f t="shared" si="9"/>
        <v>0</v>
      </c>
      <c r="I545" t="str" cm="1">
        <f t="array" ref="I545">GET_TICKER_FINAL(C545)</f>
        <v/>
      </c>
      <c r="J545" s="5" t="s">
        <v>1792</v>
      </c>
    </row>
    <row r="546" spans="1:10">
      <c r="A546">
        <v>545</v>
      </c>
      <c r="B546" s="1" t="s">
        <v>409</v>
      </c>
      <c r="C546" s="1" t="s">
        <v>566</v>
      </c>
      <c r="D546" s="1">
        <v>3</v>
      </c>
      <c r="E546" s="1">
        <v>14</v>
      </c>
      <c r="F546" s="1">
        <v>0.64</v>
      </c>
      <c r="G546" s="1">
        <v>20260324</v>
      </c>
      <c r="H546" t="b">
        <f t="shared" si="9"/>
        <v>0</v>
      </c>
      <c r="I546" t="str" cm="1">
        <f t="array" ref="I546">GET_TICKER_FINAL(C546)</f>
        <v/>
      </c>
      <c r="J546" s="5" t="s">
        <v>25</v>
      </c>
    </row>
    <row r="547" spans="1:10">
      <c r="A547">
        <v>546</v>
      </c>
      <c r="B547" s="1" t="s">
        <v>409</v>
      </c>
      <c r="C547" s="1" t="s">
        <v>567</v>
      </c>
      <c r="D547" s="1">
        <v>3</v>
      </c>
      <c r="E547" s="1">
        <v>7</v>
      </c>
      <c r="F547" s="1">
        <v>0.62</v>
      </c>
      <c r="G547" s="1">
        <v>20260402</v>
      </c>
      <c r="H547" t="b">
        <f t="shared" si="9"/>
        <v>0</v>
      </c>
      <c r="I547" t="str" cm="1">
        <f t="array" ref="I547">GET_TICKER_FINAL(C547)</f>
        <v/>
      </c>
      <c r="J547" s="5" t="s">
        <v>1792</v>
      </c>
    </row>
    <row r="548" spans="1:10">
      <c r="A548">
        <v>547</v>
      </c>
      <c r="B548" s="1" t="s">
        <v>409</v>
      </c>
      <c r="C548" s="1" t="s">
        <v>568</v>
      </c>
      <c r="D548" s="1">
        <v>2</v>
      </c>
      <c r="E548" s="1">
        <v>9</v>
      </c>
      <c r="F548" s="1">
        <v>0.76</v>
      </c>
      <c r="G548" s="1">
        <v>20260327</v>
      </c>
      <c r="H548" t="b">
        <f t="shared" si="9"/>
        <v>0</v>
      </c>
      <c r="I548" t="str" cm="1">
        <f t="array" ref="I548">GET_TICKER_FINAL(C548)</f>
        <v/>
      </c>
      <c r="J548" s="5" t="s">
        <v>1792</v>
      </c>
    </row>
    <row r="549" spans="1:10">
      <c r="A549">
        <v>548</v>
      </c>
      <c r="B549" s="1" t="s">
        <v>409</v>
      </c>
      <c r="C549" s="1" t="s">
        <v>569</v>
      </c>
      <c r="D549" s="1">
        <v>2</v>
      </c>
      <c r="E549" s="1">
        <v>5</v>
      </c>
      <c r="F549" s="1">
        <v>0.67</v>
      </c>
      <c r="G549" s="1">
        <v>20260327</v>
      </c>
      <c r="H549" t="b">
        <f t="shared" si="9"/>
        <v>0</v>
      </c>
      <c r="I549" t="str" cm="1">
        <f t="array" ref="I549">GET_TICKER_FINAL(C549)</f>
        <v/>
      </c>
      <c r="J549" s="5" t="s">
        <v>1792</v>
      </c>
    </row>
    <row r="550" spans="1:10">
      <c r="A550">
        <v>549</v>
      </c>
      <c r="B550" s="1" t="s">
        <v>409</v>
      </c>
      <c r="C550" s="1" t="s">
        <v>570</v>
      </c>
      <c r="D550" s="1">
        <v>2</v>
      </c>
      <c r="E550" s="1">
        <v>17</v>
      </c>
      <c r="F550" s="1">
        <v>0.67</v>
      </c>
      <c r="G550" s="1">
        <v>20260323</v>
      </c>
      <c r="H550" t="b">
        <f t="shared" si="9"/>
        <v>0</v>
      </c>
      <c r="I550" t="str" cm="1">
        <f t="array" ref="I550">GET_TICKER_FINAL(C550)</f>
        <v>GOOGL</v>
      </c>
      <c r="J550" s="5" t="s">
        <v>1792</v>
      </c>
    </row>
    <row r="551" spans="1:10">
      <c r="A551">
        <v>550</v>
      </c>
      <c r="B551" s="1" t="s">
        <v>409</v>
      </c>
      <c r="C551" s="1" t="s">
        <v>571</v>
      </c>
      <c r="D551" s="1">
        <v>2</v>
      </c>
      <c r="E551" s="1">
        <v>2</v>
      </c>
      <c r="F551" s="1">
        <v>1</v>
      </c>
      <c r="G551" s="1">
        <v>20260327</v>
      </c>
      <c r="H551" t="b">
        <f t="shared" si="9"/>
        <v>0</v>
      </c>
      <c r="I551" t="str" cm="1">
        <f t="array" ref="I551">GET_TICKER_FINAL(C551)</f>
        <v/>
      </c>
      <c r="J551" s="5" t="s">
        <v>1792</v>
      </c>
    </row>
    <row r="552" spans="1:10">
      <c r="A552">
        <v>551</v>
      </c>
      <c r="B552" s="1" t="s">
        <v>409</v>
      </c>
      <c r="C552" s="1" t="s">
        <v>572</v>
      </c>
      <c r="D552" s="1">
        <v>2</v>
      </c>
      <c r="E552" s="1">
        <v>8</v>
      </c>
      <c r="F552" s="1">
        <v>0.63</v>
      </c>
      <c r="G552" s="1">
        <v>20260402</v>
      </c>
      <c r="H552" t="b">
        <f t="shared" si="9"/>
        <v>0</v>
      </c>
      <c r="I552" t="str" cm="1">
        <f t="array" ref="I552">GET_TICKER_FINAL(C552)</f>
        <v/>
      </c>
      <c r="J552" s="5" t="s">
        <v>1792</v>
      </c>
    </row>
    <row r="553" spans="1:10">
      <c r="A553">
        <v>552</v>
      </c>
      <c r="B553" s="1" t="s">
        <v>409</v>
      </c>
      <c r="C553" s="1" t="s">
        <v>573</v>
      </c>
      <c r="D553" s="1">
        <v>2</v>
      </c>
      <c r="E553" s="1">
        <v>8</v>
      </c>
      <c r="F553" s="1">
        <v>0.63</v>
      </c>
      <c r="G553" s="1">
        <v>20260326</v>
      </c>
      <c r="H553" t="b">
        <f t="shared" si="9"/>
        <v>0</v>
      </c>
      <c r="I553" t="str" cm="1">
        <f t="array" ref="I553">GET_TICKER_FINAL(C553)</f>
        <v/>
      </c>
      <c r="J553" s="5" t="s">
        <v>1792</v>
      </c>
    </row>
    <row r="554" spans="1:10">
      <c r="A554">
        <v>553</v>
      </c>
      <c r="B554" s="1" t="s">
        <v>409</v>
      </c>
      <c r="C554" s="1" t="s">
        <v>574</v>
      </c>
      <c r="D554" s="1">
        <v>2</v>
      </c>
      <c r="E554" s="1">
        <v>5</v>
      </c>
      <c r="F554" s="1">
        <v>0.67</v>
      </c>
      <c r="G554" s="1">
        <v>20260402</v>
      </c>
      <c r="H554" t="b">
        <f t="shared" si="9"/>
        <v>0</v>
      </c>
      <c r="I554" t="str" cm="1">
        <f t="array" ref="I554">GET_TICKER_FINAL(C554)</f>
        <v/>
      </c>
      <c r="J554" s="5" t="s">
        <v>1792</v>
      </c>
    </row>
    <row r="555" spans="1:10">
      <c r="A555">
        <v>554</v>
      </c>
      <c r="B555" s="1" t="s">
        <v>409</v>
      </c>
      <c r="C555" s="1" t="s">
        <v>575</v>
      </c>
      <c r="D555" s="1">
        <v>2</v>
      </c>
      <c r="E555" s="1">
        <v>7</v>
      </c>
      <c r="F555" s="1">
        <v>0.67</v>
      </c>
      <c r="G555" s="1">
        <v>20260402</v>
      </c>
      <c r="H555" t="b">
        <f t="shared" si="9"/>
        <v>0</v>
      </c>
      <c r="I555" t="str" cm="1">
        <f t="array" ref="I555">GET_TICKER_FINAL(C555)</f>
        <v/>
      </c>
      <c r="J555" s="5" t="s">
        <v>1792</v>
      </c>
    </row>
    <row r="556" spans="1:10">
      <c r="A556">
        <v>555</v>
      </c>
      <c r="B556" s="1" t="s">
        <v>409</v>
      </c>
      <c r="C556" s="1" t="s">
        <v>576</v>
      </c>
      <c r="D556" s="1">
        <v>2</v>
      </c>
      <c r="E556" s="1">
        <v>2</v>
      </c>
      <c r="F556" s="1">
        <v>0.67</v>
      </c>
      <c r="G556" s="1">
        <v>20260402</v>
      </c>
      <c r="H556" t="b">
        <f t="shared" si="9"/>
        <v>0</v>
      </c>
      <c r="I556" t="str" cm="1">
        <f t="array" ref="I556">GET_TICKER_FINAL(C556)</f>
        <v/>
      </c>
      <c r="J556" s="5" t="s">
        <v>1792</v>
      </c>
    </row>
    <row r="557" spans="1:10">
      <c r="A557">
        <v>556</v>
      </c>
      <c r="B557" s="1" t="s">
        <v>409</v>
      </c>
      <c r="C557" s="1" t="s">
        <v>577</v>
      </c>
      <c r="D557" s="1">
        <v>2</v>
      </c>
      <c r="E557" s="1">
        <v>15</v>
      </c>
      <c r="F557" s="1">
        <v>0.63</v>
      </c>
      <c r="G557" s="1">
        <v>20260320</v>
      </c>
      <c r="H557" t="b">
        <f t="shared" si="9"/>
        <v>1</v>
      </c>
      <c r="I557" t="str" cm="1">
        <f t="array" ref="I557">GET_TICKER_FINAL(C557)</f>
        <v/>
      </c>
      <c r="J557" s="5" t="s">
        <v>1792</v>
      </c>
    </row>
    <row r="558" spans="1:10">
      <c r="A558">
        <v>557</v>
      </c>
      <c r="B558" s="1" t="s">
        <v>409</v>
      </c>
      <c r="C558" s="1" t="s">
        <v>578</v>
      </c>
      <c r="D558" s="1">
        <v>2</v>
      </c>
      <c r="E558" s="1">
        <v>0</v>
      </c>
      <c r="F558" s="1">
        <v>0.6</v>
      </c>
      <c r="G558" s="1">
        <v>20260330</v>
      </c>
      <c r="H558" t="b">
        <f t="shared" si="9"/>
        <v>0</v>
      </c>
      <c r="I558" t="str" cm="1">
        <f t="array" ref="I558">GET_TICKER_FINAL(C558)</f>
        <v/>
      </c>
      <c r="J558" s="5" t="s">
        <v>1792</v>
      </c>
    </row>
    <row r="559" spans="1:10">
      <c r="A559">
        <v>558</v>
      </c>
      <c r="B559" s="1" t="s">
        <v>409</v>
      </c>
      <c r="C559" s="1" t="s">
        <v>579</v>
      </c>
      <c r="D559" s="1">
        <v>1</v>
      </c>
      <c r="E559" s="1">
        <v>14</v>
      </c>
      <c r="F559" s="1">
        <v>0.52</v>
      </c>
      <c r="G559" s="1">
        <v>20260401</v>
      </c>
      <c r="H559" t="b">
        <f t="shared" si="9"/>
        <v>1</v>
      </c>
      <c r="I559" t="str" cm="1">
        <f t="array" ref="I559">GET_TICKER_FINAL(C559)</f>
        <v>PLTR</v>
      </c>
      <c r="J559" s="5" t="s">
        <v>25</v>
      </c>
    </row>
    <row r="560" spans="1:10">
      <c r="A560">
        <v>559</v>
      </c>
      <c r="B560" s="1" t="s">
        <v>409</v>
      </c>
      <c r="C560" s="1" t="s">
        <v>580</v>
      </c>
      <c r="D560" s="1">
        <v>1</v>
      </c>
      <c r="E560" s="1">
        <v>5</v>
      </c>
      <c r="F560" s="1">
        <v>0.67</v>
      </c>
      <c r="G560" s="1">
        <v>20260402</v>
      </c>
      <c r="H560" t="b">
        <f t="shared" si="9"/>
        <v>0</v>
      </c>
      <c r="I560" t="str" cm="1">
        <f t="array" ref="I560">GET_TICKER_FINAL(C560)</f>
        <v/>
      </c>
      <c r="J560" s="5" t="s">
        <v>1792</v>
      </c>
    </row>
    <row r="561" spans="1:10">
      <c r="A561">
        <v>560</v>
      </c>
      <c r="B561" s="1" t="s">
        <v>409</v>
      </c>
      <c r="C561" s="1" t="s">
        <v>581</v>
      </c>
      <c r="D561" s="1">
        <v>1</v>
      </c>
      <c r="E561" s="1">
        <v>15</v>
      </c>
      <c r="F561" s="1">
        <v>0.53</v>
      </c>
      <c r="G561" s="1">
        <v>20260320</v>
      </c>
      <c r="H561" t="b">
        <f t="shared" si="9"/>
        <v>0</v>
      </c>
      <c r="I561" t="str" cm="1">
        <f t="array" ref="I561">GET_TICKER_FINAL(C561)</f>
        <v/>
      </c>
      <c r="J561" s="5" t="s">
        <v>1792</v>
      </c>
    </row>
    <row r="562" spans="1:10">
      <c r="A562">
        <v>561</v>
      </c>
      <c r="B562" s="1" t="s">
        <v>409</v>
      </c>
      <c r="C562" s="1" t="s">
        <v>582</v>
      </c>
      <c r="D562" s="1">
        <v>1</v>
      </c>
      <c r="E562" s="1">
        <v>6</v>
      </c>
      <c r="F562" s="1">
        <v>0.67</v>
      </c>
      <c r="G562" s="1">
        <v>20260401</v>
      </c>
      <c r="H562" t="b">
        <f t="shared" si="9"/>
        <v>0</v>
      </c>
      <c r="I562" t="str" cm="1">
        <f t="array" ref="I562">GET_TICKER_FINAL(C562)</f>
        <v/>
      </c>
      <c r="J562" s="5" t="s">
        <v>1792</v>
      </c>
    </row>
    <row r="563" spans="1:10">
      <c r="A563">
        <v>562</v>
      </c>
      <c r="B563" s="1" t="s">
        <v>409</v>
      </c>
      <c r="C563" s="1" t="s">
        <v>583</v>
      </c>
      <c r="D563" s="1">
        <v>1</v>
      </c>
      <c r="E563" s="1">
        <v>16</v>
      </c>
      <c r="F563" s="1">
        <v>0.54</v>
      </c>
      <c r="G563" s="1">
        <v>20260323</v>
      </c>
      <c r="H563" t="b">
        <f t="shared" si="9"/>
        <v>0</v>
      </c>
      <c r="I563" t="str" cm="1">
        <f t="array" ref="I563">GET_TICKER_FINAL(C563)</f>
        <v>SPY</v>
      </c>
      <c r="J563" s="5" t="s">
        <v>16</v>
      </c>
    </row>
    <row r="564" spans="1:10">
      <c r="A564">
        <v>563</v>
      </c>
      <c r="B564" s="1" t="s">
        <v>409</v>
      </c>
      <c r="C564" s="1" t="s">
        <v>584</v>
      </c>
      <c r="D564" s="1">
        <v>1</v>
      </c>
      <c r="E564" s="1">
        <v>1</v>
      </c>
      <c r="F564" s="1">
        <v>1</v>
      </c>
      <c r="G564" s="1">
        <v>20260326</v>
      </c>
      <c r="H564" t="b">
        <f t="shared" si="9"/>
        <v>0</v>
      </c>
      <c r="I564" t="str" cm="1">
        <f t="array" ref="I564">GET_TICKER_FINAL(C564)</f>
        <v/>
      </c>
      <c r="J564" s="5" t="s">
        <v>16</v>
      </c>
    </row>
    <row r="565" spans="1:10">
      <c r="A565">
        <v>564</v>
      </c>
      <c r="B565" s="1" t="s">
        <v>409</v>
      </c>
      <c r="C565" s="1" t="s">
        <v>585</v>
      </c>
      <c r="D565" s="1">
        <v>1</v>
      </c>
      <c r="E565" s="1">
        <v>6</v>
      </c>
      <c r="F565" s="1">
        <v>0.56000000000000005</v>
      </c>
      <c r="G565" s="1">
        <v>20260331</v>
      </c>
      <c r="H565" t="b">
        <f t="shared" si="9"/>
        <v>0</v>
      </c>
      <c r="I565" t="str" cm="1">
        <f t="array" ref="I565">GET_TICKER_FINAL(C565)</f>
        <v/>
      </c>
      <c r="J565" s="5" t="s">
        <v>1792</v>
      </c>
    </row>
    <row r="566" spans="1:10">
      <c r="A566">
        <v>565</v>
      </c>
      <c r="B566" s="1" t="s">
        <v>409</v>
      </c>
      <c r="C566" s="1" t="s">
        <v>586</v>
      </c>
      <c r="D566" s="1">
        <v>1</v>
      </c>
      <c r="E566" s="1">
        <v>0</v>
      </c>
      <c r="F566" s="1">
        <v>0.56000000000000005</v>
      </c>
      <c r="G566" s="1">
        <v>20260331</v>
      </c>
      <c r="H566" t="b">
        <f t="shared" si="9"/>
        <v>0</v>
      </c>
      <c r="I566" t="str" cm="1">
        <f t="array" ref="I566">GET_TICKER_FINAL(C566)</f>
        <v/>
      </c>
      <c r="J566" s="5" t="s">
        <v>16</v>
      </c>
    </row>
    <row r="567" spans="1:10">
      <c r="A567">
        <v>566</v>
      </c>
      <c r="B567" s="1" t="s">
        <v>409</v>
      </c>
      <c r="C567" s="1" t="s">
        <v>587</v>
      </c>
      <c r="D567" s="1">
        <v>0</v>
      </c>
      <c r="E567" s="1">
        <v>11</v>
      </c>
      <c r="F567" s="1">
        <v>0.38</v>
      </c>
      <c r="G567" s="1">
        <v>20260330</v>
      </c>
      <c r="H567" t="b">
        <f t="shared" si="9"/>
        <v>0</v>
      </c>
      <c r="I567" t="str" cm="1">
        <f t="array" ref="I567">GET_TICKER_FINAL(C567)</f>
        <v/>
      </c>
      <c r="J567" s="5" t="s">
        <v>1792</v>
      </c>
    </row>
    <row r="568" spans="1:10">
      <c r="A568">
        <v>567</v>
      </c>
      <c r="B568" s="1" t="s">
        <v>409</v>
      </c>
      <c r="C568" s="1" t="s">
        <v>588</v>
      </c>
      <c r="D568" s="1">
        <v>0</v>
      </c>
      <c r="E568" s="1">
        <v>30</v>
      </c>
      <c r="F568" s="1">
        <v>0.4</v>
      </c>
      <c r="G568" s="1">
        <v>20260330</v>
      </c>
      <c r="H568" t="b">
        <f t="shared" si="9"/>
        <v>0</v>
      </c>
      <c r="I568" t="str" cm="1">
        <f t="array" ref="I568">GET_TICKER_FINAL(C568)</f>
        <v/>
      </c>
      <c r="J568" s="5" t="s">
        <v>1792</v>
      </c>
    </row>
    <row r="569" spans="1:10">
      <c r="A569">
        <v>568</v>
      </c>
      <c r="B569" s="1" t="s">
        <v>409</v>
      </c>
      <c r="C569" s="1" t="s">
        <v>589</v>
      </c>
      <c r="D569" s="1">
        <v>0</v>
      </c>
      <c r="E569" s="1">
        <v>19</v>
      </c>
      <c r="F569" s="1">
        <v>0.3</v>
      </c>
      <c r="G569" s="1">
        <v>20260330</v>
      </c>
      <c r="H569" t="b">
        <f t="shared" si="9"/>
        <v>0</v>
      </c>
      <c r="I569" t="str" cm="1">
        <f t="array" ref="I569">GET_TICKER_FINAL(C569)</f>
        <v/>
      </c>
      <c r="J569" s="5" t="s">
        <v>25</v>
      </c>
    </row>
    <row r="570" spans="1:10">
      <c r="A570">
        <v>569</v>
      </c>
      <c r="B570" s="1" t="s">
        <v>409</v>
      </c>
      <c r="C570" s="1" t="s">
        <v>590</v>
      </c>
      <c r="D570" s="1">
        <v>0</v>
      </c>
      <c r="E570" s="1">
        <v>18</v>
      </c>
      <c r="F570" s="1">
        <v>0.25</v>
      </c>
      <c r="G570" s="1">
        <v>20260330</v>
      </c>
      <c r="H570" t="b">
        <f t="shared" si="9"/>
        <v>0</v>
      </c>
      <c r="I570" t="str" cm="1">
        <f t="array" ref="I570">GET_TICKER_FINAL(C570)</f>
        <v/>
      </c>
      <c r="J570" s="5" t="s">
        <v>1792</v>
      </c>
    </row>
    <row r="571" spans="1:10">
      <c r="A571">
        <v>570</v>
      </c>
      <c r="B571" s="1" t="s">
        <v>409</v>
      </c>
      <c r="C571" s="1" t="s">
        <v>591</v>
      </c>
      <c r="D571" s="1">
        <v>0</v>
      </c>
      <c r="E571" s="1">
        <v>28</v>
      </c>
      <c r="F571" s="1">
        <v>0.46</v>
      </c>
      <c r="G571" s="1">
        <v>20260330</v>
      </c>
      <c r="H571" t="b">
        <f t="shared" si="9"/>
        <v>0</v>
      </c>
      <c r="I571" t="str" cm="1">
        <f t="array" ref="I571">GET_TICKER_FINAL(C571)</f>
        <v/>
      </c>
      <c r="J571" s="5" t="s">
        <v>1792</v>
      </c>
    </row>
    <row r="572" spans="1:10">
      <c r="A572">
        <v>571</v>
      </c>
      <c r="B572" s="1" t="s">
        <v>409</v>
      </c>
      <c r="C572" s="1" t="s">
        <v>592</v>
      </c>
      <c r="D572" s="1">
        <v>0</v>
      </c>
      <c r="E572" s="1">
        <v>19</v>
      </c>
      <c r="F572" s="1">
        <v>0.24</v>
      </c>
      <c r="G572" s="1">
        <v>20260330</v>
      </c>
      <c r="H572" t="b">
        <f t="shared" si="9"/>
        <v>0</v>
      </c>
      <c r="I572" t="str" cm="1">
        <f t="array" ref="I572">GET_TICKER_FINAL(C572)</f>
        <v/>
      </c>
      <c r="J572" s="5" t="s">
        <v>1792</v>
      </c>
    </row>
    <row r="573" spans="1:10">
      <c r="A573">
        <v>572</v>
      </c>
      <c r="B573" s="1" t="s">
        <v>409</v>
      </c>
      <c r="C573" s="1" t="s">
        <v>593</v>
      </c>
      <c r="D573" s="1">
        <v>0</v>
      </c>
      <c r="E573" s="1">
        <v>16</v>
      </c>
      <c r="F573" s="1">
        <v>0.23</v>
      </c>
      <c r="G573" s="1">
        <v>20260330</v>
      </c>
      <c r="H573" t="b">
        <f t="shared" si="9"/>
        <v>0</v>
      </c>
      <c r="I573" t="str" cm="1">
        <f t="array" ref="I573">GET_TICKER_FINAL(C573)</f>
        <v/>
      </c>
      <c r="J573" s="5" t="s">
        <v>1792</v>
      </c>
    </row>
    <row r="574" spans="1:10">
      <c r="A574">
        <v>573</v>
      </c>
      <c r="B574" s="1" t="s">
        <v>409</v>
      </c>
      <c r="C574" s="1" t="s">
        <v>594</v>
      </c>
      <c r="D574" s="1">
        <v>0</v>
      </c>
      <c r="E574" s="1">
        <v>10</v>
      </c>
      <c r="F574" s="1">
        <v>0.1</v>
      </c>
      <c r="G574" s="1">
        <v>20260327</v>
      </c>
      <c r="H574" t="b">
        <f t="shared" si="9"/>
        <v>0</v>
      </c>
      <c r="I574" t="str" cm="1">
        <f t="array" ref="I574">GET_TICKER_FINAL(C574)</f>
        <v/>
      </c>
      <c r="J574" s="5" t="s">
        <v>1792</v>
      </c>
    </row>
    <row r="575" spans="1:10">
      <c r="A575">
        <v>574</v>
      </c>
      <c r="B575" s="1" t="s">
        <v>409</v>
      </c>
      <c r="C575" s="1" t="s">
        <v>595</v>
      </c>
      <c r="D575" s="1">
        <v>0</v>
      </c>
      <c r="E575" s="1">
        <v>10</v>
      </c>
      <c r="F575" s="1">
        <v>0.14000000000000001</v>
      </c>
      <c r="G575" s="1">
        <v>20260327</v>
      </c>
      <c r="H575" t="b">
        <f t="shared" si="9"/>
        <v>0</v>
      </c>
      <c r="I575" t="str" cm="1">
        <f t="array" ref="I575">GET_TICKER_FINAL(C575)</f>
        <v/>
      </c>
      <c r="J575" s="5" t="s">
        <v>1792</v>
      </c>
    </row>
    <row r="576" spans="1:10">
      <c r="A576">
        <v>575</v>
      </c>
      <c r="B576" s="1" t="s">
        <v>409</v>
      </c>
      <c r="C576" s="1" t="s">
        <v>596</v>
      </c>
      <c r="D576" s="1">
        <v>0</v>
      </c>
      <c r="E576" s="1">
        <v>25</v>
      </c>
      <c r="F576" s="1">
        <v>0.28999999999999998</v>
      </c>
      <c r="G576" s="1">
        <v>20260327</v>
      </c>
      <c r="H576" t="b">
        <f t="shared" si="9"/>
        <v>0</v>
      </c>
      <c r="I576" t="str" cm="1">
        <f t="array" ref="I576">GET_TICKER_FINAL(C576)</f>
        <v/>
      </c>
      <c r="J576" s="5" t="s">
        <v>25</v>
      </c>
    </row>
    <row r="577" spans="1:10">
      <c r="A577">
        <v>576</v>
      </c>
      <c r="B577" s="1" t="s">
        <v>409</v>
      </c>
      <c r="C577" s="1" t="s">
        <v>597</v>
      </c>
      <c r="D577" s="1">
        <v>0</v>
      </c>
      <c r="E577" s="1">
        <v>4</v>
      </c>
      <c r="F577" s="1">
        <v>0.4</v>
      </c>
      <c r="G577" s="1">
        <v>20260327</v>
      </c>
      <c r="H577" t="b">
        <f t="shared" si="9"/>
        <v>0</v>
      </c>
      <c r="I577" t="str" cm="1">
        <f t="array" ref="I577">GET_TICKER_FINAL(C577)</f>
        <v/>
      </c>
      <c r="J577" s="5" t="s">
        <v>1792</v>
      </c>
    </row>
    <row r="578" spans="1:10">
      <c r="A578">
        <v>577</v>
      </c>
      <c r="B578" s="1" t="s">
        <v>409</v>
      </c>
      <c r="C578" s="1" t="s">
        <v>598</v>
      </c>
      <c r="D578" s="1">
        <v>0</v>
      </c>
      <c r="E578" s="1">
        <v>3</v>
      </c>
      <c r="F578" s="1">
        <v>0.33</v>
      </c>
      <c r="G578" s="1">
        <v>20260327</v>
      </c>
      <c r="H578" t="b">
        <f t="shared" si="9"/>
        <v>0</v>
      </c>
      <c r="I578" t="str" cm="1">
        <f t="array" ref="I578">GET_TICKER_FINAL(C578)</f>
        <v/>
      </c>
      <c r="J578" s="5" t="s">
        <v>1792</v>
      </c>
    </row>
    <row r="579" spans="1:10">
      <c r="A579">
        <v>578</v>
      </c>
      <c r="B579" s="1" t="s">
        <v>409</v>
      </c>
      <c r="C579" s="1" t="s">
        <v>599</v>
      </c>
      <c r="D579" s="1">
        <v>0</v>
      </c>
      <c r="E579" s="1">
        <v>50</v>
      </c>
      <c r="F579" s="1">
        <v>0.41</v>
      </c>
      <c r="G579" s="1">
        <v>20260327</v>
      </c>
      <c r="H579" t="b">
        <f t="shared" ref="H579:H642" si="10">OR(ISNUMBER(SEARCH("$A",C579)),ISNUMBER(SEARCH("$B",C579)),ISNUMBER(SEARCH("$C",C579)),ISNUMBER(SEARCH("$D",C579)),ISNUMBER(SEARCH("$E",C579)),ISNUMBER(SEARCH("$F",C579)),ISNUMBER(SEARCH("$G",C579)),ISNUMBER(SEARCH("$H",C579)),ISNUMBER(SEARCH("$I",C579)),ISNUMBER(SEARCH("$J",C579)),ISNUMBER(SEARCH("$K",C579)),ISNUMBER(SEARCH("$L",C579)),ISNUMBER(SEARCH("$M",C579)),ISNUMBER(SEARCH("$N",C579)),ISNUMBER(SEARCH("$O",C579)),ISNUMBER(SEARCH("$P",C579)),ISNUMBER(SEARCH("$Q",C579)),ISNUMBER(SEARCH("$R",C579)),ISNUMBER(SEARCH("$S",C579)),ISNUMBER(SEARCH("$T",C579)),ISNUMBER(SEARCH("$U",C579)),ISNUMBER(SEARCH("$V",C579)),ISNUMBER(SEARCH("$W",C579)),ISNUMBER(SEARCH("$X",C579)),ISNUMBER(SEARCH("$Y",C579)),ISNUMBER(SEARCH("$Z",C579)))</f>
        <v>0</v>
      </c>
      <c r="I579" t="str" cm="1">
        <f t="array" ref="I579">GET_TICKER_FINAL(C579)</f>
        <v>SPY</v>
      </c>
      <c r="J579" s="5" t="s">
        <v>1792</v>
      </c>
    </row>
    <row r="580" spans="1:10">
      <c r="A580">
        <v>579</v>
      </c>
      <c r="B580" s="1" t="s">
        <v>409</v>
      </c>
      <c r="C580" s="1" t="s">
        <v>600</v>
      </c>
      <c r="D580" s="1">
        <v>0</v>
      </c>
      <c r="E580" s="1">
        <v>4</v>
      </c>
      <c r="F580" s="1">
        <v>0.45</v>
      </c>
      <c r="G580" s="1">
        <v>20260327</v>
      </c>
      <c r="H580" t="b">
        <f t="shared" si="10"/>
        <v>0</v>
      </c>
      <c r="I580" t="str" cm="1">
        <f t="array" ref="I580">GET_TICKER_FINAL(C580)</f>
        <v>SPY</v>
      </c>
      <c r="J580" s="5" t="s">
        <v>1792</v>
      </c>
    </row>
    <row r="581" spans="1:10">
      <c r="A581">
        <v>580</v>
      </c>
      <c r="B581" s="1" t="s">
        <v>409</v>
      </c>
      <c r="C581" s="1" t="s">
        <v>601</v>
      </c>
      <c r="D581" s="1">
        <v>0</v>
      </c>
      <c r="E581" s="1">
        <v>23</v>
      </c>
      <c r="F581" s="1">
        <v>0.19</v>
      </c>
      <c r="G581" s="1">
        <v>20260327</v>
      </c>
      <c r="H581" t="b">
        <f t="shared" si="10"/>
        <v>0</v>
      </c>
      <c r="I581" t="str" cm="1">
        <f t="array" ref="I581">GET_TICKER_FINAL(C581)</f>
        <v/>
      </c>
      <c r="J581" s="5" t="s">
        <v>1792</v>
      </c>
    </row>
    <row r="582" spans="1:10">
      <c r="A582">
        <v>581</v>
      </c>
      <c r="B582" s="1" t="s">
        <v>409</v>
      </c>
      <c r="C582" s="1" t="s">
        <v>602</v>
      </c>
      <c r="D582" s="1">
        <v>0</v>
      </c>
      <c r="E582" s="1">
        <v>8</v>
      </c>
      <c r="F582" s="1">
        <v>0.1</v>
      </c>
      <c r="G582" s="1">
        <v>20260327</v>
      </c>
      <c r="H582" t="b">
        <f t="shared" si="10"/>
        <v>0</v>
      </c>
      <c r="I582" t="str" cm="1">
        <f t="array" ref="I582">GET_TICKER_FINAL(C582)</f>
        <v>SPY</v>
      </c>
      <c r="J582" s="5" t="s">
        <v>1792</v>
      </c>
    </row>
    <row r="583" spans="1:10">
      <c r="A583">
        <v>582</v>
      </c>
      <c r="B583" s="1" t="s">
        <v>409</v>
      </c>
      <c r="C583" s="1" t="s">
        <v>603</v>
      </c>
      <c r="D583" s="1">
        <v>0</v>
      </c>
      <c r="E583" s="1">
        <v>24</v>
      </c>
      <c r="F583" s="1">
        <v>0.4</v>
      </c>
      <c r="G583" s="1">
        <v>20260327</v>
      </c>
      <c r="H583" t="b">
        <f t="shared" si="10"/>
        <v>0</v>
      </c>
      <c r="I583" t="str" cm="1">
        <f t="array" ref="I583">GET_TICKER_FINAL(C583)</f>
        <v>SPY</v>
      </c>
      <c r="J583" s="5" t="s">
        <v>1792</v>
      </c>
    </row>
    <row r="584" spans="1:10">
      <c r="A584">
        <v>583</v>
      </c>
      <c r="B584" s="1" t="s">
        <v>409</v>
      </c>
      <c r="C584" s="1" t="s">
        <v>604</v>
      </c>
      <c r="D584" s="1">
        <v>0</v>
      </c>
      <c r="E584" s="1">
        <v>1</v>
      </c>
      <c r="F584" s="1">
        <v>0.36</v>
      </c>
      <c r="G584" s="1">
        <v>20260327</v>
      </c>
      <c r="H584" t="b">
        <f t="shared" si="10"/>
        <v>0</v>
      </c>
      <c r="I584" t="str" cm="1">
        <f t="array" ref="I584">GET_TICKER_FINAL(C584)</f>
        <v/>
      </c>
      <c r="J584" s="5" t="s">
        <v>25</v>
      </c>
    </row>
    <row r="585" spans="1:10">
      <c r="A585">
        <v>584</v>
      </c>
      <c r="B585" s="1" t="s">
        <v>409</v>
      </c>
      <c r="C585" s="1" t="s">
        <v>605</v>
      </c>
      <c r="D585" s="1">
        <v>0</v>
      </c>
      <c r="E585" s="1">
        <v>12</v>
      </c>
      <c r="F585" s="1">
        <v>0.2</v>
      </c>
      <c r="G585" s="1">
        <v>20260327</v>
      </c>
      <c r="H585" t="b">
        <f t="shared" si="10"/>
        <v>0</v>
      </c>
      <c r="I585" t="str" cm="1">
        <f t="array" ref="I585">GET_TICKER_FINAL(C585)</f>
        <v/>
      </c>
      <c r="J585" s="5" t="s">
        <v>1792</v>
      </c>
    </row>
    <row r="586" spans="1:10">
      <c r="A586">
        <v>585</v>
      </c>
      <c r="B586" s="1" t="s">
        <v>409</v>
      </c>
      <c r="C586" s="1" t="s">
        <v>606</v>
      </c>
      <c r="D586" s="1">
        <v>0</v>
      </c>
      <c r="E586" s="1">
        <v>8</v>
      </c>
      <c r="F586" s="1">
        <v>0.25</v>
      </c>
      <c r="G586" s="1">
        <v>20260327</v>
      </c>
      <c r="H586" t="b">
        <f t="shared" si="10"/>
        <v>0</v>
      </c>
      <c r="I586" t="str" cm="1">
        <f t="array" ref="I586">GET_TICKER_FINAL(C586)</f>
        <v/>
      </c>
      <c r="J586" s="5" t="s">
        <v>1792</v>
      </c>
    </row>
    <row r="587" spans="1:10">
      <c r="A587">
        <v>586</v>
      </c>
      <c r="B587" s="1" t="s">
        <v>409</v>
      </c>
      <c r="C587" s="1" t="s">
        <v>607</v>
      </c>
      <c r="D587" s="1">
        <v>0</v>
      </c>
      <c r="E587" s="1">
        <v>29</v>
      </c>
      <c r="F587" s="1">
        <v>0.36</v>
      </c>
      <c r="G587" s="1">
        <v>20260327</v>
      </c>
      <c r="H587" t="b">
        <f t="shared" si="10"/>
        <v>0</v>
      </c>
      <c r="I587" t="str" cm="1">
        <f t="array" ref="I587">GET_TICKER_FINAL(C587)</f>
        <v/>
      </c>
      <c r="J587" s="5" t="s">
        <v>1792</v>
      </c>
    </row>
    <row r="588" spans="1:10">
      <c r="A588">
        <v>587</v>
      </c>
      <c r="B588" s="1" t="s">
        <v>409</v>
      </c>
      <c r="C588" s="1" t="s">
        <v>608</v>
      </c>
      <c r="D588" s="1">
        <v>0</v>
      </c>
      <c r="E588" s="1">
        <v>4</v>
      </c>
      <c r="F588" s="1">
        <v>0.25</v>
      </c>
      <c r="G588" s="1">
        <v>20260327</v>
      </c>
      <c r="H588" t="b">
        <f t="shared" si="10"/>
        <v>0</v>
      </c>
      <c r="I588" t="str" cm="1">
        <f t="array" ref="I588">GET_TICKER_FINAL(C588)</f>
        <v/>
      </c>
      <c r="J588" s="5" t="s">
        <v>1792</v>
      </c>
    </row>
    <row r="589" spans="1:10">
      <c r="A589">
        <v>588</v>
      </c>
      <c r="B589" s="1" t="s">
        <v>409</v>
      </c>
      <c r="C589" s="1" t="s">
        <v>609</v>
      </c>
      <c r="D589" s="1">
        <v>0</v>
      </c>
      <c r="E589" s="1">
        <v>20</v>
      </c>
      <c r="F589" s="1">
        <v>0.48</v>
      </c>
      <c r="G589" s="1">
        <v>20260327</v>
      </c>
      <c r="H589" t="b">
        <f t="shared" si="10"/>
        <v>0</v>
      </c>
      <c r="I589" t="str" cm="1">
        <f t="array" ref="I589">GET_TICKER_FINAL(C589)</f>
        <v/>
      </c>
      <c r="J589" s="5" t="s">
        <v>16</v>
      </c>
    </row>
    <row r="590" spans="1:10">
      <c r="A590">
        <v>589</v>
      </c>
      <c r="B590" s="1" t="s">
        <v>409</v>
      </c>
      <c r="C590" s="1" t="s">
        <v>610</v>
      </c>
      <c r="D590" s="1">
        <v>0</v>
      </c>
      <c r="E590" s="1">
        <v>48</v>
      </c>
      <c r="F590" s="1">
        <v>0.4</v>
      </c>
      <c r="G590" s="1">
        <v>20260327</v>
      </c>
      <c r="H590" t="b">
        <f t="shared" si="10"/>
        <v>0</v>
      </c>
      <c r="I590" t="str" cm="1">
        <f t="array" ref="I590">GET_TICKER_FINAL(C590)</f>
        <v/>
      </c>
      <c r="J590" s="5" t="s">
        <v>28</v>
      </c>
    </row>
    <row r="591" spans="1:10">
      <c r="A591">
        <v>590</v>
      </c>
      <c r="B591" s="1" t="s">
        <v>409</v>
      </c>
      <c r="C591" s="1" t="s">
        <v>611</v>
      </c>
      <c r="D591" s="1">
        <v>0</v>
      </c>
      <c r="E591" s="1">
        <v>15</v>
      </c>
      <c r="F591" s="1">
        <v>0.42</v>
      </c>
      <c r="G591" s="1">
        <v>20260327</v>
      </c>
      <c r="H591" t="b">
        <f t="shared" si="10"/>
        <v>0</v>
      </c>
      <c r="I591" t="str" cm="1">
        <f t="array" ref="I591">GET_TICKER_FINAL(C591)</f>
        <v/>
      </c>
      <c r="J591" s="5" t="s">
        <v>1792</v>
      </c>
    </row>
    <row r="592" spans="1:10">
      <c r="A592">
        <v>591</v>
      </c>
      <c r="B592" s="1" t="s">
        <v>409</v>
      </c>
      <c r="C592" s="1" t="s">
        <v>612</v>
      </c>
      <c r="D592" s="1">
        <v>0</v>
      </c>
      <c r="E592" s="1">
        <v>18</v>
      </c>
      <c r="F592" s="1">
        <v>0.33</v>
      </c>
      <c r="G592" s="1">
        <v>20260327</v>
      </c>
      <c r="H592" t="b">
        <f t="shared" si="10"/>
        <v>0</v>
      </c>
      <c r="I592" t="str" cm="1">
        <f t="array" ref="I592">GET_TICKER_FINAL(C592)</f>
        <v/>
      </c>
      <c r="J592" s="5" t="s">
        <v>1792</v>
      </c>
    </row>
    <row r="593" spans="1:10">
      <c r="A593">
        <v>592</v>
      </c>
      <c r="B593" s="1" t="s">
        <v>409</v>
      </c>
      <c r="C593" s="1" t="s">
        <v>613</v>
      </c>
      <c r="D593" s="1">
        <v>0</v>
      </c>
      <c r="E593" s="1">
        <v>29</v>
      </c>
      <c r="F593" s="1">
        <v>0.28999999999999998</v>
      </c>
      <c r="G593" s="1">
        <v>20260327</v>
      </c>
      <c r="H593" t="b">
        <f t="shared" si="10"/>
        <v>0</v>
      </c>
      <c r="I593" t="str" cm="1">
        <f t="array" ref="I593">GET_TICKER_FINAL(C593)</f>
        <v/>
      </c>
      <c r="J593" s="5" t="s">
        <v>1792</v>
      </c>
    </row>
    <row r="594" spans="1:10">
      <c r="A594">
        <v>593</v>
      </c>
      <c r="B594" s="1" t="s">
        <v>409</v>
      </c>
      <c r="C594" s="1" t="s">
        <v>614</v>
      </c>
      <c r="D594" s="1">
        <v>0</v>
      </c>
      <c r="E594" s="1">
        <v>28</v>
      </c>
      <c r="F594" s="1">
        <v>0.4</v>
      </c>
      <c r="G594" s="1">
        <v>20260327</v>
      </c>
      <c r="H594" t="b">
        <f t="shared" si="10"/>
        <v>0</v>
      </c>
      <c r="I594" t="str" cm="1">
        <f t="array" ref="I594">GET_TICKER_FINAL(C594)</f>
        <v/>
      </c>
      <c r="J594" s="5" t="s">
        <v>1792</v>
      </c>
    </row>
    <row r="595" spans="1:10">
      <c r="A595">
        <v>594</v>
      </c>
      <c r="B595" s="1" t="s">
        <v>409</v>
      </c>
      <c r="C595" s="1" t="s">
        <v>615</v>
      </c>
      <c r="D595" s="1">
        <v>0</v>
      </c>
      <c r="E595" s="1">
        <v>1</v>
      </c>
      <c r="F595" s="1">
        <v>0.2</v>
      </c>
      <c r="G595" s="1">
        <v>20260327</v>
      </c>
      <c r="H595" t="b">
        <f t="shared" si="10"/>
        <v>0</v>
      </c>
      <c r="I595" t="str" cm="1">
        <f t="array" ref="I595">GET_TICKER_FINAL(C595)</f>
        <v/>
      </c>
      <c r="J595" s="5" t="s">
        <v>1792</v>
      </c>
    </row>
    <row r="596" spans="1:10">
      <c r="A596">
        <v>595</v>
      </c>
      <c r="B596" s="1" t="s">
        <v>409</v>
      </c>
      <c r="C596" s="1" t="s">
        <v>616</v>
      </c>
      <c r="D596" s="1">
        <v>0</v>
      </c>
      <c r="E596" s="1">
        <v>3</v>
      </c>
      <c r="F596" s="1">
        <v>0.14000000000000001</v>
      </c>
      <c r="G596" s="1">
        <v>20260327</v>
      </c>
      <c r="H596" t="b">
        <f t="shared" si="10"/>
        <v>0</v>
      </c>
      <c r="I596" t="str" cm="1">
        <f t="array" ref="I596">GET_TICKER_FINAL(C596)</f>
        <v/>
      </c>
      <c r="J596" s="5" t="s">
        <v>16</v>
      </c>
    </row>
    <row r="597" spans="1:10">
      <c r="A597">
        <v>596</v>
      </c>
      <c r="B597" s="1" t="s">
        <v>409</v>
      </c>
      <c r="C597" s="1" t="s">
        <v>617</v>
      </c>
      <c r="D597" s="1">
        <v>0</v>
      </c>
      <c r="E597" s="1">
        <v>9</v>
      </c>
      <c r="F597" s="1">
        <v>0.47</v>
      </c>
      <c r="G597" s="1">
        <v>20260327</v>
      </c>
      <c r="H597" t="b">
        <f t="shared" si="10"/>
        <v>0</v>
      </c>
      <c r="I597" t="str" cm="1">
        <f t="array" ref="I597">GET_TICKER_FINAL(C597)</f>
        <v>SPY</v>
      </c>
      <c r="J597" s="5" t="s">
        <v>1792</v>
      </c>
    </row>
    <row r="598" spans="1:10">
      <c r="A598">
        <v>597</v>
      </c>
      <c r="B598" s="1" t="s">
        <v>409</v>
      </c>
      <c r="C598" s="1" t="s">
        <v>618</v>
      </c>
      <c r="D598" s="1">
        <v>0</v>
      </c>
      <c r="E598" s="1">
        <v>11</v>
      </c>
      <c r="F598" s="1">
        <v>0.32</v>
      </c>
      <c r="G598" s="1">
        <v>20260402</v>
      </c>
      <c r="H598" t="b">
        <f t="shared" si="10"/>
        <v>1</v>
      </c>
      <c r="I598" t="str" cm="1">
        <f t="array" ref="I598">GET_TICKER_FINAL(C598)</f>
        <v>GOOGL</v>
      </c>
      <c r="J598" s="5" t="s">
        <v>1792</v>
      </c>
    </row>
    <row r="599" spans="1:10">
      <c r="A599">
        <v>598</v>
      </c>
      <c r="B599" s="1" t="s">
        <v>409</v>
      </c>
      <c r="C599" s="1" t="s">
        <v>619</v>
      </c>
      <c r="D599" s="1">
        <v>0</v>
      </c>
      <c r="E599" s="1">
        <v>3</v>
      </c>
      <c r="F599" s="1">
        <v>0.38</v>
      </c>
      <c r="G599" s="1">
        <v>20260402</v>
      </c>
      <c r="H599" t="b">
        <f t="shared" si="10"/>
        <v>0</v>
      </c>
      <c r="I599" t="str" cm="1">
        <f t="array" ref="I599">GET_TICKER_FINAL(C599)</f>
        <v/>
      </c>
      <c r="J599" s="5" t="s">
        <v>1792</v>
      </c>
    </row>
    <row r="600" spans="1:10">
      <c r="A600">
        <v>599</v>
      </c>
      <c r="B600" s="1" t="s">
        <v>409</v>
      </c>
      <c r="C600" s="1" t="s">
        <v>620</v>
      </c>
      <c r="D600" s="1">
        <v>0</v>
      </c>
      <c r="E600" s="1">
        <v>15</v>
      </c>
      <c r="F600" s="1">
        <v>0.38</v>
      </c>
      <c r="G600" s="1">
        <v>20260402</v>
      </c>
      <c r="H600" t="b">
        <f t="shared" si="10"/>
        <v>0</v>
      </c>
      <c r="I600" t="str" cm="1">
        <f t="array" ref="I600">GET_TICKER_FINAL(C600)</f>
        <v/>
      </c>
      <c r="J600" s="5" t="s">
        <v>1792</v>
      </c>
    </row>
    <row r="601" spans="1:10">
      <c r="A601">
        <v>600</v>
      </c>
      <c r="B601" s="1" t="s">
        <v>409</v>
      </c>
      <c r="C601" s="1" t="s">
        <v>621</v>
      </c>
      <c r="D601" s="1">
        <v>0</v>
      </c>
      <c r="E601" s="1">
        <v>36</v>
      </c>
      <c r="F601" s="1">
        <v>0.36</v>
      </c>
      <c r="G601" s="1">
        <v>20260402</v>
      </c>
      <c r="H601" t="b">
        <f t="shared" si="10"/>
        <v>0</v>
      </c>
      <c r="I601" t="str" cm="1">
        <f t="array" ref="I601">GET_TICKER_FINAL(C601)</f>
        <v/>
      </c>
      <c r="J601" s="5" t="s">
        <v>25</v>
      </c>
    </row>
    <row r="602" spans="1:10">
      <c r="A602">
        <v>601</v>
      </c>
      <c r="B602" s="1" t="s">
        <v>409</v>
      </c>
      <c r="C602" s="1" t="s">
        <v>622</v>
      </c>
      <c r="D602" s="1">
        <v>0</v>
      </c>
      <c r="E602" s="1">
        <v>32</v>
      </c>
      <c r="F602" s="1">
        <v>0.43</v>
      </c>
      <c r="G602" s="1">
        <v>20260402</v>
      </c>
      <c r="H602" t="b">
        <f t="shared" si="10"/>
        <v>0</v>
      </c>
      <c r="I602" t="str" cm="1">
        <f t="array" ref="I602">GET_TICKER_FINAL(C602)</f>
        <v/>
      </c>
      <c r="J602" s="5" t="s">
        <v>25</v>
      </c>
    </row>
    <row r="603" spans="1:10">
      <c r="A603">
        <v>602</v>
      </c>
      <c r="B603" s="1" t="s">
        <v>409</v>
      </c>
      <c r="C603" s="1" t="s">
        <v>623</v>
      </c>
      <c r="D603" s="1">
        <v>0</v>
      </c>
      <c r="E603" s="1">
        <v>22</v>
      </c>
      <c r="F603" s="1">
        <v>0.28999999999999998</v>
      </c>
      <c r="G603" s="1">
        <v>20260402</v>
      </c>
      <c r="H603" t="b">
        <f t="shared" si="10"/>
        <v>0</v>
      </c>
      <c r="I603" t="str" cm="1">
        <f t="array" ref="I603">GET_TICKER_FINAL(C603)</f>
        <v/>
      </c>
      <c r="J603" s="5" t="s">
        <v>25</v>
      </c>
    </row>
    <row r="604" spans="1:10">
      <c r="A604">
        <v>603</v>
      </c>
      <c r="B604" s="1" t="s">
        <v>409</v>
      </c>
      <c r="C604" s="1" t="s">
        <v>624</v>
      </c>
      <c r="D604" s="1">
        <v>0</v>
      </c>
      <c r="E604" s="1">
        <v>3</v>
      </c>
      <c r="F604" s="1">
        <v>0.5</v>
      </c>
      <c r="G604" s="1">
        <v>20260326</v>
      </c>
      <c r="H604" t="b">
        <f t="shared" si="10"/>
        <v>1</v>
      </c>
      <c r="I604" t="str" cm="1">
        <f t="array" ref="I604">GET_TICKER_FINAL(C604)</f>
        <v>OKLO</v>
      </c>
      <c r="J604" s="5" t="s">
        <v>1792</v>
      </c>
    </row>
    <row r="605" spans="1:10">
      <c r="A605">
        <v>604</v>
      </c>
      <c r="B605" s="1" t="s">
        <v>409</v>
      </c>
      <c r="C605" s="1" t="s">
        <v>625</v>
      </c>
      <c r="D605" s="1">
        <v>0</v>
      </c>
      <c r="E605" s="1">
        <v>5</v>
      </c>
      <c r="F605" s="1">
        <v>0.32</v>
      </c>
      <c r="G605" s="1">
        <v>20260326</v>
      </c>
      <c r="H605" t="b">
        <f t="shared" si="10"/>
        <v>1</v>
      </c>
      <c r="I605" t="str" cm="1">
        <f t="array" ref="I605">GET_TICKER_FINAL(C605)</f>
        <v/>
      </c>
      <c r="J605" s="5" t="s">
        <v>16</v>
      </c>
    </row>
    <row r="606" spans="1:10">
      <c r="A606">
        <v>605</v>
      </c>
      <c r="B606" s="1" t="s">
        <v>409</v>
      </c>
      <c r="C606" s="1" t="s">
        <v>626</v>
      </c>
      <c r="D606" s="1">
        <v>0</v>
      </c>
      <c r="E606" s="1">
        <v>13</v>
      </c>
      <c r="F606" s="1">
        <v>0.33</v>
      </c>
      <c r="G606" s="1">
        <v>20260326</v>
      </c>
      <c r="H606" t="b">
        <f t="shared" si="10"/>
        <v>0</v>
      </c>
      <c r="I606" t="str" cm="1">
        <f t="array" ref="I606">GET_TICKER_FINAL(C606)</f>
        <v/>
      </c>
      <c r="J606" s="5" t="s">
        <v>1792</v>
      </c>
    </row>
    <row r="607" spans="1:10">
      <c r="A607">
        <v>606</v>
      </c>
      <c r="B607" s="1" t="s">
        <v>409</v>
      </c>
      <c r="C607" s="1" t="s">
        <v>627</v>
      </c>
      <c r="D607" s="1">
        <v>0</v>
      </c>
      <c r="E607" s="1">
        <v>32</v>
      </c>
      <c r="F607" s="1">
        <v>0.33</v>
      </c>
      <c r="G607" s="1">
        <v>20260326</v>
      </c>
      <c r="H607" t="b">
        <f t="shared" si="10"/>
        <v>0</v>
      </c>
      <c r="I607" t="str" cm="1">
        <f t="array" ref="I607">GET_TICKER_FINAL(C607)</f>
        <v/>
      </c>
      <c r="J607" s="5" t="s">
        <v>1792</v>
      </c>
    </row>
    <row r="608" spans="1:10">
      <c r="A608">
        <v>607</v>
      </c>
      <c r="B608" s="1" t="s">
        <v>409</v>
      </c>
      <c r="C608" s="1" t="s">
        <v>628</v>
      </c>
      <c r="D608" s="1">
        <v>0</v>
      </c>
      <c r="E608" s="1">
        <v>23</v>
      </c>
      <c r="F608" s="1">
        <v>0.33</v>
      </c>
      <c r="G608" s="1">
        <v>20260326</v>
      </c>
      <c r="H608" t="b">
        <f t="shared" si="10"/>
        <v>0</v>
      </c>
      <c r="I608" t="str" cm="1">
        <f t="array" ref="I608">GET_TICKER_FINAL(C608)</f>
        <v/>
      </c>
      <c r="J608" s="5" t="s">
        <v>16</v>
      </c>
    </row>
    <row r="609" spans="1:10">
      <c r="A609">
        <v>608</v>
      </c>
      <c r="B609" s="1" t="s">
        <v>409</v>
      </c>
      <c r="C609" s="1" t="s">
        <v>629</v>
      </c>
      <c r="D609" s="1">
        <v>0</v>
      </c>
      <c r="E609" s="1">
        <v>46</v>
      </c>
      <c r="F609" s="1">
        <v>0.43</v>
      </c>
      <c r="G609" s="1">
        <v>20260402</v>
      </c>
      <c r="H609" t="b">
        <f t="shared" si="10"/>
        <v>0</v>
      </c>
      <c r="I609" t="str" cm="1">
        <f t="array" ref="I609">GET_TICKER_FINAL(C609)</f>
        <v/>
      </c>
      <c r="J609" s="5" t="s">
        <v>16</v>
      </c>
    </row>
    <row r="610" spans="1:10">
      <c r="A610">
        <v>609</v>
      </c>
      <c r="B610" s="1" t="s">
        <v>409</v>
      </c>
      <c r="C610" s="1" t="s">
        <v>630</v>
      </c>
      <c r="D610" s="1">
        <v>0</v>
      </c>
      <c r="E610" s="1">
        <v>28</v>
      </c>
      <c r="F610" s="1">
        <v>0.36</v>
      </c>
      <c r="G610" s="1">
        <v>20260326</v>
      </c>
      <c r="H610" t="b">
        <f t="shared" si="10"/>
        <v>0</v>
      </c>
      <c r="I610" t="str" cm="1">
        <f t="array" ref="I610">GET_TICKER_FINAL(C610)</f>
        <v/>
      </c>
      <c r="J610" s="5" t="s">
        <v>1792</v>
      </c>
    </row>
    <row r="611" spans="1:10">
      <c r="A611">
        <v>610</v>
      </c>
      <c r="B611" s="1" t="s">
        <v>409</v>
      </c>
      <c r="C611" s="1" t="s">
        <v>631</v>
      </c>
      <c r="D611" s="1">
        <v>0</v>
      </c>
      <c r="E611" s="1">
        <v>20</v>
      </c>
      <c r="F611" s="1">
        <v>0.4</v>
      </c>
      <c r="G611" s="1">
        <v>20260326</v>
      </c>
      <c r="H611" t="b">
        <f t="shared" si="10"/>
        <v>0</v>
      </c>
      <c r="I611" t="str" cm="1">
        <f t="array" ref="I611">GET_TICKER_FINAL(C611)</f>
        <v/>
      </c>
      <c r="J611" s="5" t="s">
        <v>1792</v>
      </c>
    </row>
    <row r="612" spans="1:10">
      <c r="A612">
        <v>611</v>
      </c>
      <c r="B612" s="1" t="s">
        <v>409</v>
      </c>
      <c r="C612" s="1" t="s">
        <v>632</v>
      </c>
      <c r="D612" s="1">
        <v>0</v>
      </c>
      <c r="E612" s="1">
        <v>0</v>
      </c>
      <c r="F612" s="1">
        <v>0.33</v>
      </c>
      <c r="G612" s="1">
        <v>20260402</v>
      </c>
      <c r="H612" t="b">
        <f t="shared" si="10"/>
        <v>0</v>
      </c>
      <c r="I612" t="str" cm="1">
        <f t="array" ref="I612">GET_TICKER_FINAL(C612)</f>
        <v/>
      </c>
      <c r="J612" s="5" t="s">
        <v>1792</v>
      </c>
    </row>
    <row r="613" spans="1:10">
      <c r="A613">
        <v>612</v>
      </c>
      <c r="B613" s="1" t="s">
        <v>409</v>
      </c>
      <c r="C613" s="1" t="s">
        <v>633</v>
      </c>
      <c r="D613" s="1">
        <v>0</v>
      </c>
      <c r="E613" s="1">
        <v>0</v>
      </c>
      <c r="F613" s="1">
        <v>0.44</v>
      </c>
      <c r="G613" s="1">
        <v>20260402</v>
      </c>
      <c r="H613" t="b">
        <f t="shared" si="10"/>
        <v>0</v>
      </c>
      <c r="I613" t="str" cm="1">
        <f t="array" ref="I613">GET_TICKER_FINAL(C613)</f>
        <v>AAPL</v>
      </c>
      <c r="J613" s="5" t="s">
        <v>25</v>
      </c>
    </row>
    <row r="614" spans="1:10">
      <c r="A614">
        <v>613</v>
      </c>
      <c r="B614" s="1" t="s">
        <v>409</v>
      </c>
      <c r="C614" s="1" t="s">
        <v>634</v>
      </c>
      <c r="D614" s="1">
        <v>0</v>
      </c>
      <c r="E614" s="1">
        <v>28</v>
      </c>
      <c r="F614" s="1">
        <v>0.43</v>
      </c>
      <c r="G614" s="1">
        <v>20260323</v>
      </c>
      <c r="H614" t="b">
        <f t="shared" si="10"/>
        <v>0</v>
      </c>
      <c r="I614" t="str" cm="1">
        <f t="array" ref="I614">GET_TICKER_FINAL(C614)</f>
        <v/>
      </c>
      <c r="J614" s="5" t="s">
        <v>1792</v>
      </c>
    </row>
    <row r="615" spans="1:10">
      <c r="A615">
        <v>614</v>
      </c>
      <c r="B615" s="1" t="s">
        <v>409</v>
      </c>
      <c r="C615" s="1" t="s">
        <v>635</v>
      </c>
      <c r="D615" s="1">
        <v>0</v>
      </c>
      <c r="E615" s="1">
        <v>13</v>
      </c>
      <c r="F615" s="1">
        <v>0.3</v>
      </c>
      <c r="G615" s="1">
        <v>20260323</v>
      </c>
      <c r="H615" t="b">
        <f t="shared" si="10"/>
        <v>0</v>
      </c>
      <c r="I615" t="str" cm="1">
        <f t="array" ref="I615">GET_TICKER_FINAL(C615)</f>
        <v/>
      </c>
      <c r="J615" s="5" t="s">
        <v>1792</v>
      </c>
    </row>
    <row r="616" spans="1:10">
      <c r="A616">
        <v>615</v>
      </c>
      <c r="B616" s="1" t="s">
        <v>409</v>
      </c>
      <c r="C616" s="1" t="s">
        <v>636</v>
      </c>
      <c r="D616" s="1">
        <v>0</v>
      </c>
      <c r="E616" s="1">
        <v>2</v>
      </c>
      <c r="F616" s="1">
        <v>0.25</v>
      </c>
      <c r="G616" s="1">
        <v>20260323</v>
      </c>
      <c r="H616" t="b">
        <f t="shared" si="10"/>
        <v>0</v>
      </c>
      <c r="I616" t="str" cm="1">
        <f t="array" ref="I616">GET_TICKER_FINAL(C616)</f>
        <v/>
      </c>
      <c r="J616" s="5" t="s">
        <v>1792</v>
      </c>
    </row>
    <row r="617" spans="1:10">
      <c r="A617">
        <v>616</v>
      </c>
      <c r="B617" s="1" t="s">
        <v>409</v>
      </c>
      <c r="C617" s="1" t="s">
        <v>637</v>
      </c>
      <c r="D617" s="1">
        <v>0</v>
      </c>
      <c r="E617" s="1">
        <v>54</v>
      </c>
      <c r="F617" s="1">
        <v>0.43</v>
      </c>
      <c r="G617" s="1">
        <v>20260323</v>
      </c>
      <c r="H617" t="b">
        <f t="shared" si="10"/>
        <v>0</v>
      </c>
      <c r="I617" t="str" cm="1">
        <f t="array" ref="I617">GET_TICKER_FINAL(C617)</f>
        <v/>
      </c>
      <c r="J617" s="5" t="s">
        <v>1792</v>
      </c>
    </row>
    <row r="618" spans="1:10">
      <c r="A618">
        <v>617</v>
      </c>
      <c r="B618" s="1" t="s">
        <v>409</v>
      </c>
      <c r="C618" s="1" t="s">
        <v>638</v>
      </c>
      <c r="D618" s="1">
        <v>0</v>
      </c>
      <c r="E618" s="1">
        <v>16</v>
      </c>
      <c r="F618" s="1">
        <v>0.23</v>
      </c>
      <c r="G618" s="1">
        <v>20260323</v>
      </c>
      <c r="H618" t="b">
        <f t="shared" si="10"/>
        <v>0</v>
      </c>
      <c r="I618" t="str" cm="1">
        <f t="array" ref="I618">GET_TICKER_FINAL(C618)</f>
        <v/>
      </c>
      <c r="J618" s="5" t="s">
        <v>1792</v>
      </c>
    </row>
    <row r="619" spans="1:10">
      <c r="A619">
        <v>618</v>
      </c>
      <c r="B619" s="1" t="s">
        <v>409</v>
      </c>
      <c r="C619" s="1" t="s">
        <v>639</v>
      </c>
      <c r="D619" s="1">
        <v>0</v>
      </c>
      <c r="E619" s="1">
        <v>0</v>
      </c>
      <c r="F619" s="1">
        <v>0.25</v>
      </c>
      <c r="G619" s="1">
        <v>20260323</v>
      </c>
      <c r="H619" t="b">
        <f t="shared" si="10"/>
        <v>1</v>
      </c>
      <c r="I619" t="str" cm="1">
        <f t="array" ref="I619">GET_TICKER_FINAL(C619)</f>
        <v/>
      </c>
      <c r="J619" s="5" t="s">
        <v>1792</v>
      </c>
    </row>
    <row r="620" spans="1:10">
      <c r="A620">
        <v>619</v>
      </c>
      <c r="B620" s="1" t="s">
        <v>409</v>
      </c>
      <c r="C620" s="1" t="s">
        <v>640</v>
      </c>
      <c r="D620" s="1">
        <v>0</v>
      </c>
      <c r="E620" s="1">
        <v>55</v>
      </c>
      <c r="F620" s="1">
        <v>0.27</v>
      </c>
      <c r="G620" s="1">
        <v>20260323</v>
      </c>
      <c r="H620" t="b">
        <f t="shared" si="10"/>
        <v>0</v>
      </c>
      <c r="I620" t="str" cm="1">
        <f t="array" ref="I620">GET_TICKER_FINAL(C620)</f>
        <v/>
      </c>
      <c r="J620" s="5" t="s">
        <v>1792</v>
      </c>
    </row>
    <row r="621" spans="1:10">
      <c r="A621">
        <v>620</v>
      </c>
      <c r="B621" s="1" t="s">
        <v>409</v>
      </c>
      <c r="C621" s="1" t="s">
        <v>641</v>
      </c>
      <c r="D621" s="1">
        <v>0</v>
      </c>
      <c r="E621" s="1">
        <v>41</v>
      </c>
      <c r="F621" s="1">
        <v>0.43</v>
      </c>
      <c r="G621" s="1">
        <v>20260323</v>
      </c>
      <c r="H621" t="b">
        <f t="shared" si="10"/>
        <v>0</v>
      </c>
      <c r="I621" t="str" cm="1">
        <f t="array" ref="I621">GET_TICKER_FINAL(C621)</f>
        <v/>
      </c>
      <c r="J621" s="5" t="s">
        <v>1792</v>
      </c>
    </row>
    <row r="622" spans="1:10">
      <c r="A622">
        <v>621</v>
      </c>
      <c r="B622" s="1" t="s">
        <v>409</v>
      </c>
      <c r="C622" s="1" t="s">
        <v>642</v>
      </c>
      <c r="D622" s="1">
        <v>0</v>
      </c>
      <c r="E622" s="1">
        <v>7</v>
      </c>
      <c r="F622" s="1">
        <v>0.22</v>
      </c>
      <c r="G622" s="1">
        <v>20260323</v>
      </c>
      <c r="H622" t="b">
        <f t="shared" si="10"/>
        <v>0</v>
      </c>
      <c r="I622" t="str" cm="1">
        <f t="array" ref="I622">GET_TICKER_FINAL(C622)</f>
        <v/>
      </c>
      <c r="J622" s="5" t="s">
        <v>1792</v>
      </c>
    </row>
    <row r="623" spans="1:10">
      <c r="A623">
        <v>622</v>
      </c>
      <c r="B623" s="1" t="s">
        <v>409</v>
      </c>
      <c r="C623" s="1" t="s">
        <v>643</v>
      </c>
      <c r="D623" s="1">
        <v>0</v>
      </c>
      <c r="E623" s="1">
        <v>4</v>
      </c>
      <c r="F623" s="1">
        <v>0.4</v>
      </c>
      <c r="G623" s="1">
        <v>20260323</v>
      </c>
      <c r="H623" t="b">
        <f t="shared" si="10"/>
        <v>0</v>
      </c>
      <c r="I623" t="str" cm="1">
        <f t="array" ref="I623">GET_TICKER_FINAL(C623)</f>
        <v/>
      </c>
      <c r="J623" s="5" t="s">
        <v>1792</v>
      </c>
    </row>
    <row r="624" spans="1:10">
      <c r="A624">
        <v>623</v>
      </c>
      <c r="B624" s="1" t="s">
        <v>409</v>
      </c>
      <c r="C624" s="1" t="s">
        <v>644</v>
      </c>
      <c r="D624" s="1">
        <v>0</v>
      </c>
      <c r="E624" s="1">
        <v>29</v>
      </c>
      <c r="F624" s="1">
        <v>0.45</v>
      </c>
      <c r="G624" s="1">
        <v>20260323</v>
      </c>
      <c r="H624" t="b">
        <f t="shared" si="10"/>
        <v>0</v>
      </c>
      <c r="I624" t="str" cm="1">
        <f t="array" ref="I624">GET_TICKER_FINAL(C624)</f>
        <v/>
      </c>
      <c r="J624" s="5" t="s">
        <v>16</v>
      </c>
    </row>
    <row r="625" spans="1:10">
      <c r="A625">
        <v>624</v>
      </c>
      <c r="B625" s="1" t="s">
        <v>645</v>
      </c>
      <c r="C625" s="1" t="s">
        <v>646</v>
      </c>
      <c r="D625" s="1">
        <v>10219</v>
      </c>
      <c r="E625" s="1">
        <v>379</v>
      </c>
      <c r="F625" s="1">
        <v>0.98</v>
      </c>
      <c r="G625" s="1">
        <v>20260402</v>
      </c>
      <c r="H625" t="b">
        <f t="shared" si="10"/>
        <v>0</v>
      </c>
      <c r="I625" t="str" cm="1">
        <f t="array" ref="I625">GET_TICKER_FINAL(C625)</f>
        <v/>
      </c>
      <c r="J625" s="5" t="s">
        <v>25</v>
      </c>
    </row>
    <row r="626" spans="1:10">
      <c r="A626">
        <v>625</v>
      </c>
      <c r="B626" s="1" t="s">
        <v>645</v>
      </c>
      <c r="C626" s="1" t="s">
        <v>647</v>
      </c>
      <c r="D626" s="1">
        <v>7969</v>
      </c>
      <c r="E626" s="1">
        <v>1380</v>
      </c>
      <c r="F626" s="1">
        <v>0.95</v>
      </c>
      <c r="G626" s="1">
        <v>20260320</v>
      </c>
      <c r="H626" t="b">
        <f t="shared" si="10"/>
        <v>0</v>
      </c>
      <c r="I626" t="str" cm="1">
        <f t="array" ref="I626">GET_TICKER_FINAL(C626)</f>
        <v/>
      </c>
      <c r="J626" s="5" t="s">
        <v>25</v>
      </c>
    </row>
    <row r="627" spans="1:10">
      <c r="A627">
        <v>626</v>
      </c>
      <c r="B627" s="1" t="s">
        <v>645</v>
      </c>
      <c r="C627" s="1" t="s">
        <v>648</v>
      </c>
      <c r="D627" s="1">
        <v>4750</v>
      </c>
      <c r="E627" s="1">
        <v>1257</v>
      </c>
      <c r="F627" s="1">
        <v>0.9</v>
      </c>
      <c r="G627" s="1">
        <v>20260402</v>
      </c>
      <c r="H627" t="b">
        <f t="shared" si="10"/>
        <v>0</v>
      </c>
      <c r="I627" t="str" cm="1">
        <f t="array" ref="I627">GET_TICKER_FINAL(C627)</f>
        <v/>
      </c>
      <c r="J627" s="5" t="s">
        <v>16</v>
      </c>
    </row>
    <row r="628" spans="1:10">
      <c r="A628">
        <v>627</v>
      </c>
      <c r="B628" s="1" t="s">
        <v>645</v>
      </c>
      <c r="C628" s="1" t="s">
        <v>649</v>
      </c>
      <c r="D628" s="1">
        <v>4548</v>
      </c>
      <c r="E628" s="1">
        <v>522</v>
      </c>
      <c r="F628" s="1">
        <v>0.97</v>
      </c>
      <c r="G628" s="1">
        <v>20260320</v>
      </c>
      <c r="H628" t="b">
        <f t="shared" si="10"/>
        <v>0</v>
      </c>
      <c r="I628" t="str" cm="1">
        <f t="array" ref="I628">GET_TICKER_FINAL(C628)</f>
        <v/>
      </c>
      <c r="J628" s="5" t="s">
        <v>16</v>
      </c>
    </row>
    <row r="629" spans="1:10">
      <c r="A629">
        <v>628</v>
      </c>
      <c r="B629" s="1" t="s">
        <v>645</v>
      </c>
      <c r="C629" s="1" t="s">
        <v>650</v>
      </c>
      <c r="D629" s="1">
        <v>4439</v>
      </c>
      <c r="E629" s="1">
        <v>584</v>
      </c>
      <c r="F629" s="1">
        <v>0.95</v>
      </c>
      <c r="G629" s="1">
        <v>20260402</v>
      </c>
      <c r="H629" t="b">
        <f t="shared" si="10"/>
        <v>0</v>
      </c>
      <c r="I629" t="str" cm="1">
        <f t="array" ref="I629">GET_TICKER_FINAL(C629)</f>
        <v/>
      </c>
      <c r="J629" s="5" t="s">
        <v>16</v>
      </c>
    </row>
    <row r="630" spans="1:10">
      <c r="A630">
        <v>629</v>
      </c>
      <c r="B630" s="1" t="s">
        <v>645</v>
      </c>
      <c r="C630" s="1" t="s">
        <v>651</v>
      </c>
      <c r="D630" s="1">
        <v>3642</v>
      </c>
      <c r="E630" s="1">
        <v>677</v>
      </c>
      <c r="F630" s="1">
        <v>0.95</v>
      </c>
      <c r="G630" s="1">
        <v>20260401</v>
      </c>
      <c r="H630" t="b">
        <f t="shared" si="10"/>
        <v>0</v>
      </c>
      <c r="I630" t="str" cm="1">
        <f t="array" ref="I630">GET_TICKER_FINAL(C630)</f>
        <v/>
      </c>
      <c r="J630" s="5" t="s">
        <v>1792</v>
      </c>
    </row>
    <row r="631" spans="1:10">
      <c r="A631">
        <v>630</v>
      </c>
      <c r="B631" s="1" t="s">
        <v>645</v>
      </c>
      <c r="C631" s="1" t="s">
        <v>652</v>
      </c>
      <c r="D631" s="1">
        <v>3452</v>
      </c>
      <c r="E631" s="1">
        <v>721</v>
      </c>
      <c r="F631" s="1">
        <v>0.96</v>
      </c>
      <c r="G631" s="1">
        <v>20260402</v>
      </c>
      <c r="H631" t="b">
        <f t="shared" si="10"/>
        <v>0</v>
      </c>
      <c r="I631" t="str" cm="1">
        <f t="array" ref="I631">GET_TICKER_FINAL(C631)</f>
        <v/>
      </c>
      <c r="J631" s="5" t="s">
        <v>1792</v>
      </c>
    </row>
    <row r="632" spans="1:10">
      <c r="A632">
        <v>631</v>
      </c>
      <c r="B632" s="1" t="s">
        <v>645</v>
      </c>
      <c r="C632" s="1" t="s">
        <v>653</v>
      </c>
      <c r="D632" s="1">
        <v>2889</v>
      </c>
      <c r="E632" s="1">
        <v>184</v>
      </c>
      <c r="F632" s="1">
        <v>0.98</v>
      </c>
      <c r="G632" s="1">
        <v>20260402</v>
      </c>
      <c r="H632" t="b">
        <f t="shared" si="10"/>
        <v>0</v>
      </c>
      <c r="I632" t="str" cm="1">
        <f t="array" ref="I632">GET_TICKER_FINAL(C632)</f>
        <v/>
      </c>
      <c r="J632" s="5" t="s">
        <v>25</v>
      </c>
    </row>
    <row r="633" spans="1:10">
      <c r="A633">
        <v>632</v>
      </c>
      <c r="B633" s="1" t="s">
        <v>645</v>
      </c>
      <c r="C633" s="1" t="s">
        <v>654</v>
      </c>
      <c r="D633" s="1">
        <v>2883</v>
      </c>
      <c r="E633" s="1">
        <v>1459</v>
      </c>
      <c r="F633" s="1">
        <v>0.93</v>
      </c>
      <c r="G633" s="1">
        <v>20260323</v>
      </c>
      <c r="H633" t="b">
        <f t="shared" si="10"/>
        <v>0</v>
      </c>
      <c r="I633" t="str" cm="1">
        <f t="array" ref="I633">GET_TICKER_FINAL(C633)</f>
        <v/>
      </c>
      <c r="J633" s="5" t="s">
        <v>25</v>
      </c>
    </row>
    <row r="634" spans="1:10">
      <c r="A634">
        <v>633</v>
      </c>
      <c r="B634" s="1" t="s">
        <v>645</v>
      </c>
      <c r="C634" s="1" t="s">
        <v>655</v>
      </c>
      <c r="D634" s="1">
        <v>2831</v>
      </c>
      <c r="E634" s="1">
        <v>188</v>
      </c>
      <c r="F634" s="1">
        <v>0.99</v>
      </c>
      <c r="G634" s="1">
        <v>20260401</v>
      </c>
      <c r="H634" t="b">
        <f t="shared" si="10"/>
        <v>0</v>
      </c>
      <c r="I634" t="str" cm="1">
        <f t="array" ref="I634">GET_TICKER_FINAL(C634)</f>
        <v/>
      </c>
      <c r="J634" s="5" t="s">
        <v>28</v>
      </c>
    </row>
    <row r="635" spans="1:10">
      <c r="A635">
        <v>634</v>
      </c>
      <c r="B635" s="1" t="s">
        <v>645</v>
      </c>
      <c r="C635" s="1" t="s">
        <v>656</v>
      </c>
      <c r="D635" s="1">
        <v>2556</v>
      </c>
      <c r="E635" s="1">
        <v>288</v>
      </c>
      <c r="F635" s="1">
        <v>0.97</v>
      </c>
      <c r="G635" s="1">
        <v>20260331</v>
      </c>
      <c r="H635" t="b">
        <f t="shared" si="10"/>
        <v>0</v>
      </c>
      <c r="I635" t="str" cm="1">
        <f t="array" ref="I635">GET_TICKER_FINAL(C635)</f>
        <v>SPY</v>
      </c>
      <c r="J635" s="5" t="s">
        <v>16</v>
      </c>
    </row>
    <row r="636" spans="1:10">
      <c r="A636">
        <v>635</v>
      </c>
      <c r="B636" s="1" t="s">
        <v>645</v>
      </c>
      <c r="C636" s="1" t="s">
        <v>657</v>
      </c>
      <c r="D636" s="1">
        <v>2449</v>
      </c>
      <c r="E636" s="1">
        <v>431</v>
      </c>
      <c r="F636" s="1">
        <v>0.93</v>
      </c>
      <c r="G636" s="1">
        <v>20260326</v>
      </c>
      <c r="H636" t="b">
        <f t="shared" si="10"/>
        <v>0</v>
      </c>
      <c r="I636" t="str" cm="1">
        <f t="array" ref="I636">GET_TICKER_FINAL(C636)</f>
        <v>SPY</v>
      </c>
      <c r="J636" s="5" t="s">
        <v>28</v>
      </c>
    </row>
    <row r="637" spans="1:10">
      <c r="A637">
        <v>636</v>
      </c>
      <c r="B637" s="1" t="s">
        <v>645</v>
      </c>
      <c r="C637" s="1" t="s">
        <v>658</v>
      </c>
      <c r="D637" s="1">
        <v>2439</v>
      </c>
      <c r="E637" s="1">
        <v>269</v>
      </c>
      <c r="F637" s="1">
        <v>0.99</v>
      </c>
      <c r="G637" s="1">
        <v>20260327</v>
      </c>
      <c r="H637" t="b">
        <f t="shared" si="10"/>
        <v>0</v>
      </c>
      <c r="I637" t="str" cm="1">
        <f t="array" ref="I637">GET_TICKER_FINAL(C637)</f>
        <v/>
      </c>
      <c r="J637" s="5" t="s">
        <v>16</v>
      </c>
    </row>
    <row r="638" spans="1:10">
      <c r="A638">
        <v>637</v>
      </c>
      <c r="B638" s="1" t="s">
        <v>645</v>
      </c>
      <c r="C638" s="1" t="s">
        <v>659</v>
      </c>
      <c r="D638" s="1">
        <v>2354</v>
      </c>
      <c r="E638" s="1">
        <v>331</v>
      </c>
      <c r="F638" s="1">
        <v>0.97</v>
      </c>
      <c r="G638" s="1">
        <v>20260323</v>
      </c>
      <c r="H638" t="b">
        <f t="shared" si="10"/>
        <v>0</v>
      </c>
      <c r="I638" t="str" cm="1">
        <f t="array" ref="I638">GET_TICKER_FINAL(C638)</f>
        <v/>
      </c>
      <c r="J638" s="5" t="s">
        <v>16</v>
      </c>
    </row>
    <row r="639" spans="1:10">
      <c r="A639">
        <v>638</v>
      </c>
      <c r="B639" s="1" t="s">
        <v>645</v>
      </c>
      <c r="C639" s="1" t="s">
        <v>660</v>
      </c>
      <c r="D639" s="1">
        <v>2255</v>
      </c>
      <c r="E639" s="1">
        <v>218</v>
      </c>
      <c r="F639" s="1">
        <v>0.97</v>
      </c>
      <c r="G639" s="1">
        <v>20260320</v>
      </c>
      <c r="H639" t="b">
        <f t="shared" si="10"/>
        <v>0</v>
      </c>
      <c r="I639" t="str" cm="1">
        <f t="array" ref="I639">GET_TICKER_FINAL(C639)</f>
        <v/>
      </c>
      <c r="J639" s="5" t="s">
        <v>16</v>
      </c>
    </row>
    <row r="640" spans="1:10">
      <c r="A640">
        <v>639</v>
      </c>
      <c r="B640" s="1" t="s">
        <v>645</v>
      </c>
      <c r="C640" s="1" t="s">
        <v>661</v>
      </c>
      <c r="D640" s="1">
        <v>2227</v>
      </c>
      <c r="E640" s="1">
        <v>263</v>
      </c>
      <c r="F640" s="1">
        <v>0.97</v>
      </c>
      <c r="G640" s="1">
        <v>20260402</v>
      </c>
      <c r="H640" t="b">
        <f t="shared" si="10"/>
        <v>0</v>
      </c>
      <c r="I640" t="str" cm="1">
        <f t="array" ref="I640">GET_TICKER_FINAL(C640)</f>
        <v/>
      </c>
      <c r="J640" s="5" t="s">
        <v>25</v>
      </c>
    </row>
    <row r="641" spans="1:10">
      <c r="A641">
        <v>640</v>
      </c>
      <c r="B641" s="1" t="s">
        <v>645</v>
      </c>
      <c r="C641" s="1" t="s">
        <v>662</v>
      </c>
      <c r="D641" s="1">
        <v>1943</v>
      </c>
      <c r="E641" s="1">
        <v>1278</v>
      </c>
      <c r="F641" s="1">
        <v>0.93</v>
      </c>
      <c r="G641" s="1">
        <v>20260402</v>
      </c>
      <c r="H641" t="b">
        <f t="shared" si="10"/>
        <v>0</v>
      </c>
      <c r="I641" t="str" cm="1">
        <f t="array" ref="I641">GET_TICKER_FINAL(C641)</f>
        <v/>
      </c>
      <c r="J641" s="5" t="s">
        <v>16</v>
      </c>
    </row>
    <row r="642" spans="1:10">
      <c r="A642">
        <v>641</v>
      </c>
      <c r="B642" s="1" t="s">
        <v>645</v>
      </c>
      <c r="C642" s="1" t="s">
        <v>663</v>
      </c>
      <c r="D642" s="1">
        <v>1835</v>
      </c>
      <c r="E642" s="1">
        <v>76</v>
      </c>
      <c r="F642" s="1">
        <v>0.98</v>
      </c>
      <c r="G642" s="1">
        <v>20260326</v>
      </c>
      <c r="H642" t="b">
        <f t="shared" si="10"/>
        <v>0</v>
      </c>
      <c r="I642" t="str" cm="1">
        <f t="array" ref="I642">GET_TICKER_FINAL(C642)</f>
        <v/>
      </c>
      <c r="J642" s="5" t="s">
        <v>28</v>
      </c>
    </row>
    <row r="643" spans="1:10">
      <c r="A643">
        <v>642</v>
      </c>
      <c r="B643" s="1" t="s">
        <v>645</v>
      </c>
      <c r="C643" s="1" t="s">
        <v>664</v>
      </c>
      <c r="D643" s="1">
        <v>1825</v>
      </c>
      <c r="E643" s="1">
        <v>446</v>
      </c>
      <c r="F643" s="1">
        <v>0.96</v>
      </c>
      <c r="G643" s="1">
        <v>20260326</v>
      </c>
      <c r="H643" t="b">
        <f t="shared" ref="H643:H706" si="11">OR(ISNUMBER(SEARCH("$A",C643)),ISNUMBER(SEARCH("$B",C643)),ISNUMBER(SEARCH("$C",C643)),ISNUMBER(SEARCH("$D",C643)),ISNUMBER(SEARCH("$E",C643)),ISNUMBER(SEARCH("$F",C643)),ISNUMBER(SEARCH("$G",C643)),ISNUMBER(SEARCH("$H",C643)),ISNUMBER(SEARCH("$I",C643)),ISNUMBER(SEARCH("$J",C643)),ISNUMBER(SEARCH("$K",C643)),ISNUMBER(SEARCH("$L",C643)),ISNUMBER(SEARCH("$M",C643)),ISNUMBER(SEARCH("$N",C643)),ISNUMBER(SEARCH("$O",C643)),ISNUMBER(SEARCH("$P",C643)),ISNUMBER(SEARCH("$Q",C643)),ISNUMBER(SEARCH("$R",C643)),ISNUMBER(SEARCH("$S",C643)),ISNUMBER(SEARCH("$T",C643)),ISNUMBER(SEARCH("$U",C643)),ISNUMBER(SEARCH("$V",C643)),ISNUMBER(SEARCH("$W",C643)),ISNUMBER(SEARCH("$X",C643)),ISNUMBER(SEARCH("$Y",C643)),ISNUMBER(SEARCH("$Z",C643)))</f>
        <v>0</v>
      </c>
      <c r="I643" t="str" cm="1">
        <f t="array" ref="I643">GET_TICKER_FINAL(C643)</f>
        <v/>
      </c>
      <c r="J643" s="5" t="s">
        <v>16</v>
      </c>
    </row>
    <row r="644" spans="1:10">
      <c r="A644">
        <v>643</v>
      </c>
      <c r="B644" s="1" t="s">
        <v>645</v>
      </c>
      <c r="C644" s="1" t="s">
        <v>665</v>
      </c>
      <c r="D644" s="1">
        <v>1768</v>
      </c>
      <c r="E644" s="1">
        <v>128</v>
      </c>
      <c r="F644" s="1">
        <v>0.98</v>
      </c>
      <c r="G644" s="1">
        <v>20260330</v>
      </c>
      <c r="H644" t="b">
        <f t="shared" si="11"/>
        <v>0</v>
      </c>
      <c r="I644" t="str" cm="1">
        <f t="array" ref="I644">GET_TICKER_FINAL(C644)</f>
        <v/>
      </c>
      <c r="J644" s="5" t="s">
        <v>16</v>
      </c>
    </row>
    <row r="645" spans="1:10">
      <c r="A645">
        <v>644</v>
      </c>
      <c r="B645" s="1" t="s">
        <v>645</v>
      </c>
      <c r="C645" s="1" t="s">
        <v>666</v>
      </c>
      <c r="D645" s="1">
        <v>1754</v>
      </c>
      <c r="E645" s="1">
        <v>623</v>
      </c>
      <c r="F645" s="1">
        <v>0.97</v>
      </c>
      <c r="G645" s="1">
        <v>20260331</v>
      </c>
      <c r="H645" t="b">
        <f t="shared" si="11"/>
        <v>0</v>
      </c>
      <c r="I645" t="str" cm="1">
        <f t="array" ref="I645">GET_TICKER_FINAL(C645)</f>
        <v/>
      </c>
      <c r="J645" s="5" t="s">
        <v>16</v>
      </c>
    </row>
    <row r="646" spans="1:10">
      <c r="A646">
        <v>645</v>
      </c>
      <c r="B646" s="1" t="s">
        <v>645</v>
      </c>
      <c r="C646" s="1" t="s">
        <v>667</v>
      </c>
      <c r="D646" s="1">
        <v>1606</v>
      </c>
      <c r="E646" s="1">
        <v>307</v>
      </c>
      <c r="F646" s="1">
        <v>0.96</v>
      </c>
      <c r="G646" s="1">
        <v>20260402</v>
      </c>
      <c r="H646" t="b">
        <f t="shared" si="11"/>
        <v>0</v>
      </c>
      <c r="I646" t="str" cm="1">
        <f t="array" ref="I646">GET_TICKER_FINAL(C646)</f>
        <v/>
      </c>
      <c r="J646" s="5" t="s">
        <v>28</v>
      </c>
    </row>
    <row r="647" spans="1:10">
      <c r="A647">
        <v>646</v>
      </c>
      <c r="B647" s="1" t="s">
        <v>645</v>
      </c>
      <c r="C647" s="1" t="s">
        <v>668</v>
      </c>
      <c r="D647" s="1">
        <v>1582</v>
      </c>
      <c r="E647" s="1">
        <v>229</v>
      </c>
      <c r="F647" s="1">
        <v>0.98</v>
      </c>
      <c r="G647" s="1">
        <v>20260320</v>
      </c>
      <c r="H647" t="b">
        <f t="shared" si="11"/>
        <v>0</v>
      </c>
      <c r="I647" t="str" cm="1">
        <f t="array" ref="I647">GET_TICKER_FINAL(C647)</f>
        <v/>
      </c>
      <c r="J647" s="5" t="s">
        <v>16</v>
      </c>
    </row>
    <row r="648" spans="1:10">
      <c r="A648">
        <v>647</v>
      </c>
      <c r="B648" s="1" t="s">
        <v>645</v>
      </c>
      <c r="C648" s="1" t="s">
        <v>669</v>
      </c>
      <c r="D648" s="1">
        <v>1562</v>
      </c>
      <c r="E648" s="1">
        <v>210</v>
      </c>
      <c r="F648" s="1">
        <v>0.97</v>
      </c>
      <c r="G648" s="1">
        <v>20260401</v>
      </c>
      <c r="H648" t="b">
        <f t="shared" si="11"/>
        <v>0</v>
      </c>
      <c r="I648" t="str" cm="1">
        <f t="array" ref="I648">GET_TICKER_FINAL(C648)</f>
        <v/>
      </c>
      <c r="J648" s="5" t="s">
        <v>16</v>
      </c>
    </row>
    <row r="649" spans="1:10">
      <c r="A649">
        <v>648</v>
      </c>
      <c r="B649" s="1" t="s">
        <v>645</v>
      </c>
      <c r="C649" s="1" t="s">
        <v>670</v>
      </c>
      <c r="D649" s="1">
        <v>1457</v>
      </c>
      <c r="E649" s="1">
        <v>155</v>
      </c>
      <c r="F649" s="1">
        <v>0.97</v>
      </c>
      <c r="G649" s="1">
        <v>20260401</v>
      </c>
      <c r="H649" t="b">
        <f t="shared" si="11"/>
        <v>0</v>
      </c>
      <c r="I649" t="str" cm="1">
        <f t="array" ref="I649">GET_TICKER_FINAL(C649)</f>
        <v/>
      </c>
      <c r="J649" s="5" t="s">
        <v>16</v>
      </c>
    </row>
    <row r="650" spans="1:10">
      <c r="A650">
        <v>649</v>
      </c>
      <c r="B650" s="1" t="s">
        <v>645</v>
      </c>
      <c r="C650" s="1" t="s">
        <v>671</v>
      </c>
      <c r="D650" s="1">
        <v>1367</v>
      </c>
      <c r="E650" s="1">
        <v>357</v>
      </c>
      <c r="F650" s="1">
        <v>0.97</v>
      </c>
      <c r="G650" s="1">
        <v>20260402</v>
      </c>
      <c r="H650" t="b">
        <f t="shared" si="11"/>
        <v>0</v>
      </c>
      <c r="I650" t="str" cm="1">
        <f t="array" ref="I650">GET_TICKER_FINAL(C650)</f>
        <v/>
      </c>
      <c r="J650" s="5" t="s">
        <v>16</v>
      </c>
    </row>
    <row r="651" spans="1:10">
      <c r="A651">
        <v>650</v>
      </c>
      <c r="B651" s="1" t="s">
        <v>645</v>
      </c>
      <c r="C651" s="1" t="s">
        <v>672</v>
      </c>
      <c r="D651" s="1">
        <v>1245</v>
      </c>
      <c r="E651" s="1">
        <v>158</v>
      </c>
      <c r="F651" s="1">
        <v>0.95</v>
      </c>
      <c r="G651" s="1">
        <v>20260401</v>
      </c>
      <c r="H651" t="b">
        <f t="shared" si="11"/>
        <v>0</v>
      </c>
      <c r="I651" t="str" cm="1">
        <f t="array" ref="I651">GET_TICKER_FINAL(C651)</f>
        <v/>
      </c>
      <c r="J651" s="5" t="s">
        <v>16</v>
      </c>
    </row>
    <row r="652" spans="1:10">
      <c r="A652">
        <v>651</v>
      </c>
      <c r="B652" s="1" t="s">
        <v>645</v>
      </c>
      <c r="C652" s="1" t="s">
        <v>673</v>
      </c>
      <c r="D652" s="1">
        <v>1232</v>
      </c>
      <c r="E652" s="1">
        <v>277</v>
      </c>
      <c r="F652" s="1">
        <v>0.96</v>
      </c>
      <c r="G652" s="1">
        <v>20260402</v>
      </c>
      <c r="H652" t="b">
        <f t="shared" si="11"/>
        <v>0</v>
      </c>
      <c r="I652" t="str" cm="1">
        <f t="array" ref="I652">GET_TICKER_FINAL(C652)</f>
        <v/>
      </c>
      <c r="J652" s="5" t="s">
        <v>28</v>
      </c>
    </row>
    <row r="653" spans="1:10">
      <c r="A653">
        <v>652</v>
      </c>
      <c r="B653" s="1" t="s">
        <v>645</v>
      </c>
      <c r="C653" s="1" t="s">
        <v>674</v>
      </c>
      <c r="D653" s="1">
        <v>1225</v>
      </c>
      <c r="E653" s="1">
        <v>501</v>
      </c>
      <c r="F653" s="1">
        <v>0.93</v>
      </c>
      <c r="G653" s="1">
        <v>20260326</v>
      </c>
      <c r="H653" t="b">
        <f t="shared" si="11"/>
        <v>0</v>
      </c>
      <c r="I653" t="str" cm="1">
        <f t="array" ref="I653">GET_TICKER_FINAL(C653)</f>
        <v/>
      </c>
      <c r="J653" s="5" t="s">
        <v>16</v>
      </c>
    </row>
    <row r="654" spans="1:10">
      <c r="A654">
        <v>653</v>
      </c>
      <c r="B654" s="1" t="s">
        <v>645</v>
      </c>
      <c r="C654" s="1" t="s">
        <v>675</v>
      </c>
      <c r="D654" s="1">
        <v>1217</v>
      </c>
      <c r="E654" s="1">
        <v>331</v>
      </c>
      <c r="F654" s="1">
        <v>0.96</v>
      </c>
      <c r="G654" s="1">
        <v>20260324</v>
      </c>
      <c r="H654" t="b">
        <f t="shared" si="11"/>
        <v>0</v>
      </c>
      <c r="I654" t="str" cm="1">
        <f t="array" ref="I654">GET_TICKER_FINAL(C654)</f>
        <v/>
      </c>
      <c r="J654" s="5" t="s">
        <v>16</v>
      </c>
    </row>
    <row r="655" spans="1:10">
      <c r="A655">
        <v>654</v>
      </c>
      <c r="B655" s="1" t="s">
        <v>645</v>
      </c>
      <c r="C655" s="1" t="s">
        <v>676</v>
      </c>
      <c r="D655" s="1">
        <v>1210</v>
      </c>
      <c r="E655" s="1">
        <v>183</v>
      </c>
      <c r="F655" s="1">
        <v>0.98</v>
      </c>
      <c r="G655" s="1">
        <v>20260331</v>
      </c>
      <c r="H655" t="b">
        <f t="shared" si="11"/>
        <v>0</v>
      </c>
      <c r="I655" t="str" cm="1">
        <f t="array" ref="I655">GET_TICKER_FINAL(C655)</f>
        <v/>
      </c>
      <c r="J655" s="5" t="s">
        <v>16</v>
      </c>
    </row>
    <row r="656" spans="1:10">
      <c r="A656">
        <v>655</v>
      </c>
      <c r="B656" s="1" t="s">
        <v>645</v>
      </c>
      <c r="C656" s="1" t="s">
        <v>677</v>
      </c>
      <c r="D656" s="1">
        <v>1176</v>
      </c>
      <c r="E656" s="1">
        <v>533</v>
      </c>
      <c r="F656" s="1">
        <v>0.93</v>
      </c>
      <c r="G656" s="1">
        <v>20260402</v>
      </c>
      <c r="H656" t="b">
        <f t="shared" si="11"/>
        <v>0</v>
      </c>
      <c r="I656" t="str" cm="1">
        <f t="array" ref="I656">GET_TICKER_FINAL(C656)</f>
        <v/>
      </c>
      <c r="J656" s="5" t="s">
        <v>28</v>
      </c>
    </row>
    <row r="657" spans="1:10">
      <c r="A657">
        <v>656</v>
      </c>
      <c r="B657" s="1" t="s">
        <v>645</v>
      </c>
      <c r="C657" s="1" t="s">
        <v>678</v>
      </c>
      <c r="D657" s="1">
        <v>1170</v>
      </c>
      <c r="E657" s="1">
        <v>107</v>
      </c>
      <c r="F657" s="1">
        <v>0.98</v>
      </c>
      <c r="G657" s="1">
        <v>20260401</v>
      </c>
      <c r="H657" t="b">
        <f t="shared" si="11"/>
        <v>0</v>
      </c>
      <c r="I657" t="str" cm="1">
        <f t="array" ref="I657">GET_TICKER_FINAL(C657)</f>
        <v/>
      </c>
      <c r="J657" s="5" t="s">
        <v>16</v>
      </c>
    </row>
    <row r="658" spans="1:10">
      <c r="A658">
        <v>657</v>
      </c>
      <c r="B658" s="1" t="s">
        <v>645</v>
      </c>
      <c r="C658" s="1" t="s">
        <v>679</v>
      </c>
      <c r="D658" s="1">
        <v>1168</v>
      </c>
      <c r="E658" s="1">
        <v>225</v>
      </c>
      <c r="F658" s="1">
        <v>0.93</v>
      </c>
      <c r="G658" s="1">
        <v>20260402</v>
      </c>
      <c r="H658" t="b">
        <f t="shared" si="11"/>
        <v>0</v>
      </c>
      <c r="I658" t="str" cm="1">
        <f t="array" ref="I658">GET_TICKER_FINAL(C658)</f>
        <v>SPY</v>
      </c>
      <c r="J658" s="5" t="s">
        <v>25</v>
      </c>
    </row>
    <row r="659" spans="1:10">
      <c r="A659">
        <v>658</v>
      </c>
      <c r="B659" s="1" t="s">
        <v>645</v>
      </c>
      <c r="C659" s="1" t="s">
        <v>680</v>
      </c>
      <c r="D659" s="1">
        <v>1091</v>
      </c>
      <c r="E659" s="1">
        <v>208</v>
      </c>
      <c r="F659" s="1">
        <v>0.94</v>
      </c>
      <c r="G659" s="1">
        <v>20260402</v>
      </c>
      <c r="H659" t="b">
        <f t="shared" si="11"/>
        <v>0</v>
      </c>
      <c r="I659" t="str" cm="1">
        <f t="array" ref="I659">GET_TICKER_FINAL(C659)</f>
        <v/>
      </c>
      <c r="J659" s="5" t="s">
        <v>16</v>
      </c>
    </row>
    <row r="660" spans="1:10">
      <c r="A660">
        <v>659</v>
      </c>
      <c r="B660" s="1" t="s">
        <v>645</v>
      </c>
      <c r="C660" s="1" t="s">
        <v>681</v>
      </c>
      <c r="D660" s="1">
        <v>960</v>
      </c>
      <c r="E660" s="1">
        <v>74</v>
      </c>
      <c r="F660" s="1">
        <v>0.99</v>
      </c>
      <c r="G660" s="1">
        <v>20260323</v>
      </c>
      <c r="H660" t="b">
        <f t="shared" si="11"/>
        <v>0</v>
      </c>
      <c r="I660" t="str" cm="1">
        <f t="array" ref="I660">GET_TICKER_FINAL(C660)</f>
        <v/>
      </c>
      <c r="J660" s="5" t="s">
        <v>16</v>
      </c>
    </row>
    <row r="661" spans="1:10">
      <c r="A661">
        <v>660</v>
      </c>
      <c r="B661" s="1" t="s">
        <v>645</v>
      </c>
      <c r="C661" s="1" t="s">
        <v>682</v>
      </c>
      <c r="D661" s="1">
        <v>959</v>
      </c>
      <c r="E661" s="1">
        <v>334</v>
      </c>
      <c r="F661" s="1">
        <v>0.96</v>
      </c>
      <c r="G661" s="1">
        <v>20260402</v>
      </c>
      <c r="H661" t="b">
        <f t="shared" si="11"/>
        <v>0</v>
      </c>
      <c r="I661" t="str" cm="1">
        <f t="array" ref="I661">GET_TICKER_FINAL(C661)</f>
        <v/>
      </c>
      <c r="J661" s="5" t="s">
        <v>14</v>
      </c>
    </row>
    <row r="662" spans="1:10">
      <c r="A662">
        <v>661</v>
      </c>
      <c r="B662" s="1" t="s">
        <v>645</v>
      </c>
      <c r="C662" s="1" t="s">
        <v>683</v>
      </c>
      <c r="D662" s="1">
        <v>921</v>
      </c>
      <c r="E662" s="1">
        <v>1034</v>
      </c>
      <c r="F662" s="1">
        <v>0.81</v>
      </c>
      <c r="G662" s="1">
        <v>20260402</v>
      </c>
      <c r="H662" t="b">
        <f t="shared" si="11"/>
        <v>0</v>
      </c>
      <c r="I662" t="str" cm="1">
        <f t="array" ref="I662">GET_TICKER_FINAL(C662)</f>
        <v/>
      </c>
      <c r="J662" s="5" t="s">
        <v>16</v>
      </c>
    </row>
    <row r="663" spans="1:10">
      <c r="A663">
        <v>662</v>
      </c>
      <c r="B663" s="1" t="s">
        <v>645</v>
      </c>
      <c r="C663" s="1" t="s">
        <v>684</v>
      </c>
      <c r="D663" s="1">
        <v>909</v>
      </c>
      <c r="E663" s="1">
        <v>92</v>
      </c>
      <c r="F663" s="1">
        <v>0.92</v>
      </c>
      <c r="G663" s="1">
        <v>20260324</v>
      </c>
      <c r="H663" t="b">
        <f t="shared" si="11"/>
        <v>0</v>
      </c>
      <c r="I663" t="str" cm="1">
        <f t="array" ref="I663">GET_TICKER_FINAL(C663)</f>
        <v/>
      </c>
      <c r="J663" s="5" t="s">
        <v>16</v>
      </c>
    </row>
    <row r="664" spans="1:10">
      <c r="A664">
        <v>663</v>
      </c>
      <c r="B664" s="1" t="s">
        <v>645</v>
      </c>
      <c r="C664" s="1" t="s">
        <v>685</v>
      </c>
      <c r="D664" s="1">
        <v>899</v>
      </c>
      <c r="E664" s="1">
        <v>65</v>
      </c>
      <c r="F664" s="1">
        <v>0.99</v>
      </c>
      <c r="G664" s="1">
        <v>20260402</v>
      </c>
      <c r="H664" t="b">
        <f t="shared" si="11"/>
        <v>0</v>
      </c>
      <c r="I664" t="str" cm="1">
        <f t="array" ref="I664">GET_TICKER_FINAL(C664)</f>
        <v/>
      </c>
      <c r="J664" s="5" t="s">
        <v>16</v>
      </c>
    </row>
    <row r="665" spans="1:10">
      <c r="A665">
        <v>664</v>
      </c>
      <c r="B665" s="1" t="s">
        <v>645</v>
      </c>
      <c r="C665" s="1" t="s">
        <v>686</v>
      </c>
      <c r="D665" s="1">
        <v>866</v>
      </c>
      <c r="E665" s="1">
        <v>99</v>
      </c>
      <c r="F665" s="1">
        <v>0.98</v>
      </c>
      <c r="G665" s="1">
        <v>20260402</v>
      </c>
      <c r="H665" t="b">
        <f t="shared" si="11"/>
        <v>0</v>
      </c>
      <c r="I665" t="str" cm="1">
        <f t="array" ref="I665">GET_TICKER_FINAL(C665)</f>
        <v/>
      </c>
      <c r="J665" s="5" t="s">
        <v>16</v>
      </c>
    </row>
    <row r="666" spans="1:10">
      <c r="A666">
        <v>665</v>
      </c>
      <c r="B666" s="1" t="s">
        <v>645</v>
      </c>
      <c r="C666" s="1" t="s">
        <v>687</v>
      </c>
      <c r="D666" s="1">
        <v>836</v>
      </c>
      <c r="E666" s="1">
        <v>154</v>
      </c>
      <c r="F666" s="1">
        <v>0.98</v>
      </c>
      <c r="G666" s="1">
        <v>20260402</v>
      </c>
      <c r="H666" t="b">
        <f t="shared" si="11"/>
        <v>0</v>
      </c>
      <c r="I666" t="str" cm="1">
        <f t="array" ref="I666">GET_TICKER_FINAL(C666)</f>
        <v/>
      </c>
      <c r="J666" s="5" t="s">
        <v>16</v>
      </c>
    </row>
    <row r="667" spans="1:10">
      <c r="A667">
        <v>666</v>
      </c>
      <c r="B667" s="1" t="s">
        <v>645</v>
      </c>
      <c r="C667" s="1" t="s">
        <v>688</v>
      </c>
      <c r="D667" s="1">
        <v>770</v>
      </c>
      <c r="E667" s="1">
        <v>97</v>
      </c>
      <c r="F667" s="1">
        <v>0.97</v>
      </c>
      <c r="G667" s="1">
        <v>20260326</v>
      </c>
      <c r="H667" t="b">
        <f t="shared" si="11"/>
        <v>0</v>
      </c>
      <c r="I667" t="str" cm="1">
        <f t="array" ref="I667">GET_TICKER_FINAL(C667)</f>
        <v/>
      </c>
      <c r="J667" s="5" t="s">
        <v>16</v>
      </c>
    </row>
    <row r="668" spans="1:10">
      <c r="A668">
        <v>667</v>
      </c>
      <c r="B668" s="1" t="s">
        <v>645</v>
      </c>
      <c r="C668" s="1" t="s">
        <v>689</v>
      </c>
      <c r="D668" s="1">
        <v>757</v>
      </c>
      <c r="E668" s="1">
        <v>431</v>
      </c>
      <c r="F668" s="1">
        <v>0.93</v>
      </c>
      <c r="G668" s="1">
        <v>20260402</v>
      </c>
      <c r="H668" t="b">
        <f t="shared" si="11"/>
        <v>0</v>
      </c>
      <c r="I668" t="str" cm="1">
        <f t="array" ref="I668">GET_TICKER_FINAL(C668)</f>
        <v/>
      </c>
      <c r="J668" s="5" t="s">
        <v>16</v>
      </c>
    </row>
    <row r="669" spans="1:10">
      <c r="A669">
        <v>668</v>
      </c>
      <c r="B669" s="1" t="s">
        <v>645</v>
      </c>
      <c r="C669" s="1" t="s">
        <v>690</v>
      </c>
      <c r="D669" s="1">
        <v>754</v>
      </c>
      <c r="E669" s="1">
        <v>76</v>
      </c>
      <c r="F669" s="1">
        <v>0.99</v>
      </c>
      <c r="G669" s="1">
        <v>20260401</v>
      </c>
      <c r="H669" t="b">
        <f t="shared" si="11"/>
        <v>0</v>
      </c>
      <c r="I669" t="str" cm="1">
        <f t="array" ref="I669">GET_TICKER_FINAL(C669)</f>
        <v/>
      </c>
      <c r="J669" s="5" t="s">
        <v>16</v>
      </c>
    </row>
    <row r="670" spans="1:10">
      <c r="A670">
        <v>669</v>
      </c>
      <c r="B670" s="1" t="s">
        <v>645</v>
      </c>
      <c r="C670" s="1" t="s">
        <v>691</v>
      </c>
      <c r="D670" s="1">
        <v>732</v>
      </c>
      <c r="E670" s="1">
        <v>40</v>
      </c>
      <c r="F670" s="1">
        <v>0.98</v>
      </c>
      <c r="G670" s="1">
        <v>20260324</v>
      </c>
      <c r="H670" t="b">
        <f t="shared" si="11"/>
        <v>0</v>
      </c>
      <c r="I670" t="str" cm="1">
        <f t="array" ref="I670">GET_TICKER_FINAL(C670)</f>
        <v/>
      </c>
      <c r="J670" s="5" t="s">
        <v>16</v>
      </c>
    </row>
    <row r="671" spans="1:10">
      <c r="A671">
        <v>670</v>
      </c>
      <c r="B671" s="1" t="s">
        <v>645</v>
      </c>
      <c r="C671" s="1" t="s">
        <v>692</v>
      </c>
      <c r="D671" s="1">
        <v>724</v>
      </c>
      <c r="E671" s="1">
        <v>106</v>
      </c>
      <c r="F671" s="1">
        <v>0.98</v>
      </c>
      <c r="G671" s="1">
        <v>20260330</v>
      </c>
      <c r="H671" t="b">
        <f t="shared" si="11"/>
        <v>0</v>
      </c>
      <c r="I671" t="str" cm="1">
        <f t="array" ref="I671">GET_TICKER_FINAL(C671)</f>
        <v>SPY</v>
      </c>
      <c r="J671" s="5" t="s">
        <v>16</v>
      </c>
    </row>
    <row r="672" spans="1:10">
      <c r="A672">
        <v>671</v>
      </c>
      <c r="B672" s="1" t="s">
        <v>645</v>
      </c>
      <c r="C672" s="1" t="s">
        <v>693</v>
      </c>
      <c r="D672" s="1">
        <v>716</v>
      </c>
      <c r="E672" s="1">
        <v>64</v>
      </c>
      <c r="F672" s="1">
        <v>0.99</v>
      </c>
      <c r="G672" s="1">
        <v>20260402</v>
      </c>
      <c r="H672" t="b">
        <f t="shared" si="11"/>
        <v>0</v>
      </c>
      <c r="I672" t="str" cm="1">
        <f t="array" ref="I672">GET_TICKER_FINAL(C672)</f>
        <v/>
      </c>
      <c r="J672" s="5" t="s">
        <v>16</v>
      </c>
    </row>
    <row r="673" spans="1:10">
      <c r="A673">
        <v>672</v>
      </c>
      <c r="B673" s="1" t="s">
        <v>645</v>
      </c>
      <c r="C673" s="1" t="s">
        <v>694</v>
      </c>
      <c r="D673" s="1">
        <v>712</v>
      </c>
      <c r="E673" s="1">
        <v>70</v>
      </c>
      <c r="F673" s="1">
        <v>0.99</v>
      </c>
      <c r="G673" s="1">
        <v>20260320</v>
      </c>
      <c r="H673" t="b">
        <f t="shared" si="11"/>
        <v>0</v>
      </c>
      <c r="I673" t="str" cm="1">
        <f t="array" ref="I673">GET_TICKER_FINAL(C673)</f>
        <v/>
      </c>
      <c r="J673" s="5" t="s">
        <v>28</v>
      </c>
    </row>
    <row r="674" spans="1:10">
      <c r="A674">
        <v>673</v>
      </c>
      <c r="B674" s="1" t="s">
        <v>645</v>
      </c>
      <c r="C674" s="1" t="s">
        <v>695</v>
      </c>
      <c r="D674" s="1">
        <v>710</v>
      </c>
      <c r="E674" s="1">
        <v>196</v>
      </c>
      <c r="F674" s="1">
        <v>0.95</v>
      </c>
      <c r="G674" s="1">
        <v>20260331</v>
      </c>
      <c r="H674" t="b">
        <f t="shared" si="11"/>
        <v>0</v>
      </c>
      <c r="I674" t="str" cm="1">
        <f t="array" ref="I674">GET_TICKER_FINAL(C674)</f>
        <v/>
      </c>
      <c r="J674" s="5" t="s">
        <v>28</v>
      </c>
    </row>
    <row r="675" spans="1:10">
      <c r="A675">
        <v>674</v>
      </c>
      <c r="B675" s="1" t="s">
        <v>645</v>
      </c>
      <c r="C675" s="1" t="s">
        <v>696</v>
      </c>
      <c r="D675" s="1">
        <v>681</v>
      </c>
      <c r="E675" s="1">
        <v>239</v>
      </c>
      <c r="F675" s="1">
        <v>0.86</v>
      </c>
      <c r="G675" s="1">
        <v>20260402</v>
      </c>
      <c r="H675" t="b">
        <f t="shared" si="11"/>
        <v>0</v>
      </c>
      <c r="I675" t="str" cm="1">
        <f t="array" ref="I675">GET_TICKER_FINAL(C675)</f>
        <v/>
      </c>
      <c r="J675" s="5" t="s">
        <v>25</v>
      </c>
    </row>
    <row r="676" spans="1:10">
      <c r="A676">
        <v>675</v>
      </c>
      <c r="B676" s="1" t="s">
        <v>645</v>
      </c>
      <c r="C676" s="1" t="s">
        <v>697</v>
      </c>
      <c r="D676" s="1">
        <v>675</v>
      </c>
      <c r="E676" s="1">
        <v>352</v>
      </c>
      <c r="F676" s="1">
        <v>0.97</v>
      </c>
      <c r="G676" s="1">
        <v>20260331</v>
      </c>
      <c r="H676" t="b">
        <f t="shared" si="11"/>
        <v>0</v>
      </c>
      <c r="I676" t="str" cm="1">
        <f t="array" ref="I676">GET_TICKER_FINAL(C676)</f>
        <v/>
      </c>
      <c r="J676" s="5" t="s">
        <v>16</v>
      </c>
    </row>
    <row r="677" spans="1:10">
      <c r="A677">
        <v>676</v>
      </c>
      <c r="B677" s="1" t="s">
        <v>645</v>
      </c>
      <c r="C677" s="1" t="s">
        <v>698</v>
      </c>
      <c r="D677" s="1">
        <v>671</v>
      </c>
      <c r="E677" s="1">
        <v>295</v>
      </c>
      <c r="F677" s="1">
        <v>0.91</v>
      </c>
      <c r="G677" s="1">
        <v>20260330</v>
      </c>
      <c r="H677" t="b">
        <f t="shared" si="11"/>
        <v>0</v>
      </c>
      <c r="I677" t="str" cm="1">
        <f t="array" ref="I677">GET_TICKER_FINAL(C677)</f>
        <v/>
      </c>
      <c r="J677" s="5" t="s">
        <v>28</v>
      </c>
    </row>
    <row r="678" spans="1:10">
      <c r="A678">
        <v>677</v>
      </c>
      <c r="B678" s="1" t="s">
        <v>645</v>
      </c>
      <c r="C678" s="1" t="s">
        <v>699</v>
      </c>
      <c r="D678" s="1">
        <v>654</v>
      </c>
      <c r="E678" s="1">
        <v>33</v>
      </c>
      <c r="F678" s="1">
        <v>0.99</v>
      </c>
      <c r="G678" s="1">
        <v>20260326</v>
      </c>
      <c r="H678" t="b">
        <f t="shared" si="11"/>
        <v>0</v>
      </c>
      <c r="I678" t="str" cm="1">
        <f t="array" ref="I678">GET_TICKER_FINAL(C678)</f>
        <v>UAL</v>
      </c>
      <c r="J678" s="5" t="s">
        <v>16</v>
      </c>
    </row>
    <row r="679" spans="1:10">
      <c r="A679">
        <v>678</v>
      </c>
      <c r="B679" s="1" t="s">
        <v>645</v>
      </c>
      <c r="C679" s="1" t="s">
        <v>700</v>
      </c>
      <c r="D679" s="1">
        <v>649</v>
      </c>
      <c r="E679" s="1">
        <v>48</v>
      </c>
      <c r="F679" s="1">
        <v>0.98</v>
      </c>
      <c r="G679" s="1">
        <v>20260331</v>
      </c>
      <c r="H679" t="b">
        <f t="shared" si="11"/>
        <v>0</v>
      </c>
      <c r="I679" t="str" cm="1">
        <f t="array" ref="I679">GET_TICKER_FINAL(C679)</f>
        <v/>
      </c>
      <c r="J679" s="5" t="s">
        <v>16</v>
      </c>
    </row>
    <row r="680" spans="1:10">
      <c r="A680">
        <v>679</v>
      </c>
      <c r="B680" s="1" t="s">
        <v>645</v>
      </c>
      <c r="C680" s="1" t="s">
        <v>701</v>
      </c>
      <c r="D680" s="1">
        <v>635</v>
      </c>
      <c r="E680" s="1">
        <v>149</v>
      </c>
      <c r="F680" s="1">
        <v>0.96</v>
      </c>
      <c r="G680" s="1">
        <v>20260320</v>
      </c>
      <c r="H680" t="b">
        <f t="shared" si="11"/>
        <v>0</v>
      </c>
      <c r="I680" t="str" cm="1">
        <f t="array" ref="I680">GET_TICKER_FINAL(C680)</f>
        <v/>
      </c>
      <c r="J680" s="5" t="s">
        <v>25</v>
      </c>
    </row>
    <row r="681" spans="1:10">
      <c r="A681">
        <v>680</v>
      </c>
      <c r="B681" s="1" t="s">
        <v>645</v>
      </c>
      <c r="C681" s="1" t="s">
        <v>702</v>
      </c>
      <c r="D681" s="1">
        <v>612</v>
      </c>
      <c r="E681" s="1">
        <v>52</v>
      </c>
      <c r="F681" s="1">
        <v>0.98</v>
      </c>
      <c r="G681" s="1">
        <v>20260331</v>
      </c>
      <c r="H681" t="b">
        <f t="shared" si="11"/>
        <v>0</v>
      </c>
      <c r="I681" t="str" cm="1">
        <f t="array" ref="I681">GET_TICKER_FINAL(C681)</f>
        <v/>
      </c>
      <c r="J681" s="5" t="s">
        <v>16</v>
      </c>
    </row>
    <row r="682" spans="1:10">
      <c r="A682">
        <v>681</v>
      </c>
      <c r="B682" s="1" t="s">
        <v>645</v>
      </c>
      <c r="C682" s="1" t="s">
        <v>703</v>
      </c>
      <c r="D682" s="1">
        <v>602</v>
      </c>
      <c r="E682" s="1">
        <v>459</v>
      </c>
      <c r="F682" s="1">
        <v>0.96</v>
      </c>
      <c r="G682" s="1">
        <v>20260323</v>
      </c>
      <c r="H682" t="b">
        <f t="shared" si="11"/>
        <v>0</v>
      </c>
      <c r="I682" t="str" cm="1">
        <f t="array" ref="I682">GET_TICKER_FINAL(C682)</f>
        <v/>
      </c>
      <c r="J682" s="5" t="s">
        <v>16</v>
      </c>
    </row>
    <row r="683" spans="1:10">
      <c r="A683">
        <v>682</v>
      </c>
      <c r="B683" s="1" t="s">
        <v>645</v>
      </c>
      <c r="C683" s="1" t="s">
        <v>704</v>
      </c>
      <c r="D683" s="1">
        <v>571</v>
      </c>
      <c r="E683" s="1">
        <v>91</v>
      </c>
      <c r="F683" s="1">
        <v>0.98</v>
      </c>
      <c r="G683" s="1">
        <v>20260401</v>
      </c>
      <c r="H683" t="b">
        <f t="shared" si="11"/>
        <v>0</v>
      </c>
      <c r="I683" t="str" cm="1">
        <f t="array" ref="I683">GET_TICKER_FINAL(C683)</f>
        <v/>
      </c>
      <c r="J683" s="5" t="s">
        <v>16</v>
      </c>
    </row>
    <row r="684" spans="1:10">
      <c r="A684">
        <v>683</v>
      </c>
      <c r="B684" s="1" t="s">
        <v>645</v>
      </c>
      <c r="C684" s="1" t="s">
        <v>705</v>
      </c>
      <c r="D684" s="1">
        <v>566</v>
      </c>
      <c r="E684" s="1">
        <v>50</v>
      </c>
      <c r="F684" s="1">
        <v>0.99</v>
      </c>
      <c r="G684" s="1">
        <v>20260320</v>
      </c>
      <c r="H684" t="b">
        <f t="shared" si="11"/>
        <v>0</v>
      </c>
      <c r="I684" t="str" cm="1">
        <f t="array" ref="I684">GET_TICKER_FINAL(C684)</f>
        <v/>
      </c>
      <c r="J684" s="5" t="s">
        <v>16</v>
      </c>
    </row>
    <row r="685" spans="1:10">
      <c r="A685">
        <v>684</v>
      </c>
      <c r="B685" s="1" t="s">
        <v>645</v>
      </c>
      <c r="C685" s="1" t="s">
        <v>706</v>
      </c>
      <c r="D685" s="1">
        <v>566</v>
      </c>
      <c r="E685" s="1">
        <v>45</v>
      </c>
      <c r="F685" s="1">
        <v>0.98</v>
      </c>
      <c r="G685" s="1">
        <v>20260320</v>
      </c>
      <c r="H685" t="b">
        <f t="shared" si="11"/>
        <v>0</v>
      </c>
      <c r="I685" t="str" cm="1">
        <f t="array" ref="I685">GET_TICKER_FINAL(C685)</f>
        <v/>
      </c>
      <c r="J685" s="5" t="s">
        <v>16</v>
      </c>
    </row>
    <row r="686" spans="1:10">
      <c r="A686">
        <v>685</v>
      </c>
      <c r="B686" s="1" t="s">
        <v>645</v>
      </c>
      <c r="C686" s="1" t="s">
        <v>707</v>
      </c>
      <c r="D686" s="1">
        <v>559</v>
      </c>
      <c r="E686" s="1">
        <v>122</v>
      </c>
      <c r="F686" s="1">
        <v>0.93</v>
      </c>
      <c r="G686" s="1">
        <v>20260320</v>
      </c>
      <c r="H686" t="b">
        <f t="shared" si="11"/>
        <v>0</v>
      </c>
      <c r="I686" t="str" cm="1">
        <f t="array" ref="I686">GET_TICKER_FINAL(C686)</f>
        <v/>
      </c>
      <c r="J686" s="5" t="s">
        <v>16</v>
      </c>
    </row>
    <row r="687" spans="1:10">
      <c r="A687">
        <v>686</v>
      </c>
      <c r="B687" s="1" t="s">
        <v>645</v>
      </c>
      <c r="C687" s="1" t="s">
        <v>708</v>
      </c>
      <c r="D687" s="1">
        <v>550</v>
      </c>
      <c r="E687" s="1">
        <v>51</v>
      </c>
      <c r="F687" s="1">
        <v>0.98</v>
      </c>
      <c r="G687" s="1">
        <v>20260320</v>
      </c>
      <c r="H687" t="b">
        <f t="shared" si="11"/>
        <v>0</v>
      </c>
      <c r="I687" t="str" cm="1">
        <f t="array" ref="I687">GET_TICKER_FINAL(C687)</f>
        <v/>
      </c>
      <c r="J687" s="5" t="s">
        <v>16</v>
      </c>
    </row>
    <row r="688" spans="1:10">
      <c r="A688">
        <v>687</v>
      </c>
      <c r="B688" s="1" t="s">
        <v>645</v>
      </c>
      <c r="C688" s="1" t="s">
        <v>709</v>
      </c>
      <c r="D688" s="1">
        <v>514</v>
      </c>
      <c r="E688" s="1">
        <v>70</v>
      </c>
      <c r="F688" s="1">
        <v>0.98</v>
      </c>
      <c r="G688" s="1">
        <v>20260320</v>
      </c>
      <c r="H688" t="b">
        <f t="shared" si="11"/>
        <v>0</v>
      </c>
      <c r="I688" t="str" cm="1">
        <f t="array" ref="I688">GET_TICKER_FINAL(C688)</f>
        <v>SPY</v>
      </c>
      <c r="J688" s="5" t="s">
        <v>16</v>
      </c>
    </row>
    <row r="689" spans="1:10">
      <c r="A689">
        <v>688</v>
      </c>
      <c r="B689" s="1" t="s">
        <v>645</v>
      </c>
      <c r="C689" s="1" t="s">
        <v>710</v>
      </c>
      <c r="D689" s="1">
        <v>510</v>
      </c>
      <c r="E689" s="1">
        <v>95</v>
      </c>
      <c r="F689" s="1">
        <v>0.98</v>
      </c>
      <c r="G689" s="1">
        <v>20260323</v>
      </c>
      <c r="H689" t="b">
        <f t="shared" si="11"/>
        <v>0</v>
      </c>
      <c r="I689" t="str" cm="1">
        <f t="array" ref="I689">GET_TICKER_FINAL(C689)</f>
        <v/>
      </c>
      <c r="J689" s="5" t="s">
        <v>28</v>
      </c>
    </row>
    <row r="690" spans="1:10">
      <c r="A690">
        <v>689</v>
      </c>
      <c r="B690" s="1" t="s">
        <v>645</v>
      </c>
      <c r="C690" s="1" t="s">
        <v>711</v>
      </c>
      <c r="D690" s="1">
        <v>510</v>
      </c>
      <c r="E690" s="1">
        <v>215</v>
      </c>
      <c r="F690" s="1">
        <v>0.92</v>
      </c>
      <c r="G690" s="1">
        <v>20260331</v>
      </c>
      <c r="H690" t="b">
        <f t="shared" si="11"/>
        <v>0</v>
      </c>
      <c r="I690" t="str" cm="1">
        <f t="array" ref="I690">GET_TICKER_FINAL(C690)</f>
        <v/>
      </c>
      <c r="J690" s="5" t="s">
        <v>25</v>
      </c>
    </row>
    <row r="691" spans="1:10">
      <c r="A691">
        <v>690</v>
      </c>
      <c r="B691" s="1" t="s">
        <v>645</v>
      </c>
      <c r="C691" s="1" t="s">
        <v>712</v>
      </c>
      <c r="D691" s="1">
        <v>498</v>
      </c>
      <c r="E691" s="1">
        <v>159</v>
      </c>
      <c r="F691" s="1">
        <v>0.93</v>
      </c>
      <c r="G691" s="1">
        <v>20260401</v>
      </c>
      <c r="H691" t="b">
        <f t="shared" si="11"/>
        <v>0</v>
      </c>
      <c r="I691" t="str" cm="1">
        <f t="array" ref="I691">GET_TICKER_FINAL(C691)</f>
        <v/>
      </c>
      <c r="J691" s="5" t="s">
        <v>16</v>
      </c>
    </row>
    <row r="692" spans="1:10">
      <c r="A692">
        <v>691</v>
      </c>
      <c r="B692" s="1" t="s">
        <v>645</v>
      </c>
      <c r="C692" s="1" t="s">
        <v>713</v>
      </c>
      <c r="D692" s="1">
        <v>496</v>
      </c>
      <c r="E692" s="1">
        <v>57</v>
      </c>
      <c r="F692" s="1">
        <v>0.99</v>
      </c>
      <c r="G692" s="1">
        <v>20260326</v>
      </c>
      <c r="H692" t="b">
        <f t="shared" si="11"/>
        <v>0</v>
      </c>
      <c r="I692" t="str" cm="1">
        <f t="array" ref="I692">GET_TICKER_FINAL(C692)</f>
        <v/>
      </c>
      <c r="J692" s="5" t="s">
        <v>25</v>
      </c>
    </row>
    <row r="693" spans="1:10">
      <c r="A693">
        <v>692</v>
      </c>
      <c r="B693" s="1" t="s">
        <v>645</v>
      </c>
      <c r="C693" s="1" t="s">
        <v>714</v>
      </c>
      <c r="D693" s="1">
        <v>484</v>
      </c>
      <c r="E693" s="1">
        <v>40</v>
      </c>
      <c r="F693" s="1">
        <v>0.99</v>
      </c>
      <c r="G693" s="1">
        <v>20260324</v>
      </c>
      <c r="H693" t="b">
        <f t="shared" si="11"/>
        <v>0</v>
      </c>
      <c r="I693" t="str" cm="1">
        <f t="array" ref="I693">GET_TICKER_FINAL(C693)</f>
        <v/>
      </c>
      <c r="J693" s="5" t="s">
        <v>16</v>
      </c>
    </row>
    <row r="694" spans="1:10">
      <c r="A694">
        <v>693</v>
      </c>
      <c r="B694" s="1" t="s">
        <v>645</v>
      </c>
      <c r="C694" s="1" t="s">
        <v>715</v>
      </c>
      <c r="D694" s="1">
        <v>483</v>
      </c>
      <c r="E694" s="1">
        <v>47</v>
      </c>
      <c r="F694" s="1">
        <v>0.98</v>
      </c>
      <c r="G694" s="1">
        <v>20260324</v>
      </c>
      <c r="H694" t="b">
        <f t="shared" si="11"/>
        <v>0</v>
      </c>
      <c r="I694" t="str" cm="1">
        <f t="array" ref="I694">GET_TICKER_FINAL(C694)</f>
        <v/>
      </c>
      <c r="J694" s="5" t="s">
        <v>25</v>
      </c>
    </row>
    <row r="695" spans="1:10">
      <c r="A695">
        <v>694</v>
      </c>
      <c r="B695" s="1" t="s">
        <v>645</v>
      </c>
      <c r="C695" s="1" t="s">
        <v>716</v>
      </c>
      <c r="D695" s="1">
        <v>479</v>
      </c>
      <c r="E695" s="1">
        <v>187</v>
      </c>
      <c r="F695" s="1">
        <v>0.92</v>
      </c>
      <c r="G695" s="1">
        <v>20260402</v>
      </c>
      <c r="H695" t="b">
        <f t="shared" si="11"/>
        <v>0</v>
      </c>
      <c r="I695" t="str" cm="1">
        <f t="array" ref="I695">GET_TICKER_FINAL(C695)</f>
        <v/>
      </c>
      <c r="J695" s="5" t="s">
        <v>16</v>
      </c>
    </row>
    <row r="696" spans="1:10">
      <c r="A696">
        <v>695</v>
      </c>
      <c r="B696" s="1" t="s">
        <v>645</v>
      </c>
      <c r="C696" s="1" t="s">
        <v>717</v>
      </c>
      <c r="D696" s="1">
        <v>477</v>
      </c>
      <c r="E696" s="1">
        <v>236</v>
      </c>
      <c r="F696" s="1">
        <v>0.82</v>
      </c>
      <c r="G696" s="1">
        <v>20260401</v>
      </c>
      <c r="H696" t="b">
        <f t="shared" si="11"/>
        <v>0</v>
      </c>
      <c r="I696" t="str" cm="1">
        <f t="array" ref="I696">GET_TICKER_FINAL(C696)</f>
        <v/>
      </c>
      <c r="J696" s="5" t="s">
        <v>16</v>
      </c>
    </row>
    <row r="697" spans="1:10">
      <c r="A697">
        <v>696</v>
      </c>
      <c r="B697" s="1" t="s">
        <v>645</v>
      </c>
      <c r="C697" s="1" t="s">
        <v>718</v>
      </c>
      <c r="D697" s="1">
        <v>475</v>
      </c>
      <c r="E697" s="1">
        <v>70</v>
      </c>
      <c r="F697" s="1">
        <v>0.97</v>
      </c>
      <c r="G697" s="1">
        <v>20260402</v>
      </c>
      <c r="H697" t="b">
        <f t="shared" si="11"/>
        <v>0</v>
      </c>
      <c r="I697" t="str" cm="1">
        <f t="array" ref="I697">GET_TICKER_FINAL(C697)</f>
        <v/>
      </c>
      <c r="J697" s="5" t="s">
        <v>16</v>
      </c>
    </row>
    <row r="698" spans="1:10">
      <c r="A698">
        <v>697</v>
      </c>
      <c r="B698" s="1" t="s">
        <v>645</v>
      </c>
      <c r="C698" s="1" t="s">
        <v>719</v>
      </c>
      <c r="D698" s="1">
        <v>470</v>
      </c>
      <c r="E698" s="1">
        <v>254</v>
      </c>
      <c r="F698" s="1">
        <v>0.93</v>
      </c>
      <c r="G698" s="1">
        <v>20260402</v>
      </c>
      <c r="H698" t="b">
        <f t="shared" si="11"/>
        <v>0</v>
      </c>
      <c r="I698" t="str" cm="1">
        <f t="array" ref="I698">GET_TICKER_FINAL(C698)</f>
        <v/>
      </c>
      <c r="J698" s="5" t="s">
        <v>25</v>
      </c>
    </row>
    <row r="699" spans="1:10">
      <c r="A699">
        <v>698</v>
      </c>
      <c r="B699" s="1" t="s">
        <v>645</v>
      </c>
      <c r="C699" s="1" t="s">
        <v>720</v>
      </c>
      <c r="D699" s="1">
        <v>468</v>
      </c>
      <c r="E699" s="1">
        <v>151</v>
      </c>
      <c r="F699" s="1">
        <v>0.95</v>
      </c>
      <c r="G699" s="1">
        <v>20260323</v>
      </c>
      <c r="H699" t="b">
        <f t="shared" si="11"/>
        <v>0</v>
      </c>
      <c r="I699" t="str" cm="1">
        <f t="array" ref="I699">GET_TICKER_FINAL(C699)</f>
        <v/>
      </c>
      <c r="J699" s="5" t="s">
        <v>25</v>
      </c>
    </row>
    <row r="700" spans="1:10">
      <c r="A700">
        <v>699</v>
      </c>
      <c r="B700" s="1" t="s">
        <v>645</v>
      </c>
      <c r="C700" s="1" t="s">
        <v>721</v>
      </c>
      <c r="D700" s="1">
        <v>467</v>
      </c>
      <c r="E700" s="1">
        <v>40</v>
      </c>
      <c r="F700" s="1">
        <v>0.98</v>
      </c>
      <c r="G700" s="1">
        <v>20260402</v>
      </c>
      <c r="H700" t="b">
        <f t="shared" si="11"/>
        <v>0</v>
      </c>
      <c r="I700" t="str" cm="1">
        <f t="array" ref="I700">GET_TICKER_FINAL(C700)</f>
        <v/>
      </c>
      <c r="J700" s="5" t="s">
        <v>16</v>
      </c>
    </row>
    <row r="701" spans="1:10">
      <c r="A701">
        <v>700</v>
      </c>
      <c r="B701" s="1" t="s">
        <v>645</v>
      </c>
      <c r="C701" s="1" t="s">
        <v>722</v>
      </c>
      <c r="D701" s="1">
        <v>463</v>
      </c>
      <c r="E701" s="1">
        <v>54</v>
      </c>
      <c r="F701" s="1">
        <v>0.96</v>
      </c>
      <c r="G701" s="1">
        <v>20260323</v>
      </c>
      <c r="H701" t="b">
        <f t="shared" si="11"/>
        <v>0</v>
      </c>
      <c r="I701" t="str" cm="1">
        <f t="array" ref="I701">GET_TICKER_FINAL(C701)</f>
        <v/>
      </c>
      <c r="J701" s="5" t="s">
        <v>16</v>
      </c>
    </row>
    <row r="702" spans="1:10">
      <c r="A702">
        <v>701</v>
      </c>
      <c r="B702" s="1" t="s">
        <v>645</v>
      </c>
      <c r="C702" s="1" t="s">
        <v>723</v>
      </c>
      <c r="D702" s="1">
        <v>447</v>
      </c>
      <c r="E702" s="1">
        <v>169</v>
      </c>
      <c r="F702" s="1">
        <v>0.92</v>
      </c>
      <c r="G702" s="1">
        <v>20260401</v>
      </c>
      <c r="H702" t="b">
        <f t="shared" si="11"/>
        <v>0</v>
      </c>
      <c r="I702" t="str" cm="1">
        <f t="array" ref="I702">GET_TICKER_FINAL(C702)</f>
        <v/>
      </c>
      <c r="J702" s="5" t="s">
        <v>25</v>
      </c>
    </row>
    <row r="703" spans="1:10">
      <c r="A703">
        <v>702</v>
      </c>
      <c r="B703" s="1" t="s">
        <v>645</v>
      </c>
      <c r="C703" s="1" t="s">
        <v>724</v>
      </c>
      <c r="D703" s="1">
        <v>437</v>
      </c>
      <c r="E703" s="1">
        <v>15</v>
      </c>
      <c r="F703" s="1">
        <v>0.98</v>
      </c>
      <c r="G703" s="1">
        <v>20260401</v>
      </c>
      <c r="H703" t="b">
        <f t="shared" si="11"/>
        <v>0</v>
      </c>
      <c r="I703" t="str" cm="1">
        <f t="array" ref="I703">GET_TICKER_FINAL(C703)</f>
        <v/>
      </c>
      <c r="J703" s="5" t="s">
        <v>16</v>
      </c>
    </row>
    <row r="704" spans="1:10">
      <c r="A704">
        <v>703</v>
      </c>
      <c r="B704" s="1" t="s">
        <v>645</v>
      </c>
      <c r="C704" s="1" t="s">
        <v>725</v>
      </c>
      <c r="D704" s="1">
        <v>433</v>
      </c>
      <c r="E704" s="1">
        <v>27</v>
      </c>
      <c r="F704" s="1">
        <v>0.99</v>
      </c>
      <c r="G704" s="1">
        <v>20260331</v>
      </c>
      <c r="H704" t="b">
        <f t="shared" si="11"/>
        <v>0</v>
      </c>
      <c r="I704" t="str" cm="1">
        <f t="array" ref="I704">GET_TICKER_FINAL(C704)</f>
        <v/>
      </c>
      <c r="J704" s="5" t="s">
        <v>16</v>
      </c>
    </row>
    <row r="705" spans="1:10">
      <c r="A705">
        <v>704</v>
      </c>
      <c r="B705" s="1" t="s">
        <v>645</v>
      </c>
      <c r="C705" s="1" t="s">
        <v>726</v>
      </c>
      <c r="D705" s="1">
        <v>431</v>
      </c>
      <c r="E705" s="1">
        <v>80</v>
      </c>
      <c r="F705" s="1">
        <v>0.96</v>
      </c>
      <c r="G705" s="1">
        <v>20260331</v>
      </c>
      <c r="H705" t="b">
        <f t="shared" si="11"/>
        <v>0</v>
      </c>
      <c r="I705" t="str" cm="1">
        <f t="array" ref="I705">GET_TICKER_FINAL(C705)</f>
        <v/>
      </c>
      <c r="J705" s="5" t="s">
        <v>28</v>
      </c>
    </row>
    <row r="706" spans="1:10">
      <c r="A706">
        <v>705</v>
      </c>
      <c r="B706" s="1" t="s">
        <v>645</v>
      </c>
      <c r="C706" s="1" t="s">
        <v>727</v>
      </c>
      <c r="D706" s="1">
        <v>430</v>
      </c>
      <c r="E706" s="1">
        <v>79</v>
      </c>
      <c r="F706" s="1">
        <v>0.94</v>
      </c>
      <c r="G706" s="1">
        <v>20260402</v>
      </c>
      <c r="H706" t="b">
        <f t="shared" si="11"/>
        <v>0</v>
      </c>
      <c r="I706" t="str" cm="1">
        <f t="array" ref="I706">GET_TICKER_FINAL(C706)</f>
        <v/>
      </c>
      <c r="J706" s="5" t="s">
        <v>16</v>
      </c>
    </row>
    <row r="707" spans="1:10">
      <c r="A707">
        <v>706</v>
      </c>
      <c r="B707" s="1" t="s">
        <v>645</v>
      </c>
      <c r="C707" s="1" t="s">
        <v>728</v>
      </c>
      <c r="D707" s="1">
        <v>425</v>
      </c>
      <c r="E707" s="1">
        <v>75</v>
      </c>
      <c r="F707" s="1">
        <v>0.97</v>
      </c>
      <c r="G707" s="1">
        <v>20260323</v>
      </c>
      <c r="H707" t="b">
        <f t="shared" ref="H707:H770" si="12">OR(ISNUMBER(SEARCH("$A",C707)),ISNUMBER(SEARCH("$B",C707)),ISNUMBER(SEARCH("$C",C707)),ISNUMBER(SEARCH("$D",C707)),ISNUMBER(SEARCH("$E",C707)),ISNUMBER(SEARCH("$F",C707)),ISNUMBER(SEARCH("$G",C707)),ISNUMBER(SEARCH("$H",C707)),ISNUMBER(SEARCH("$I",C707)),ISNUMBER(SEARCH("$J",C707)),ISNUMBER(SEARCH("$K",C707)),ISNUMBER(SEARCH("$L",C707)),ISNUMBER(SEARCH("$M",C707)),ISNUMBER(SEARCH("$N",C707)),ISNUMBER(SEARCH("$O",C707)),ISNUMBER(SEARCH("$P",C707)),ISNUMBER(SEARCH("$Q",C707)),ISNUMBER(SEARCH("$R",C707)),ISNUMBER(SEARCH("$S",C707)),ISNUMBER(SEARCH("$T",C707)),ISNUMBER(SEARCH("$U",C707)),ISNUMBER(SEARCH("$V",C707)),ISNUMBER(SEARCH("$W",C707)),ISNUMBER(SEARCH("$X",C707)),ISNUMBER(SEARCH("$Y",C707)),ISNUMBER(SEARCH("$Z",C707)))</f>
        <v>0</v>
      </c>
      <c r="I707" t="str" cm="1">
        <f t="array" ref="I707">GET_TICKER_FINAL(C707)</f>
        <v/>
      </c>
      <c r="J707" s="5" t="s">
        <v>16</v>
      </c>
    </row>
    <row r="708" spans="1:10">
      <c r="A708">
        <v>707</v>
      </c>
      <c r="B708" s="1" t="s">
        <v>645</v>
      </c>
      <c r="C708" s="1" t="s">
        <v>729</v>
      </c>
      <c r="D708" s="1">
        <v>422</v>
      </c>
      <c r="E708" s="1">
        <v>16</v>
      </c>
      <c r="F708" s="1">
        <v>0.97</v>
      </c>
      <c r="G708" s="1">
        <v>20260330</v>
      </c>
      <c r="H708" t="b">
        <f t="shared" si="12"/>
        <v>0</v>
      </c>
      <c r="I708" t="str" cm="1">
        <f t="array" ref="I708">GET_TICKER_FINAL(C708)</f>
        <v/>
      </c>
      <c r="J708" s="5" t="s">
        <v>25</v>
      </c>
    </row>
    <row r="709" spans="1:10">
      <c r="A709">
        <v>708</v>
      </c>
      <c r="B709" s="1" t="s">
        <v>645</v>
      </c>
      <c r="C709" s="1" t="s">
        <v>730</v>
      </c>
      <c r="D709" s="1">
        <v>421</v>
      </c>
      <c r="E709" s="1">
        <v>82</v>
      </c>
      <c r="F709" s="1">
        <v>0.98</v>
      </c>
      <c r="G709" s="1">
        <v>20260326</v>
      </c>
      <c r="H709" t="b">
        <f t="shared" si="12"/>
        <v>0</v>
      </c>
      <c r="I709" t="str" cm="1">
        <f t="array" ref="I709">GET_TICKER_FINAL(C709)</f>
        <v>SPY</v>
      </c>
      <c r="J709" s="5" t="s">
        <v>16</v>
      </c>
    </row>
    <row r="710" spans="1:10">
      <c r="A710">
        <v>709</v>
      </c>
      <c r="B710" s="1" t="s">
        <v>645</v>
      </c>
      <c r="C710" s="1" t="s">
        <v>731</v>
      </c>
      <c r="D710" s="1">
        <v>411</v>
      </c>
      <c r="E710" s="1">
        <v>57</v>
      </c>
      <c r="F710" s="1">
        <v>0.98</v>
      </c>
      <c r="G710" s="1">
        <v>20260323</v>
      </c>
      <c r="H710" t="b">
        <f t="shared" si="12"/>
        <v>0</v>
      </c>
      <c r="I710" t="str" cm="1">
        <f t="array" ref="I710">GET_TICKER_FINAL(C710)</f>
        <v/>
      </c>
      <c r="J710" s="5" t="s">
        <v>16</v>
      </c>
    </row>
    <row r="711" spans="1:10">
      <c r="A711">
        <v>710</v>
      </c>
      <c r="B711" s="1" t="s">
        <v>645</v>
      </c>
      <c r="C711" s="1" t="s">
        <v>732</v>
      </c>
      <c r="D711" s="1">
        <v>387</v>
      </c>
      <c r="E711" s="1">
        <v>57</v>
      </c>
      <c r="F711" s="1">
        <v>0.97</v>
      </c>
      <c r="G711" s="1">
        <v>20260402</v>
      </c>
      <c r="H711" t="b">
        <f t="shared" si="12"/>
        <v>0</v>
      </c>
      <c r="I711" t="str" cm="1">
        <f t="array" ref="I711">GET_TICKER_FINAL(C711)</f>
        <v>TSLA</v>
      </c>
      <c r="J711" s="5" t="s">
        <v>16</v>
      </c>
    </row>
    <row r="712" spans="1:10">
      <c r="A712">
        <v>711</v>
      </c>
      <c r="B712" s="1" t="s">
        <v>645</v>
      </c>
      <c r="C712" s="1" t="s">
        <v>733</v>
      </c>
      <c r="D712" s="1">
        <v>381</v>
      </c>
      <c r="E712" s="1">
        <v>59</v>
      </c>
      <c r="F712" s="1">
        <v>0.99</v>
      </c>
      <c r="G712" s="1">
        <v>20260323</v>
      </c>
      <c r="H712" t="b">
        <f t="shared" si="12"/>
        <v>0</v>
      </c>
      <c r="I712" t="str" cm="1">
        <f t="array" ref="I712">GET_TICKER_FINAL(C712)</f>
        <v/>
      </c>
      <c r="J712" s="5" t="s">
        <v>16</v>
      </c>
    </row>
    <row r="713" spans="1:10">
      <c r="A713">
        <v>712</v>
      </c>
      <c r="B713" s="1" t="s">
        <v>645</v>
      </c>
      <c r="C713" s="1" t="s">
        <v>734</v>
      </c>
      <c r="D713" s="1">
        <v>375</v>
      </c>
      <c r="E713" s="1">
        <v>84</v>
      </c>
      <c r="F713" s="1">
        <v>0.95</v>
      </c>
      <c r="G713" s="1">
        <v>20260323</v>
      </c>
      <c r="H713" t="b">
        <f t="shared" si="12"/>
        <v>0</v>
      </c>
      <c r="I713" t="str" cm="1">
        <f t="array" ref="I713">GET_TICKER_FINAL(C713)</f>
        <v>SPY</v>
      </c>
      <c r="J713" s="5" t="s">
        <v>25</v>
      </c>
    </row>
    <row r="714" spans="1:10">
      <c r="A714">
        <v>713</v>
      </c>
      <c r="B714" s="1" t="s">
        <v>645</v>
      </c>
      <c r="C714" s="1" t="s">
        <v>735</v>
      </c>
      <c r="D714" s="1">
        <v>371</v>
      </c>
      <c r="E714" s="1">
        <v>112</v>
      </c>
      <c r="F714" s="1">
        <v>0.89</v>
      </c>
      <c r="G714" s="1">
        <v>20260330</v>
      </c>
      <c r="H714" t="b">
        <f t="shared" si="12"/>
        <v>0</v>
      </c>
      <c r="I714" t="str" cm="1">
        <f t="array" ref="I714">GET_TICKER_FINAL(C714)</f>
        <v/>
      </c>
      <c r="J714" s="5" t="s">
        <v>25</v>
      </c>
    </row>
    <row r="715" spans="1:10">
      <c r="A715">
        <v>714</v>
      </c>
      <c r="B715" s="1" t="s">
        <v>645</v>
      </c>
      <c r="C715" s="1" t="s">
        <v>736</v>
      </c>
      <c r="D715" s="1">
        <v>363</v>
      </c>
      <c r="E715" s="1">
        <v>55</v>
      </c>
      <c r="F715" s="1">
        <v>0.94</v>
      </c>
      <c r="G715" s="1">
        <v>20260326</v>
      </c>
      <c r="H715" t="b">
        <f t="shared" si="12"/>
        <v>0</v>
      </c>
      <c r="I715" t="str" cm="1">
        <f t="array" ref="I715">GET_TICKER_FINAL(C715)</f>
        <v>GOOGL</v>
      </c>
      <c r="J715" s="5" t="s">
        <v>25</v>
      </c>
    </row>
    <row r="716" spans="1:10">
      <c r="A716">
        <v>715</v>
      </c>
      <c r="B716" s="1" t="s">
        <v>645</v>
      </c>
      <c r="C716" s="1" t="s">
        <v>737</v>
      </c>
      <c r="D716" s="1">
        <v>363</v>
      </c>
      <c r="E716" s="1">
        <v>63</v>
      </c>
      <c r="F716" s="1">
        <v>0.96</v>
      </c>
      <c r="G716" s="1">
        <v>20260402</v>
      </c>
      <c r="H716" t="b">
        <f t="shared" si="12"/>
        <v>0</v>
      </c>
      <c r="I716" t="str" cm="1">
        <f t="array" ref="I716">GET_TICKER_FINAL(C716)</f>
        <v>SPY</v>
      </c>
      <c r="J716" s="5" t="s">
        <v>25</v>
      </c>
    </row>
    <row r="717" spans="1:10">
      <c r="A717">
        <v>716</v>
      </c>
      <c r="B717" s="1" t="s">
        <v>645</v>
      </c>
      <c r="C717" s="1" t="s">
        <v>738</v>
      </c>
      <c r="D717" s="1">
        <v>363</v>
      </c>
      <c r="E717" s="1">
        <v>95</v>
      </c>
      <c r="F717" s="1">
        <v>0.96</v>
      </c>
      <c r="G717" s="1">
        <v>20260326</v>
      </c>
      <c r="H717" t="b">
        <f t="shared" si="12"/>
        <v>0</v>
      </c>
      <c r="I717" t="str" cm="1">
        <f t="array" ref="I717">GET_TICKER_FINAL(C717)</f>
        <v>PLTR</v>
      </c>
      <c r="J717" s="5" t="s">
        <v>25</v>
      </c>
    </row>
    <row r="718" spans="1:10">
      <c r="A718">
        <v>717</v>
      </c>
      <c r="B718" s="1" t="s">
        <v>645</v>
      </c>
      <c r="C718" s="1" t="s">
        <v>739</v>
      </c>
      <c r="D718" s="1">
        <v>355</v>
      </c>
      <c r="E718" s="1">
        <v>180</v>
      </c>
      <c r="F718" s="1">
        <v>0.95</v>
      </c>
      <c r="G718" s="1">
        <v>20260402</v>
      </c>
      <c r="H718" t="b">
        <f t="shared" si="12"/>
        <v>0</v>
      </c>
      <c r="I718" t="str" cm="1">
        <f t="array" ref="I718">GET_TICKER_FINAL(C718)</f>
        <v/>
      </c>
      <c r="J718" s="5" t="s">
        <v>16</v>
      </c>
    </row>
    <row r="719" spans="1:10">
      <c r="A719">
        <v>718</v>
      </c>
      <c r="B719" s="1" t="s">
        <v>645</v>
      </c>
      <c r="C719" s="1" t="s">
        <v>740</v>
      </c>
      <c r="D719" s="1">
        <v>351</v>
      </c>
      <c r="E719" s="1">
        <v>209</v>
      </c>
      <c r="F719" s="1">
        <v>0.9</v>
      </c>
      <c r="G719" s="1">
        <v>20260402</v>
      </c>
      <c r="H719" t="b">
        <f t="shared" si="12"/>
        <v>0</v>
      </c>
      <c r="I719" t="str" cm="1">
        <f t="array" ref="I719">GET_TICKER_FINAL(C719)</f>
        <v/>
      </c>
      <c r="J719" s="5" t="s">
        <v>28</v>
      </c>
    </row>
    <row r="720" spans="1:10">
      <c r="A720">
        <v>719</v>
      </c>
      <c r="B720" s="1" t="s">
        <v>645</v>
      </c>
      <c r="C720" s="1" t="s">
        <v>741</v>
      </c>
      <c r="D720" s="1">
        <v>349</v>
      </c>
      <c r="E720" s="1">
        <v>113</v>
      </c>
      <c r="F720" s="1">
        <v>0.97</v>
      </c>
      <c r="G720" s="1">
        <v>20260320</v>
      </c>
      <c r="H720" t="b">
        <f t="shared" si="12"/>
        <v>0</v>
      </c>
      <c r="I720" t="str" cm="1">
        <f t="array" ref="I720">GET_TICKER_FINAL(C720)</f>
        <v>SPY</v>
      </c>
      <c r="J720" s="5" t="s">
        <v>16</v>
      </c>
    </row>
    <row r="721" spans="1:10">
      <c r="A721">
        <v>720</v>
      </c>
      <c r="B721" s="1" t="s">
        <v>645</v>
      </c>
      <c r="C721" s="1" t="s">
        <v>742</v>
      </c>
      <c r="D721" s="1">
        <v>342</v>
      </c>
      <c r="E721" s="1">
        <v>44</v>
      </c>
      <c r="F721" s="1">
        <v>0.99</v>
      </c>
      <c r="G721" s="1">
        <v>20260323</v>
      </c>
      <c r="H721" t="b">
        <f t="shared" si="12"/>
        <v>0</v>
      </c>
      <c r="I721" t="str" cm="1">
        <f t="array" ref="I721">GET_TICKER_FINAL(C721)</f>
        <v/>
      </c>
      <c r="J721" s="5" t="s">
        <v>16</v>
      </c>
    </row>
    <row r="722" spans="1:10">
      <c r="A722">
        <v>721</v>
      </c>
      <c r="B722" s="1" t="s">
        <v>645</v>
      </c>
      <c r="C722" s="1" t="s">
        <v>743</v>
      </c>
      <c r="D722" s="1">
        <v>338</v>
      </c>
      <c r="E722" s="1">
        <v>96</v>
      </c>
      <c r="F722" s="1">
        <v>0.95</v>
      </c>
      <c r="G722" s="1">
        <v>20260402</v>
      </c>
      <c r="H722" t="b">
        <f t="shared" si="12"/>
        <v>0</v>
      </c>
      <c r="I722" t="str" cm="1">
        <f t="array" ref="I722">GET_TICKER_FINAL(C722)</f>
        <v/>
      </c>
      <c r="J722" s="5" t="s">
        <v>16</v>
      </c>
    </row>
    <row r="723" spans="1:10">
      <c r="A723">
        <v>722</v>
      </c>
      <c r="B723" s="1" t="s">
        <v>645</v>
      </c>
      <c r="C723" s="1" t="s">
        <v>744</v>
      </c>
      <c r="D723" s="1">
        <v>337</v>
      </c>
      <c r="E723" s="1">
        <v>50</v>
      </c>
      <c r="F723" s="1">
        <v>0.98</v>
      </c>
      <c r="G723" s="1">
        <v>20260401</v>
      </c>
      <c r="H723" t="b">
        <f t="shared" si="12"/>
        <v>0</v>
      </c>
      <c r="I723" t="str" cm="1">
        <f t="array" ref="I723">GET_TICKER_FINAL(C723)</f>
        <v/>
      </c>
      <c r="J723" s="5" t="s">
        <v>28</v>
      </c>
    </row>
    <row r="724" spans="1:10">
      <c r="A724">
        <v>723</v>
      </c>
      <c r="B724" s="1" t="s">
        <v>645</v>
      </c>
      <c r="C724" s="1" t="s">
        <v>745</v>
      </c>
      <c r="D724" s="1">
        <v>336</v>
      </c>
      <c r="E724" s="1">
        <v>173</v>
      </c>
      <c r="F724" s="1">
        <v>0.88</v>
      </c>
      <c r="G724" s="1">
        <v>20260402</v>
      </c>
      <c r="H724" t="b">
        <f t="shared" si="12"/>
        <v>0</v>
      </c>
      <c r="I724" t="str" cm="1">
        <f t="array" ref="I724">GET_TICKER_FINAL(C724)</f>
        <v/>
      </c>
      <c r="J724" s="5" t="s">
        <v>14</v>
      </c>
    </row>
    <row r="725" spans="1:10">
      <c r="A725">
        <v>724</v>
      </c>
      <c r="B725" s="1" t="s">
        <v>645</v>
      </c>
      <c r="C725" s="1" t="s">
        <v>746</v>
      </c>
      <c r="D725" s="1">
        <v>332</v>
      </c>
      <c r="E725" s="1">
        <v>18</v>
      </c>
      <c r="F725" s="1">
        <v>0.99</v>
      </c>
      <c r="G725" s="1">
        <v>20260323</v>
      </c>
      <c r="H725" t="b">
        <f t="shared" si="12"/>
        <v>0</v>
      </c>
      <c r="I725" t="str" cm="1">
        <f t="array" ref="I725">GET_TICKER_FINAL(C725)</f>
        <v/>
      </c>
      <c r="J725" s="5" t="s">
        <v>16</v>
      </c>
    </row>
    <row r="726" spans="1:10">
      <c r="A726">
        <v>725</v>
      </c>
      <c r="B726" s="1" t="s">
        <v>645</v>
      </c>
      <c r="C726" s="1" t="s">
        <v>747</v>
      </c>
      <c r="D726" s="1">
        <v>318</v>
      </c>
      <c r="E726" s="1">
        <v>67</v>
      </c>
      <c r="F726" s="1">
        <v>0.95</v>
      </c>
      <c r="G726" s="1">
        <v>20260323</v>
      </c>
      <c r="H726" t="b">
        <f t="shared" si="12"/>
        <v>0</v>
      </c>
      <c r="I726" t="str" cm="1">
        <f t="array" ref="I726">GET_TICKER_FINAL(C726)</f>
        <v/>
      </c>
      <c r="J726" s="5" t="s">
        <v>16</v>
      </c>
    </row>
    <row r="727" spans="1:10">
      <c r="A727">
        <v>726</v>
      </c>
      <c r="B727" s="1" t="s">
        <v>645</v>
      </c>
      <c r="C727" s="1" t="s">
        <v>748</v>
      </c>
      <c r="D727" s="1">
        <v>317</v>
      </c>
      <c r="E727" s="1">
        <v>66</v>
      </c>
      <c r="F727" s="1">
        <v>0.98</v>
      </c>
      <c r="G727" s="1">
        <v>20260324</v>
      </c>
      <c r="H727" t="b">
        <f t="shared" si="12"/>
        <v>0</v>
      </c>
      <c r="I727" t="str" cm="1">
        <f t="array" ref="I727">GET_TICKER_FINAL(C727)</f>
        <v>SPY</v>
      </c>
      <c r="J727" s="5" t="s">
        <v>16</v>
      </c>
    </row>
    <row r="728" spans="1:10">
      <c r="A728">
        <v>727</v>
      </c>
      <c r="B728" s="1" t="s">
        <v>645</v>
      </c>
      <c r="C728" s="1" t="s">
        <v>749</v>
      </c>
      <c r="D728" s="1">
        <v>313</v>
      </c>
      <c r="E728" s="1">
        <v>36</v>
      </c>
      <c r="F728" s="1">
        <v>0.98</v>
      </c>
      <c r="G728" s="1">
        <v>20260331</v>
      </c>
      <c r="H728" t="b">
        <f t="shared" si="12"/>
        <v>0</v>
      </c>
      <c r="I728" t="str" cm="1">
        <f t="array" ref="I728">GET_TICKER_FINAL(C728)</f>
        <v>META</v>
      </c>
      <c r="J728" s="5" t="s">
        <v>16</v>
      </c>
    </row>
    <row r="729" spans="1:10">
      <c r="A729">
        <v>728</v>
      </c>
      <c r="B729" s="1" t="s">
        <v>645</v>
      </c>
      <c r="C729" s="1" t="s">
        <v>750</v>
      </c>
      <c r="D729" s="1">
        <v>311</v>
      </c>
      <c r="E729" s="1">
        <v>28</v>
      </c>
      <c r="F729" s="1">
        <v>0.98</v>
      </c>
      <c r="G729" s="1">
        <v>20260327</v>
      </c>
      <c r="H729" t="b">
        <f t="shared" si="12"/>
        <v>0</v>
      </c>
      <c r="I729" t="str" cm="1">
        <f t="array" ref="I729">GET_TICKER_FINAL(C729)</f>
        <v/>
      </c>
      <c r="J729" s="5" t="s">
        <v>16</v>
      </c>
    </row>
    <row r="730" spans="1:10">
      <c r="A730">
        <v>729</v>
      </c>
      <c r="B730" s="1" t="s">
        <v>645</v>
      </c>
      <c r="C730" s="1" t="s">
        <v>751</v>
      </c>
      <c r="D730" s="1">
        <v>304</v>
      </c>
      <c r="E730" s="1">
        <v>27</v>
      </c>
      <c r="F730" s="1">
        <v>0.98</v>
      </c>
      <c r="G730" s="1">
        <v>20260324</v>
      </c>
      <c r="H730" t="b">
        <f t="shared" si="12"/>
        <v>0</v>
      </c>
      <c r="I730" t="str" cm="1">
        <f t="array" ref="I730">GET_TICKER_FINAL(C730)</f>
        <v/>
      </c>
      <c r="J730" s="5" t="s">
        <v>16</v>
      </c>
    </row>
    <row r="731" spans="1:10">
      <c r="A731">
        <v>730</v>
      </c>
      <c r="B731" s="1" t="s">
        <v>645</v>
      </c>
      <c r="C731" s="1" t="s">
        <v>752</v>
      </c>
      <c r="D731" s="1">
        <v>303</v>
      </c>
      <c r="E731" s="1">
        <v>28</v>
      </c>
      <c r="F731" s="1">
        <v>0.99</v>
      </c>
      <c r="G731" s="1">
        <v>20260320</v>
      </c>
      <c r="H731" t="b">
        <f t="shared" si="12"/>
        <v>0</v>
      </c>
      <c r="I731" t="str" cm="1">
        <f t="array" ref="I731">GET_TICKER_FINAL(C731)</f>
        <v/>
      </c>
      <c r="J731" s="5" t="s">
        <v>16</v>
      </c>
    </row>
    <row r="732" spans="1:10">
      <c r="A732">
        <v>731</v>
      </c>
      <c r="B732" s="1" t="s">
        <v>645</v>
      </c>
      <c r="C732" s="1" t="s">
        <v>753</v>
      </c>
      <c r="D732" s="1">
        <v>300</v>
      </c>
      <c r="E732" s="1">
        <v>95</v>
      </c>
      <c r="F732" s="1">
        <v>0.96</v>
      </c>
      <c r="G732" s="1">
        <v>20260331</v>
      </c>
      <c r="H732" t="b">
        <f t="shared" si="12"/>
        <v>0</v>
      </c>
      <c r="I732" t="str" cm="1">
        <f t="array" ref="I732">GET_TICKER_FINAL(C732)</f>
        <v/>
      </c>
      <c r="J732" s="5" t="s">
        <v>16</v>
      </c>
    </row>
    <row r="733" spans="1:10">
      <c r="A733">
        <v>732</v>
      </c>
      <c r="B733" s="1" t="s">
        <v>645</v>
      </c>
      <c r="C733" s="1" t="s">
        <v>754</v>
      </c>
      <c r="D733" s="1">
        <v>298</v>
      </c>
      <c r="E733" s="1">
        <v>42</v>
      </c>
      <c r="F733" s="1">
        <v>0.98</v>
      </c>
      <c r="G733" s="1">
        <v>20260402</v>
      </c>
      <c r="H733" t="b">
        <f t="shared" si="12"/>
        <v>0</v>
      </c>
      <c r="I733" t="str" cm="1">
        <f t="array" ref="I733">GET_TICKER_FINAL(C733)</f>
        <v>MSFT</v>
      </c>
      <c r="J733" s="5" t="s">
        <v>28</v>
      </c>
    </row>
    <row r="734" spans="1:10">
      <c r="A734">
        <v>733</v>
      </c>
      <c r="B734" s="1" t="s">
        <v>645</v>
      </c>
      <c r="C734" s="1" t="s">
        <v>755</v>
      </c>
      <c r="D734" s="1">
        <v>296</v>
      </c>
      <c r="E734" s="1">
        <v>44</v>
      </c>
      <c r="F734" s="1">
        <v>0.96</v>
      </c>
      <c r="G734" s="1">
        <v>20260327</v>
      </c>
      <c r="H734" t="b">
        <f t="shared" si="12"/>
        <v>0</v>
      </c>
      <c r="I734" t="str" cm="1">
        <f t="array" ref="I734">GET_TICKER_FINAL(C734)</f>
        <v>SPY</v>
      </c>
      <c r="J734" s="5" t="s">
        <v>16</v>
      </c>
    </row>
    <row r="735" spans="1:10">
      <c r="A735">
        <v>734</v>
      </c>
      <c r="B735" s="1" t="s">
        <v>645</v>
      </c>
      <c r="C735" s="1" t="s">
        <v>756</v>
      </c>
      <c r="D735" s="1">
        <v>287</v>
      </c>
      <c r="E735" s="1">
        <v>87</v>
      </c>
      <c r="F735" s="1">
        <v>0.95</v>
      </c>
      <c r="G735" s="1">
        <v>20260320</v>
      </c>
      <c r="H735" t="b">
        <f t="shared" si="12"/>
        <v>0</v>
      </c>
      <c r="I735" t="str" cm="1">
        <f t="array" ref="I735">GET_TICKER_FINAL(C735)</f>
        <v>SPY</v>
      </c>
      <c r="J735" s="5" t="s">
        <v>16</v>
      </c>
    </row>
    <row r="736" spans="1:10">
      <c r="A736">
        <v>735</v>
      </c>
      <c r="B736" s="1" t="s">
        <v>645</v>
      </c>
      <c r="C736" s="1" t="s">
        <v>757</v>
      </c>
      <c r="D736" s="1">
        <v>284</v>
      </c>
      <c r="E736" s="1">
        <v>34</v>
      </c>
      <c r="F736" s="1">
        <v>0.99</v>
      </c>
      <c r="G736" s="1">
        <v>20260402</v>
      </c>
      <c r="H736" t="b">
        <f t="shared" si="12"/>
        <v>0</v>
      </c>
      <c r="I736" t="str" cm="1">
        <f t="array" ref="I736">GET_TICKER_FINAL(C736)</f>
        <v/>
      </c>
      <c r="J736" s="5" t="s">
        <v>25</v>
      </c>
    </row>
    <row r="737" spans="1:10">
      <c r="A737">
        <v>736</v>
      </c>
      <c r="B737" s="1" t="s">
        <v>645</v>
      </c>
      <c r="C737" s="1" t="s">
        <v>758</v>
      </c>
      <c r="D737" s="1">
        <v>276</v>
      </c>
      <c r="E737" s="1">
        <v>45</v>
      </c>
      <c r="F737" s="1">
        <v>0.99</v>
      </c>
      <c r="G737" s="1">
        <v>20260324</v>
      </c>
      <c r="H737" t="b">
        <f t="shared" si="12"/>
        <v>0</v>
      </c>
      <c r="I737" t="str" cm="1">
        <f t="array" ref="I737">GET_TICKER_FINAL(C737)</f>
        <v>META</v>
      </c>
      <c r="J737" s="5" t="s">
        <v>28</v>
      </c>
    </row>
    <row r="738" spans="1:10">
      <c r="A738">
        <v>737</v>
      </c>
      <c r="B738" s="1" t="s">
        <v>645</v>
      </c>
      <c r="C738" s="1" t="s">
        <v>759</v>
      </c>
      <c r="D738" s="1">
        <v>270</v>
      </c>
      <c r="E738" s="1">
        <v>33</v>
      </c>
      <c r="F738" s="1">
        <v>0.91</v>
      </c>
      <c r="G738" s="1">
        <v>20260402</v>
      </c>
      <c r="H738" t="b">
        <f t="shared" si="12"/>
        <v>0</v>
      </c>
      <c r="I738" t="str" cm="1">
        <f t="array" ref="I738">GET_TICKER_FINAL(C738)</f>
        <v/>
      </c>
      <c r="J738" s="5" t="s">
        <v>1792</v>
      </c>
    </row>
    <row r="739" spans="1:10">
      <c r="A739">
        <v>738</v>
      </c>
      <c r="B739" s="1" t="s">
        <v>645</v>
      </c>
      <c r="C739" s="1" t="s">
        <v>760</v>
      </c>
      <c r="D739" s="1">
        <v>269</v>
      </c>
      <c r="E739" s="1">
        <v>95</v>
      </c>
      <c r="F739" s="1">
        <v>0.96</v>
      </c>
      <c r="G739" s="1">
        <v>20260331</v>
      </c>
      <c r="H739" t="b">
        <f t="shared" si="12"/>
        <v>0</v>
      </c>
      <c r="I739" t="str" cm="1">
        <f t="array" ref="I739">GET_TICKER_FINAL(C739)</f>
        <v/>
      </c>
      <c r="J739" s="5" t="s">
        <v>16</v>
      </c>
    </row>
    <row r="740" spans="1:10">
      <c r="A740">
        <v>739</v>
      </c>
      <c r="B740" s="1" t="s">
        <v>645</v>
      </c>
      <c r="C740" s="1" t="s">
        <v>761</v>
      </c>
      <c r="D740" s="1">
        <v>263</v>
      </c>
      <c r="E740" s="1">
        <v>289</v>
      </c>
      <c r="F740" s="1">
        <v>0.88</v>
      </c>
      <c r="G740" s="1">
        <v>20260331</v>
      </c>
      <c r="H740" t="b">
        <f t="shared" si="12"/>
        <v>0</v>
      </c>
      <c r="I740" t="str" cm="1">
        <f t="array" ref="I740">GET_TICKER_FINAL(C740)</f>
        <v/>
      </c>
      <c r="J740" s="5" t="s">
        <v>16</v>
      </c>
    </row>
    <row r="741" spans="1:10">
      <c r="A741">
        <v>740</v>
      </c>
      <c r="B741" s="1" t="s">
        <v>645</v>
      </c>
      <c r="C741" s="1" t="s">
        <v>762</v>
      </c>
      <c r="D741" s="1">
        <v>260</v>
      </c>
      <c r="E741" s="1">
        <v>54</v>
      </c>
      <c r="F741" s="1">
        <v>0.99</v>
      </c>
      <c r="G741" s="1">
        <v>20260320</v>
      </c>
      <c r="H741" t="b">
        <f t="shared" si="12"/>
        <v>0</v>
      </c>
      <c r="I741" t="str" cm="1">
        <f t="array" ref="I741">GET_TICKER_FINAL(C741)</f>
        <v>META</v>
      </c>
      <c r="J741" s="5" t="s">
        <v>16</v>
      </c>
    </row>
    <row r="742" spans="1:10">
      <c r="A742">
        <v>741</v>
      </c>
      <c r="B742" s="1" t="s">
        <v>645</v>
      </c>
      <c r="C742" s="1" t="s">
        <v>763</v>
      </c>
      <c r="D742" s="1">
        <v>259</v>
      </c>
      <c r="E742" s="1">
        <v>15</v>
      </c>
      <c r="F742" s="1">
        <v>1</v>
      </c>
      <c r="G742" s="1">
        <v>20260331</v>
      </c>
      <c r="H742" t="b">
        <f t="shared" si="12"/>
        <v>0</v>
      </c>
      <c r="I742" t="str" cm="1">
        <f t="array" ref="I742">GET_TICKER_FINAL(C742)</f>
        <v>AMZN</v>
      </c>
      <c r="J742" s="5" t="s">
        <v>16</v>
      </c>
    </row>
    <row r="743" spans="1:10">
      <c r="A743">
        <v>742</v>
      </c>
      <c r="B743" s="1" t="s">
        <v>645</v>
      </c>
      <c r="C743" s="1" t="s">
        <v>764</v>
      </c>
      <c r="D743" s="1">
        <v>253</v>
      </c>
      <c r="E743" s="1">
        <v>69</v>
      </c>
      <c r="F743" s="1">
        <v>0.94</v>
      </c>
      <c r="G743" s="1">
        <v>20260402</v>
      </c>
      <c r="H743" t="b">
        <f t="shared" si="12"/>
        <v>0</v>
      </c>
      <c r="I743" t="str" cm="1">
        <f t="array" ref="I743">GET_TICKER_FINAL(C743)</f>
        <v/>
      </c>
      <c r="J743" s="5" t="s">
        <v>16</v>
      </c>
    </row>
    <row r="744" spans="1:10">
      <c r="A744">
        <v>743</v>
      </c>
      <c r="B744" s="1" t="s">
        <v>645</v>
      </c>
      <c r="C744" s="1" t="s">
        <v>765</v>
      </c>
      <c r="D744" s="1">
        <v>239</v>
      </c>
      <c r="E744" s="1">
        <v>126</v>
      </c>
      <c r="F744" s="1">
        <v>0.94</v>
      </c>
      <c r="G744" s="1">
        <v>20260331</v>
      </c>
      <c r="H744" t="b">
        <f t="shared" si="12"/>
        <v>0</v>
      </c>
      <c r="I744" t="str" cm="1">
        <f t="array" ref="I744">GET_TICKER_FINAL(C744)</f>
        <v/>
      </c>
      <c r="J744" s="5" t="s">
        <v>16</v>
      </c>
    </row>
    <row r="745" spans="1:10">
      <c r="A745">
        <v>744</v>
      </c>
      <c r="B745" s="1" t="s">
        <v>645</v>
      </c>
      <c r="C745" s="1" t="s">
        <v>766</v>
      </c>
      <c r="D745" s="1">
        <v>235</v>
      </c>
      <c r="E745" s="1">
        <v>36</v>
      </c>
      <c r="F745" s="1">
        <v>0.94</v>
      </c>
      <c r="G745" s="1">
        <v>20260320</v>
      </c>
      <c r="H745" t="b">
        <f t="shared" si="12"/>
        <v>0</v>
      </c>
      <c r="I745" t="str" cm="1">
        <f t="array" ref="I745">GET_TICKER_FINAL(C745)</f>
        <v/>
      </c>
      <c r="J745" s="5" t="s">
        <v>25</v>
      </c>
    </row>
    <row r="746" spans="1:10">
      <c r="A746">
        <v>745</v>
      </c>
      <c r="B746" s="1" t="s">
        <v>645</v>
      </c>
      <c r="C746" s="1" t="s">
        <v>767</v>
      </c>
      <c r="D746" s="1">
        <v>230</v>
      </c>
      <c r="E746" s="1">
        <v>73</v>
      </c>
      <c r="F746" s="1">
        <v>0.95</v>
      </c>
      <c r="G746" s="1">
        <v>20260402</v>
      </c>
      <c r="H746" t="b">
        <f t="shared" si="12"/>
        <v>0</v>
      </c>
      <c r="I746" t="str" cm="1">
        <f t="array" ref="I746">GET_TICKER_FINAL(C746)</f>
        <v/>
      </c>
      <c r="J746" s="5" t="s">
        <v>16</v>
      </c>
    </row>
    <row r="747" spans="1:10">
      <c r="A747">
        <v>746</v>
      </c>
      <c r="B747" s="1" t="s">
        <v>645</v>
      </c>
      <c r="C747" s="1" t="s">
        <v>768</v>
      </c>
      <c r="D747" s="1">
        <v>227</v>
      </c>
      <c r="E747" s="1">
        <v>51</v>
      </c>
      <c r="F747" s="1">
        <v>0.89</v>
      </c>
      <c r="G747" s="1">
        <v>20260326</v>
      </c>
      <c r="H747" t="b">
        <f t="shared" si="12"/>
        <v>0</v>
      </c>
      <c r="I747" t="str" cm="1">
        <f t="array" ref="I747">GET_TICKER_FINAL(C747)</f>
        <v/>
      </c>
      <c r="J747" s="5" t="s">
        <v>16</v>
      </c>
    </row>
    <row r="748" spans="1:10">
      <c r="A748">
        <v>747</v>
      </c>
      <c r="B748" s="1" t="s">
        <v>645</v>
      </c>
      <c r="C748" s="1" t="s">
        <v>769</v>
      </c>
      <c r="D748" s="1">
        <v>224</v>
      </c>
      <c r="E748" s="1">
        <v>22</v>
      </c>
      <c r="F748" s="1">
        <v>0.98</v>
      </c>
      <c r="G748" s="1">
        <v>20260330</v>
      </c>
      <c r="H748" t="b">
        <f t="shared" si="12"/>
        <v>0</v>
      </c>
      <c r="I748" t="str" cm="1">
        <f t="array" ref="I748">GET_TICKER_FINAL(C748)</f>
        <v/>
      </c>
      <c r="J748" s="5" t="s">
        <v>16</v>
      </c>
    </row>
    <row r="749" spans="1:10">
      <c r="A749">
        <v>748</v>
      </c>
      <c r="B749" s="1" t="s">
        <v>645</v>
      </c>
      <c r="C749" s="1" t="s">
        <v>770</v>
      </c>
      <c r="D749" s="1">
        <v>223</v>
      </c>
      <c r="E749" s="1">
        <v>22</v>
      </c>
      <c r="F749" s="1">
        <v>0.97</v>
      </c>
      <c r="G749" s="1">
        <v>20260323</v>
      </c>
      <c r="H749" t="b">
        <f t="shared" si="12"/>
        <v>0</v>
      </c>
      <c r="I749" t="str" cm="1">
        <f t="array" ref="I749">GET_TICKER_FINAL(C749)</f>
        <v/>
      </c>
      <c r="J749" s="5" t="s">
        <v>16</v>
      </c>
    </row>
    <row r="750" spans="1:10">
      <c r="A750">
        <v>749</v>
      </c>
      <c r="B750" s="1" t="s">
        <v>645</v>
      </c>
      <c r="C750" s="1" t="s">
        <v>771</v>
      </c>
      <c r="D750" s="1">
        <v>222</v>
      </c>
      <c r="E750" s="1">
        <v>28</v>
      </c>
      <c r="F750" s="1">
        <v>0.95</v>
      </c>
      <c r="G750" s="1">
        <v>20260324</v>
      </c>
      <c r="H750" t="b">
        <f t="shared" si="12"/>
        <v>0</v>
      </c>
      <c r="I750" t="str" cm="1">
        <f t="array" ref="I750">GET_TICKER_FINAL(C750)</f>
        <v/>
      </c>
      <c r="J750" s="5" t="s">
        <v>16</v>
      </c>
    </row>
    <row r="751" spans="1:10">
      <c r="A751">
        <v>750</v>
      </c>
      <c r="B751" s="1" t="s">
        <v>645</v>
      </c>
      <c r="C751" s="1" t="s">
        <v>772</v>
      </c>
      <c r="D751" s="1">
        <v>222</v>
      </c>
      <c r="E751" s="1">
        <v>35</v>
      </c>
      <c r="F751" s="1">
        <v>0.99</v>
      </c>
      <c r="G751" s="1">
        <v>20260327</v>
      </c>
      <c r="H751" t="b">
        <f t="shared" si="12"/>
        <v>0</v>
      </c>
      <c r="I751" t="str" cm="1">
        <f t="array" ref="I751">GET_TICKER_FINAL(C751)</f>
        <v/>
      </c>
      <c r="J751" s="5" t="s">
        <v>14</v>
      </c>
    </row>
    <row r="752" spans="1:10">
      <c r="A752">
        <v>751</v>
      </c>
      <c r="B752" s="1" t="s">
        <v>645</v>
      </c>
      <c r="C752" s="1" t="s">
        <v>773</v>
      </c>
      <c r="D752" s="1">
        <v>219</v>
      </c>
      <c r="E752" s="1">
        <v>40</v>
      </c>
      <c r="F752" s="1">
        <v>0.96</v>
      </c>
      <c r="G752" s="1">
        <v>20260401</v>
      </c>
      <c r="H752" t="b">
        <f t="shared" si="12"/>
        <v>0</v>
      </c>
      <c r="I752" t="str" cm="1">
        <f t="array" ref="I752">GET_TICKER_FINAL(C752)</f>
        <v/>
      </c>
      <c r="J752" s="5" t="s">
        <v>16</v>
      </c>
    </row>
    <row r="753" spans="1:10">
      <c r="A753">
        <v>752</v>
      </c>
      <c r="B753" s="1" t="s">
        <v>645</v>
      </c>
      <c r="C753" s="1" t="s">
        <v>774</v>
      </c>
      <c r="D753" s="1">
        <v>217</v>
      </c>
      <c r="E753" s="1">
        <v>103</v>
      </c>
      <c r="F753" s="1">
        <v>0.88</v>
      </c>
      <c r="G753" s="1">
        <v>20260402</v>
      </c>
      <c r="H753" t="b">
        <f t="shared" si="12"/>
        <v>0</v>
      </c>
      <c r="I753" t="str" cm="1">
        <f t="array" ref="I753">GET_TICKER_FINAL(C753)</f>
        <v/>
      </c>
      <c r="J753" s="5" t="s">
        <v>28</v>
      </c>
    </row>
    <row r="754" spans="1:10">
      <c r="A754">
        <v>753</v>
      </c>
      <c r="B754" s="1" t="s">
        <v>645</v>
      </c>
      <c r="C754" s="1" t="s">
        <v>775</v>
      </c>
      <c r="D754" s="1">
        <v>213</v>
      </c>
      <c r="E754" s="1">
        <v>104</v>
      </c>
      <c r="F754" s="1">
        <v>0.89</v>
      </c>
      <c r="G754" s="1">
        <v>20260324</v>
      </c>
      <c r="H754" t="b">
        <f t="shared" si="12"/>
        <v>0</v>
      </c>
      <c r="I754" t="str" cm="1">
        <f t="array" ref="I754">GET_TICKER_FINAL(C754)</f>
        <v>SPY</v>
      </c>
      <c r="J754" s="5" t="s">
        <v>25</v>
      </c>
    </row>
    <row r="755" spans="1:10">
      <c r="A755">
        <v>754</v>
      </c>
      <c r="B755" s="1" t="s">
        <v>645</v>
      </c>
      <c r="C755" s="1" t="s">
        <v>776</v>
      </c>
      <c r="D755" s="1">
        <v>212</v>
      </c>
      <c r="E755" s="1">
        <v>21</v>
      </c>
      <c r="F755" s="1">
        <v>0.98</v>
      </c>
      <c r="G755" s="1">
        <v>20260323</v>
      </c>
      <c r="H755" t="b">
        <f t="shared" si="12"/>
        <v>0</v>
      </c>
      <c r="I755" t="str" cm="1">
        <f t="array" ref="I755">GET_TICKER_FINAL(C755)</f>
        <v/>
      </c>
      <c r="J755" s="5" t="s">
        <v>16</v>
      </c>
    </row>
    <row r="756" spans="1:10">
      <c r="A756">
        <v>755</v>
      </c>
      <c r="B756" s="1" t="s">
        <v>645</v>
      </c>
      <c r="C756" s="1" t="s">
        <v>777</v>
      </c>
      <c r="D756" s="1">
        <v>212</v>
      </c>
      <c r="E756" s="1">
        <v>113</v>
      </c>
      <c r="F756" s="1">
        <v>0.87</v>
      </c>
      <c r="G756" s="1">
        <v>20260330</v>
      </c>
      <c r="H756" t="b">
        <f t="shared" si="12"/>
        <v>0</v>
      </c>
      <c r="I756" t="str" cm="1">
        <f t="array" ref="I756">GET_TICKER_FINAL(C756)</f>
        <v/>
      </c>
      <c r="J756" s="5" t="s">
        <v>25</v>
      </c>
    </row>
    <row r="757" spans="1:10">
      <c r="A757">
        <v>756</v>
      </c>
      <c r="B757" s="1" t="s">
        <v>645</v>
      </c>
      <c r="C757" s="1" t="s">
        <v>778</v>
      </c>
      <c r="D757" s="1">
        <v>192</v>
      </c>
      <c r="E757" s="1">
        <v>11</v>
      </c>
      <c r="F757" s="1">
        <v>0.98</v>
      </c>
      <c r="G757" s="1">
        <v>20260323</v>
      </c>
      <c r="H757" t="b">
        <f t="shared" si="12"/>
        <v>0</v>
      </c>
      <c r="I757" t="str" cm="1">
        <f t="array" ref="I757">GET_TICKER_FINAL(C757)</f>
        <v>AMZN</v>
      </c>
      <c r="J757" s="5" t="s">
        <v>16</v>
      </c>
    </row>
    <row r="758" spans="1:10">
      <c r="A758">
        <v>757</v>
      </c>
      <c r="B758" s="1" t="s">
        <v>645</v>
      </c>
      <c r="C758" s="1" t="s">
        <v>779</v>
      </c>
      <c r="D758" s="1">
        <v>179</v>
      </c>
      <c r="E758" s="1">
        <v>17</v>
      </c>
      <c r="F758" s="1">
        <v>0.98</v>
      </c>
      <c r="G758" s="1">
        <v>20260331</v>
      </c>
      <c r="H758" t="b">
        <f t="shared" si="12"/>
        <v>0</v>
      </c>
      <c r="I758" t="str" cm="1">
        <f t="array" ref="I758">GET_TICKER_FINAL(C758)</f>
        <v>SPY</v>
      </c>
      <c r="J758" s="5" t="s">
        <v>28</v>
      </c>
    </row>
    <row r="759" spans="1:10">
      <c r="A759">
        <v>758</v>
      </c>
      <c r="B759" s="1" t="s">
        <v>645</v>
      </c>
      <c r="C759" s="1" t="s">
        <v>780</v>
      </c>
      <c r="D759" s="1">
        <v>177</v>
      </c>
      <c r="E759" s="1">
        <v>44</v>
      </c>
      <c r="F759" s="1">
        <v>0.94</v>
      </c>
      <c r="G759" s="1">
        <v>20260326</v>
      </c>
      <c r="H759" t="b">
        <f t="shared" si="12"/>
        <v>0</v>
      </c>
      <c r="I759" t="str" cm="1">
        <f t="array" ref="I759">GET_TICKER_FINAL(C759)</f>
        <v>SNAP</v>
      </c>
      <c r="J759" s="5" t="s">
        <v>16</v>
      </c>
    </row>
    <row r="760" spans="1:10">
      <c r="A760">
        <v>759</v>
      </c>
      <c r="B760" s="1" t="s">
        <v>645</v>
      </c>
      <c r="C760" s="1" t="s">
        <v>781</v>
      </c>
      <c r="D760" s="1">
        <v>166</v>
      </c>
      <c r="E760" s="1">
        <v>58</v>
      </c>
      <c r="F760" s="1">
        <v>0.91</v>
      </c>
      <c r="G760" s="1">
        <v>20260402</v>
      </c>
      <c r="H760" t="b">
        <f t="shared" si="12"/>
        <v>0</v>
      </c>
      <c r="I760" t="str" cm="1">
        <f t="array" ref="I760">GET_TICKER_FINAL(C760)</f>
        <v/>
      </c>
      <c r="J760" s="5" t="s">
        <v>25</v>
      </c>
    </row>
    <row r="761" spans="1:10">
      <c r="A761">
        <v>760</v>
      </c>
      <c r="B761" s="1" t="s">
        <v>645</v>
      </c>
      <c r="C761" s="1" t="s">
        <v>782</v>
      </c>
      <c r="D761" s="1">
        <v>166</v>
      </c>
      <c r="E761" s="1">
        <v>10</v>
      </c>
      <c r="F761" s="1">
        <v>0.97</v>
      </c>
      <c r="G761" s="1">
        <v>20260331</v>
      </c>
      <c r="H761" t="b">
        <f t="shared" si="12"/>
        <v>0</v>
      </c>
      <c r="I761" t="str" cm="1">
        <f t="array" ref="I761">GET_TICKER_FINAL(C761)</f>
        <v/>
      </c>
      <c r="J761" s="5" t="s">
        <v>16</v>
      </c>
    </row>
    <row r="762" spans="1:10">
      <c r="A762">
        <v>761</v>
      </c>
      <c r="B762" s="1" t="s">
        <v>645</v>
      </c>
      <c r="C762" s="1" t="s">
        <v>783</v>
      </c>
      <c r="D762" s="1">
        <v>161</v>
      </c>
      <c r="E762" s="1">
        <v>0</v>
      </c>
      <c r="F762" s="1">
        <v>1</v>
      </c>
      <c r="G762" s="1">
        <v>20260327</v>
      </c>
      <c r="H762" t="b">
        <f t="shared" si="12"/>
        <v>0</v>
      </c>
      <c r="I762" t="str" cm="1">
        <f t="array" ref="I762">GET_TICKER_FINAL(C762)</f>
        <v>NVDA</v>
      </c>
      <c r="J762" s="5" t="s">
        <v>16</v>
      </c>
    </row>
    <row r="763" spans="1:10">
      <c r="A763">
        <v>762</v>
      </c>
      <c r="B763" s="1" t="s">
        <v>645</v>
      </c>
      <c r="C763" s="1" t="s">
        <v>784</v>
      </c>
      <c r="D763" s="1">
        <v>159</v>
      </c>
      <c r="E763" s="1">
        <v>89</v>
      </c>
      <c r="F763" s="1">
        <v>0.95</v>
      </c>
      <c r="G763" s="1">
        <v>20260330</v>
      </c>
      <c r="H763" t="b">
        <f t="shared" si="12"/>
        <v>0</v>
      </c>
      <c r="I763" t="str" cm="1">
        <f t="array" ref="I763">GET_TICKER_FINAL(C763)</f>
        <v/>
      </c>
      <c r="J763" s="5" t="s">
        <v>16</v>
      </c>
    </row>
    <row r="764" spans="1:10">
      <c r="A764">
        <v>763</v>
      </c>
      <c r="B764" s="1" t="s">
        <v>645</v>
      </c>
      <c r="C764" s="1" t="s">
        <v>785</v>
      </c>
      <c r="D764" s="1">
        <v>158</v>
      </c>
      <c r="E764" s="1">
        <v>27</v>
      </c>
      <c r="F764" s="1">
        <v>0.95</v>
      </c>
      <c r="G764" s="1">
        <v>20260320</v>
      </c>
      <c r="H764" t="b">
        <f t="shared" si="12"/>
        <v>0</v>
      </c>
      <c r="I764" t="str" cm="1">
        <f t="array" ref="I764">GET_TICKER_FINAL(C764)</f>
        <v/>
      </c>
      <c r="J764" s="5" t="s">
        <v>25</v>
      </c>
    </row>
    <row r="765" spans="1:10">
      <c r="A765">
        <v>764</v>
      </c>
      <c r="B765" s="1" t="s">
        <v>645</v>
      </c>
      <c r="C765" s="1" t="s">
        <v>786</v>
      </c>
      <c r="D765" s="1">
        <v>155</v>
      </c>
      <c r="E765" s="1">
        <v>35</v>
      </c>
      <c r="F765" s="1">
        <v>0.96</v>
      </c>
      <c r="G765" s="1">
        <v>20260401</v>
      </c>
      <c r="H765" t="b">
        <f t="shared" si="12"/>
        <v>0</v>
      </c>
      <c r="I765" t="str" cm="1">
        <f t="array" ref="I765">GET_TICKER_FINAL(C765)</f>
        <v/>
      </c>
      <c r="J765" s="5" t="s">
        <v>16</v>
      </c>
    </row>
    <row r="766" spans="1:10">
      <c r="A766">
        <v>765</v>
      </c>
      <c r="B766" s="1" t="s">
        <v>645</v>
      </c>
      <c r="C766" s="1" t="s">
        <v>787</v>
      </c>
      <c r="D766" s="1">
        <v>148</v>
      </c>
      <c r="E766" s="1">
        <v>25</v>
      </c>
      <c r="F766" s="1">
        <v>0.96</v>
      </c>
      <c r="G766" s="1">
        <v>20260326</v>
      </c>
      <c r="H766" t="b">
        <f t="shared" si="12"/>
        <v>0</v>
      </c>
      <c r="I766" t="str" cm="1">
        <f t="array" ref="I766">GET_TICKER_FINAL(C766)</f>
        <v/>
      </c>
      <c r="J766" s="5" t="s">
        <v>16</v>
      </c>
    </row>
    <row r="767" spans="1:10">
      <c r="A767">
        <v>766</v>
      </c>
      <c r="B767" s="1" t="s">
        <v>645</v>
      </c>
      <c r="C767" s="1" t="s">
        <v>788</v>
      </c>
      <c r="D767" s="1">
        <v>146</v>
      </c>
      <c r="E767" s="1">
        <v>15</v>
      </c>
      <c r="F767" s="1">
        <v>0.99</v>
      </c>
      <c r="G767" s="1">
        <v>20260320</v>
      </c>
      <c r="H767" t="b">
        <f t="shared" si="12"/>
        <v>0</v>
      </c>
      <c r="I767" t="str" cm="1">
        <f t="array" ref="I767">GET_TICKER_FINAL(C767)</f>
        <v/>
      </c>
      <c r="J767" s="5" t="s">
        <v>16</v>
      </c>
    </row>
    <row r="768" spans="1:10">
      <c r="A768">
        <v>767</v>
      </c>
      <c r="B768" s="1" t="s">
        <v>645</v>
      </c>
      <c r="C768" s="1" t="s">
        <v>789</v>
      </c>
      <c r="D768" s="1">
        <v>144</v>
      </c>
      <c r="E768" s="1">
        <v>60</v>
      </c>
      <c r="F768" s="1">
        <v>0.86</v>
      </c>
      <c r="G768" s="1">
        <v>20260330</v>
      </c>
      <c r="H768" t="b">
        <f t="shared" si="12"/>
        <v>0</v>
      </c>
      <c r="I768" t="str" cm="1">
        <f t="array" ref="I768">GET_TICKER_FINAL(C768)</f>
        <v>SPY</v>
      </c>
      <c r="J768" s="5" t="s">
        <v>1792</v>
      </c>
    </row>
    <row r="769" spans="1:10">
      <c r="A769">
        <v>768</v>
      </c>
      <c r="B769" s="1" t="s">
        <v>645</v>
      </c>
      <c r="C769" s="1" t="s">
        <v>790</v>
      </c>
      <c r="D769" s="1">
        <v>143</v>
      </c>
      <c r="E769" s="1">
        <v>6</v>
      </c>
      <c r="F769" s="1">
        <v>0.98</v>
      </c>
      <c r="G769" s="1">
        <v>20260323</v>
      </c>
      <c r="H769" t="b">
        <f t="shared" si="12"/>
        <v>0</v>
      </c>
      <c r="I769" t="str" cm="1">
        <f t="array" ref="I769">GET_TICKER_FINAL(C769)</f>
        <v>SPY</v>
      </c>
      <c r="J769" s="5" t="s">
        <v>16</v>
      </c>
    </row>
    <row r="770" spans="1:10">
      <c r="A770">
        <v>769</v>
      </c>
      <c r="B770" s="1" t="s">
        <v>645</v>
      </c>
      <c r="C770" s="1" t="s">
        <v>791</v>
      </c>
      <c r="D770" s="1">
        <v>141</v>
      </c>
      <c r="E770" s="1">
        <v>4</v>
      </c>
      <c r="F770" s="1">
        <v>0.97</v>
      </c>
      <c r="G770" s="1">
        <v>20260330</v>
      </c>
      <c r="H770" t="b">
        <f t="shared" si="12"/>
        <v>0</v>
      </c>
      <c r="I770" t="str" cm="1">
        <f t="array" ref="I770">GET_TICKER_FINAL(C770)</f>
        <v>MSFT</v>
      </c>
      <c r="J770" s="5" t="s">
        <v>16</v>
      </c>
    </row>
    <row r="771" spans="1:10">
      <c r="A771">
        <v>770</v>
      </c>
      <c r="B771" s="1" t="s">
        <v>645</v>
      </c>
      <c r="C771" s="1" t="s">
        <v>792</v>
      </c>
      <c r="D771" s="1">
        <v>141</v>
      </c>
      <c r="E771" s="1">
        <v>28</v>
      </c>
      <c r="F771" s="1">
        <v>0.93</v>
      </c>
      <c r="G771" s="1">
        <v>20260402</v>
      </c>
      <c r="H771" t="b">
        <f t="shared" ref="H771:H834" si="13">OR(ISNUMBER(SEARCH("$A",C771)),ISNUMBER(SEARCH("$B",C771)),ISNUMBER(SEARCH("$C",C771)),ISNUMBER(SEARCH("$D",C771)),ISNUMBER(SEARCH("$E",C771)),ISNUMBER(SEARCH("$F",C771)),ISNUMBER(SEARCH("$G",C771)),ISNUMBER(SEARCH("$H",C771)),ISNUMBER(SEARCH("$I",C771)),ISNUMBER(SEARCH("$J",C771)),ISNUMBER(SEARCH("$K",C771)),ISNUMBER(SEARCH("$L",C771)),ISNUMBER(SEARCH("$M",C771)),ISNUMBER(SEARCH("$N",C771)),ISNUMBER(SEARCH("$O",C771)),ISNUMBER(SEARCH("$P",C771)),ISNUMBER(SEARCH("$Q",C771)),ISNUMBER(SEARCH("$R",C771)),ISNUMBER(SEARCH("$S",C771)),ISNUMBER(SEARCH("$T",C771)),ISNUMBER(SEARCH("$U",C771)),ISNUMBER(SEARCH("$V",C771)),ISNUMBER(SEARCH("$W",C771)),ISNUMBER(SEARCH("$X",C771)),ISNUMBER(SEARCH("$Y",C771)),ISNUMBER(SEARCH("$Z",C771)))</f>
        <v>0</v>
      </c>
      <c r="I771" t="str" cm="1">
        <f t="array" ref="I771">GET_TICKER_FINAL(C771)</f>
        <v/>
      </c>
      <c r="J771" s="5" t="s">
        <v>25</v>
      </c>
    </row>
    <row r="772" spans="1:10">
      <c r="A772">
        <v>771</v>
      </c>
      <c r="B772" s="1" t="s">
        <v>645</v>
      </c>
      <c r="C772" s="1" t="s">
        <v>793</v>
      </c>
      <c r="D772" s="1">
        <v>140</v>
      </c>
      <c r="E772" s="1">
        <v>36</v>
      </c>
      <c r="F772" s="1">
        <v>0.99</v>
      </c>
      <c r="G772" s="1">
        <v>20260326</v>
      </c>
      <c r="H772" t="b">
        <f t="shared" si="13"/>
        <v>0</v>
      </c>
      <c r="I772" t="str" cm="1">
        <f t="array" ref="I772">GET_TICKER_FINAL(C772)</f>
        <v/>
      </c>
      <c r="J772" s="5" t="s">
        <v>16</v>
      </c>
    </row>
    <row r="773" spans="1:10">
      <c r="A773">
        <v>772</v>
      </c>
      <c r="B773" s="1" t="s">
        <v>645</v>
      </c>
      <c r="C773" s="1" t="s">
        <v>794</v>
      </c>
      <c r="D773" s="1">
        <v>139</v>
      </c>
      <c r="E773" s="1">
        <v>36</v>
      </c>
      <c r="F773" s="1">
        <v>0.94</v>
      </c>
      <c r="G773" s="1">
        <v>20260331</v>
      </c>
      <c r="H773" t="b">
        <f t="shared" si="13"/>
        <v>0</v>
      </c>
      <c r="I773" t="str" cm="1">
        <f t="array" ref="I773">GET_TICKER_FINAL(C773)</f>
        <v/>
      </c>
      <c r="J773" s="5" t="s">
        <v>1792</v>
      </c>
    </row>
    <row r="774" spans="1:10">
      <c r="A774">
        <v>773</v>
      </c>
      <c r="B774" s="1" t="s">
        <v>645</v>
      </c>
      <c r="C774" s="1" t="s">
        <v>795</v>
      </c>
      <c r="D774" s="1">
        <v>138</v>
      </c>
      <c r="E774" s="1">
        <v>30</v>
      </c>
      <c r="F774" s="1">
        <v>0.95</v>
      </c>
      <c r="G774" s="1">
        <v>20260320</v>
      </c>
      <c r="H774" t="b">
        <f t="shared" si="13"/>
        <v>0</v>
      </c>
      <c r="I774" t="str" cm="1">
        <f t="array" ref="I774">GET_TICKER_FINAL(C774)</f>
        <v/>
      </c>
      <c r="J774" s="5" t="s">
        <v>14</v>
      </c>
    </row>
    <row r="775" spans="1:10">
      <c r="A775">
        <v>774</v>
      </c>
      <c r="B775" s="1" t="s">
        <v>645</v>
      </c>
      <c r="C775" s="1" t="s">
        <v>796</v>
      </c>
      <c r="D775" s="1">
        <v>124</v>
      </c>
      <c r="E775" s="1">
        <v>18</v>
      </c>
      <c r="F775" s="1">
        <v>0.98</v>
      </c>
      <c r="G775" s="1">
        <v>20260330</v>
      </c>
      <c r="H775" t="b">
        <f t="shared" si="13"/>
        <v>0</v>
      </c>
      <c r="I775" t="str" cm="1">
        <f t="array" ref="I775">GET_TICKER_FINAL(C775)</f>
        <v>TSLA</v>
      </c>
      <c r="J775" s="5" t="s">
        <v>25</v>
      </c>
    </row>
    <row r="776" spans="1:10">
      <c r="A776">
        <v>775</v>
      </c>
      <c r="B776" s="1" t="s">
        <v>645</v>
      </c>
      <c r="C776" s="1" t="s">
        <v>797</v>
      </c>
      <c r="D776" s="1">
        <v>118</v>
      </c>
      <c r="E776" s="1">
        <v>8</v>
      </c>
      <c r="F776" s="1">
        <v>0.98</v>
      </c>
      <c r="G776" s="1">
        <v>20260323</v>
      </c>
      <c r="H776" t="b">
        <f t="shared" si="13"/>
        <v>0</v>
      </c>
      <c r="I776" t="str" cm="1">
        <f t="array" ref="I776">GET_TICKER_FINAL(C776)</f>
        <v/>
      </c>
      <c r="J776" s="5" t="s">
        <v>16</v>
      </c>
    </row>
    <row r="777" spans="1:10">
      <c r="A777">
        <v>776</v>
      </c>
      <c r="B777" s="1" t="s">
        <v>645</v>
      </c>
      <c r="C777" s="1" t="s">
        <v>798</v>
      </c>
      <c r="D777" s="1">
        <v>116</v>
      </c>
      <c r="E777" s="1">
        <v>11</v>
      </c>
      <c r="F777" s="1">
        <v>0.9</v>
      </c>
      <c r="G777" s="1">
        <v>20260323</v>
      </c>
      <c r="H777" t="b">
        <f t="shared" si="13"/>
        <v>0</v>
      </c>
      <c r="I777" t="str" cm="1">
        <f t="array" ref="I777">GET_TICKER_FINAL(C777)</f>
        <v/>
      </c>
      <c r="J777" s="5" t="s">
        <v>1792</v>
      </c>
    </row>
    <row r="778" spans="1:10">
      <c r="A778">
        <v>777</v>
      </c>
      <c r="B778" s="1" t="s">
        <v>645</v>
      </c>
      <c r="C778" s="1" t="s">
        <v>799</v>
      </c>
      <c r="D778" s="1">
        <v>115</v>
      </c>
      <c r="E778" s="1">
        <v>14</v>
      </c>
      <c r="F778" s="1">
        <v>0.92</v>
      </c>
      <c r="G778" s="1">
        <v>20260320</v>
      </c>
      <c r="H778" t="b">
        <f t="shared" si="13"/>
        <v>0</v>
      </c>
      <c r="I778" t="str" cm="1">
        <f t="array" ref="I778">GET_TICKER_FINAL(C778)</f>
        <v/>
      </c>
      <c r="J778" s="5" t="s">
        <v>14</v>
      </c>
    </row>
    <row r="779" spans="1:10">
      <c r="A779">
        <v>778</v>
      </c>
      <c r="B779" s="1" t="s">
        <v>645</v>
      </c>
      <c r="C779" s="1" t="s">
        <v>800</v>
      </c>
      <c r="D779" s="1">
        <v>111</v>
      </c>
      <c r="E779" s="1">
        <v>47</v>
      </c>
      <c r="F779" s="1">
        <v>0.95</v>
      </c>
      <c r="G779" s="1">
        <v>20260402</v>
      </c>
      <c r="H779" t="b">
        <f t="shared" si="13"/>
        <v>0</v>
      </c>
      <c r="I779" t="str" cm="1">
        <f t="array" ref="I779">GET_TICKER_FINAL(C779)</f>
        <v/>
      </c>
      <c r="J779" s="5" t="s">
        <v>28</v>
      </c>
    </row>
    <row r="780" spans="1:10">
      <c r="A780">
        <v>779</v>
      </c>
      <c r="B780" s="1" t="s">
        <v>645</v>
      </c>
      <c r="C780" s="1" t="s">
        <v>801</v>
      </c>
      <c r="D780" s="1">
        <v>109</v>
      </c>
      <c r="E780" s="1">
        <v>28</v>
      </c>
      <c r="F780" s="1">
        <v>0.98</v>
      </c>
      <c r="G780" s="1">
        <v>20260320</v>
      </c>
      <c r="H780" t="b">
        <f t="shared" si="13"/>
        <v>0</v>
      </c>
      <c r="I780" t="str" cm="1">
        <f t="array" ref="I780">GET_TICKER_FINAL(C780)</f>
        <v>AMZN</v>
      </c>
      <c r="J780" s="5" t="s">
        <v>25</v>
      </c>
    </row>
    <row r="781" spans="1:10">
      <c r="A781">
        <v>780</v>
      </c>
      <c r="B781" s="1" t="s">
        <v>645</v>
      </c>
      <c r="C781" s="1" t="s">
        <v>802</v>
      </c>
      <c r="D781" s="1">
        <v>105</v>
      </c>
      <c r="E781" s="1">
        <v>18</v>
      </c>
      <c r="F781" s="1">
        <v>0.97</v>
      </c>
      <c r="G781" s="1">
        <v>20260320</v>
      </c>
      <c r="H781" t="b">
        <f t="shared" si="13"/>
        <v>0</v>
      </c>
      <c r="I781" t="str" cm="1">
        <f t="array" ref="I781">GET_TICKER_FINAL(C781)</f>
        <v>MU</v>
      </c>
      <c r="J781" s="5" t="s">
        <v>16</v>
      </c>
    </row>
    <row r="782" spans="1:10">
      <c r="A782">
        <v>781</v>
      </c>
      <c r="B782" s="1" t="s">
        <v>645</v>
      </c>
      <c r="C782" s="1" t="s">
        <v>803</v>
      </c>
      <c r="D782" s="1">
        <v>104</v>
      </c>
      <c r="E782" s="1">
        <v>14</v>
      </c>
      <c r="F782" s="1">
        <v>0.95</v>
      </c>
      <c r="G782" s="1">
        <v>20260402</v>
      </c>
      <c r="H782" t="b">
        <f t="shared" si="13"/>
        <v>0</v>
      </c>
      <c r="I782" t="str" cm="1">
        <f t="array" ref="I782">GET_TICKER_FINAL(C782)</f>
        <v/>
      </c>
      <c r="J782" s="5" t="s">
        <v>16</v>
      </c>
    </row>
    <row r="783" spans="1:10">
      <c r="A783">
        <v>782</v>
      </c>
      <c r="B783" s="1" t="s">
        <v>645</v>
      </c>
      <c r="C783" s="1" t="s">
        <v>804</v>
      </c>
      <c r="D783" s="1">
        <v>101</v>
      </c>
      <c r="E783" s="1">
        <v>7</v>
      </c>
      <c r="F783" s="1">
        <v>0.99</v>
      </c>
      <c r="G783" s="1">
        <v>20260326</v>
      </c>
      <c r="H783" t="b">
        <f t="shared" si="13"/>
        <v>0</v>
      </c>
      <c r="I783" t="str" cm="1">
        <f t="array" ref="I783">GET_TICKER_FINAL(C783)</f>
        <v>SPY</v>
      </c>
      <c r="J783" s="5" t="s">
        <v>16</v>
      </c>
    </row>
    <row r="784" spans="1:10">
      <c r="A784">
        <v>783</v>
      </c>
      <c r="B784" s="1" t="s">
        <v>645</v>
      </c>
      <c r="C784" s="1" t="s">
        <v>805</v>
      </c>
      <c r="D784" s="1">
        <v>98</v>
      </c>
      <c r="E784" s="1">
        <v>13</v>
      </c>
      <c r="F784" s="1">
        <v>0.97</v>
      </c>
      <c r="G784" s="1">
        <v>20260327</v>
      </c>
      <c r="H784" t="b">
        <f t="shared" si="13"/>
        <v>0</v>
      </c>
      <c r="I784" t="str" cm="1">
        <f t="array" ref="I784">GET_TICKER_FINAL(C784)</f>
        <v/>
      </c>
      <c r="J784" s="5" t="s">
        <v>14</v>
      </c>
    </row>
    <row r="785" spans="1:10">
      <c r="A785">
        <v>784</v>
      </c>
      <c r="B785" s="1" t="s">
        <v>645</v>
      </c>
      <c r="C785" s="1" t="s">
        <v>806</v>
      </c>
      <c r="D785" s="1">
        <v>97</v>
      </c>
      <c r="E785" s="1">
        <v>7</v>
      </c>
      <c r="F785" s="1">
        <v>0.97</v>
      </c>
      <c r="G785" s="1">
        <v>20260326</v>
      </c>
      <c r="H785" t="b">
        <f t="shared" si="13"/>
        <v>0</v>
      </c>
      <c r="I785" t="str" cm="1">
        <f t="array" ref="I785">GET_TICKER_FINAL(C785)</f>
        <v/>
      </c>
      <c r="J785" s="5" t="s">
        <v>16</v>
      </c>
    </row>
    <row r="786" spans="1:10">
      <c r="A786">
        <v>785</v>
      </c>
      <c r="B786" s="1" t="s">
        <v>645</v>
      </c>
      <c r="C786" s="1" t="s">
        <v>807</v>
      </c>
      <c r="D786" s="1">
        <v>97</v>
      </c>
      <c r="E786" s="1">
        <v>11</v>
      </c>
      <c r="F786" s="1">
        <v>0.96</v>
      </c>
      <c r="G786" s="1">
        <v>20260320</v>
      </c>
      <c r="H786" t="b">
        <f t="shared" si="13"/>
        <v>0</v>
      </c>
      <c r="I786" t="str" cm="1">
        <f t="array" ref="I786">GET_TICKER_FINAL(C786)</f>
        <v>SPY</v>
      </c>
      <c r="J786" s="5" t="s">
        <v>25</v>
      </c>
    </row>
    <row r="787" spans="1:10">
      <c r="A787">
        <v>786</v>
      </c>
      <c r="B787" s="1" t="s">
        <v>645</v>
      </c>
      <c r="C787" s="1" t="s">
        <v>808</v>
      </c>
      <c r="D787" s="1">
        <v>93</v>
      </c>
      <c r="E787" s="1">
        <v>15</v>
      </c>
      <c r="F787" s="1">
        <v>0.95</v>
      </c>
      <c r="G787" s="1">
        <v>20260327</v>
      </c>
      <c r="H787" t="b">
        <f t="shared" si="13"/>
        <v>0</v>
      </c>
      <c r="I787" t="str" cm="1">
        <f t="array" ref="I787">GET_TICKER_FINAL(C787)</f>
        <v/>
      </c>
      <c r="J787" s="5" t="s">
        <v>16</v>
      </c>
    </row>
    <row r="788" spans="1:10">
      <c r="A788">
        <v>787</v>
      </c>
      <c r="B788" s="1" t="s">
        <v>645</v>
      </c>
      <c r="C788" s="1" t="s">
        <v>809</v>
      </c>
      <c r="D788" s="1">
        <v>89</v>
      </c>
      <c r="E788" s="1">
        <v>13</v>
      </c>
      <c r="F788" s="1">
        <v>0.95</v>
      </c>
      <c r="G788" s="1">
        <v>20260331</v>
      </c>
      <c r="H788" t="b">
        <f t="shared" si="13"/>
        <v>0</v>
      </c>
      <c r="I788" t="str" cm="1">
        <f t="array" ref="I788">GET_TICKER_FINAL(C788)</f>
        <v/>
      </c>
      <c r="J788" s="5" t="s">
        <v>16</v>
      </c>
    </row>
    <row r="789" spans="1:10">
      <c r="A789">
        <v>788</v>
      </c>
      <c r="B789" s="1" t="s">
        <v>645</v>
      </c>
      <c r="C789" s="1" t="s">
        <v>810</v>
      </c>
      <c r="D789" s="1">
        <v>87</v>
      </c>
      <c r="E789" s="1">
        <v>32</v>
      </c>
      <c r="F789" s="1">
        <v>0.95</v>
      </c>
      <c r="G789" s="1">
        <v>20260401</v>
      </c>
      <c r="H789" t="b">
        <f t="shared" si="13"/>
        <v>0</v>
      </c>
      <c r="I789" t="str" cm="1">
        <f t="array" ref="I789">GET_TICKER_FINAL(C789)</f>
        <v/>
      </c>
      <c r="J789" s="5" t="s">
        <v>25</v>
      </c>
    </row>
    <row r="790" spans="1:10">
      <c r="A790">
        <v>789</v>
      </c>
      <c r="B790" s="1" t="s">
        <v>645</v>
      </c>
      <c r="C790" s="1" t="s">
        <v>811</v>
      </c>
      <c r="D790" s="1">
        <v>87</v>
      </c>
      <c r="E790" s="1">
        <v>18</v>
      </c>
      <c r="F790" s="1">
        <v>0.94</v>
      </c>
      <c r="G790" s="1">
        <v>20260330</v>
      </c>
      <c r="H790" t="b">
        <f t="shared" si="13"/>
        <v>0</v>
      </c>
      <c r="I790" t="str" cm="1">
        <f t="array" ref="I790">GET_TICKER_FINAL(C790)</f>
        <v/>
      </c>
      <c r="J790" s="5" t="s">
        <v>16</v>
      </c>
    </row>
    <row r="791" spans="1:10">
      <c r="A791">
        <v>790</v>
      </c>
      <c r="B791" s="1" t="s">
        <v>645</v>
      </c>
      <c r="C791" s="1" t="s">
        <v>812</v>
      </c>
      <c r="D791" s="1">
        <v>86</v>
      </c>
      <c r="E791" s="1">
        <v>67</v>
      </c>
      <c r="F791" s="1">
        <v>0.71</v>
      </c>
      <c r="G791" s="1">
        <v>20260402</v>
      </c>
      <c r="H791" t="b">
        <f t="shared" si="13"/>
        <v>0</v>
      </c>
      <c r="I791" t="str" cm="1">
        <f t="array" ref="I791">GET_TICKER_FINAL(C791)</f>
        <v/>
      </c>
      <c r="J791" s="5" t="s">
        <v>1792</v>
      </c>
    </row>
    <row r="792" spans="1:10">
      <c r="A792">
        <v>791</v>
      </c>
      <c r="B792" s="1" t="s">
        <v>645</v>
      </c>
      <c r="C792" s="1" t="s">
        <v>813</v>
      </c>
      <c r="D792" s="1">
        <v>84</v>
      </c>
      <c r="E792" s="1">
        <v>39</v>
      </c>
      <c r="F792" s="1">
        <v>0.88</v>
      </c>
      <c r="G792" s="1">
        <v>20260330</v>
      </c>
      <c r="H792" t="b">
        <f t="shared" si="13"/>
        <v>0</v>
      </c>
      <c r="I792" t="str" cm="1">
        <f t="array" ref="I792">GET_TICKER_FINAL(C792)</f>
        <v/>
      </c>
      <c r="J792" s="5" t="s">
        <v>25</v>
      </c>
    </row>
    <row r="793" spans="1:10">
      <c r="A793">
        <v>792</v>
      </c>
      <c r="B793" s="1" t="s">
        <v>645</v>
      </c>
      <c r="C793" s="1" t="s">
        <v>814</v>
      </c>
      <c r="D793" s="1">
        <v>81</v>
      </c>
      <c r="E793" s="1">
        <v>7</v>
      </c>
      <c r="F793" s="1">
        <v>0.96</v>
      </c>
      <c r="G793" s="1">
        <v>20260330</v>
      </c>
      <c r="H793" t="b">
        <f t="shared" si="13"/>
        <v>0</v>
      </c>
      <c r="I793" t="str" cm="1">
        <f t="array" ref="I793">GET_TICKER_FINAL(C793)</f>
        <v/>
      </c>
      <c r="J793" s="5" t="s">
        <v>16</v>
      </c>
    </row>
    <row r="794" spans="1:10">
      <c r="A794">
        <v>793</v>
      </c>
      <c r="B794" s="1" t="s">
        <v>645</v>
      </c>
      <c r="C794" s="1" t="s">
        <v>815</v>
      </c>
      <c r="D794" s="1">
        <v>80</v>
      </c>
      <c r="E794" s="1">
        <v>4</v>
      </c>
      <c r="F794" s="1">
        <v>0.95</v>
      </c>
      <c r="G794" s="1">
        <v>20260402</v>
      </c>
      <c r="H794" t="b">
        <f t="shared" si="13"/>
        <v>0</v>
      </c>
      <c r="I794" t="str" cm="1">
        <f t="array" ref="I794">GET_TICKER_FINAL(C794)</f>
        <v/>
      </c>
      <c r="J794" s="5" t="s">
        <v>1792</v>
      </c>
    </row>
    <row r="795" spans="1:10">
      <c r="A795">
        <v>794</v>
      </c>
      <c r="B795" s="1" t="s">
        <v>645</v>
      </c>
      <c r="C795" s="1" t="s">
        <v>816</v>
      </c>
      <c r="D795" s="1">
        <v>80</v>
      </c>
      <c r="E795" s="1">
        <v>3</v>
      </c>
      <c r="F795" s="1">
        <v>0.95</v>
      </c>
      <c r="G795" s="1">
        <v>20260324</v>
      </c>
      <c r="H795" t="b">
        <f t="shared" si="13"/>
        <v>0</v>
      </c>
      <c r="I795" t="str" cm="1">
        <f t="array" ref="I795">GET_TICKER_FINAL(C795)</f>
        <v/>
      </c>
      <c r="J795" s="5" t="s">
        <v>16</v>
      </c>
    </row>
    <row r="796" spans="1:10">
      <c r="A796">
        <v>795</v>
      </c>
      <c r="B796" s="1" t="s">
        <v>645</v>
      </c>
      <c r="C796" s="1" t="s">
        <v>817</v>
      </c>
      <c r="D796" s="1">
        <v>77</v>
      </c>
      <c r="E796" s="1">
        <v>6</v>
      </c>
      <c r="F796" s="1">
        <v>0.94</v>
      </c>
      <c r="G796" s="1">
        <v>20260323</v>
      </c>
      <c r="H796" t="b">
        <f t="shared" si="13"/>
        <v>0</v>
      </c>
      <c r="I796" t="str" cm="1">
        <f t="array" ref="I796">GET_TICKER_FINAL(C796)</f>
        <v/>
      </c>
      <c r="J796" s="5" t="s">
        <v>16</v>
      </c>
    </row>
    <row r="797" spans="1:10">
      <c r="A797">
        <v>796</v>
      </c>
      <c r="B797" s="1" t="s">
        <v>645</v>
      </c>
      <c r="C797" s="1" t="s">
        <v>818</v>
      </c>
      <c r="D797" s="1">
        <v>77</v>
      </c>
      <c r="E797" s="1">
        <v>5</v>
      </c>
      <c r="F797" s="1">
        <v>0.96</v>
      </c>
      <c r="G797" s="1">
        <v>20260323</v>
      </c>
      <c r="H797" t="b">
        <f t="shared" si="13"/>
        <v>0</v>
      </c>
      <c r="I797" t="str" cm="1">
        <f t="array" ref="I797">GET_TICKER_FINAL(C797)</f>
        <v/>
      </c>
      <c r="J797" s="5" t="s">
        <v>16</v>
      </c>
    </row>
    <row r="798" spans="1:10">
      <c r="A798">
        <v>797</v>
      </c>
      <c r="B798" s="1" t="s">
        <v>645</v>
      </c>
      <c r="C798" s="1" t="s">
        <v>819</v>
      </c>
      <c r="D798" s="1">
        <v>75</v>
      </c>
      <c r="E798" s="1">
        <v>17</v>
      </c>
      <c r="F798" s="1">
        <v>0.91</v>
      </c>
      <c r="G798" s="1">
        <v>20260402</v>
      </c>
      <c r="H798" t="b">
        <f t="shared" si="13"/>
        <v>0</v>
      </c>
      <c r="I798" t="str" cm="1">
        <f t="array" ref="I798">GET_TICKER_FINAL(C798)</f>
        <v/>
      </c>
      <c r="J798" s="5" t="s">
        <v>14</v>
      </c>
    </row>
    <row r="799" spans="1:10">
      <c r="A799">
        <v>798</v>
      </c>
      <c r="B799" s="1" t="s">
        <v>645</v>
      </c>
      <c r="C799" s="1" t="s">
        <v>820</v>
      </c>
      <c r="D799" s="1">
        <v>72</v>
      </c>
      <c r="E799" s="1">
        <v>9</v>
      </c>
      <c r="F799" s="1">
        <v>0.96</v>
      </c>
      <c r="G799" s="1">
        <v>20260401</v>
      </c>
      <c r="H799" t="b">
        <f t="shared" si="13"/>
        <v>0</v>
      </c>
      <c r="I799" t="str" cm="1">
        <f t="array" ref="I799">GET_TICKER_FINAL(C799)</f>
        <v>DIS</v>
      </c>
      <c r="J799" s="5" t="s">
        <v>16</v>
      </c>
    </row>
    <row r="800" spans="1:10">
      <c r="A800">
        <v>799</v>
      </c>
      <c r="B800" s="1" t="s">
        <v>645</v>
      </c>
      <c r="C800" s="1" t="s">
        <v>821</v>
      </c>
      <c r="D800" s="1">
        <v>70</v>
      </c>
      <c r="E800" s="1">
        <v>4</v>
      </c>
      <c r="F800" s="1">
        <v>0.99</v>
      </c>
      <c r="G800" s="1">
        <v>20260320</v>
      </c>
      <c r="H800" t="b">
        <f t="shared" si="13"/>
        <v>0</v>
      </c>
      <c r="I800" t="str" cm="1">
        <f t="array" ref="I800">GET_TICKER_FINAL(C800)</f>
        <v>BABA</v>
      </c>
      <c r="J800" s="5" t="s">
        <v>28</v>
      </c>
    </row>
    <row r="801" spans="1:10">
      <c r="A801">
        <v>800</v>
      </c>
      <c r="B801" s="1" t="s">
        <v>645</v>
      </c>
      <c r="C801" s="1" t="s">
        <v>822</v>
      </c>
      <c r="D801" s="1">
        <v>70</v>
      </c>
      <c r="E801" s="1">
        <v>24</v>
      </c>
      <c r="F801" s="1">
        <v>0.97</v>
      </c>
      <c r="G801" s="1">
        <v>20260323</v>
      </c>
      <c r="H801" t="b">
        <f t="shared" si="13"/>
        <v>0</v>
      </c>
      <c r="I801" t="str" cm="1">
        <f t="array" ref="I801">GET_TICKER_FINAL(C801)</f>
        <v/>
      </c>
      <c r="J801" s="5" t="s">
        <v>1792</v>
      </c>
    </row>
    <row r="802" spans="1:10">
      <c r="A802">
        <v>801</v>
      </c>
      <c r="B802" s="1" t="s">
        <v>645</v>
      </c>
      <c r="C802" s="1" t="s">
        <v>823</v>
      </c>
      <c r="D802" s="1">
        <v>69</v>
      </c>
      <c r="E802" s="1">
        <v>43</v>
      </c>
      <c r="F802" s="1">
        <v>0.87</v>
      </c>
      <c r="G802" s="1">
        <v>20260320</v>
      </c>
      <c r="H802" t="b">
        <f t="shared" si="13"/>
        <v>0</v>
      </c>
      <c r="I802" t="str" cm="1">
        <f t="array" ref="I802">GET_TICKER_FINAL(C802)</f>
        <v/>
      </c>
      <c r="J802" s="5" t="s">
        <v>1792</v>
      </c>
    </row>
    <row r="803" spans="1:10">
      <c r="A803">
        <v>802</v>
      </c>
      <c r="B803" s="1" t="s">
        <v>645</v>
      </c>
      <c r="C803" s="1" t="s">
        <v>824</v>
      </c>
      <c r="D803" s="1">
        <v>69</v>
      </c>
      <c r="E803" s="1">
        <v>17</v>
      </c>
      <c r="F803" s="1">
        <v>0.94</v>
      </c>
      <c r="G803" s="1">
        <v>20260326</v>
      </c>
      <c r="H803" t="b">
        <f t="shared" si="13"/>
        <v>0</v>
      </c>
      <c r="I803" t="str" cm="1">
        <f t="array" ref="I803">GET_TICKER_FINAL(C803)</f>
        <v/>
      </c>
      <c r="J803" s="5" t="s">
        <v>25</v>
      </c>
    </row>
    <row r="804" spans="1:10">
      <c r="A804">
        <v>803</v>
      </c>
      <c r="B804" s="1" t="s">
        <v>645</v>
      </c>
      <c r="C804" s="1" t="s">
        <v>40</v>
      </c>
      <c r="D804" s="1">
        <v>69</v>
      </c>
      <c r="E804" s="1">
        <v>12</v>
      </c>
      <c r="F804" s="1">
        <v>0.92</v>
      </c>
      <c r="G804" s="1">
        <v>20260402</v>
      </c>
      <c r="H804" t="b">
        <f t="shared" si="13"/>
        <v>0</v>
      </c>
      <c r="I804" t="str" cm="1">
        <f t="array" ref="I804">GET_TICKER_FINAL(C804)</f>
        <v/>
      </c>
      <c r="J804" s="5" t="s">
        <v>25</v>
      </c>
    </row>
    <row r="805" spans="1:10">
      <c r="A805">
        <v>804</v>
      </c>
      <c r="B805" s="1" t="s">
        <v>645</v>
      </c>
      <c r="C805" s="1" t="s">
        <v>825</v>
      </c>
      <c r="D805" s="1">
        <v>68</v>
      </c>
      <c r="E805" s="1">
        <v>33</v>
      </c>
      <c r="F805" s="1">
        <v>0.87</v>
      </c>
      <c r="G805" s="1">
        <v>20260323</v>
      </c>
      <c r="H805" t="b">
        <f t="shared" si="13"/>
        <v>0</v>
      </c>
      <c r="I805" t="str" cm="1">
        <f t="array" ref="I805">GET_TICKER_FINAL(C805)</f>
        <v/>
      </c>
      <c r="J805" s="5" t="s">
        <v>16</v>
      </c>
    </row>
    <row r="806" spans="1:10">
      <c r="A806">
        <v>805</v>
      </c>
      <c r="B806" s="1" t="s">
        <v>645</v>
      </c>
      <c r="C806" s="1" t="s">
        <v>826</v>
      </c>
      <c r="D806" s="1">
        <v>67</v>
      </c>
      <c r="E806" s="1">
        <v>16</v>
      </c>
      <c r="F806" s="1">
        <v>0.92</v>
      </c>
      <c r="G806" s="1">
        <v>20260327</v>
      </c>
      <c r="H806" t="b">
        <f t="shared" si="13"/>
        <v>0</v>
      </c>
      <c r="I806" t="str" cm="1">
        <f t="array" ref="I806">GET_TICKER_FINAL(C806)</f>
        <v/>
      </c>
      <c r="J806" s="5" t="s">
        <v>16</v>
      </c>
    </row>
    <row r="807" spans="1:10">
      <c r="A807">
        <v>806</v>
      </c>
      <c r="B807" s="1" t="s">
        <v>645</v>
      </c>
      <c r="C807" s="1" t="s">
        <v>827</v>
      </c>
      <c r="D807" s="1">
        <v>67</v>
      </c>
      <c r="E807" s="1">
        <v>78</v>
      </c>
      <c r="F807" s="1">
        <v>0.85</v>
      </c>
      <c r="G807" s="1">
        <v>20260401</v>
      </c>
      <c r="H807" t="b">
        <f t="shared" si="13"/>
        <v>0</v>
      </c>
      <c r="I807" t="str" cm="1">
        <f t="array" ref="I807">GET_TICKER_FINAL(C807)</f>
        <v/>
      </c>
      <c r="J807" s="5" t="s">
        <v>1792</v>
      </c>
    </row>
    <row r="808" spans="1:10">
      <c r="A808">
        <v>807</v>
      </c>
      <c r="B808" s="1" t="s">
        <v>645</v>
      </c>
      <c r="C808" s="1" t="s">
        <v>828</v>
      </c>
      <c r="D808" s="1">
        <v>63</v>
      </c>
      <c r="E808" s="1">
        <v>37</v>
      </c>
      <c r="F808" s="1">
        <v>0.97</v>
      </c>
      <c r="G808" s="1">
        <v>20260323</v>
      </c>
      <c r="H808" t="b">
        <f t="shared" si="13"/>
        <v>0</v>
      </c>
      <c r="I808" t="str" cm="1">
        <f t="array" ref="I808">GET_TICKER_FINAL(C808)</f>
        <v/>
      </c>
      <c r="J808" s="5" t="s">
        <v>1792</v>
      </c>
    </row>
    <row r="809" spans="1:10">
      <c r="A809">
        <v>808</v>
      </c>
      <c r="B809" s="1" t="s">
        <v>645</v>
      </c>
      <c r="C809" s="1" t="s">
        <v>829</v>
      </c>
      <c r="D809" s="1">
        <v>63</v>
      </c>
      <c r="E809" s="1">
        <v>46</v>
      </c>
      <c r="F809" s="1">
        <v>0.79</v>
      </c>
      <c r="G809" s="1">
        <v>20260324</v>
      </c>
      <c r="H809" t="b">
        <f t="shared" si="13"/>
        <v>0</v>
      </c>
      <c r="I809" t="str" cm="1">
        <f t="array" ref="I809">GET_TICKER_FINAL(C809)</f>
        <v/>
      </c>
      <c r="J809" s="5" t="s">
        <v>25</v>
      </c>
    </row>
    <row r="810" spans="1:10">
      <c r="A810">
        <v>809</v>
      </c>
      <c r="B810" s="1" t="s">
        <v>645</v>
      </c>
      <c r="C810" s="1" t="s">
        <v>830</v>
      </c>
      <c r="D810" s="1">
        <v>63</v>
      </c>
      <c r="E810" s="1">
        <v>29</v>
      </c>
      <c r="F810" s="1">
        <v>0.81</v>
      </c>
      <c r="G810" s="1">
        <v>20260402</v>
      </c>
      <c r="H810" t="b">
        <f t="shared" si="13"/>
        <v>0</v>
      </c>
      <c r="I810" t="str" cm="1">
        <f t="array" ref="I810">GET_TICKER_FINAL(C810)</f>
        <v/>
      </c>
      <c r="J810" s="5" t="s">
        <v>16</v>
      </c>
    </row>
    <row r="811" spans="1:10">
      <c r="A811">
        <v>810</v>
      </c>
      <c r="B811" s="1" t="s">
        <v>645</v>
      </c>
      <c r="C811" s="1" t="s">
        <v>831</v>
      </c>
      <c r="D811" s="1">
        <v>60</v>
      </c>
      <c r="E811" s="1">
        <v>41</v>
      </c>
      <c r="F811" s="1">
        <v>0.9</v>
      </c>
      <c r="G811" s="1">
        <v>20260320</v>
      </c>
      <c r="H811" t="b">
        <f t="shared" si="13"/>
        <v>0</v>
      </c>
      <c r="I811" t="str" cm="1">
        <f t="array" ref="I811">GET_TICKER_FINAL(C811)</f>
        <v>MU</v>
      </c>
      <c r="J811" s="5" t="s">
        <v>25</v>
      </c>
    </row>
    <row r="812" spans="1:10">
      <c r="A812">
        <v>811</v>
      </c>
      <c r="B812" s="1" t="s">
        <v>645</v>
      </c>
      <c r="C812" s="1" t="s">
        <v>832</v>
      </c>
      <c r="D812" s="1">
        <v>59</v>
      </c>
      <c r="E812" s="1">
        <v>3</v>
      </c>
      <c r="F812" s="1">
        <v>0.96</v>
      </c>
      <c r="G812" s="1">
        <v>20260331</v>
      </c>
      <c r="H812" t="b">
        <f t="shared" si="13"/>
        <v>0</v>
      </c>
      <c r="I812" t="str" cm="1">
        <f t="array" ref="I812">GET_TICKER_FINAL(C812)</f>
        <v>BABA</v>
      </c>
      <c r="J812" s="5" t="s">
        <v>25</v>
      </c>
    </row>
    <row r="813" spans="1:10">
      <c r="A813">
        <v>812</v>
      </c>
      <c r="B813" s="1" t="s">
        <v>645</v>
      </c>
      <c r="C813" s="1" t="s">
        <v>833</v>
      </c>
      <c r="D813" s="1">
        <v>55</v>
      </c>
      <c r="E813" s="1">
        <v>5</v>
      </c>
      <c r="F813" s="1">
        <v>0.86</v>
      </c>
      <c r="G813" s="1">
        <v>20260320</v>
      </c>
      <c r="H813" t="b">
        <f t="shared" si="13"/>
        <v>0</v>
      </c>
      <c r="I813" t="str" cm="1">
        <f t="array" ref="I813">GET_TICKER_FINAL(C813)</f>
        <v>NVDA</v>
      </c>
      <c r="J813" s="5" t="s">
        <v>25</v>
      </c>
    </row>
    <row r="814" spans="1:10">
      <c r="A814">
        <v>813</v>
      </c>
      <c r="B814" s="1" t="s">
        <v>645</v>
      </c>
      <c r="C814" s="1" t="s">
        <v>834</v>
      </c>
      <c r="D814" s="1">
        <v>54</v>
      </c>
      <c r="E814" s="1">
        <v>16</v>
      </c>
      <c r="F814" s="1">
        <v>0.85</v>
      </c>
      <c r="G814" s="1">
        <v>20260402</v>
      </c>
      <c r="H814" t="b">
        <f t="shared" si="13"/>
        <v>0</v>
      </c>
      <c r="I814" t="str" cm="1">
        <f t="array" ref="I814">GET_TICKER_FINAL(C814)</f>
        <v/>
      </c>
      <c r="J814" s="5" t="s">
        <v>25</v>
      </c>
    </row>
    <row r="815" spans="1:10">
      <c r="A815">
        <v>814</v>
      </c>
      <c r="B815" s="1" t="s">
        <v>645</v>
      </c>
      <c r="C815" s="1" t="s">
        <v>835</v>
      </c>
      <c r="D815" s="1">
        <v>51</v>
      </c>
      <c r="E815" s="1">
        <v>4</v>
      </c>
      <c r="F815" s="1">
        <v>0.94</v>
      </c>
      <c r="G815" s="1">
        <v>20260320</v>
      </c>
      <c r="H815" t="b">
        <f t="shared" si="13"/>
        <v>0</v>
      </c>
      <c r="I815" t="str" cm="1">
        <f t="array" ref="I815">GET_TICKER_FINAL(C815)</f>
        <v/>
      </c>
      <c r="J815" s="5" t="s">
        <v>1792</v>
      </c>
    </row>
    <row r="816" spans="1:10">
      <c r="A816">
        <v>815</v>
      </c>
      <c r="B816" s="1" t="s">
        <v>645</v>
      </c>
      <c r="C816" s="1" t="s">
        <v>836</v>
      </c>
      <c r="D816" s="1">
        <v>51</v>
      </c>
      <c r="E816" s="1">
        <v>6</v>
      </c>
      <c r="F816" s="1">
        <v>0.94</v>
      </c>
      <c r="G816" s="1">
        <v>20260324</v>
      </c>
      <c r="H816" t="b">
        <f t="shared" si="13"/>
        <v>0</v>
      </c>
      <c r="I816" t="str" cm="1">
        <f t="array" ref="I816">GET_TICKER_FINAL(C816)</f>
        <v/>
      </c>
      <c r="J816" s="5" t="s">
        <v>16</v>
      </c>
    </row>
    <row r="817" spans="1:10">
      <c r="A817">
        <v>816</v>
      </c>
      <c r="B817" s="1" t="s">
        <v>645</v>
      </c>
      <c r="C817" s="1" t="s">
        <v>837</v>
      </c>
      <c r="D817" s="1">
        <v>50</v>
      </c>
      <c r="E817" s="1">
        <v>1</v>
      </c>
      <c r="F817" s="1">
        <v>0.92</v>
      </c>
      <c r="G817" s="1">
        <v>20260402</v>
      </c>
      <c r="H817" t="b">
        <f t="shared" si="13"/>
        <v>0</v>
      </c>
      <c r="I817" t="str" cm="1">
        <f t="array" ref="I817">GET_TICKER_FINAL(C817)</f>
        <v/>
      </c>
      <c r="J817" s="5" t="s">
        <v>16</v>
      </c>
    </row>
    <row r="818" spans="1:10">
      <c r="A818">
        <v>817</v>
      </c>
      <c r="B818" s="1" t="s">
        <v>645</v>
      </c>
      <c r="C818" s="1" t="s">
        <v>838</v>
      </c>
      <c r="D818" s="1">
        <v>44</v>
      </c>
      <c r="E818" s="1">
        <v>35</v>
      </c>
      <c r="F818" s="1">
        <v>0.78</v>
      </c>
      <c r="G818" s="1">
        <v>20260330</v>
      </c>
      <c r="H818" t="b">
        <f t="shared" si="13"/>
        <v>0</v>
      </c>
      <c r="I818" t="str" cm="1">
        <f t="array" ref="I818">GET_TICKER_FINAL(C818)</f>
        <v>SNAP</v>
      </c>
      <c r="J818" s="5" t="s">
        <v>16</v>
      </c>
    </row>
    <row r="819" spans="1:10">
      <c r="A819">
        <v>818</v>
      </c>
      <c r="B819" s="1" t="s">
        <v>645</v>
      </c>
      <c r="C819" s="1" t="s">
        <v>839</v>
      </c>
      <c r="D819" s="1">
        <v>40</v>
      </c>
      <c r="E819" s="1">
        <v>10</v>
      </c>
      <c r="F819" s="1">
        <v>0.85</v>
      </c>
      <c r="G819" s="1">
        <v>20260330</v>
      </c>
      <c r="H819" t="b">
        <f t="shared" si="13"/>
        <v>0</v>
      </c>
      <c r="I819" t="str" cm="1">
        <f t="array" ref="I819">GET_TICKER_FINAL(C819)</f>
        <v>SPY</v>
      </c>
      <c r="J819" s="5" t="s">
        <v>1792</v>
      </c>
    </row>
    <row r="820" spans="1:10">
      <c r="A820">
        <v>819</v>
      </c>
      <c r="B820" s="1" t="s">
        <v>645</v>
      </c>
      <c r="C820" s="1" t="s">
        <v>840</v>
      </c>
      <c r="D820" s="1">
        <v>39</v>
      </c>
      <c r="E820" s="1">
        <v>23</v>
      </c>
      <c r="F820" s="1">
        <v>0.81</v>
      </c>
      <c r="G820" s="1">
        <v>20260331</v>
      </c>
      <c r="H820" t="b">
        <f t="shared" si="13"/>
        <v>0</v>
      </c>
      <c r="I820" t="str" cm="1">
        <f t="array" ref="I820">GET_TICKER_FINAL(C820)</f>
        <v/>
      </c>
      <c r="J820" s="5" t="s">
        <v>1792</v>
      </c>
    </row>
    <row r="821" spans="1:10">
      <c r="A821">
        <v>820</v>
      </c>
      <c r="B821" s="1" t="s">
        <v>645</v>
      </c>
      <c r="C821" s="1" t="s">
        <v>841</v>
      </c>
      <c r="D821" s="1">
        <v>38</v>
      </c>
      <c r="E821" s="1">
        <v>21</v>
      </c>
      <c r="F821" s="1">
        <v>0.93</v>
      </c>
      <c r="G821" s="1">
        <v>20260326</v>
      </c>
      <c r="H821" t="b">
        <f t="shared" si="13"/>
        <v>0</v>
      </c>
      <c r="I821" t="str" cm="1">
        <f t="array" ref="I821">GET_TICKER_FINAL(C821)</f>
        <v/>
      </c>
      <c r="J821" s="5" t="s">
        <v>16</v>
      </c>
    </row>
    <row r="822" spans="1:10">
      <c r="A822">
        <v>821</v>
      </c>
      <c r="B822" s="1" t="s">
        <v>645</v>
      </c>
      <c r="C822" s="1" t="s">
        <v>842</v>
      </c>
      <c r="D822" s="1">
        <v>36</v>
      </c>
      <c r="E822" s="1">
        <v>2</v>
      </c>
      <c r="F822" s="1">
        <v>0.96</v>
      </c>
      <c r="G822" s="1">
        <v>20260324</v>
      </c>
      <c r="H822" t="b">
        <f t="shared" si="13"/>
        <v>0</v>
      </c>
      <c r="I822" t="str" cm="1">
        <f t="array" ref="I822">GET_TICKER_FINAL(C822)</f>
        <v/>
      </c>
      <c r="J822" s="5" t="s">
        <v>1792</v>
      </c>
    </row>
    <row r="823" spans="1:10">
      <c r="A823">
        <v>822</v>
      </c>
      <c r="B823" s="1" t="s">
        <v>645</v>
      </c>
      <c r="C823" s="1" t="s">
        <v>843</v>
      </c>
      <c r="D823" s="1">
        <v>36</v>
      </c>
      <c r="E823" s="1">
        <v>83</v>
      </c>
      <c r="F823" s="1">
        <v>0.67</v>
      </c>
      <c r="G823" s="1">
        <v>20260402</v>
      </c>
      <c r="H823" t="b">
        <f t="shared" si="13"/>
        <v>0</v>
      </c>
      <c r="I823" t="str" cm="1">
        <f t="array" ref="I823">GET_TICKER_FINAL(C823)</f>
        <v/>
      </c>
      <c r="J823" s="5" t="s">
        <v>28</v>
      </c>
    </row>
    <row r="824" spans="1:10">
      <c r="A824">
        <v>823</v>
      </c>
      <c r="B824" s="1" t="s">
        <v>645</v>
      </c>
      <c r="C824" s="1" t="s">
        <v>844</v>
      </c>
      <c r="D824" s="1">
        <v>34</v>
      </c>
      <c r="E824" s="1">
        <v>13</v>
      </c>
      <c r="F824" s="1">
        <v>0.89</v>
      </c>
      <c r="G824" s="1">
        <v>20260330</v>
      </c>
      <c r="H824" t="b">
        <f t="shared" si="13"/>
        <v>0</v>
      </c>
      <c r="I824" t="str" cm="1">
        <f t="array" ref="I824">GET_TICKER_FINAL(C824)</f>
        <v/>
      </c>
      <c r="J824" s="5" t="s">
        <v>16</v>
      </c>
    </row>
    <row r="825" spans="1:10">
      <c r="A825">
        <v>824</v>
      </c>
      <c r="B825" s="1" t="s">
        <v>645</v>
      </c>
      <c r="C825" s="1" t="s">
        <v>845</v>
      </c>
      <c r="D825" s="1">
        <v>34</v>
      </c>
      <c r="E825" s="1">
        <v>9</v>
      </c>
      <c r="F825" s="1">
        <v>0.92</v>
      </c>
      <c r="G825" s="1">
        <v>20260324</v>
      </c>
      <c r="H825" t="b">
        <f t="shared" si="13"/>
        <v>0</v>
      </c>
      <c r="I825" t="str" cm="1">
        <f t="array" ref="I825">GET_TICKER_FINAL(C825)</f>
        <v>NVDA</v>
      </c>
      <c r="J825" s="5" t="s">
        <v>16</v>
      </c>
    </row>
    <row r="826" spans="1:10">
      <c r="A826">
        <v>825</v>
      </c>
      <c r="B826" s="1" t="s">
        <v>645</v>
      </c>
      <c r="C826" s="1" t="s">
        <v>846</v>
      </c>
      <c r="D826" s="1">
        <v>31</v>
      </c>
      <c r="E826" s="1">
        <v>2</v>
      </c>
      <c r="F826" s="1">
        <v>0.92</v>
      </c>
      <c r="G826" s="1">
        <v>20260324</v>
      </c>
      <c r="H826" t="b">
        <f t="shared" si="13"/>
        <v>0</v>
      </c>
      <c r="I826" t="str" cm="1">
        <f t="array" ref="I826">GET_TICKER_FINAL(C826)</f>
        <v/>
      </c>
      <c r="J826" s="5" t="s">
        <v>16</v>
      </c>
    </row>
    <row r="827" spans="1:10">
      <c r="A827">
        <v>826</v>
      </c>
      <c r="B827" s="1" t="s">
        <v>645</v>
      </c>
      <c r="C827" s="1" t="s">
        <v>847</v>
      </c>
      <c r="D827" s="1">
        <v>28</v>
      </c>
      <c r="E827" s="1">
        <v>13</v>
      </c>
      <c r="F827" s="1">
        <v>0.89</v>
      </c>
      <c r="G827" s="1">
        <v>20260320</v>
      </c>
      <c r="H827" t="b">
        <f t="shared" si="13"/>
        <v>0</v>
      </c>
      <c r="I827" t="str" cm="1">
        <f t="array" ref="I827">GET_TICKER_FINAL(C827)</f>
        <v/>
      </c>
      <c r="J827" s="5" t="s">
        <v>25</v>
      </c>
    </row>
    <row r="828" spans="1:10">
      <c r="A828">
        <v>827</v>
      </c>
      <c r="B828" s="1" t="s">
        <v>645</v>
      </c>
      <c r="C828" s="1" t="s">
        <v>848</v>
      </c>
      <c r="D828" s="1">
        <v>28</v>
      </c>
      <c r="E828" s="1">
        <v>33</v>
      </c>
      <c r="F828" s="1">
        <v>0.77</v>
      </c>
      <c r="G828" s="1">
        <v>20260402</v>
      </c>
      <c r="H828" t="b">
        <f t="shared" si="13"/>
        <v>0</v>
      </c>
      <c r="I828" t="str" cm="1">
        <f t="array" ref="I828">GET_TICKER_FINAL(C828)</f>
        <v>SNAP</v>
      </c>
      <c r="J828" s="5" t="s">
        <v>25</v>
      </c>
    </row>
    <row r="829" spans="1:10">
      <c r="A829">
        <v>828</v>
      </c>
      <c r="B829" s="1" t="s">
        <v>645</v>
      </c>
      <c r="C829" s="1" t="s">
        <v>849</v>
      </c>
      <c r="D829" s="1">
        <v>28</v>
      </c>
      <c r="E829" s="1">
        <v>0</v>
      </c>
      <c r="F829" s="1">
        <v>0.91</v>
      </c>
      <c r="G829" s="1">
        <v>20260331</v>
      </c>
      <c r="H829" t="b">
        <f t="shared" si="13"/>
        <v>0</v>
      </c>
      <c r="I829" t="str" cm="1">
        <f t="array" ref="I829">GET_TICKER_FINAL(C829)</f>
        <v/>
      </c>
      <c r="J829" s="5" t="s">
        <v>25</v>
      </c>
    </row>
    <row r="830" spans="1:10">
      <c r="A830">
        <v>829</v>
      </c>
      <c r="B830" s="1" t="s">
        <v>645</v>
      </c>
      <c r="C830" s="1" t="s">
        <v>850</v>
      </c>
      <c r="D830" s="1">
        <v>25</v>
      </c>
      <c r="E830" s="1">
        <v>1</v>
      </c>
      <c r="F830" s="1">
        <v>0.93</v>
      </c>
      <c r="G830" s="1">
        <v>20260323</v>
      </c>
      <c r="H830" t="b">
        <f t="shared" si="13"/>
        <v>0</v>
      </c>
      <c r="I830" t="str" cm="1">
        <f t="array" ref="I830">GET_TICKER_FINAL(C830)</f>
        <v/>
      </c>
      <c r="J830" s="5" t="s">
        <v>28</v>
      </c>
    </row>
    <row r="831" spans="1:10">
      <c r="A831">
        <v>830</v>
      </c>
      <c r="B831" s="1" t="s">
        <v>645</v>
      </c>
      <c r="C831" s="1" t="s">
        <v>851</v>
      </c>
      <c r="D831" s="1">
        <v>20</v>
      </c>
      <c r="E831" s="1">
        <v>29</v>
      </c>
      <c r="F831" s="1">
        <v>0.86</v>
      </c>
      <c r="G831" s="1">
        <v>20260327</v>
      </c>
      <c r="H831" t="b">
        <f t="shared" si="13"/>
        <v>0</v>
      </c>
      <c r="I831" t="str" cm="1">
        <f t="array" ref="I831">GET_TICKER_FINAL(C831)</f>
        <v>RKLB</v>
      </c>
      <c r="J831" s="5" t="s">
        <v>16</v>
      </c>
    </row>
    <row r="832" spans="1:10">
      <c r="A832">
        <v>831</v>
      </c>
      <c r="B832" s="1" t="s">
        <v>645</v>
      </c>
      <c r="C832" s="1" t="s">
        <v>852</v>
      </c>
      <c r="D832" s="1">
        <v>20</v>
      </c>
      <c r="E832" s="1">
        <v>0</v>
      </c>
      <c r="F832" s="1">
        <v>1</v>
      </c>
      <c r="G832" s="1">
        <v>20260402</v>
      </c>
      <c r="H832" t="b">
        <f t="shared" si="13"/>
        <v>0</v>
      </c>
      <c r="I832" t="str" cm="1">
        <f t="array" ref="I832">GET_TICKER_FINAL(C832)</f>
        <v/>
      </c>
      <c r="J832" s="5" t="s">
        <v>25</v>
      </c>
    </row>
    <row r="833" spans="1:10">
      <c r="A833">
        <v>832</v>
      </c>
      <c r="B833" s="1" t="s">
        <v>645</v>
      </c>
      <c r="C833" s="1" t="s">
        <v>853</v>
      </c>
      <c r="D833" s="1">
        <v>18</v>
      </c>
      <c r="E833" s="1">
        <v>9</v>
      </c>
      <c r="F833" s="1">
        <v>0.88</v>
      </c>
      <c r="G833" s="1">
        <v>20260402</v>
      </c>
      <c r="H833" t="b">
        <f t="shared" si="13"/>
        <v>0</v>
      </c>
      <c r="I833" t="str" cm="1">
        <f t="array" ref="I833">GET_TICKER_FINAL(C833)</f>
        <v/>
      </c>
      <c r="J833" s="5" t="s">
        <v>25</v>
      </c>
    </row>
    <row r="834" spans="1:10">
      <c r="A834">
        <v>833</v>
      </c>
      <c r="B834" s="1" t="s">
        <v>645</v>
      </c>
      <c r="C834" s="1" t="s">
        <v>854</v>
      </c>
      <c r="D834" s="1">
        <v>15</v>
      </c>
      <c r="E834" s="1">
        <v>2</v>
      </c>
      <c r="F834" s="1">
        <v>0.94</v>
      </c>
      <c r="G834" s="1">
        <v>20260331</v>
      </c>
      <c r="H834" t="b">
        <f t="shared" si="13"/>
        <v>0</v>
      </c>
      <c r="I834" t="str" cm="1">
        <f t="array" ref="I834">GET_TICKER_FINAL(C834)</f>
        <v/>
      </c>
      <c r="J834" s="5" t="s">
        <v>16</v>
      </c>
    </row>
    <row r="835" spans="1:10">
      <c r="A835">
        <v>834</v>
      </c>
      <c r="B835" s="1" t="s">
        <v>645</v>
      </c>
      <c r="C835" s="1" t="s">
        <v>855</v>
      </c>
      <c r="D835" s="1">
        <v>15</v>
      </c>
      <c r="E835" s="1">
        <v>3</v>
      </c>
      <c r="F835" s="1">
        <v>0.84</v>
      </c>
      <c r="G835" s="1">
        <v>20260327</v>
      </c>
      <c r="H835" t="b">
        <f t="shared" ref="H835:H898" si="14">OR(ISNUMBER(SEARCH("$A",C835)),ISNUMBER(SEARCH("$B",C835)),ISNUMBER(SEARCH("$C",C835)),ISNUMBER(SEARCH("$D",C835)),ISNUMBER(SEARCH("$E",C835)),ISNUMBER(SEARCH("$F",C835)),ISNUMBER(SEARCH("$G",C835)),ISNUMBER(SEARCH("$H",C835)),ISNUMBER(SEARCH("$I",C835)),ISNUMBER(SEARCH("$J",C835)),ISNUMBER(SEARCH("$K",C835)),ISNUMBER(SEARCH("$L",C835)),ISNUMBER(SEARCH("$M",C835)),ISNUMBER(SEARCH("$N",C835)),ISNUMBER(SEARCH("$O",C835)),ISNUMBER(SEARCH("$P",C835)),ISNUMBER(SEARCH("$Q",C835)),ISNUMBER(SEARCH("$R",C835)),ISNUMBER(SEARCH("$S",C835)),ISNUMBER(SEARCH("$T",C835)),ISNUMBER(SEARCH("$U",C835)),ISNUMBER(SEARCH("$V",C835)),ISNUMBER(SEARCH("$W",C835)),ISNUMBER(SEARCH("$X",C835)),ISNUMBER(SEARCH("$Y",C835)),ISNUMBER(SEARCH("$Z",C835)))</f>
        <v>0</v>
      </c>
      <c r="I835" t="str" cm="1">
        <f t="array" ref="I835">GET_TICKER_FINAL(C835)</f>
        <v/>
      </c>
      <c r="J835" s="5" t="s">
        <v>1792</v>
      </c>
    </row>
    <row r="836" spans="1:10">
      <c r="A836">
        <v>835</v>
      </c>
      <c r="B836" s="1" t="s">
        <v>645</v>
      </c>
      <c r="C836" s="1" t="s">
        <v>856</v>
      </c>
      <c r="D836" s="1">
        <v>14</v>
      </c>
      <c r="E836" s="1">
        <v>0</v>
      </c>
      <c r="F836" s="1">
        <v>0.79</v>
      </c>
      <c r="G836" s="1">
        <v>20260320</v>
      </c>
      <c r="H836" t="b">
        <f t="shared" si="14"/>
        <v>0</v>
      </c>
      <c r="I836" t="str" cm="1">
        <f t="array" ref="I836">GET_TICKER_FINAL(C836)</f>
        <v>SPY</v>
      </c>
      <c r="J836" s="5" t="s">
        <v>25</v>
      </c>
    </row>
    <row r="837" spans="1:10">
      <c r="A837">
        <v>836</v>
      </c>
      <c r="B837" s="1" t="s">
        <v>645</v>
      </c>
      <c r="C837" s="1" t="s">
        <v>857</v>
      </c>
      <c r="D837" s="1">
        <v>14</v>
      </c>
      <c r="E837" s="1">
        <v>22</v>
      </c>
      <c r="F837" s="1">
        <v>0.69</v>
      </c>
      <c r="G837" s="1">
        <v>20260323</v>
      </c>
      <c r="H837" t="b">
        <f t="shared" si="14"/>
        <v>0</v>
      </c>
      <c r="I837" t="str" cm="1">
        <f t="array" ref="I837">GET_TICKER_FINAL(C837)</f>
        <v/>
      </c>
      <c r="J837" s="5" t="s">
        <v>16</v>
      </c>
    </row>
    <row r="838" spans="1:10">
      <c r="A838">
        <v>837</v>
      </c>
      <c r="B838" s="1" t="s">
        <v>645</v>
      </c>
      <c r="C838" s="1" t="s">
        <v>858</v>
      </c>
      <c r="D838" s="1">
        <v>13</v>
      </c>
      <c r="E838" s="1">
        <v>2</v>
      </c>
      <c r="F838" s="1">
        <v>0.85</v>
      </c>
      <c r="G838" s="1">
        <v>20260402</v>
      </c>
      <c r="H838" t="b">
        <f t="shared" si="14"/>
        <v>0</v>
      </c>
      <c r="I838" t="str" cm="1">
        <f t="array" ref="I838">GET_TICKER_FINAL(C838)</f>
        <v/>
      </c>
      <c r="J838" s="5" t="s">
        <v>1792</v>
      </c>
    </row>
    <row r="839" spans="1:10">
      <c r="A839">
        <v>838</v>
      </c>
      <c r="B839" s="1" t="s">
        <v>645</v>
      </c>
      <c r="C839" s="1" t="s">
        <v>859</v>
      </c>
      <c r="D839" s="1">
        <v>13</v>
      </c>
      <c r="E839" s="1">
        <v>4</v>
      </c>
      <c r="F839" s="1">
        <v>0.93</v>
      </c>
      <c r="G839" s="1">
        <v>20260402</v>
      </c>
      <c r="H839" t="b">
        <f t="shared" si="14"/>
        <v>0</v>
      </c>
      <c r="I839" t="str" cm="1">
        <f t="array" ref="I839">GET_TICKER_FINAL(C839)</f>
        <v/>
      </c>
      <c r="J839" s="5" t="s">
        <v>1792</v>
      </c>
    </row>
    <row r="840" spans="1:10">
      <c r="A840">
        <v>839</v>
      </c>
      <c r="B840" s="1" t="s">
        <v>645</v>
      </c>
      <c r="C840" s="1" t="s">
        <v>860</v>
      </c>
      <c r="D840" s="1">
        <v>12</v>
      </c>
      <c r="E840" s="1">
        <v>15</v>
      </c>
      <c r="F840" s="1">
        <v>0.84</v>
      </c>
      <c r="G840" s="1">
        <v>20260324</v>
      </c>
      <c r="H840" t="b">
        <f t="shared" si="14"/>
        <v>0</v>
      </c>
      <c r="I840" t="str" cm="1">
        <f t="array" ref="I840">GET_TICKER_FINAL(C840)</f>
        <v/>
      </c>
      <c r="J840" s="5" t="s">
        <v>25</v>
      </c>
    </row>
    <row r="841" spans="1:10">
      <c r="A841">
        <v>840</v>
      </c>
      <c r="B841" s="1" t="s">
        <v>645</v>
      </c>
      <c r="C841" s="1" t="s">
        <v>861</v>
      </c>
      <c r="D841" s="1">
        <v>12</v>
      </c>
      <c r="E841" s="1">
        <v>30</v>
      </c>
      <c r="F841" s="1">
        <v>0.72</v>
      </c>
      <c r="G841" s="1">
        <v>20260331</v>
      </c>
      <c r="H841" t="b">
        <f t="shared" si="14"/>
        <v>0</v>
      </c>
      <c r="I841" t="str" cm="1">
        <f t="array" ref="I841">GET_TICKER_FINAL(C841)</f>
        <v/>
      </c>
      <c r="J841" s="5" t="s">
        <v>16</v>
      </c>
    </row>
    <row r="842" spans="1:10">
      <c r="A842">
        <v>841</v>
      </c>
      <c r="B842" s="1" t="s">
        <v>645</v>
      </c>
      <c r="C842" s="1" t="s">
        <v>862</v>
      </c>
      <c r="D842" s="1">
        <v>11</v>
      </c>
      <c r="E842" s="1">
        <v>8</v>
      </c>
      <c r="F842" s="1">
        <v>0.68</v>
      </c>
      <c r="G842" s="1">
        <v>20260331</v>
      </c>
      <c r="H842" t="b">
        <f t="shared" si="14"/>
        <v>0</v>
      </c>
      <c r="I842" t="str" cm="1">
        <f t="array" ref="I842">GET_TICKER_FINAL(C842)</f>
        <v/>
      </c>
      <c r="J842" s="5" t="s">
        <v>1792</v>
      </c>
    </row>
    <row r="843" spans="1:10">
      <c r="A843">
        <v>842</v>
      </c>
      <c r="B843" s="1" t="s">
        <v>645</v>
      </c>
      <c r="C843" s="1" t="s">
        <v>863</v>
      </c>
      <c r="D843" s="1">
        <v>11</v>
      </c>
      <c r="E843" s="1">
        <v>15</v>
      </c>
      <c r="F843" s="1">
        <v>0.72</v>
      </c>
      <c r="G843" s="1">
        <v>20260401</v>
      </c>
      <c r="H843" t="b">
        <f t="shared" si="14"/>
        <v>0</v>
      </c>
      <c r="I843" t="str" cm="1">
        <f t="array" ref="I843">GET_TICKER_FINAL(C843)</f>
        <v/>
      </c>
      <c r="J843" s="5" t="s">
        <v>1792</v>
      </c>
    </row>
    <row r="844" spans="1:10">
      <c r="A844">
        <v>843</v>
      </c>
      <c r="B844" s="1" t="s">
        <v>645</v>
      </c>
      <c r="C844" s="1" t="s">
        <v>235</v>
      </c>
      <c r="D844" s="1">
        <v>10</v>
      </c>
      <c r="E844" s="1">
        <v>1</v>
      </c>
      <c r="F844" s="1">
        <v>0.92</v>
      </c>
      <c r="G844" s="1">
        <v>20260327</v>
      </c>
      <c r="H844" t="b">
        <f t="shared" si="14"/>
        <v>0</v>
      </c>
      <c r="I844" t="str" cm="1">
        <f t="array" ref="I844">GET_TICKER_FINAL(C844)</f>
        <v/>
      </c>
      <c r="J844" s="5" t="s">
        <v>1792</v>
      </c>
    </row>
    <row r="845" spans="1:10">
      <c r="A845">
        <v>844</v>
      </c>
      <c r="B845" s="1" t="s">
        <v>645</v>
      </c>
      <c r="C845" s="1" t="s">
        <v>169</v>
      </c>
      <c r="D845" s="1">
        <v>9</v>
      </c>
      <c r="E845" s="1">
        <v>2</v>
      </c>
      <c r="F845" s="1">
        <v>1</v>
      </c>
      <c r="G845" s="1">
        <v>20260401</v>
      </c>
      <c r="H845" t="b">
        <f t="shared" si="14"/>
        <v>0</v>
      </c>
      <c r="I845" t="str" cm="1">
        <f t="array" ref="I845">GET_TICKER_FINAL(C845)</f>
        <v/>
      </c>
      <c r="J845" s="5" t="s">
        <v>16</v>
      </c>
    </row>
    <row r="846" spans="1:10">
      <c r="A846">
        <v>845</v>
      </c>
      <c r="B846" s="1" t="s">
        <v>645</v>
      </c>
      <c r="C846" s="1" t="s">
        <v>223</v>
      </c>
      <c r="D846" s="1">
        <v>9</v>
      </c>
      <c r="E846" s="1">
        <v>2</v>
      </c>
      <c r="F846" s="1">
        <v>1</v>
      </c>
      <c r="G846" s="1">
        <v>20260324</v>
      </c>
      <c r="H846" t="b">
        <f t="shared" si="14"/>
        <v>0</v>
      </c>
      <c r="I846" t="str" cm="1">
        <f t="array" ref="I846">GET_TICKER_FINAL(C846)</f>
        <v/>
      </c>
      <c r="J846" s="5" t="s">
        <v>1792</v>
      </c>
    </row>
    <row r="847" spans="1:10">
      <c r="A847">
        <v>846</v>
      </c>
      <c r="B847" s="1" t="s">
        <v>645</v>
      </c>
      <c r="C847" s="1" t="s">
        <v>864</v>
      </c>
      <c r="D847" s="1">
        <v>9</v>
      </c>
      <c r="E847" s="1">
        <v>5</v>
      </c>
      <c r="F847" s="1">
        <v>0.76</v>
      </c>
      <c r="G847" s="1">
        <v>20260326</v>
      </c>
      <c r="H847" t="b">
        <f t="shared" si="14"/>
        <v>0</v>
      </c>
      <c r="I847" t="str" cm="1">
        <f t="array" ref="I847">GET_TICKER_FINAL(C847)</f>
        <v/>
      </c>
      <c r="J847" s="5" t="s">
        <v>1792</v>
      </c>
    </row>
    <row r="848" spans="1:10">
      <c r="A848">
        <v>847</v>
      </c>
      <c r="B848" s="1" t="s">
        <v>645</v>
      </c>
      <c r="C848" s="1" t="s">
        <v>165</v>
      </c>
      <c r="D848" s="1">
        <v>9</v>
      </c>
      <c r="E848" s="1">
        <v>1</v>
      </c>
      <c r="F848" s="1">
        <v>1</v>
      </c>
      <c r="G848" s="1">
        <v>20260327</v>
      </c>
      <c r="H848" t="b">
        <f t="shared" si="14"/>
        <v>0</v>
      </c>
      <c r="I848" t="str" cm="1">
        <f t="array" ref="I848">GET_TICKER_FINAL(C848)</f>
        <v/>
      </c>
      <c r="J848" s="5" t="s">
        <v>1792</v>
      </c>
    </row>
    <row r="849" spans="1:10">
      <c r="A849">
        <v>848</v>
      </c>
      <c r="B849" s="1" t="s">
        <v>645</v>
      </c>
      <c r="C849" s="1" t="s">
        <v>261</v>
      </c>
      <c r="D849" s="1">
        <v>9</v>
      </c>
      <c r="E849" s="1">
        <v>0</v>
      </c>
      <c r="F849" s="1">
        <v>1</v>
      </c>
      <c r="G849" s="1">
        <v>20260327</v>
      </c>
      <c r="H849" t="b">
        <f t="shared" si="14"/>
        <v>0</v>
      </c>
      <c r="I849" t="str" cm="1">
        <f t="array" ref="I849">GET_TICKER_FINAL(C849)</f>
        <v/>
      </c>
      <c r="J849" s="5" t="s">
        <v>1792</v>
      </c>
    </row>
    <row r="850" spans="1:10">
      <c r="A850">
        <v>849</v>
      </c>
      <c r="B850" s="1" t="s">
        <v>645</v>
      </c>
      <c r="C850" s="1" t="s">
        <v>865</v>
      </c>
      <c r="D850" s="1">
        <v>8</v>
      </c>
      <c r="E850" s="1">
        <v>15</v>
      </c>
      <c r="F850" s="1">
        <v>0.78</v>
      </c>
      <c r="G850" s="1">
        <v>20260401</v>
      </c>
      <c r="H850" t="b">
        <f t="shared" si="14"/>
        <v>0</v>
      </c>
      <c r="I850" t="str" cm="1">
        <f t="array" ref="I850">GET_TICKER_FINAL(C850)</f>
        <v/>
      </c>
      <c r="J850" s="5" t="s">
        <v>16</v>
      </c>
    </row>
    <row r="851" spans="1:10">
      <c r="A851">
        <v>850</v>
      </c>
      <c r="B851" s="1" t="s">
        <v>645</v>
      </c>
      <c r="C851" s="1" t="s">
        <v>866</v>
      </c>
      <c r="D851" s="1">
        <v>7</v>
      </c>
      <c r="E851" s="1">
        <v>5</v>
      </c>
      <c r="F851" s="1">
        <v>0.77</v>
      </c>
      <c r="G851" s="1">
        <v>20260320</v>
      </c>
      <c r="H851" t="b">
        <f t="shared" si="14"/>
        <v>1</v>
      </c>
      <c r="I851" t="str" cm="1">
        <f t="array" ref="I851">GET_TICKER_FINAL(C851)</f>
        <v/>
      </c>
      <c r="J851" s="5" t="s">
        <v>16</v>
      </c>
    </row>
    <row r="852" spans="1:10">
      <c r="A852">
        <v>851</v>
      </c>
      <c r="B852" s="1" t="s">
        <v>645</v>
      </c>
      <c r="C852" s="1" t="s">
        <v>155</v>
      </c>
      <c r="D852" s="1">
        <v>7</v>
      </c>
      <c r="E852" s="1">
        <v>2</v>
      </c>
      <c r="F852" s="1">
        <v>0.89</v>
      </c>
      <c r="G852" s="1">
        <v>20260326</v>
      </c>
      <c r="H852" t="b">
        <f t="shared" si="14"/>
        <v>0</v>
      </c>
      <c r="I852" t="str" cm="1">
        <f t="array" ref="I852">GET_TICKER_FINAL(C852)</f>
        <v/>
      </c>
      <c r="J852" s="5" t="s">
        <v>1792</v>
      </c>
    </row>
    <row r="853" spans="1:10">
      <c r="A853">
        <v>852</v>
      </c>
      <c r="B853" s="1" t="s">
        <v>645</v>
      </c>
      <c r="C853" s="1" t="s">
        <v>867</v>
      </c>
      <c r="D853" s="1">
        <v>7</v>
      </c>
      <c r="E853" s="1">
        <v>10</v>
      </c>
      <c r="F853" s="1">
        <v>0.62</v>
      </c>
      <c r="G853" s="1">
        <v>20260320</v>
      </c>
      <c r="H853" t="b">
        <f t="shared" si="14"/>
        <v>0</v>
      </c>
      <c r="I853" t="str" cm="1">
        <f t="array" ref="I853">GET_TICKER_FINAL(C853)</f>
        <v>NVDA</v>
      </c>
      <c r="J853" s="5" t="s">
        <v>25</v>
      </c>
    </row>
    <row r="854" spans="1:10">
      <c r="A854">
        <v>853</v>
      </c>
      <c r="B854" s="1" t="s">
        <v>645</v>
      </c>
      <c r="C854" s="1" t="s">
        <v>98</v>
      </c>
      <c r="D854" s="1">
        <v>7</v>
      </c>
      <c r="E854" s="1">
        <v>2</v>
      </c>
      <c r="F854" s="1">
        <v>0.81</v>
      </c>
      <c r="G854" s="1">
        <v>20260323</v>
      </c>
      <c r="H854" t="b">
        <f t="shared" si="14"/>
        <v>0</v>
      </c>
      <c r="I854" t="str" cm="1">
        <f t="array" ref="I854">GET_TICKER_FINAL(C854)</f>
        <v>OKLO</v>
      </c>
      <c r="J854" s="5" t="s">
        <v>25</v>
      </c>
    </row>
    <row r="855" spans="1:10">
      <c r="A855">
        <v>854</v>
      </c>
      <c r="B855" s="1" t="s">
        <v>645</v>
      </c>
      <c r="C855" s="1" t="s">
        <v>241</v>
      </c>
      <c r="D855" s="1">
        <v>6</v>
      </c>
      <c r="E855" s="1">
        <v>8</v>
      </c>
      <c r="F855" s="1">
        <v>1</v>
      </c>
      <c r="G855" s="1">
        <v>20260401</v>
      </c>
      <c r="H855" t="b">
        <f t="shared" si="14"/>
        <v>0</v>
      </c>
      <c r="I855" t="str" cm="1">
        <f t="array" ref="I855">GET_TICKER_FINAL(C855)</f>
        <v/>
      </c>
      <c r="J855" s="5" t="s">
        <v>1792</v>
      </c>
    </row>
    <row r="856" spans="1:10">
      <c r="A856">
        <v>855</v>
      </c>
      <c r="B856" s="1" t="s">
        <v>645</v>
      </c>
      <c r="C856" s="1" t="s">
        <v>173</v>
      </c>
      <c r="D856" s="1">
        <v>6</v>
      </c>
      <c r="E856" s="1">
        <v>0</v>
      </c>
      <c r="F856" s="1">
        <v>1</v>
      </c>
      <c r="G856" s="1">
        <v>20260331</v>
      </c>
      <c r="H856" t="b">
        <f t="shared" si="14"/>
        <v>0</v>
      </c>
      <c r="I856" t="str" cm="1">
        <f t="array" ref="I856">GET_TICKER_FINAL(C856)</f>
        <v/>
      </c>
      <c r="J856" s="5" t="s">
        <v>1792</v>
      </c>
    </row>
    <row r="857" spans="1:10">
      <c r="A857">
        <v>856</v>
      </c>
      <c r="B857" s="1" t="s">
        <v>645</v>
      </c>
      <c r="C857" s="1" t="s">
        <v>868</v>
      </c>
      <c r="D857" s="1">
        <v>5</v>
      </c>
      <c r="E857" s="1">
        <v>23</v>
      </c>
      <c r="F857" s="1">
        <v>0.86</v>
      </c>
      <c r="G857" s="1">
        <v>20260323</v>
      </c>
      <c r="H857" t="b">
        <f t="shared" si="14"/>
        <v>0</v>
      </c>
      <c r="I857" t="str" cm="1">
        <f t="array" ref="I857">GET_TICKER_FINAL(C857)</f>
        <v/>
      </c>
      <c r="J857" s="5" t="s">
        <v>1792</v>
      </c>
    </row>
    <row r="858" spans="1:10">
      <c r="A858">
        <v>857</v>
      </c>
      <c r="B858" s="1" t="s">
        <v>645</v>
      </c>
      <c r="C858" s="1" t="s">
        <v>869</v>
      </c>
      <c r="D858" s="1">
        <v>5</v>
      </c>
      <c r="E858" s="1">
        <v>1</v>
      </c>
      <c r="F858" s="1">
        <v>0.79</v>
      </c>
      <c r="G858" s="1">
        <v>20260402</v>
      </c>
      <c r="H858" t="b">
        <f t="shared" si="14"/>
        <v>0</v>
      </c>
      <c r="I858" t="str" cm="1">
        <f t="array" ref="I858">GET_TICKER_FINAL(C858)</f>
        <v/>
      </c>
      <c r="J858" s="5" t="s">
        <v>1792</v>
      </c>
    </row>
    <row r="859" spans="1:10">
      <c r="A859">
        <v>858</v>
      </c>
      <c r="B859" s="1" t="s">
        <v>645</v>
      </c>
      <c r="C859" s="1" t="s">
        <v>221</v>
      </c>
      <c r="D859" s="1">
        <v>5</v>
      </c>
      <c r="E859" s="1">
        <v>6</v>
      </c>
      <c r="F859" s="1">
        <v>0.86</v>
      </c>
      <c r="G859" s="1">
        <v>20260331</v>
      </c>
      <c r="H859" t="b">
        <f t="shared" si="14"/>
        <v>0</v>
      </c>
      <c r="I859" t="str" cm="1">
        <f t="array" ref="I859">GET_TICKER_FINAL(C859)</f>
        <v/>
      </c>
      <c r="J859" s="5" t="s">
        <v>1792</v>
      </c>
    </row>
    <row r="860" spans="1:10">
      <c r="A860">
        <v>859</v>
      </c>
      <c r="B860" s="1" t="s">
        <v>645</v>
      </c>
      <c r="C860" s="1" t="s">
        <v>224</v>
      </c>
      <c r="D860" s="1">
        <v>5</v>
      </c>
      <c r="E860" s="1">
        <v>1</v>
      </c>
      <c r="F860" s="1">
        <v>0.78</v>
      </c>
      <c r="G860" s="1">
        <v>20260402</v>
      </c>
      <c r="H860" t="b">
        <f t="shared" si="14"/>
        <v>0</v>
      </c>
      <c r="I860" t="str" cm="1">
        <f t="array" ref="I860">GET_TICKER_FINAL(C860)</f>
        <v/>
      </c>
      <c r="J860" s="5" t="s">
        <v>1792</v>
      </c>
    </row>
    <row r="861" spans="1:10">
      <c r="A861">
        <v>860</v>
      </c>
      <c r="B861" s="1" t="s">
        <v>645</v>
      </c>
      <c r="C861" s="1" t="s">
        <v>870</v>
      </c>
      <c r="D861" s="1">
        <v>4</v>
      </c>
      <c r="E861" s="1">
        <v>2</v>
      </c>
      <c r="F861" s="1">
        <v>0.83</v>
      </c>
      <c r="G861" s="1">
        <v>20260320</v>
      </c>
      <c r="H861" t="b">
        <f t="shared" si="14"/>
        <v>0</v>
      </c>
      <c r="I861" t="str" cm="1">
        <f t="array" ref="I861">GET_TICKER_FINAL(C861)</f>
        <v/>
      </c>
      <c r="J861" s="5" t="s">
        <v>25</v>
      </c>
    </row>
    <row r="862" spans="1:10">
      <c r="A862">
        <v>861</v>
      </c>
      <c r="B862" s="1" t="s">
        <v>645</v>
      </c>
      <c r="C862" s="1" t="s">
        <v>162</v>
      </c>
      <c r="D862" s="1">
        <v>3</v>
      </c>
      <c r="E862" s="1">
        <v>0</v>
      </c>
      <c r="F862" s="1">
        <v>1</v>
      </c>
      <c r="G862" s="1">
        <v>20260323</v>
      </c>
      <c r="H862" t="b">
        <f t="shared" si="14"/>
        <v>0</v>
      </c>
      <c r="I862" t="str" cm="1">
        <f t="array" ref="I862">GET_TICKER_FINAL(C862)</f>
        <v/>
      </c>
      <c r="J862" s="5" t="s">
        <v>1792</v>
      </c>
    </row>
    <row r="863" spans="1:10">
      <c r="A863">
        <v>862</v>
      </c>
      <c r="B863" s="1" t="s">
        <v>645</v>
      </c>
      <c r="C863" s="1" t="s">
        <v>210</v>
      </c>
      <c r="D863" s="1">
        <v>3</v>
      </c>
      <c r="E863" s="1">
        <v>1</v>
      </c>
      <c r="F863" s="1">
        <v>0.72</v>
      </c>
      <c r="G863" s="1">
        <v>20260402</v>
      </c>
      <c r="H863" t="b">
        <f t="shared" si="14"/>
        <v>0</v>
      </c>
      <c r="I863" t="str" cm="1">
        <f t="array" ref="I863">GET_TICKER_FINAL(C863)</f>
        <v/>
      </c>
      <c r="J863" s="5" t="s">
        <v>1792</v>
      </c>
    </row>
    <row r="864" spans="1:10">
      <c r="A864">
        <v>863</v>
      </c>
      <c r="B864" s="1" t="s">
        <v>645</v>
      </c>
      <c r="C864" s="1" t="s">
        <v>218</v>
      </c>
      <c r="D864" s="1">
        <v>3</v>
      </c>
      <c r="E864" s="1">
        <v>0</v>
      </c>
      <c r="F864" s="1">
        <v>0.81</v>
      </c>
      <c r="G864" s="1">
        <v>20260323</v>
      </c>
      <c r="H864" t="b">
        <f t="shared" si="14"/>
        <v>0</v>
      </c>
      <c r="I864" t="str" cm="1">
        <f t="array" ref="I864">GET_TICKER_FINAL(C864)</f>
        <v/>
      </c>
      <c r="J864" s="5" t="s">
        <v>1792</v>
      </c>
    </row>
    <row r="865" spans="1:10">
      <c r="A865">
        <v>864</v>
      </c>
      <c r="B865" s="1" t="s">
        <v>645</v>
      </c>
      <c r="C865" s="1" t="s">
        <v>871</v>
      </c>
      <c r="D865" s="1">
        <v>3</v>
      </c>
      <c r="E865" s="1">
        <v>12</v>
      </c>
      <c r="F865" s="1">
        <v>0.55000000000000004</v>
      </c>
      <c r="G865" s="1">
        <v>20260331</v>
      </c>
      <c r="H865" t="b">
        <f t="shared" si="14"/>
        <v>0</v>
      </c>
      <c r="I865" t="str" cm="1">
        <f t="array" ref="I865">GET_TICKER_FINAL(C865)</f>
        <v/>
      </c>
      <c r="J865" s="5" t="s">
        <v>1792</v>
      </c>
    </row>
    <row r="866" spans="1:10">
      <c r="A866">
        <v>865</v>
      </c>
      <c r="B866" s="1" t="s">
        <v>645</v>
      </c>
      <c r="C866" s="1" t="s">
        <v>304</v>
      </c>
      <c r="D866" s="1">
        <v>3</v>
      </c>
      <c r="E866" s="1">
        <v>0</v>
      </c>
      <c r="F866" s="1">
        <v>0.67</v>
      </c>
      <c r="G866" s="1">
        <v>20260402</v>
      </c>
      <c r="H866" t="b">
        <f t="shared" si="14"/>
        <v>0</v>
      </c>
      <c r="I866" t="str" cm="1">
        <f t="array" ref="I866">GET_TICKER_FINAL(C866)</f>
        <v/>
      </c>
      <c r="J866" s="5" t="s">
        <v>28</v>
      </c>
    </row>
    <row r="867" spans="1:10">
      <c r="A867">
        <v>866</v>
      </c>
      <c r="B867" s="1" t="s">
        <v>645</v>
      </c>
      <c r="C867" s="1" t="s">
        <v>239</v>
      </c>
      <c r="D867" s="1">
        <v>3</v>
      </c>
      <c r="E867" s="1">
        <v>0</v>
      </c>
      <c r="F867" s="1">
        <v>0.8</v>
      </c>
      <c r="G867" s="1">
        <v>20260323</v>
      </c>
      <c r="H867" t="b">
        <f t="shared" si="14"/>
        <v>0</v>
      </c>
      <c r="I867" t="str" cm="1">
        <f t="array" ref="I867">GET_TICKER_FINAL(C867)</f>
        <v/>
      </c>
      <c r="J867" s="5" t="s">
        <v>1792</v>
      </c>
    </row>
    <row r="868" spans="1:10">
      <c r="A868">
        <v>867</v>
      </c>
      <c r="B868" s="1" t="s">
        <v>645</v>
      </c>
      <c r="C868" s="1" t="s">
        <v>151</v>
      </c>
      <c r="D868" s="1">
        <v>2</v>
      </c>
      <c r="E868" s="1">
        <v>1</v>
      </c>
      <c r="F868" s="1">
        <v>0.63</v>
      </c>
      <c r="G868" s="1">
        <v>20260402</v>
      </c>
      <c r="H868" t="b">
        <f t="shared" si="14"/>
        <v>0</v>
      </c>
      <c r="I868" t="str" cm="1">
        <f t="array" ref="I868">GET_TICKER_FINAL(C868)</f>
        <v/>
      </c>
      <c r="J868" s="5" t="s">
        <v>1792</v>
      </c>
    </row>
    <row r="869" spans="1:10">
      <c r="A869">
        <v>868</v>
      </c>
      <c r="B869" s="1" t="s">
        <v>645</v>
      </c>
      <c r="C869" s="1" t="s">
        <v>872</v>
      </c>
      <c r="D869" s="1">
        <v>2</v>
      </c>
      <c r="E869" s="1">
        <v>7</v>
      </c>
      <c r="F869" s="1">
        <v>0.75</v>
      </c>
      <c r="G869" s="1">
        <v>20260401</v>
      </c>
      <c r="H869" t="b">
        <f t="shared" si="14"/>
        <v>0</v>
      </c>
      <c r="I869" t="str" cm="1">
        <f t="array" ref="I869">GET_TICKER_FINAL(C869)</f>
        <v/>
      </c>
      <c r="J869" s="5" t="s">
        <v>16</v>
      </c>
    </row>
    <row r="870" spans="1:10">
      <c r="A870">
        <v>869</v>
      </c>
      <c r="B870" s="1" t="s">
        <v>645</v>
      </c>
      <c r="C870" s="1" t="s">
        <v>873</v>
      </c>
      <c r="D870" s="1">
        <v>2</v>
      </c>
      <c r="E870" s="1">
        <v>1</v>
      </c>
      <c r="F870" s="1">
        <v>0.67</v>
      </c>
      <c r="G870" s="1">
        <v>20260320</v>
      </c>
      <c r="H870" t="b">
        <f t="shared" si="14"/>
        <v>0</v>
      </c>
      <c r="I870" t="str" cm="1">
        <f t="array" ref="I870">GET_TICKER_FINAL(C870)</f>
        <v/>
      </c>
      <c r="J870" s="5" t="s">
        <v>1792</v>
      </c>
    </row>
    <row r="871" spans="1:10">
      <c r="A871">
        <v>870</v>
      </c>
      <c r="B871" s="1" t="s">
        <v>645</v>
      </c>
      <c r="C871" s="1" t="s">
        <v>219</v>
      </c>
      <c r="D871" s="1">
        <v>2</v>
      </c>
      <c r="E871" s="1">
        <v>6</v>
      </c>
      <c r="F871" s="1">
        <v>0.75</v>
      </c>
      <c r="G871" s="1">
        <v>20260401</v>
      </c>
      <c r="H871" t="b">
        <f t="shared" si="14"/>
        <v>0</v>
      </c>
      <c r="I871" t="str" cm="1">
        <f t="array" ref="I871">GET_TICKER_FINAL(C871)</f>
        <v/>
      </c>
      <c r="J871" s="5" t="s">
        <v>1792</v>
      </c>
    </row>
    <row r="872" spans="1:10">
      <c r="A872">
        <v>871</v>
      </c>
      <c r="B872" s="1" t="s">
        <v>645</v>
      </c>
      <c r="C872" s="1" t="s">
        <v>874</v>
      </c>
      <c r="D872" s="1">
        <v>2</v>
      </c>
      <c r="E872" s="1">
        <v>0</v>
      </c>
      <c r="F872" s="1">
        <v>1</v>
      </c>
      <c r="G872" s="1">
        <v>20260401</v>
      </c>
      <c r="H872" t="b">
        <f t="shared" si="14"/>
        <v>0</v>
      </c>
      <c r="I872" t="str" cm="1">
        <f t="array" ref="I872">GET_TICKER_FINAL(C872)</f>
        <v/>
      </c>
      <c r="J872" s="5" t="s">
        <v>25</v>
      </c>
    </row>
    <row r="873" spans="1:10">
      <c r="A873">
        <v>872</v>
      </c>
      <c r="B873" s="1" t="s">
        <v>645</v>
      </c>
      <c r="C873" s="1" t="s">
        <v>211</v>
      </c>
      <c r="D873" s="1">
        <v>2</v>
      </c>
      <c r="E873" s="1">
        <v>2</v>
      </c>
      <c r="F873" s="1">
        <v>1</v>
      </c>
      <c r="G873" s="1">
        <v>20260402</v>
      </c>
      <c r="H873" t="b">
        <f t="shared" si="14"/>
        <v>0</v>
      </c>
      <c r="I873" t="str" cm="1">
        <f t="array" ref="I873">GET_TICKER_FINAL(C873)</f>
        <v/>
      </c>
      <c r="J873" s="5" t="s">
        <v>1792</v>
      </c>
    </row>
    <row r="874" spans="1:10">
      <c r="A874">
        <v>873</v>
      </c>
      <c r="B874" s="1" t="s">
        <v>645</v>
      </c>
      <c r="C874" s="1" t="s">
        <v>875</v>
      </c>
      <c r="D874" s="1">
        <v>0</v>
      </c>
      <c r="E874" s="1">
        <v>1</v>
      </c>
      <c r="F874" s="1">
        <v>0.33</v>
      </c>
      <c r="G874" s="1">
        <v>20260402</v>
      </c>
      <c r="H874" t="b">
        <f t="shared" si="14"/>
        <v>0</v>
      </c>
      <c r="I874" t="str" cm="1">
        <f t="array" ref="I874">GET_TICKER_FINAL(C874)</f>
        <v/>
      </c>
      <c r="J874" s="5" t="s">
        <v>16</v>
      </c>
    </row>
    <row r="875" spans="1:10">
      <c r="A875">
        <v>874</v>
      </c>
      <c r="B875" s="1" t="s">
        <v>645</v>
      </c>
      <c r="C875" s="1" t="s">
        <v>876</v>
      </c>
      <c r="D875" s="1">
        <v>0</v>
      </c>
      <c r="E875" s="1">
        <v>59</v>
      </c>
      <c r="F875" s="1">
        <v>0.41</v>
      </c>
      <c r="G875" s="1">
        <v>20260402</v>
      </c>
      <c r="H875" t="b">
        <f t="shared" si="14"/>
        <v>0</v>
      </c>
      <c r="I875" t="str" cm="1">
        <f t="array" ref="I875">GET_TICKER_FINAL(C875)</f>
        <v/>
      </c>
      <c r="J875" s="5" t="s">
        <v>1792</v>
      </c>
    </row>
    <row r="876" spans="1:10">
      <c r="A876">
        <v>875</v>
      </c>
      <c r="B876" s="1" t="s">
        <v>645</v>
      </c>
      <c r="C876" s="1" t="s">
        <v>877</v>
      </c>
      <c r="D876" s="1">
        <v>0</v>
      </c>
      <c r="E876" s="1">
        <v>42</v>
      </c>
      <c r="F876" s="1">
        <v>0.42</v>
      </c>
      <c r="G876" s="1">
        <v>20260402</v>
      </c>
      <c r="H876" t="b">
        <f t="shared" si="14"/>
        <v>0</v>
      </c>
      <c r="I876" t="str" cm="1">
        <f t="array" ref="I876">GET_TICKER_FINAL(C876)</f>
        <v>SNAP</v>
      </c>
      <c r="J876" s="5" t="s">
        <v>25</v>
      </c>
    </row>
    <row r="877" spans="1:10">
      <c r="A877">
        <v>876</v>
      </c>
      <c r="B877" s="1" t="s">
        <v>645</v>
      </c>
      <c r="C877" s="1" t="s">
        <v>878</v>
      </c>
      <c r="D877" s="1">
        <v>0</v>
      </c>
      <c r="E877" s="1">
        <v>1</v>
      </c>
      <c r="F877" s="1">
        <v>0.4</v>
      </c>
      <c r="G877" s="1">
        <v>20260402</v>
      </c>
      <c r="H877" t="b">
        <f t="shared" si="14"/>
        <v>0</v>
      </c>
      <c r="I877" t="str" cm="1">
        <f t="array" ref="I877">GET_TICKER_FINAL(C877)</f>
        <v/>
      </c>
      <c r="J877" s="5" t="s">
        <v>28</v>
      </c>
    </row>
    <row r="878" spans="1:10">
      <c r="A878">
        <v>877</v>
      </c>
      <c r="B878" s="1" t="s">
        <v>645</v>
      </c>
      <c r="C878" s="1" t="s">
        <v>879</v>
      </c>
      <c r="D878" s="1">
        <v>0</v>
      </c>
      <c r="E878" s="1">
        <v>42</v>
      </c>
      <c r="F878" s="1">
        <v>0.35</v>
      </c>
      <c r="G878" s="1">
        <v>20260402</v>
      </c>
      <c r="H878" t="b">
        <f t="shared" si="14"/>
        <v>0</v>
      </c>
      <c r="I878" t="str" cm="1">
        <f t="array" ref="I878">GET_TICKER_FINAL(C878)</f>
        <v/>
      </c>
      <c r="J878" s="5" t="s">
        <v>25</v>
      </c>
    </row>
    <row r="879" spans="1:10">
      <c r="A879">
        <v>878</v>
      </c>
      <c r="B879" s="1" t="s">
        <v>645</v>
      </c>
      <c r="C879" s="1" t="s">
        <v>880</v>
      </c>
      <c r="D879" s="1">
        <v>0</v>
      </c>
      <c r="E879" s="1">
        <v>9</v>
      </c>
      <c r="F879" s="1">
        <v>0.16</v>
      </c>
      <c r="G879" s="1">
        <v>20260402</v>
      </c>
      <c r="H879" t="b">
        <f t="shared" si="14"/>
        <v>0</v>
      </c>
      <c r="I879" t="str" cm="1">
        <f t="array" ref="I879">GET_TICKER_FINAL(C879)</f>
        <v/>
      </c>
      <c r="J879" s="5" t="s">
        <v>1792</v>
      </c>
    </row>
    <row r="880" spans="1:10">
      <c r="A880">
        <v>879</v>
      </c>
      <c r="B880" s="1" t="s">
        <v>645</v>
      </c>
      <c r="C880" s="1" t="s">
        <v>881</v>
      </c>
      <c r="D880" s="1">
        <v>0</v>
      </c>
      <c r="E880" s="1">
        <v>13</v>
      </c>
      <c r="F880" s="1">
        <v>0.39</v>
      </c>
      <c r="G880" s="1">
        <v>20260327</v>
      </c>
      <c r="H880" t="b">
        <f t="shared" si="14"/>
        <v>0</v>
      </c>
      <c r="I880" t="str" cm="1">
        <f t="array" ref="I880">GET_TICKER_FINAL(C880)</f>
        <v/>
      </c>
      <c r="J880" s="5" t="s">
        <v>1792</v>
      </c>
    </row>
    <row r="881" spans="1:10">
      <c r="A881">
        <v>880</v>
      </c>
      <c r="B881" s="1" t="s">
        <v>645</v>
      </c>
      <c r="C881" s="1" t="s">
        <v>882</v>
      </c>
      <c r="D881" s="1">
        <v>0</v>
      </c>
      <c r="E881" s="1">
        <v>14</v>
      </c>
      <c r="F881" s="1">
        <v>0.28999999999999998</v>
      </c>
      <c r="G881" s="1">
        <v>20260326</v>
      </c>
      <c r="H881" t="b">
        <f t="shared" si="14"/>
        <v>0</v>
      </c>
      <c r="I881" t="str" cm="1">
        <f t="array" ref="I881">GET_TICKER_FINAL(C881)</f>
        <v/>
      </c>
      <c r="J881" s="5" t="s">
        <v>1792</v>
      </c>
    </row>
    <row r="882" spans="1:10">
      <c r="A882">
        <v>881</v>
      </c>
      <c r="B882" s="1" t="s">
        <v>645</v>
      </c>
      <c r="C882" s="1" t="s">
        <v>883</v>
      </c>
      <c r="D882" s="1">
        <v>0</v>
      </c>
      <c r="E882" s="1">
        <v>26</v>
      </c>
      <c r="F882" s="1">
        <v>0.3</v>
      </c>
      <c r="G882" s="1">
        <v>20260326</v>
      </c>
      <c r="H882" t="b">
        <f t="shared" si="14"/>
        <v>0</v>
      </c>
      <c r="I882" t="str" cm="1">
        <f t="array" ref="I882">GET_TICKER_FINAL(C882)</f>
        <v/>
      </c>
      <c r="J882" s="5" t="s">
        <v>1792</v>
      </c>
    </row>
    <row r="883" spans="1:10">
      <c r="A883">
        <v>882</v>
      </c>
      <c r="B883" s="1" t="s">
        <v>645</v>
      </c>
      <c r="C883" s="1" t="s">
        <v>884</v>
      </c>
      <c r="D883" s="1">
        <v>0</v>
      </c>
      <c r="E883" s="1">
        <v>34</v>
      </c>
      <c r="F883" s="1">
        <v>0.46</v>
      </c>
      <c r="G883" s="1">
        <v>20260326</v>
      </c>
      <c r="H883" t="b">
        <f t="shared" si="14"/>
        <v>0</v>
      </c>
      <c r="I883" t="str" cm="1">
        <f t="array" ref="I883">GET_TICKER_FINAL(C883)</f>
        <v/>
      </c>
      <c r="J883" s="5" t="s">
        <v>28</v>
      </c>
    </row>
    <row r="884" spans="1:10">
      <c r="A884">
        <v>883</v>
      </c>
      <c r="B884" s="1" t="s">
        <v>645</v>
      </c>
      <c r="C884" s="1" t="s">
        <v>885</v>
      </c>
      <c r="D884" s="1">
        <v>0</v>
      </c>
      <c r="E884" s="1">
        <v>16</v>
      </c>
      <c r="F884" s="1">
        <v>0.41</v>
      </c>
      <c r="G884" s="1">
        <v>20260323</v>
      </c>
      <c r="H884" t="b">
        <f t="shared" si="14"/>
        <v>0</v>
      </c>
      <c r="I884" t="str" cm="1">
        <f t="array" ref="I884">GET_TICKER_FINAL(C884)</f>
        <v/>
      </c>
      <c r="J884" s="5" t="s">
        <v>25</v>
      </c>
    </row>
    <row r="885" spans="1:10">
      <c r="A885">
        <v>884</v>
      </c>
      <c r="B885" s="1" t="s">
        <v>645</v>
      </c>
      <c r="C885" s="1" t="s">
        <v>886</v>
      </c>
      <c r="D885" s="1">
        <v>0</v>
      </c>
      <c r="E885" s="1">
        <v>5</v>
      </c>
      <c r="F885" s="1">
        <v>0.33</v>
      </c>
      <c r="G885" s="1">
        <v>20260323</v>
      </c>
      <c r="H885" t="b">
        <f t="shared" si="14"/>
        <v>0</v>
      </c>
      <c r="I885" t="str" cm="1">
        <f t="array" ref="I885">GET_TICKER_FINAL(C885)</f>
        <v/>
      </c>
      <c r="J885" s="5" t="s">
        <v>1792</v>
      </c>
    </row>
    <row r="886" spans="1:10">
      <c r="A886">
        <v>885</v>
      </c>
      <c r="B886" s="1" t="s">
        <v>645</v>
      </c>
      <c r="C886" s="1" t="s">
        <v>887</v>
      </c>
      <c r="D886" s="1">
        <v>0</v>
      </c>
      <c r="E886" s="1">
        <v>23</v>
      </c>
      <c r="F886" s="1">
        <v>0.48</v>
      </c>
      <c r="G886" s="1">
        <v>20260320</v>
      </c>
      <c r="H886" t="b">
        <f t="shared" si="14"/>
        <v>1</v>
      </c>
      <c r="I886" t="str" cm="1">
        <f t="array" ref="I886">GET_TICKER_FINAL(C886)</f>
        <v/>
      </c>
      <c r="J886" s="5" t="s">
        <v>16</v>
      </c>
    </row>
    <row r="887" spans="1:10">
      <c r="A887">
        <v>886</v>
      </c>
      <c r="B887" s="1" t="s">
        <v>888</v>
      </c>
      <c r="C887" s="1" t="s">
        <v>889</v>
      </c>
      <c r="D887" s="1">
        <v>5624</v>
      </c>
      <c r="E887" s="1">
        <v>578</v>
      </c>
      <c r="F887" s="1">
        <v>0.94</v>
      </c>
      <c r="G887" s="1">
        <v>20260326</v>
      </c>
      <c r="H887" t="b">
        <f t="shared" si="14"/>
        <v>0</v>
      </c>
      <c r="I887" t="str" cm="1">
        <f t="array" ref="I887">GET_TICKER_FINAL(C887)</f>
        <v/>
      </c>
      <c r="J887" s="5" t="s">
        <v>25</v>
      </c>
    </row>
    <row r="888" spans="1:10">
      <c r="A888">
        <v>887</v>
      </c>
      <c r="B888" s="1" t="s">
        <v>888</v>
      </c>
      <c r="C888" s="1" t="s">
        <v>890</v>
      </c>
      <c r="D888" s="1">
        <v>3171</v>
      </c>
      <c r="E888" s="1">
        <v>466</v>
      </c>
      <c r="F888" s="1">
        <v>0.96</v>
      </c>
      <c r="G888" s="1">
        <v>20260402</v>
      </c>
      <c r="H888" t="b">
        <f t="shared" si="14"/>
        <v>0</v>
      </c>
      <c r="I888" t="str" cm="1">
        <f t="array" ref="I888">GET_TICKER_FINAL(C888)</f>
        <v/>
      </c>
      <c r="J888" s="5" t="s">
        <v>16</v>
      </c>
    </row>
    <row r="889" spans="1:10">
      <c r="A889">
        <v>888</v>
      </c>
      <c r="B889" s="1" t="s">
        <v>888</v>
      </c>
      <c r="C889" s="1" t="s">
        <v>891</v>
      </c>
      <c r="D889" s="1">
        <v>3078</v>
      </c>
      <c r="E889" s="1">
        <v>348</v>
      </c>
      <c r="F889" s="1">
        <v>0.96</v>
      </c>
      <c r="G889" s="1">
        <v>20260326</v>
      </c>
      <c r="H889" t="b">
        <f t="shared" si="14"/>
        <v>0</v>
      </c>
      <c r="I889" t="str" cm="1">
        <f t="array" ref="I889">GET_TICKER_FINAL(C889)</f>
        <v>SPY</v>
      </c>
      <c r="J889" s="5" t="s">
        <v>16</v>
      </c>
    </row>
    <row r="890" spans="1:10">
      <c r="A890">
        <v>889</v>
      </c>
      <c r="B890" s="1" t="s">
        <v>888</v>
      </c>
      <c r="C890" s="1" t="s">
        <v>892</v>
      </c>
      <c r="D890" s="1">
        <v>3053</v>
      </c>
      <c r="E890" s="1">
        <v>507</v>
      </c>
      <c r="F890" s="1">
        <v>0.93</v>
      </c>
      <c r="G890" s="1">
        <v>20260402</v>
      </c>
      <c r="H890" t="b">
        <f t="shared" si="14"/>
        <v>0</v>
      </c>
      <c r="I890" t="str" cm="1">
        <f t="array" ref="I890">GET_TICKER_FINAL(C890)</f>
        <v/>
      </c>
      <c r="J890" s="5" t="s">
        <v>16</v>
      </c>
    </row>
    <row r="891" spans="1:10">
      <c r="A891">
        <v>890</v>
      </c>
      <c r="B891" s="1" t="s">
        <v>888</v>
      </c>
      <c r="C891" s="1" t="s">
        <v>893</v>
      </c>
      <c r="D891" s="1">
        <v>2450</v>
      </c>
      <c r="E891" s="1">
        <v>875</v>
      </c>
      <c r="F891" s="1">
        <v>0.92</v>
      </c>
      <c r="G891" s="1">
        <v>20260324</v>
      </c>
      <c r="H891" t="b">
        <f t="shared" si="14"/>
        <v>0</v>
      </c>
      <c r="I891" t="str" cm="1">
        <f t="array" ref="I891">GET_TICKER_FINAL(C891)</f>
        <v/>
      </c>
      <c r="J891" s="5" t="s">
        <v>16</v>
      </c>
    </row>
    <row r="892" spans="1:10">
      <c r="A892">
        <v>891</v>
      </c>
      <c r="B892" s="1" t="s">
        <v>888</v>
      </c>
      <c r="C892" s="1" t="s">
        <v>894</v>
      </c>
      <c r="D892" s="1">
        <v>2279</v>
      </c>
      <c r="E892" s="1">
        <v>175</v>
      </c>
      <c r="F892" s="1">
        <v>0.95</v>
      </c>
      <c r="G892" s="1">
        <v>20260402</v>
      </c>
      <c r="H892" t="b">
        <f t="shared" si="14"/>
        <v>0</v>
      </c>
      <c r="I892" t="str" cm="1">
        <f t="array" ref="I892">GET_TICKER_FINAL(C892)</f>
        <v/>
      </c>
      <c r="J892" s="5" t="s">
        <v>16</v>
      </c>
    </row>
    <row r="893" spans="1:10">
      <c r="A893">
        <v>892</v>
      </c>
      <c r="B893" s="1" t="s">
        <v>888</v>
      </c>
      <c r="C893" s="1" t="s">
        <v>895</v>
      </c>
      <c r="D893" s="1">
        <v>2143</v>
      </c>
      <c r="E893" s="1">
        <v>1168</v>
      </c>
      <c r="F893" s="1">
        <v>0.87</v>
      </c>
      <c r="G893" s="1">
        <v>20260331</v>
      </c>
      <c r="H893" t="b">
        <f t="shared" si="14"/>
        <v>0</v>
      </c>
      <c r="I893" t="str" cm="1">
        <f t="array" ref="I893">GET_TICKER_FINAL(C893)</f>
        <v/>
      </c>
      <c r="J893" s="5" t="s">
        <v>16</v>
      </c>
    </row>
    <row r="894" spans="1:10">
      <c r="A894">
        <v>893</v>
      </c>
      <c r="B894" s="1" t="s">
        <v>888</v>
      </c>
      <c r="C894" s="1" t="s">
        <v>896</v>
      </c>
      <c r="D894" s="1">
        <v>2105</v>
      </c>
      <c r="E894" s="1">
        <v>56</v>
      </c>
      <c r="F894" s="1">
        <v>0.96</v>
      </c>
      <c r="G894" s="1">
        <v>20260324</v>
      </c>
      <c r="H894" t="b">
        <f t="shared" si="14"/>
        <v>0</v>
      </c>
      <c r="I894" t="str" cm="1">
        <f t="array" ref="I894">GET_TICKER_FINAL(C894)</f>
        <v/>
      </c>
      <c r="J894" s="5" t="s">
        <v>25</v>
      </c>
    </row>
    <row r="895" spans="1:10">
      <c r="A895">
        <v>894</v>
      </c>
      <c r="B895" s="1" t="s">
        <v>888</v>
      </c>
      <c r="C895" s="1" t="s">
        <v>897</v>
      </c>
      <c r="D895" s="1">
        <v>1975</v>
      </c>
      <c r="E895" s="1">
        <v>607</v>
      </c>
      <c r="F895" s="1">
        <v>0.91</v>
      </c>
      <c r="G895" s="1">
        <v>20260326</v>
      </c>
      <c r="H895" t="b">
        <f t="shared" si="14"/>
        <v>0</v>
      </c>
      <c r="I895" t="str" cm="1">
        <f t="array" ref="I895">GET_TICKER_FINAL(C895)</f>
        <v/>
      </c>
      <c r="J895" s="5" t="s">
        <v>16</v>
      </c>
    </row>
    <row r="896" spans="1:10">
      <c r="A896">
        <v>895</v>
      </c>
      <c r="B896" s="1" t="s">
        <v>888</v>
      </c>
      <c r="C896" s="1" t="s">
        <v>898</v>
      </c>
      <c r="D896" s="1">
        <v>1904</v>
      </c>
      <c r="E896" s="1">
        <v>204</v>
      </c>
      <c r="F896" s="1">
        <v>0.98</v>
      </c>
      <c r="G896" s="1">
        <v>20260331</v>
      </c>
      <c r="H896" t="b">
        <f t="shared" si="14"/>
        <v>0</v>
      </c>
      <c r="I896" t="str" cm="1">
        <f t="array" ref="I896">GET_TICKER_FINAL(C896)</f>
        <v/>
      </c>
      <c r="J896" s="5" t="s">
        <v>16</v>
      </c>
    </row>
    <row r="897" spans="1:10">
      <c r="A897">
        <v>896</v>
      </c>
      <c r="B897" s="1" t="s">
        <v>888</v>
      </c>
      <c r="C897" s="1" t="s">
        <v>899</v>
      </c>
      <c r="D897" s="1">
        <v>1878</v>
      </c>
      <c r="E897" s="1">
        <v>538</v>
      </c>
      <c r="F897" s="1">
        <v>0.89</v>
      </c>
      <c r="G897" s="1">
        <v>20260327</v>
      </c>
      <c r="H897" t="b">
        <f t="shared" si="14"/>
        <v>0</v>
      </c>
      <c r="I897" t="str" cm="1">
        <f t="array" ref="I897">GET_TICKER_FINAL(C897)</f>
        <v>PLTR</v>
      </c>
      <c r="J897" s="5" t="s">
        <v>16</v>
      </c>
    </row>
    <row r="898" spans="1:10">
      <c r="A898">
        <v>897</v>
      </c>
      <c r="B898" s="1" t="s">
        <v>888</v>
      </c>
      <c r="C898" s="1" t="s">
        <v>900</v>
      </c>
      <c r="D898" s="1">
        <v>1728</v>
      </c>
      <c r="E898" s="1">
        <v>684</v>
      </c>
      <c r="F898" s="1">
        <v>0.95</v>
      </c>
      <c r="G898" s="1">
        <v>20260401</v>
      </c>
      <c r="H898" t="b">
        <f t="shared" si="14"/>
        <v>0</v>
      </c>
      <c r="I898" t="str" cm="1">
        <f t="array" ref="I898">GET_TICKER_FINAL(C898)</f>
        <v/>
      </c>
      <c r="J898" s="5" t="s">
        <v>16</v>
      </c>
    </row>
    <row r="899" spans="1:10">
      <c r="A899">
        <v>898</v>
      </c>
      <c r="B899" s="1" t="s">
        <v>888</v>
      </c>
      <c r="C899" s="1" t="s">
        <v>901</v>
      </c>
      <c r="D899" s="1">
        <v>1628</v>
      </c>
      <c r="E899" s="1">
        <v>323</v>
      </c>
      <c r="F899" s="1">
        <v>0.94</v>
      </c>
      <c r="G899" s="1">
        <v>20260323</v>
      </c>
      <c r="H899" t="b">
        <f t="shared" ref="H899:H962" si="15">OR(ISNUMBER(SEARCH("$A",C899)),ISNUMBER(SEARCH("$B",C899)),ISNUMBER(SEARCH("$C",C899)),ISNUMBER(SEARCH("$D",C899)),ISNUMBER(SEARCH("$E",C899)),ISNUMBER(SEARCH("$F",C899)),ISNUMBER(SEARCH("$G",C899)),ISNUMBER(SEARCH("$H",C899)),ISNUMBER(SEARCH("$I",C899)),ISNUMBER(SEARCH("$J",C899)),ISNUMBER(SEARCH("$K",C899)),ISNUMBER(SEARCH("$L",C899)),ISNUMBER(SEARCH("$M",C899)),ISNUMBER(SEARCH("$N",C899)),ISNUMBER(SEARCH("$O",C899)),ISNUMBER(SEARCH("$P",C899)),ISNUMBER(SEARCH("$Q",C899)),ISNUMBER(SEARCH("$R",C899)),ISNUMBER(SEARCH("$S",C899)),ISNUMBER(SEARCH("$T",C899)),ISNUMBER(SEARCH("$U",C899)),ISNUMBER(SEARCH("$V",C899)),ISNUMBER(SEARCH("$W",C899)),ISNUMBER(SEARCH("$X",C899)),ISNUMBER(SEARCH("$Y",C899)),ISNUMBER(SEARCH("$Z",C899)))</f>
        <v>0</v>
      </c>
      <c r="I899" t="str" cm="1">
        <f t="array" ref="I899">GET_TICKER_FINAL(C899)</f>
        <v/>
      </c>
      <c r="J899" s="5" t="s">
        <v>16</v>
      </c>
    </row>
    <row r="900" spans="1:10">
      <c r="A900">
        <v>899</v>
      </c>
      <c r="B900" s="1" t="s">
        <v>888</v>
      </c>
      <c r="C900" s="1" t="s">
        <v>902</v>
      </c>
      <c r="D900" s="1">
        <v>1607</v>
      </c>
      <c r="E900" s="1">
        <v>275</v>
      </c>
      <c r="F900" s="1">
        <v>0.95</v>
      </c>
      <c r="G900" s="1">
        <v>20260330</v>
      </c>
      <c r="H900" t="b">
        <f t="shared" si="15"/>
        <v>0</v>
      </c>
      <c r="I900" t="str" cm="1">
        <f t="array" ref="I900">GET_TICKER_FINAL(C900)</f>
        <v/>
      </c>
      <c r="J900" s="5" t="s">
        <v>16</v>
      </c>
    </row>
    <row r="901" spans="1:10">
      <c r="A901">
        <v>900</v>
      </c>
      <c r="B901" s="1" t="s">
        <v>888</v>
      </c>
      <c r="C901" s="1" t="s">
        <v>903</v>
      </c>
      <c r="D901" s="1">
        <v>1579</v>
      </c>
      <c r="E901" s="1">
        <v>325</v>
      </c>
      <c r="F901" s="1">
        <v>0.9</v>
      </c>
      <c r="G901" s="1">
        <v>20260402</v>
      </c>
      <c r="H901" t="b">
        <f t="shared" si="15"/>
        <v>0</v>
      </c>
      <c r="I901" t="str" cm="1">
        <f t="array" ref="I901">GET_TICKER_FINAL(C901)</f>
        <v/>
      </c>
      <c r="J901" s="5" t="s">
        <v>25</v>
      </c>
    </row>
    <row r="902" spans="1:10">
      <c r="A902">
        <v>901</v>
      </c>
      <c r="B902" s="1" t="s">
        <v>888</v>
      </c>
      <c r="C902" s="1" t="s">
        <v>904</v>
      </c>
      <c r="D902" s="1">
        <v>1528</v>
      </c>
      <c r="E902" s="1">
        <v>341</v>
      </c>
      <c r="F902" s="1">
        <v>0.93</v>
      </c>
      <c r="G902" s="1">
        <v>20260326</v>
      </c>
      <c r="H902" t="b">
        <f t="shared" si="15"/>
        <v>0</v>
      </c>
      <c r="I902" t="str" cm="1">
        <f t="array" ref="I902">GET_TICKER_FINAL(C902)</f>
        <v/>
      </c>
      <c r="J902" s="5" t="s">
        <v>28</v>
      </c>
    </row>
    <row r="903" spans="1:10">
      <c r="A903">
        <v>902</v>
      </c>
      <c r="B903" s="1" t="s">
        <v>888</v>
      </c>
      <c r="C903" s="1" t="s">
        <v>905</v>
      </c>
      <c r="D903" s="1">
        <v>1475</v>
      </c>
      <c r="E903" s="1">
        <v>833</v>
      </c>
      <c r="F903" s="1">
        <v>0.8</v>
      </c>
      <c r="G903" s="1">
        <v>20260327</v>
      </c>
      <c r="H903" t="b">
        <f t="shared" si="15"/>
        <v>0</v>
      </c>
      <c r="I903" t="str" cm="1">
        <f t="array" ref="I903">GET_TICKER_FINAL(C903)</f>
        <v/>
      </c>
      <c r="J903" s="5" t="s">
        <v>16</v>
      </c>
    </row>
    <row r="904" spans="1:10">
      <c r="A904">
        <v>903</v>
      </c>
      <c r="B904" s="1" t="s">
        <v>888</v>
      </c>
      <c r="C904" s="1" t="s">
        <v>906</v>
      </c>
      <c r="D904" s="1">
        <v>1441</v>
      </c>
      <c r="E904" s="1">
        <v>570</v>
      </c>
      <c r="F904" s="1">
        <v>0.91</v>
      </c>
      <c r="G904" s="1">
        <v>20260402</v>
      </c>
      <c r="H904" t="b">
        <f t="shared" si="15"/>
        <v>0</v>
      </c>
      <c r="I904" t="str" cm="1">
        <f t="array" ref="I904">GET_TICKER_FINAL(C904)</f>
        <v/>
      </c>
      <c r="J904" s="5" t="s">
        <v>25</v>
      </c>
    </row>
    <row r="905" spans="1:10">
      <c r="A905">
        <v>904</v>
      </c>
      <c r="B905" s="1" t="s">
        <v>888</v>
      </c>
      <c r="C905" s="1" t="s">
        <v>907</v>
      </c>
      <c r="D905" s="1">
        <v>1265</v>
      </c>
      <c r="E905" s="1">
        <v>300</v>
      </c>
      <c r="F905" s="1">
        <v>0.94</v>
      </c>
      <c r="G905" s="1">
        <v>20260331</v>
      </c>
      <c r="H905" t="b">
        <f t="shared" si="15"/>
        <v>0</v>
      </c>
      <c r="I905" t="str" cm="1">
        <f t="array" ref="I905">GET_TICKER_FINAL(C905)</f>
        <v>MSFT</v>
      </c>
      <c r="J905" s="5" t="s">
        <v>16</v>
      </c>
    </row>
    <row r="906" spans="1:10">
      <c r="A906">
        <v>905</v>
      </c>
      <c r="B906" s="1" t="s">
        <v>888</v>
      </c>
      <c r="C906" s="1" t="s">
        <v>908</v>
      </c>
      <c r="D906" s="1">
        <v>1198</v>
      </c>
      <c r="E906" s="1">
        <v>227</v>
      </c>
      <c r="F906" s="1">
        <v>0.93</v>
      </c>
      <c r="G906" s="1">
        <v>20260323</v>
      </c>
      <c r="H906" t="b">
        <f t="shared" si="15"/>
        <v>0</v>
      </c>
      <c r="I906" t="str" cm="1">
        <f t="array" ref="I906">GET_TICKER_FINAL(C906)</f>
        <v/>
      </c>
      <c r="J906" s="5" t="s">
        <v>16</v>
      </c>
    </row>
    <row r="907" spans="1:10">
      <c r="A907">
        <v>906</v>
      </c>
      <c r="B907" s="1" t="s">
        <v>888</v>
      </c>
      <c r="C907" s="1" t="s">
        <v>909</v>
      </c>
      <c r="D907" s="1">
        <v>1151</v>
      </c>
      <c r="E907" s="1">
        <v>156</v>
      </c>
      <c r="F907" s="1">
        <v>0.95</v>
      </c>
      <c r="G907" s="1">
        <v>20260331</v>
      </c>
      <c r="H907" t="b">
        <f t="shared" si="15"/>
        <v>0</v>
      </c>
      <c r="I907" t="str" cm="1">
        <f t="array" ref="I907">GET_TICKER_FINAL(C907)</f>
        <v/>
      </c>
      <c r="J907" s="5" t="s">
        <v>16</v>
      </c>
    </row>
    <row r="908" spans="1:10">
      <c r="A908">
        <v>907</v>
      </c>
      <c r="B908" s="1" t="s">
        <v>888</v>
      </c>
      <c r="C908" s="1" t="s">
        <v>910</v>
      </c>
      <c r="D908" s="1">
        <v>1145</v>
      </c>
      <c r="E908" s="1">
        <v>686</v>
      </c>
      <c r="F908" s="1">
        <v>0.89</v>
      </c>
      <c r="G908" s="1">
        <v>20260402</v>
      </c>
      <c r="H908" t="b">
        <f t="shared" si="15"/>
        <v>0</v>
      </c>
      <c r="I908" t="str" cm="1">
        <f t="array" ref="I908">GET_TICKER_FINAL(C908)</f>
        <v/>
      </c>
      <c r="J908" s="5" t="s">
        <v>25</v>
      </c>
    </row>
    <row r="909" spans="1:10">
      <c r="A909">
        <v>908</v>
      </c>
      <c r="B909" s="1" t="s">
        <v>888</v>
      </c>
      <c r="C909" s="1" t="s">
        <v>911</v>
      </c>
      <c r="D909" s="1">
        <v>1046</v>
      </c>
      <c r="E909" s="1">
        <v>620</v>
      </c>
      <c r="F909" s="1">
        <v>0.81</v>
      </c>
      <c r="G909" s="1">
        <v>20260331</v>
      </c>
      <c r="H909" t="b">
        <f t="shared" si="15"/>
        <v>0</v>
      </c>
      <c r="I909" t="str" cm="1">
        <f t="array" ref="I909">GET_TICKER_FINAL(C909)</f>
        <v/>
      </c>
      <c r="J909" s="5" t="s">
        <v>16</v>
      </c>
    </row>
    <row r="910" spans="1:10">
      <c r="A910">
        <v>909</v>
      </c>
      <c r="B910" s="1" t="s">
        <v>888</v>
      </c>
      <c r="C910" s="1" t="s">
        <v>912</v>
      </c>
      <c r="D910" s="1">
        <v>998</v>
      </c>
      <c r="E910" s="1">
        <v>345</v>
      </c>
      <c r="F910" s="1">
        <v>0.98</v>
      </c>
      <c r="G910" s="1">
        <v>20260323</v>
      </c>
      <c r="H910" t="b">
        <f t="shared" si="15"/>
        <v>0</v>
      </c>
      <c r="I910" t="str" cm="1">
        <f t="array" ref="I910">GET_TICKER_FINAL(C910)</f>
        <v/>
      </c>
      <c r="J910" s="5" t="s">
        <v>16</v>
      </c>
    </row>
    <row r="911" spans="1:10">
      <c r="A911">
        <v>910</v>
      </c>
      <c r="B911" s="1" t="s">
        <v>888</v>
      </c>
      <c r="C911" s="1" t="s">
        <v>913</v>
      </c>
      <c r="D911" s="1">
        <v>985</v>
      </c>
      <c r="E911" s="1">
        <v>235</v>
      </c>
      <c r="F911" s="1">
        <v>0.94</v>
      </c>
      <c r="G911" s="1">
        <v>20260327</v>
      </c>
      <c r="H911" t="b">
        <f t="shared" si="15"/>
        <v>0</v>
      </c>
      <c r="I911" t="str" cm="1">
        <f t="array" ref="I911">GET_TICKER_FINAL(C911)</f>
        <v/>
      </c>
      <c r="J911" s="5" t="s">
        <v>1792</v>
      </c>
    </row>
    <row r="912" spans="1:10">
      <c r="A912">
        <v>911</v>
      </c>
      <c r="B912" s="1" t="s">
        <v>888</v>
      </c>
      <c r="C912" s="1" t="s">
        <v>914</v>
      </c>
      <c r="D912" s="1">
        <v>984</v>
      </c>
      <c r="E912" s="1">
        <v>552</v>
      </c>
      <c r="F912" s="1">
        <v>0.86</v>
      </c>
      <c r="G912" s="1">
        <v>20260323</v>
      </c>
      <c r="H912" t="b">
        <f t="shared" si="15"/>
        <v>0</v>
      </c>
      <c r="I912" t="str" cm="1">
        <f t="array" ref="I912">GET_TICKER_FINAL(C912)</f>
        <v/>
      </c>
      <c r="J912" s="5" t="s">
        <v>25</v>
      </c>
    </row>
    <row r="913" spans="1:10">
      <c r="A913">
        <v>912</v>
      </c>
      <c r="B913" s="1" t="s">
        <v>888</v>
      </c>
      <c r="C913" s="1" t="s">
        <v>915</v>
      </c>
      <c r="D913" s="1">
        <v>956</v>
      </c>
      <c r="E913" s="1">
        <v>601</v>
      </c>
      <c r="F913" s="1">
        <v>0.94</v>
      </c>
      <c r="G913" s="1">
        <v>20260324</v>
      </c>
      <c r="H913" t="b">
        <f t="shared" si="15"/>
        <v>0</v>
      </c>
      <c r="I913" t="str" cm="1">
        <f t="array" ref="I913">GET_TICKER_FINAL(C913)</f>
        <v/>
      </c>
      <c r="J913" s="5" t="s">
        <v>28</v>
      </c>
    </row>
    <row r="914" spans="1:10">
      <c r="A914">
        <v>913</v>
      </c>
      <c r="B914" s="1" t="s">
        <v>888</v>
      </c>
      <c r="C914" s="1" t="s">
        <v>916</v>
      </c>
      <c r="D914" s="1">
        <v>951</v>
      </c>
      <c r="E914" s="1">
        <v>294</v>
      </c>
      <c r="F914" s="1">
        <v>0.88</v>
      </c>
      <c r="G914" s="1">
        <v>20260402</v>
      </c>
      <c r="H914" t="b">
        <f t="shared" si="15"/>
        <v>0</v>
      </c>
      <c r="I914" t="str" cm="1">
        <f t="array" ref="I914">GET_TICKER_FINAL(C914)</f>
        <v/>
      </c>
      <c r="J914" s="5" t="s">
        <v>25</v>
      </c>
    </row>
    <row r="915" spans="1:10">
      <c r="A915">
        <v>914</v>
      </c>
      <c r="B915" s="1" t="s">
        <v>888</v>
      </c>
      <c r="C915" s="1" t="s">
        <v>917</v>
      </c>
      <c r="D915" s="1">
        <v>933</v>
      </c>
      <c r="E915" s="1">
        <v>193</v>
      </c>
      <c r="F915" s="1">
        <v>0.97</v>
      </c>
      <c r="G915" s="1">
        <v>20260402</v>
      </c>
      <c r="H915" t="b">
        <f t="shared" si="15"/>
        <v>0</v>
      </c>
      <c r="I915" t="str" cm="1">
        <f t="array" ref="I915">GET_TICKER_FINAL(C915)</f>
        <v/>
      </c>
      <c r="J915" s="5" t="s">
        <v>14</v>
      </c>
    </row>
    <row r="916" spans="1:10">
      <c r="A916">
        <v>915</v>
      </c>
      <c r="B916" s="1" t="s">
        <v>888</v>
      </c>
      <c r="C916" s="1" t="s">
        <v>918</v>
      </c>
      <c r="D916" s="1">
        <v>885</v>
      </c>
      <c r="E916" s="1">
        <v>579</v>
      </c>
      <c r="F916" s="1">
        <v>0.86</v>
      </c>
      <c r="G916" s="1">
        <v>20260402</v>
      </c>
      <c r="H916" t="b">
        <f t="shared" si="15"/>
        <v>0</v>
      </c>
      <c r="I916" t="str" cm="1">
        <f t="array" ref="I916">GET_TICKER_FINAL(C916)</f>
        <v/>
      </c>
      <c r="J916" s="5" t="s">
        <v>1792</v>
      </c>
    </row>
    <row r="917" spans="1:10">
      <c r="A917">
        <v>916</v>
      </c>
      <c r="B917" s="1" t="s">
        <v>888</v>
      </c>
      <c r="C917" s="1" t="s">
        <v>919</v>
      </c>
      <c r="D917" s="1">
        <v>883</v>
      </c>
      <c r="E917" s="1">
        <v>1094</v>
      </c>
      <c r="F917" s="1">
        <v>0.9</v>
      </c>
      <c r="G917" s="1">
        <v>20260326</v>
      </c>
      <c r="H917" t="b">
        <f t="shared" si="15"/>
        <v>0</v>
      </c>
      <c r="I917" t="str" cm="1">
        <f t="array" ref="I917">GET_TICKER_FINAL(C917)</f>
        <v/>
      </c>
      <c r="J917" s="5" t="s">
        <v>25</v>
      </c>
    </row>
    <row r="918" spans="1:10">
      <c r="A918">
        <v>917</v>
      </c>
      <c r="B918" s="1" t="s">
        <v>888</v>
      </c>
      <c r="C918" s="1" t="s">
        <v>920</v>
      </c>
      <c r="D918" s="1">
        <v>881</v>
      </c>
      <c r="E918" s="1">
        <v>428</v>
      </c>
      <c r="F918" s="1">
        <v>0.81</v>
      </c>
      <c r="G918" s="1">
        <v>20260330</v>
      </c>
      <c r="H918" t="b">
        <f t="shared" si="15"/>
        <v>0</v>
      </c>
      <c r="I918" t="str" cm="1">
        <f t="array" ref="I918">GET_TICKER_FINAL(C918)</f>
        <v>SPY</v>
      </c>
      <c r="J918" s="5" t="s">
        <v>25</v>
      </c>
    </row>
    <row r="919" spans="1:10">
      <c r="A919">
        <v>918</v>
      </c>
      <c r="B919" s="1" t="s">
        <v>888</v>
      </c>
      <c r="C919" s="1" t="s">
        <v>921</v>
      </c>
      <c r="D919" s="1">
        <v>847</v>
      </c>
      <c r="E919" s="1">
        <v>517</v>
      </c>
      <c r="F919" s="1">
        <v>0.84</v>
      </c>
      <c r="G919" s="1">
        <v>20260331</v>
      </c>
      <c r="H919" t="b">
        <f t="shared" si="15"/>
        <v>0</v>
      </c>
      <c r="I919" t="str" cm="1">
        <f t="array" ref="I919">GET_TICKER_FINAL(C919)</f>
        <v/>
      </c>
      <c r="J919" s="5" t="s">
        <v>16</v>
      </c>
    </row>
    <row r="920" spans="1:10">
      <c r="A920">
        <v>919</v>
      </c>
      <c r="B920" s="1" t="s">
        <v>888</v>
      </c>
      <c r="C920" s="1" t="s">
        <v>922</v>
      </c>
      <c r="D920" s="1">
        <v>846</v>
      </c>
      <c r="E920" s="1">
        <v>396</v>
      </c>
      <c r="F920" s="1">
        <v>0.74</v>
      </c>
      <c r="G920" s="1">
        <v>20260402</v>
      </c>
      <c r="H920" t="b">
        <f t="shared" si="15"/>
        <v>0</v>
      </c>
      <c r="I920" t="str" cm="1">
        <f t="array" ref="I920">GET_TICKER_FINAL(C920)</f>
        <v/>
      </c>
      <c r="J920" s="5" t="s">
        <v>16</v>
      </c>
    </row>
    <row r="921" spans="1:10">
      <c r="A921">
        <v>920</v>
      </c>
      <c r="B921" s="1" t="s">
        <v>888</v>
      </c>
      <c r="C921" s="1" t="s">
        <v>923</v>
      </c>
      <c r="D921" s="1">
        <v>830</v>
      </c>
      <c r="E921" s="1">
        <v>360</v>
      </c>
      <c r="F921" s="1">
        <v>0.89</v>
      </c>
      <c r="G921" s="1">
        <v>20260323</v>
      </c>
      <c r="H921" t="b">
        <f t="shared" si="15"/>
        <v>0</v>
      </c>
      <c r="I921" t="str" cm="1">
        <f t="array" ref="I921">GET_TICKER_FINAL(C921)</f>
        <v/>
      </c>
      <c r="J921" s="5" t="s">
        <v>16</v>
      </c>
    </row>
    <row r="922" spans="1:10">
      <c r="A922">
        <v>921</v>
      </c>
      <c r="B922" s="1" t="s">
        <v>888</v>
      </c>
      <c r="C922" s="1" t="s">
        <v>924</v>
      </c>
      <c r="D922" s="1">
        <v>826</v>
      </c>
      <c r="E922" s="1">
        <v>159</v>
      </c>
      <c r="F922" s="1">
        <v>0.96</v>
      </c>
      <c r="G922" s="1">
        <v>20260326</v>
      </c>
      <c r="H922" t="b">
        <f t="shared" si="15"/>
        <v>0</v>
      </c>
      <c r="I922" t="str" cm="1">
        <f t="array" ref="I922">GET_TICKER_FINAL(C922)</f>
        <v/>
      </c>
      <c r="J922" s="5" t="s">
        <v>16</v>
      </c>
    </row>
    <row r="923" spans="1:10">
      <c r="A923">
        <v>922</v>
      </c>
      <c r="B923" s="1" t="s">
        <v>888</v>
      </c>
      <c r="C923" s="1" t="s">
        <v>925</v>
      </c>
      <c r="D923" s="1">
        <v>826</v>
      </c>
      <c r="E923" s="1">
        <v>359</v>
      </c>
      <c r="F923" s="1">
        <v>0.94</v>
      </c>
      <c r="G923" s="1">
        <v>20260323</v>
      </c>
      <c r="H923" t="b">
        <f t="shared" si="15"/>
        <v>0</v>
      </c>
      <c r="I923" t="str" cm="1">
        <f t="array" ref="I923">GET_TICKER_FINAL(C923)</f>
        <v/>
      </c>
      <c r="J923" s="5" t="s">
        <v>16</v>
      </c>
    </row>
    <row r="924" spans="1:10">
      <c r="A924">
        <v>923</v>
      </c>
      <c r="B924" s="1" t="s">
        <v>888</v>
      </c>
      <c r="C924" s="1" t="s">
        <v>926</v>
      </c>
      <c r="D924" s="1">
        <v>815</v>
      </c>
      <c r="E924" s="1">
        <v>337</v>
      </c>
      <c r="F924" s="1">
        <v>0.96</v>
      </c>
      <c r="G924" s="1">
        <v>20260327</v>
      </c>
      <c r="H924" t="b">
        <f t="shared" si="15"/>
        <v>0</v>
      </c>
      <c r="I924" t="str" cm="1">
        <f t="array" ref="I924">GET_TICKER_FINAL(C924)</f>
        <v>GOOGL</v>
      </c>
      <c r="J924" s="5" t="s">
        <v>25</v>
      </c>
    </row>
    <row r="925" spans="1:10">
      <c r="A925">
        <v>924</v>
      </c>
      <c r="B925" s="1" t="s">
        <v>888</v>
      </c>
      <c r="C925" s="1" t="s">
        <v>927</v>
      </c>
      <c r="D925" s="1">
        <v>813</v>
      </c>
      <c r="E925" s="1">
        <v>137</v>
      </c>
      <c r="F925" s="1">
        <v>0.98</v>
      </c>
      <c r="G925" s="1">
        <v>20260323</v>
      </c>
      <c r="H925" t="b">
        <f t="shared" si="15"/>
        <v>0</v>
      </c>
      <c r="I925" t="str" cm="1">
        <f t="array" ref="I925">GET_TICKER_FINAL(C925)</f>
        <v/>
      </c>
      <c r="J925" s="5" t="s">
        <v>16</v>
      </c>
    </row>
    <row r="926" spans="1:10">
      <c r="A926">
        <v>925</v>
      </c>
      <c r="B926" s="1" t="s">
        <v>888</v>
      </c>
      <c r="C926" s="1" t="s">
        <v>928</v>
      </c>
      <c r="D926" s="1">
        <v>807</v>
      </c>
      <c r="E926" s="1">
        <v>230</v>
      </c>
      <c r="F926" s="1">
        <v>0.8</v>
      </c>
      <c r="G926" s="1">
        <v>20260331</v>
      </c>
      <c r="H926" t="b">
        <f t="shared" si="15"/>
        <v>0</v>
      </c>
      <c r="I926" t="str" cm="1">
        <f t="array" ref="I926">GET_TICKER_FINAL(C926)</f>
        <v/>
      </c>
      <c r="J926" s="5" t="s">
        <v>16</v>
      </c>
    </row>
    <row r="927" spans="1:10">
      <c r="A927">
        <v>926</v>
      </c>
      <c r="B927" s="1" t="s">
        <v>888</v>
      </c>
      <c r="C927" s="1" t="s">
        <v>929</v>
      </c>
      <c r="D927" s="1">
        <v>805</v>
      </c>
      <c r="E927" s="1">
        <v>106</v>
      </c>
      <c r="F927" s="1">
        <v>0.94</v>
      </c>
      <c r="G927" s="1">
        <v>20260323</v>
      </c>
      <c r="H927" t="b">
        <f t="shared" si="15"/>
        <v>0</v>
      </c>
      <c r="I927" t="str" cm="1">
        <f t="array" ref="I927">GET_TICKER_FINAL(C927)</f>
        <v/>
      </c>
      <c r="J927" s="5" t="s">
        <v>16</v>
      </c>
    </row>
    <row r="928" spans="1:10">
      <c r="A928">
        <v>927</v>
      </c>
      <c r="B928" s="1" t="s">
        <v>888</v>
      </c>
      <c r="C928" s="1" t="s">
        <v>930</v>
      </c>
      <c r="D928" s="1">
        <v>777</v>
      </c>
      <c r="E928" s="1">
        <v>417</v>
      </c>
      <c r="F928" s="1">
        <v>0.94</v>
      </c>
      <c r="G928" s="1">
        <v>20260330</v>
      </c>
      <c r="H928" t="b">
        <f t="shared" si="15"/>
        <v>0</v>
      </c>
      <c r="I928" t="str" cm="1">
        <f t="array" ref="I928">GET_TICKER_FINAL(C928)</f>
        <v/>
      </c>
      <c r="J928" s="5" t="s">
        <v>1792</v>
      </c>
    </row>
    <row r="929" spans="1:10">
      <c r="A929">
        <v>928</v>
      </c>
      <c r="B929" s="1" t="s">
        <v>888</v>
      </c>
      <c r="C929" s="1" t="s">
        <v>931</v>
      </c>
      <c r="D929" s="1">
        <v>775</v>
      </c>
      <c r="E929" s="1">
        <v>496</v>
      </c>
      <c r="F929" s="1">
        <v>0.89</v>
      </c>
      <c r="G929" s="1">
        <v>20260401</v>
      </c>
      <c r="H929" t="b">
        <f t="shared" si="15"/>
        <v>0</v>
      </c>
      <c r="I929" t="str" cm="1">
        <f t="array" ref="I929">GET_TICKER_FINAL(C929)</f>
        <v/>
      </c>
      <c r="J929" s="5" t="s">
        <v>28</v>
      </c>
    </row>
    <row r="930" spans="1:10">
      <c r="A930">
        <v>929</v>
      </c>
      <c r="B930" s="1" t="s">
        <v>888</v>
      </c>
      <c r="C930" s="1" t="s">
        <v>932</v>
      </c>
      <c r="D930" s="1">
        <v>719</v>
      </c>
      <c r="E930" s="1">
        <v>198</v>
      </c>
      <c r="F930" s="1">
        <v>0.96</v>
      </c>
      <c r="G930" s="1">
        <v>20260330</v>
      </c>
      <c r="H930" t="b">
        <f t="shared" si="15"/>
        <v>0</v>
      </c>
      <c r="I930" t="str" cm="1">
        <f t="array" ref="I930">GET_TICKER_FINAL(C930)</f>
        <v/>
      </c>
      <c r="J930" s="5" t="s">
        <v>28</v>
      </c>
    </row>
    <row r="931" spans="1:10">
      <c r="A931">
        <v>930</v>
      </c>
      <c r="B931" s="1" t="s">
        <v>888</v>
      </c>
      <c r="C931" s="1" t="s">
        <v>933</v>
      </c>
      <c r="D931" s="1">
        <v>719</v>
      </c>
      <c r="E931" s="1">
        <v>71</v>
      </c>
      <c r="F931" s="1">
        <v>0.98</v>
      </c>
      <c r="G931" s="1">
        <v>20260327</v>
      </c>
      <c r="H931" t="b">
        <f t="shared" si="15"/>
        <v>0</v>
      </c>
      <c r="I931" t="str" cm="1">
        <f t="array" ref="I931">GET_TICKER_FINAL(C931)</f>
        <v/>
      </c>
      <c r="J931" s="5" t="s">
        <v>16</v>
      </c>
    </row>
    <row r="932" spans="1:10">
      <c r="A932">
        <v>931</v>
      </c>
      <c r="B932" s="1" t="s">
        <v>888</v>
      </c>
      <c r="C932" s="1" t="s">
        <v>37</v>
      </c>
      <c r="D932" s="1">
        <v>689</v>
      </c>
      <c r="E932" s="1">
        <v>169</v>
      </c>
      <c r="F932" s="1">
        <v>0.97</v>
      </c>
      <c r="G932" s="1">
        <v>20260402</v>
      </c>
      <c r="H932" t="b">
        <f t="shared" si="15"/>
        <v>0</v>
      </c>
      <c r="I932" t="str" cm="1">
        <f t="array" ref="I932">GET_TICKER_FINAL(C932)</f>
        <v/>
      </c>
      <c r="J932" s="5" t="s">
        <v>28</v>
      </c>
    </row>
    <row r="933" spans="1:10">
      <c r="A933">
        <v>932</v>
      </c>
      <c r="B933" s="1" t="s">
        <v>888</v>
      </c>
      <c r="C933" s="1" t="s">
        <v>934</v>
      </c>
      <c r="D933" s="1">
        <v>625</v>
      </c>
      <c r="E933" s="1">
        <v>487</v>
      </c>
      <c r="F933" s="1">
        <v>0.89</v>
      </c>
      <c r="G933" s="1">
        <v>20260326</v>
      </c>
      <c r="H933" t="b">
        <f t="shared" si="15"/>
        <v>0</v>
      </c>
      <c r="I933" t="str" cm="1">
        <f t="array" ref="I933">GET_TICKER_FINAL(C933)</f>
        <v/>
      </c>
      <c r="J933" s="5" t="s">
        <v>16</v>
      </c>
    </row>
    <row r="934" spans="1:10">
      <c r="A934">
        <v>933</v>
      </c>
      <c r="B934" s="1" t="s">
        <v>888</v>
      </c>
      <c r="C934" s="1" t="s">
        <v>935</v>
      </c>
      <c r="D934" s="1">
        <v>616</v>
      </c>
      <c r="E934" s="1">
        <v>321</v>
      </c>
      <c r="F934" s="1">
        <v>0.87</v>
      </c>
      <c r="G934" s="1">
        <v>20260402</v>
      </c>
      <c r="H934" t="b">
        <f t="shared" si="15"/>
        <v>0</v>
      </c>
      <c r="I934" t="str" cm="1">
        <f t="array" ref="I934">GET_TICKER_FINAL(C934)</f>
        <v/>
      </c>
      <c r="J934" s="5" t="s">
        <v>1792</v>
      </c>
    </row>
    <row r="935" spans="1:10">
      <c r="A935">
        <v>934</v>
      </c>
      <c r="B935" s="1" t="s">
        <v>888</v>
      </c>
      <c r="C935" s="1" t="s">
        <v>936</v>
      </c>
      <c r="D935" s="1">
        <v>596</v>
      </c>
      <c r="E935" s="1">
        <v>83</v>
      </c>
      <c r="F935" s="1">
        <v>0.93</v>
      </c>
      <c r="G935" s="1">
        <v>20260401</v>
      </c>
      <c r="H935" t="b">
        <f t="shared" si="15"/>
        <v>0</v>
      </c>
      <c r="I935" t="str" cm="1">
        <f t="array" ref="I935">GET_TICKER_FINAL(C935)</f>
        <v/>
      </c>
      <c r="J935" s="5" t="s">
        <v>1792</v>
      </c>
    </row>
    <row r="936" spans="1:10">
      <c r="A936">
        <v>935</v>
      </c>
      <c r="B936" s="1" t="s">
        <v>888</v>
      </c>
      <c r="C936" s="1" t="s">
        <v>937</v>
      </c>
      <c r="D936" s="1">
        <v>592</v>
      </c>
      <c r="E936" s="1">
        <v>203</v>
      </c>
      <c r="F936" s="1">
        <v>0.93</v>
      </c>
      <c r="G936" s="1">
        <v>20260327</v>
      </c>
      <c r="H936" t="b">
        <f t="shared" si="15"/>
        <v>0</v>
      </c>
      <c r="I936" t="str" cm="1">
        <f t="array" ref="I936">GET_TICKER_FINAL(C936)</f>
        <v/>
      </c>
      <c r="J936" s="5" t="s">
        <v>1792</v>
      </c>
    </row>
    <row r="937" spans="1:10">
      <c r="A937">
        <v>936</v>
      </c>
      <c r="B937" s="1" t="s">
        <v>888</v>
      </c>
      <c r="C937" s="1" t="s">
        <v>938</v>
      </c>
      <c r="D937" s="1">
        <v>585</v>
      </c>
      <c r="E937" s="1">
        <v>355</v>
      </c>
      <c r="F937" s="1">
        <v>0.76</v>
      </c>
      <c r="G937" s="1">
        <v>20260330</v>
      </c>
      <c r="H937" t="b">
        <f t="shared" si="15"/>
        <v>0</v>
      </c>
      <c r="I937" t="str" cm="1">
        <f t="array" ref="I937">GET_TICKER_FINAL(C937)</f>
        <v/>
      </c>
      <c r="J937" s="5" t="s">
        <v>1792</v>
      </c>
    </row>
    <row r="938" spans="1:10">
      <c r="A938">
        <v>937</v>
      </c>
      <c r="B938" s="1" t="s">
        <v>888</v>
      </c>
      <c r="C938" s="1" t="s">
        <v>939</v>
      </c>
      <c r="D938" s="1">
        <v>582</v>
      </c>
      <c r="E938" s="1">
        <v>401</v>
      </c>
      <c r="F938" s="1">
        <v>0.86</v>
      </c>
      <c r="G938" s="1">
        <v>20260402</v>
      </c>
      <c r="H938" t="b">
        <f t="shared" si="15"/>
        <v>0</v>
      </c>
      <c r="I938" t="str" cm="1">
        <f t="array" ref="I938">GET_TICKER_FINAL(C938)</f>
        <v/>
      </c>
      <c r="J938" s="5" t="s">
        <v>1792</v>
      </c>
    </row>
    <row r="939" spans="1:10">
      <c r="A939">
        <v>938</v>
      </c>
      <c r="B939" s="1" t="s">
        <v>888</v>
      </c>
      <c r="C939" s="1" t="s">
        <v>940</v>
      </c>
      <c r="D939" s="1">
        <v>570</v>
      </c>
      <c r="E939" s="1">
        <v>177</v>
      </c>
      <c r="F939" s="1">
        <v>0.97</v>
      </c>
      <c r="G939" s="1">
        <v>20260323</v>
      </c>
      <c r="H939" t="b">
        <f t="shared" si="15"/>
        <v>0</v>
      </c>
      <c r="I939" t="str" cm="1">
        <f t="array" ref="I939">GET_TICKER_FINAL(C939)</f>
        <v>MSFT</v>
      </c>
      <c r="J939" s="5" t="s">
        <v>16</v>
      </c>
    </row>
    <row r="940" spans="1:10">
      <c r="A940">
        <v>939</v>
      </c>
      <c r="B940" s="1" t="s">
        <v>888</v>
      </c>
      <c r="C940" s="1" t="s">
        <v>941</v>
      </c>
      <c r="D940" s="1">
        <v>532</v>
      </c>
      <c r="E940" s="1">
        <v>150</v>
      </c>
      <c r="F940" s="1">
        <v>0.95</v>
      </c>
      <c r="G940" s="1">
        <v>20260331</v>
      </c>
      <c r="H940" t="b">
        <f t="shared" si="15"/>
        <v>0</v>
      </c>
      <c r="I940" t="str" cm="1">
        <f t="array" ref="I940">GET_TICKER_FINAL(C940)</f>
        <v>SPY</v>
      </c>
      <c r="J940" s="5" t="s">
        <v>1792</v>
      </c>
    </row>
    <row r="941" spans="1:10">
      <c r="A941">
        <v>940</v>
      </c>
      <c r="B941" s="1" t="s">
        <v>888</v>
      </c>
      <c r="C941" s="1" t="s">
        <v>942</v>
      </c>
      <c r="D941" s="1">
        <v>516</v>
      </c>
      <c r="E941" s="1">
        <v>1013</v>
      </c>
      <c r="F941" s="1">
        <v>0.84</v>
      </c>
      <c r="G941" s="1">
        <v>20260320</v>
      </c>
      <c r="H941" t="b">
        <f t="shared" si="15"/>
        <v>0</v>
      </c>
      <c r="I941" t="str" cm="1">
        <f t="array" ref="I941">GET_TICKER_FINAL(C941)</f>
        <v/>
      </c>
      <c r="J941" s="5" t="s">
        <v>28</v>
      </c>
    </row>
    <row r="942" spans="1:10">
      <c r="A942">
        <v>941</v>
      </c>
      <c r="B942" s="1" t="s">
        <v>888</v>
      </c>
      <c r="C942" s="1" t="s">
        <v>695</v>
      </c>
      <c r="D942" s="1">
        <v>504</v>
      </c>
      <c r="E942" s="1">
        <v>173</v>
      </c>
      <c r="F942" s="1">
        <v>0.95</v>
      </c>
      <c r="G942" s="1">
        <v>20260330</v>
      </c>
      <c r="H942" t="b">
        <f t="shared" si="15"/>
        <v>0</v>
      </c>
      <c r="I942" t="str" cm="1">
        <f t="array" ref="I942">GET_TICKER_FINAL(C942)</f>
        <v/>
      </c>
      <c r="J942" s="5" t="s">
        <v>1792</v>
      </c>
    </row>
    <row r="943" spans="1:10">
      <c r="A943">
        <v>942</v>
      </c>
      <c r="B943" s="1" t="s">
        <v>888</v>
      </c>
      <c r="C943" s="1" t="s">
        <v>943</v>
      </c>
      <c r="D943" s="1">
        <v>499</v>
      </c>
      <c r="E943" s="1">
        <v>425</v>
      </c>
      <c r="F943" s="1">
        <v>0.82</v>
      </c>
      <c r="G943" s="1">
        <v>20260320</v>
      </c>
      <c r="H943" t="b">
        <f t="shared" si="15"/>
        <v>0</v>
      </c>
      <c r="I943" t="str" cm="1">
        <f t="array" ref="I943">GET_TICKER_FINAL(C943)</f>
        <v/>
      </c>
      <c r="J943" s="5" t="s">
        <v>1792</v>
      </c>
    </row>
    <row r="944" spans="1:10">
      <c r="A944">
        <v>943</v>
      </c>
      <c r="B944" s="1" t="s">
        <v>888</v>
      </c>
      <c r="C944" s="1" t="s">
        <v>944</v>
      </c>
      <c r="D944" s="1">
        <v>494</v>
      </c>
      <c r="E944" s="1">
        <v>62</v>
      </c>
      <c r="F944" s="1">
        <v>0.84</v>
      </c>
      <c r="G944" s="1">
        <v>20260327</v>
      </c>
      <c r="H944" t="b">
        <f t="shared" si="15"/>
        <v>0</v>
      </c>
      <c r="I944" t="str" cm="1">
        <f t="array" ref="I944">GET_TICKER_FINAL(C944)</f>
        <v/>
      </c>
      <c r="J944" s="5" t="s">
        <v>16</v>
      </c>
    </row>
    <row r="945" spans="1:10">
      <c r="A945">
        <v>944</v>
      </c>
      <c r="B945" s="1" t="s">
        <v>888</v>
      </c>
      <c r="C945" s="1" t="s">
        <v>747</v>
      </c>
      <c r="D945" s="1">
        <v>494</v>
      </c>
      <c r="E945" s="1">
        <v>111</v>
      </c>
      <c r="F945" s="1">
        <v>0.98</v>
      </c>
      <c r="G945" s="1">
        <v>20260320</v>
      </c>
      <c r="H945" t="b">
        <f t="shared" si="15"/>
        <v>0</v>
      </c>
      <c r="I945" t="str" cm="1">
        <f t="array" ref="I945">GET_TICKER_FINAL(C945)</f>
        <v/>
      </c>
      <c r="J945" s="5" t="s">
        <v>25</v>
      </c>
    </row>
    <row r="946" spans="1:10">
      <c r="A946">
        <v>945</v>
      </c>
      <c r="B946" s="1" t="s">
        <v>888</v>
      </c>
      <c r="C946" s="1" t="s">
        <v>945</v>
      </c>
      <c r="D946" s="1">
        <v>484</v>
      </c>
      <c r="E946" s="1">
        <v>221</v>
      </c>
      <c r="F946" s="1">
        <v>0.94</v>
      </c>
      <c r="G946" s="1">
        <v>20260331</v>
      </c>
      <c r="H946" t="b">
        <f t="shared" si="15"/>
        <v>0</v>
      </c>
      <c r="I946" t="str" cm="1">
        <f t="array" ref="I946">GET_TICKER_FINAL(C946)</f>
        <v/>
      </c>
      <c r="J946" s="5" t="s">
        <v>25</v>
      </c>
    </row>
    <row r="947" spans="1:10">
      <c r="A947">
        <v>946</v>
      </c>
      <c r="B947" s="1" t="s">
        <v>888</v>
      </c>
      <c r="C947" s="1" t="s">
        <v>792</v>
      </c>
      <c r="D947" s="1">
        <v>467</v>
      </c>
      <c r="E947" s="1">
        <v>134</v>
      </c>
      <c r="F947" s="1">
        <v>0.98</v>
      </c>
      <c r="G947" s="1">
        <v>20260401</v>
      </c>
      <c r="H947" t="b">
        <f t="shared" si="15"/>
        <v>0</v>
      </c>
      <c r="I947" t="str" cm="1">
        <f t="array" ref="I947">GET_TICKER_FINAL(C947)</f>
        <v/>
      </c>
      <c r="J947" s="5" t="s">
        <v>1792</v>
      </c>
    </row>
    <row r="948" spans="1:10">
      <c r="A948">
        <v>947</v>
      </c>
      <c r="B948" s="1" t="s">
        <v>888</v>
      </c>
      <c r="C948" s="1" t="s">
        <v>946</v>
      </c>
      <c r="D948" s="1">
        <v>439</v>
      </c>
      <c r="E948" s="1">
        <v>139</v>
      </c>
      <c r="F948" s="1">
        <v>0.85</v>
      </c>
      <c r="G948" s="1">
        <v>20260331</v>
      </c>
      <c r="H948" t="b">
        <f t="shared" si="15"/>
        <v>0</v>
      </c>
      <c r="I948" t="str" cm="1">
        <f t="array" ref="I948">GET_TICKER_FINAL(C948)</f>
        <v/>
      </c>
      <c r="J948" s="5" t="s">
        <v>25</v>
      </c>
    </row>
    <row r="949" spans="1:10">
      <c r="A949">
        <v>948</v>
      </c>
      <c r="B949" s="1" t="s">
        <v>888</v>
      </c>
      <c r="C949" s="1" t="s">
        <v>947</v>
      </c>
      <c r="D949" s="1">
        <v>435</v>
      </c>
      <c r="E949" s="1">
        <v>121</v>
      </c>
      <c r="F949" s="1">
        <v>0.93</v>
      </c>
      <c r="G949" s="1">
        <v>20260327</v>
      </c>
      <c r="H949" t="b">
        <f t="shared" si="15"/>
        <v>0</v>
      </c>
      <c r="I949" t="str" cm="1">
        <f t="array" ref="I949">GET_TICKER_FINAL(C949)</f>
        <v/>
      </c>
      <c r="J949" s="5" t="s">
        <v>16</v>
      </c>
    </row>
    <row r="950" spans="1:10">
      <c r="A950">
        <v>949</v>
      </c>
      <c r="B950" s="1" t="s">
        <v>888</v>
      </c>
      <c r="C950" s="1" t="s">
        <v>948</v>
      </c>
      <c r="D950" s="1">
        <v>433</v>
      </c>
      <c r="E950" s="1">
        <v>611</v>
      </c>
      <c r="F950" s="1">
        <v>0.73</v>
      </c>
      <c r="G950" s="1">
        <v>20260331</v>
      </c>
      <c r="H950" t="b">
        <f t="shared" si="15"/>
        <v>0</v>
      </c>
      <c r="I950" t="str" cm="1">
        <f t="array" ref="I950">GET_TICKER_FINAL(C950)</f>
        <v/>
      </c>
      <c r="J950" s="5" t="s">
        <v>28</v>
      </c>
    </row>
    <row r="951" spans="1:10">
      <c r="A951">
        <v>950</v>
      </c>
      <c r="B951" s="1" t="s">
        <v>888</v>
      </c>
      <c r="C951" s="1" t="s">
        <v>949</v>
      </c>
      <c r="D951" s="1">
        <v>430</v>
      </c>
      <c r="E951" s="1">
        <v>205</v>
      </c>
      <c r="F951" s="1">
        <v>0.86</v>
      </c>
      <c r="G951" s="1">
        <v>20260327</v>
      </c>
      <c r="H951" t="b">
        <f t="shared" si="15"/>
        <v>1</v>
      </c>
      <c r="I951" t="str" cm="1">
        <f t="array" ref="I951">GET_TICKER_FINAL(C951)</f>
        <v>GOOGL</v>
      </c>
      <c r="J951" s="5" t="s">
        <v>28</v>
      </c>
    </row>
    <row r="952" spans="1:10">
      <c r="A952">
        <v>951</v>
      </c>
      <c r="B952" s="1" t="s">
        <v>888</v>
      </c>
      <c r="C952" s="1" t="s">
        <v>950</v>
      </c>
      <c r="D952" s="1">
        <v>430</v>
      </c>
      <c r="E952" s="1">
        <v>120</v>
      </c>
      <c r="F952" s="1">
        <v>0.94</v>
      </c>
      <c r="G952" s="1">
        <v>20260324</v>
      </c>
      <c r="H952" t="b">
        <f t="shared" si="15"/>
        <v>0</v>
      </c>
      <c r="I952" t="str" cm="1">
        <f t="array" ref="I952">GET_TICKER_FINAL(C952)</f>
        <v/>
      </c>
      <c r="J952" s="5" t="s">
        <v>25</v>
      </c>
    </row>
    <row r="953" spans="1:10">
      <c r="A953">
        <v>952</v>
      </c>
      <c r="B953" s="1" t="s">
        <v>888</v>
      </c>
      <c r="C953" s="1" t="s">
        <v>951</v>
      </c>
      <c r="D953" s="1">
        <v>423</v>
      </c>
      <c r="E953" s="1">
        <v>242</v>
      </c>
      <c r="F953" s="1">
        <v>0.86</v>
      </c>
      <c r="G953" s="1">
        <v>20260402</v>
      </c>
      <c r="H953" t="b">
        <f t="shared" si="15"/>
        <v>0</v>
      </c>
      <c r="I953" t="str" cm="1">
        <f t="array" ref="I953">GET_TICKER_FINAL(C953)</f>
        <v/>
      </c>
      <c r="J953" s="5" t="s">
        <v>16</v>
      </c>
    </row>
    <row r="954" spans="1:10">
      <c r="A954">
        <v>953</v>
      </c>
      <c r="B954" s="1" t="s">
        <v>888</v>
      </c>
      <c r="C954" s="1" t="s">
        <v>952</v>
      </c>
      <c r="D954" s="1">
        <v>423</v>
      </c>
      <c r="E954" s="1">
        <v>147</v>
      </c>
      <c r="F954" s="1">
        <v>0.94</v>
      </c>
      <c r="G954" s="1">
        <v>20260326</v>
      </c>
      <c r="H954" t="b">
        <f t="shared" si="15"/>
        <v>0</v>
      </c>
      <c r="I954" t="str" cm="1">
        <f t="array" ref="I954">GET_TICKER_FINAL(C954)</f>
        <v/>
      </c>
      <c r="J954" s="5" t="s">
        <v>25</v>
      </c>
    </row>
    <row r="955" spans="1:10">
      <c r="A955">
        <v>954</v>
      </c>
      <c r="B955" s="1" t="s">
        <v>888</v>
      </c>
      <c r="C955" s="1" t="s">
        <v>953</v>
      </c>
      <c r="D955" s="1">
        <v>413</v>
      </c>
      <c r="E955" s="1">
        <v>56</v>
      </c>
      <c r="F955" s="1">
        <v>0.95</v>
      </c>
      <c r="G955" s="1">
        <v>20260326</v>
      </c>
      <c r="H955" t="b">
        <f t="shared" si="15"/>
        <v>0</v>
      </c>
      <c r="I955" t="str" cm="1">
        <f t="array" ref="I955">GET_TICKER_FINAL(C955)</f>
        <v/>
      </c>
      <c r="J955" s="5" t="s">
        <v>25</v>
      </c>
    </row>
    <row r="956" spans="1:10">
      <c r="A956">
        <v>955</v>
      </c>
      <c r="B956" s="1" t="s">
        <v>888</v>
      </c>
      <c r="C956" s="1" t="s">
        <v>954</v>
      </c>
      <c r="D956" s="1">
        <v>413</v>
      </c>
      <c r="E956" s="1">
        <v>168</v>
      </c>
      <c r="F956" s="1">
        <v>0.95</v>
      </c>
      <c r="G956" s="1">
        <v>20260331</v>
      </c>
      <c r="H956" t="b">
        <f t="shared" si="15"/>
        <v>0</v>
      </c>
      <c r="I956" t="str" cm="1">
        <f t="array" ref="I956">GET_TICKER_FINAL(C956)</f>
        <v/>
      </c>
      <c r="J956" s="5" t="s">
        <v>1792</v>
      </c>
    </row>
    <row r="957" spans="1:10">
      <c r="A957">
        <v>956</v>
      </c>
      <c r="B957" s="1" t="s">
        <v>888</v>
      </c>
      <c r="C957" s="1" t="s">
        <v>955</v>
      </c>
      <c r="D957" s="1">
        <v>401</v>
      </c>
      <c r="E957" s="1">
        <v>103</v>
      </c>
      <c r="F957" s="1">
        <v>0.96</v>
      </c>
      <c r="G957" s="1">
        <v>20260331</v>
      </c>
      <c r="H957" t="b">
        <f t="shared" si="15"/>
        <v>0</v>
      </c>
      <c r="I957" t="str" cm="1">
        <f t="array" ref="I957">GET_TICKER_FINAL(C957)</f>
        <v/>
      </c>
      <c r="J957" s="5" t="s">
        <v>16</v>
      </c>
    </row>
    <row r="958" spans="1:10">
      <c r="A958">
        <v>957</v>
      </c>
      <c r="B958" s="1" t="s">
        <v>888</v>
      </c>
      <c r="C958" s="1" t="s">
        <v>956</v>
      </c>
      <c r="D958" s="1">
        <v>393</v>
      </c>
      <c r="E958" s="1">
        <v>520</v>
      </c>
      <c r="F958" s="1">
        <v>0.89</v>
      </c>
      <c r="G958" s="1">
        <v>20260402</v>
      </c>
      <c r="H958" t="b">
        <f t="shared" si="15"/>
        <v>0</v>
      </c>
      <c r="I958" t="str" cm="1">
        <f t="array" ref="I958">GET_TICKER_FINAL(C958)</f>
        <v/>
      </c>
      <c r="J958" s="5" t="s">
        <v>1792</v>
      </c>
    </row>
    <row r="959" spans="1:10">
      <c r="A959">
        <v>958</v>
      </c>
      <c r="B959" s="1" t="s">
        <v>888</v>
      </c>
      <c r="C959" s="1" t="s">
        <v>957</v>
      </c>
      <c r="D959" s="1">
        <v>388</v>
      </c>
      <c r="E959" s="1">
        <v>352</v>
      </c>
      <c r="F959" s="1">
        <v>0.9</v>
      </c>
      <c r="G959" s="1">
        <v>20260330</v>
      </c>
      <c r="H959" t="b">
        <f t="shared" si="15"/>
        <v>0</v>
      </c>
      <c r="I959" t="str" cm="1">
        <f t="array" ref="I959">GET_TICKER_FINAL(C959)</f>
        <v/>
      </c>
      <c r="J959" s="5" t="s">
        <v>25</v>
      </c>
    </row>
    <row r="960" spans="1:10">
      <c r="A960">
        <v>959</v>
      </c>
      <c r="B960" s="1" t="s">
        <v>888</v>
      </c>
      <c r="C960" s="1" t="s">
        <v>958</v>
      </c>
      <c r="D960" s="1">
        <v>380</v>
      </c>
      <c r="E960" s="1">
        <v>459</v>
      </c>
      <c r="F960" s="1">
        <v>0.79</v>
      </c>
      <c r="G960" s="1">
        <v>20260401</v>
      </c>
      <c r="H960" t="b">
        <f t="shared" si="15"/>
        <v>0</v>
      </c>
      <c r="I960" t="str" cm="1">
        <f t="array" ref="I960">GET_TICKER_FINAL(C960)</f>
        <v/>
      </c>
      <c r="J960" s="5" t="s">
        <v>1792</v>
      </c>
    </row>
    <row r="961" spans="1:10">
      <c r="A961">
        <v>960</v>
      </c>
      <c r="B961" s="1" t="s">
        <v>888</v>
      </c>
      <c r="C961" s="1" t="s">
        <v>71</v>
      </c>
      <c r="D961" s="1">
        <v>378</v>
      </c>
      <c r="E961" s="1">
        <v>89</v>
      </c>
      <c r="F961" s="1">
        <v>0.94</v>
      </c>
      <c r="G961" s="1">
        <v>20260402</v>
      </c>
      <c r="H961" t="b">
        <f t="shared" si="15"/>
        <v>0</v>
      </c>
      <c r="I961" t="str" cm="1">
        <f t="array" ref="I961">GET_TICKER_FINAL(C961)</f>
        <v>TSLA</v>
      </c>
      <c r="J961" s="5" t="s">
        <v>16</v>
      </c>
    </row>
    <row r="962" spans="1:10">
      <c r="A962">
        <v>961</v>
      </c>
      <c r="B962" s="1" t="s">
        <v>888</v>
      </c>
      <c r="C962" s="1" t="s">
        <v>959</v>
      </c>
      <c r="D962" s="1">
        <v>356</v>
      </c>
      <c r="E962" s="1">
        <v>63</v>
      </c>
      <c r="F962" s="1">
        <v>0.98</v>
      </c>
      <c r="G962" s="1">
        <v>20260331</v>
      </c>
      <c r="H962" t="b">
        <f t="shared" si="15"/>
        <v>0</v>
      </c>
      <c r="I962" t="str" cm="1">
        <f t="array" ref="I962">GET_TICKER_FINAL(C962)</f>
        <v/>
      </c>
      <c r="J962" s="5" t="s">
        <v>16</v>
      </c>
    </row>
    <row r="963" spans="1:10">
      <c r="A963">
        <v>962</v>
      </c>
      <c r="B963" s="1" t="s">
        <v>888</v>
      </c>
      <c r="C963" s="1" t="s">
        <v>960</v>
      </c>
      <c r="D963" s="1">
        <v>352</v>
      </c>
      <c r="E963" s="1">
        <v>110</v>
      </c>
      <c r="F963" s="1">
        <v>0.91</v>
      </c>
      <c r="G963" s="1">
        <v>20260323</v>
      </c>
      <c r="H963" t="b">
        <f t="shared" ref="H963:H1026" si="16">OR(ISNUMBER(SEARCH("$A",C963)),ISNUMBER(SEARCH("$B",C963)),ISNUMBER(SEARCH("$C",C963)),ISNUMBER(SEARCH("$D",C963)),ISNUMBER(SEARCH("$E",C963)),ISNUMBER(SEARCH("$F",C963)),ISNUMBER(SEARCH("$G",C963)),ISNUMBER(SEARCH("$H",C963)),ISNUMBER(SEARCH("$I",C963)),ISNUMBER(SEARCH("$J",C963)),ISNUMBER(SEARCH("$K",C963)),ISNUMBER(SEARCH("$L",C963)),ISNUMBER(SEARCH("$M",C963)),ISNUMBER(SEARCH("$N",C963)),ISNUMBER(SEARCH("$O",C963)),ISNUMBER(SEARCH("$P",C963)),ISNUMBER(SEARCH("$Q",C963)),ISNUMBER(SEARCH("$R",C963)),ISNUMBER(SEARCH("$S",C963)),ISNUMBER(SEARCH("$T",C963)),ISNUMBER(SEARCH("$U",C963)),ISNUMBER(SEARCH("$V",C963)),ISNUMBER(SEARCH("$W",C963)),ISNUMBER(SEARCH("$X",C963)),ISNUMBER(SEARCH("$Y",C963)),ISNUMBER(SEARCH("$Z",C963)))</f>
        <v>0</v>
      </c>
      <c r="I963" t="str" cm="1">
        <f t="array" ref="I963">GET_TICKER_FINAL(C963)</f>
        <v/>
      </c>
      <c r="J963" s="5" t="s">
        <v>25</v>
      </c>
    </row>
    <row r="964" spans="1:10">
      <c r="A964">
        <v>963</v>
      </c>
      <c r="B964" s="1" t="s">
        <v>888</v>
      </c>
      <c r="C964" s="1" t="s">
        <v>961</v>
      </c>
      <c r="D964" s="1">
        <v>343</v>
      </c>
      <c r="E964" s="1">
        <v>175</v>
      </c>
      <c r="F964" s="1">
        <v>0.91</v>
      </c>
      <c r="G964" s="1">
        <v>20260402</v>
      </c>
      <c r="H964" t="b">
        <f t="shared" si="16"/>
        <v>0</v>
      </c>
      <c r="I964" t="str" cm="1">
        <f t="array" ref="I964">GET_TICKER_FINAL(C964)</f>
        <v/>
      </c>
      <c r="J964" s="5" t="s">
        <v>25</v>
      </c>
    </row>
    <row r="965" spans="1:10">
      <c r="A965">
        <v>964</v>
      </c>
      <c r="B965" s="1" t="s">
        <v>888</v>
      </c>
      <c r="C965" s="1" t="s">
        <v>962</v>
      </c>
      <c r="D965" s="1">
        <v>330</v>
      </c>
      <c r="E965" s="1">
        <v>216</v>
      </c>
      <c r="F965" s="1">
        <v>0.8</v>
      </c>
      <c r="G965" s="1">
        <v>20260326</v>
      </c>
      <c r="H965" t="b">
        <f t="shared" si="16"/>
        <v>0</v>
      </c>
      <c r="I965" t="str" cm="1">
        <f t="array" ref="I965">GET_TICKER_FINAL(C965)</f>
        <v/>
      </c>
      <c r="J965" s="5" t="s">
        <v>1792</v>
      </c>
    </row>
    <row r="966" spans="1:10">
      <c r="A966">
        <v>965</v>
      </c>
      <c r="B966" s="1" t="s">
        <v>888</v>
      </c>
      <c r="C966" s="1" t="s">
        <v>963</v>
      </c>
      <c r="D966" s="1">
        <v>327</v>
      </c>
      <c r="E966" s="1">
        <v>23</v>
      </c>
      <c r="F966" s="1">
        <v>0.98</v>
      </c>
      <c r="G966" s="1">
        <v>20260402</v>
      </c>
      <c r="H966" t="b">
        <f t="shared" si="16"/>
        <v>0</v>
      </c>
      <c r="I966" t="str" cm="1">
        <f t="array" ref="I966">GET_TICKER_FINAL(C966)</f>
        <v/>
      </c>
      <c r="J966" s="5" t="s">
        <v>28</v>
      </c>
    </row>
    <row r="967" spans="1:10">
      <c r="A967">
        <v>966</v>
      </c>
      <c r="B967" s="1" t="s">
        <v>888</v>
      </c>
      <c r="C967" s="1" t="s">
        <v>964</v>
      </c>
      <c r="D967" s="1">
        <v>325</v>
      </c>
      <c r="E967" s="1">
        <v>223</v>
      </c>
      <c r="F967" s="1">
        <v>0.84</v>
      </c>
      <c r="G967" s="1">
        <v>20260401</v>
      </c>
      <c r="H967" t="b">
        <f t="shared" si="16"/>
        <v>0</v>
      </c>
      <c r="I967" t="str" cm="1">
        <f t="array" ref="I967">GET_TICKER_FINAL(C967)</f>
        <v/>
      </c>
      <c r="J967" s="5" t="s">
        <v>16</v>
      </c>
    </row>
    <row r="968" spans="1:10">
      <c r="A968">
        <v>967</v>
      </c>
      <c r="B968" s="1" t="s">
        <v>888</v>
      </c>
      <c r="C968" s="1" t="s">
        <v>965</v>
      </c>
      <c r="D968" s="1">
        <v>322</v>
      </c>
      <c r="E968" s="1">
        <v>30</v>
      </c>
      <c r="F968" s="1">
        <v>0.99</v>
      </c>
      <c r="G968" s="1">
        <v>20260323</v>
      </c>
      <c r="H968" t="b">
        <f t="shared" si="16"/>
        <v>0</v>
      </c>
      <c r="I968" t="str" cm="1">
        <f t="array" ref="I968">GET_TICKER_FINAL(C968)</f>
        <v/>
      </c>
      <c r="J968" s="5" t="s">
        <v>16</v>
      </c>
    </row>
    <row r="969" spans="1:10">
      <c r="A969">
        <v>968</v>
      </c>
      <c r="B969" s="1" t="s">
        <v>888</v>
      </c>
      <c r="C969" s="1" t="s">
        <v>966</v>
      </c>
      <c r="D969" s="1">
        <v>321</v>
      </c>
      <c r="E969" s="1">
        <v>138</v>
      </c>
      <c r="F969" s="1">
        <v>0.88</v>
      </c>
      <c r="G969" s="1">
        <v>20260320</v>
      </c>
      <c r="H969" t="b">
        <f t="shared" si="16"/>
        <v>0</v>
      </c>
      <c r="I969" t="str" cm="1">
        <f t="array" ref="I969">GET_TICKER_FINAL(C969)</f>
        <v/>
      </c>
      <c r="J969" s="5" t="s">
        <v>1792</v>
      </c>
    </row>
    <row r="970" spans="1:10">
      <c r="A970">
        <v>969</v>
      </c>
      <c r="B970" s="1" t="s">
        <v>888</v>
      </c>
      <c r="C970" s="1" t="s">
        <v>967</v>
      </c>
      <c r="D970" s="1">
        <v>315</v>
      </c>
      <c r="E970" s="1">
        <v>69</v>
      </c>
      <c r="F970" s="1">
        <v>0.95</v>
      </c>
      <c r="G970" s="1">
        <v>20260331</v>
      </c>
      <c r="H970" t="b">
        <f t="shared" si="16"/>
        <v>0</v>
      </c>
      <c r="I970" t="str" cm="1">
        <f t="array" ref="I970">GET_TICKER_FINAL(C970)</f>
        <v/>
      </c>
      <c r="J970" s="5" t="s">
        <v>16</v>
      </c>
    </row>
    <row r="971" spans="1:10">
      <c r="A971">
        <v>970</v>
      </c>
      <c r="B971" s="1" t="s">
        <v>888</v>
      </c>
      <c r="C971" s="1" t="s">
        <v>968</v>
      </c>
      <c r="D971" s="1">
        <v>308</v>
      </c>
      <c r="E971" s="1">
        <v>257</v>
      </c>
      <c r="F971" s="1">
        <v>0.87</v>
      </c>
      <c r="G971" s="1">
        <v>20260327</v>
      </c>
      <c r="H971" t="b">
        <f t="shared" si="16"/>
        <v>0</v>
      </c>
      <c r="I971" t="str" cm="1">
        <f t="array" ref="I971">GET_TICKER_FINAL(C971)</f>
        <v>MSFT</v>
      </c>
      <c r="J971" s="5" t="s">
        <v>1792</v>
      </c>
    </row>
    <row r="972" spans="1:10">
      <c r="A972">
        <v>971</v>
      </c>
      <c r="B972" s="1" t="s">
        <v>888</v>
      </c>
      <c r="C972" s="1" t="s">
        <v>969</v>
      </c>
      <c r="D972" s="1">
        <v>305</v>
      </c>
      <c r="E972" s="1">
        <v>166</v>
      </c>
      <c r="F972" s="1">
        <v>0.94</v>
      </c>
      <c r="G972" s="1">
        <v>20260402</v>
      </c>
      <c r="H972" t="b">
        <f t="shared" si="16"/>
        <v>0</v>
      </c>
      <c r="I972" t="str" cm="1">
        <f t="array" ref="I972">GET_TICKER_FINAL(C972)</f>
        <v/>
      </c>
      <c r="J972" s="5" t="s">
        <v>16</v>
      </c>
    </row>
    <row r="973" spans="1:10">
      <c r="A973">
        <v>972</v>
      </c>
      <c r="B973" s="1" t="s">
        <v>888</v>
      </c>
      <c r="C973" s="1" t="s">
        <v>970</v>
      </c>
      <c r="D973" s="1">
        <v>304</v>
      </c>
      <c r="E973" s="1">
        <v>314</v>
      </c>
      <c r="F973" s="1">
        <v>0.8</v>
      </c>
      <c r="G973" s="1">
        <v>20260330</v>
      </c>
      <c r="H973" t="b">
        <f t="shared" si="16"/>
        <v>0</v>
      </c>
      <c r="I973" t="str" cm="1">
        <f t="array" ref="I973">GET_TICKER_FINAL(C973)</f>
        <v/>
      </c>
      <c r="J973" s="5" t="s">
        <v>16</v>
      </c>
    </row>
    <row r="974" spans="1:10">
      <c r="A974">
        <v>973</v>
      </c>
      <c r="B974" s="1" t="s">
        <v>888</v>
      </c>
      <c r="C974" s="1" t="s">
        <v>971</v>
      </c>
      <c r="D974" s="1">
        <v>303</v>
      </c>
      <c r="E974" s="1">
        <v>192</v>
      </c>
      <c r="F974" s="1">
        <v>0.81</v>
      </c>
      <c r="G974" s="1">
        <v>20260401</v>
      </c>
      <c r="H974" t="b">
        <f t="shared" si="16"/>
        <v>0</v>
      </c>
      <c r="I974" t="str" cm="1">
        <f t="array" ref="I974">GET_TICKER_FINAL(C974)</f>
        <v/>
      </c>
      <c r="J974" s="5" t="s">
        <v>16</v>
      </c>
    </row>
    <row r="975" spans="1:10">
      <c r="A975">
        <v>974</v>
      </c>
      <c r="B975" s="1" t="s">
        <v>888</v>
      </c>
      <c r="C975" s="1" t="s">
        <v>972</v>
      </c>
      <c r="D975" s="1">
        <v>300</v>
      </c>
      <c r="E975" s="1">
        <v>124</v>
      </c>
      <c r="F975" s="1">
        <v>0.92</v>
      </c>
      <c r="G975" s="1">
        <v>20260326</v>
      </c>
      <c r="H975" t="b">
        <f t="shared" si="16"/>
        <v>0</v>
      </c>
      <c r="I975" t="str" cm="1">
        <f t="array" ref="I975">GET_TICKER_FINAL(C975)</f>
        <v>COST</v>
      </c>
      <c r="J975" s="5" t="s">
        <v>16</v>
      </c>
    </row>
    <row r="976" spans="1:10">
      <c r="A976">
        <v>975</v>
      </c>
      <c r="B976" s="1" t="s">
        <v>888</v>
      </c>
      <c r="C976" s="1" t="s">
        <v>973</v>
      </c>
      <c r="D976" s="1">
        <v>294</v>
      </c>
      <c r="E976" s="1">
        <v>31</v>
      </c>
      <c r="F976" s="1">
        <v>0.98</v>
      </c>
      <c r="G976" s="1">
        <v>20260323</v>
      </c>
      <c r="H976" t="b">
        <f t="shared" si="16"/>
        <v>0</v>
      </c>
      <c r="I976" t="str" cm="1">
        <f t="array" ref="I976">GET_TICKER_FINAL(C976)</f>
        <v/>
      </c>
      <c r="J976" s="5" t="s">
        <v>16</v>
      </c>
    </row>
    <row r="977" spans="1:10">
      <c r="A977">
        <v>976</v>
      </c>
      <c r="B977" s="1" t="s">
        <v>888</v>
      </c>
      <c r="C977" s="1" t="s">
        <v>974</v>
      </c>
      <c r="D977" s="1">
        <v>291</v>
      </c>
      <c r="E977" s="1">
        <v>157</v>
      </c>
      <c r="F977" s="1">
        <v>0.75</v>
      </c>
      <c r="G977" s="1">
        <v>20260402</v>
      </c>
      <c r="H977" t="b">
        <f t="shared" si="16"/>
        <v>0</v>
      </c>
      <c r="I977" t="str" cm="1">
        <f t="array" ref="I977">GET_TICKER_FINAL(C977)</f>
        <v/>
      </c>
      <c r="J977" s="5" t="s">
        <v>1792</v>
      </c>
    </row>
    <row r="978" spans="1:10">
      <c r="A978">
        <v>977</v>
      </c>
      <c r="B978" s="1" t="s">
        <v>888</v>
      </c>
      <c r="C978" s="1" t="s">
        <v>975</v>
      </c>
      <c r="D978" s="1">
        <v>286</v>
      </c>
      <c r="E978" s="1">
        <v>791</v>
      </c>
      <c r="F978" s="1">
        <v>0.78</v>
      </c>
      <c r="G978" s="1">
        <v>20260402</v>
      </c>
      <c r="H978" t="b">
        <f t="shared" si="16"/>
        <v>0</v>
      </c>
      <c r="I978" t="str" cm="1">
        <f t="array" ref="I978">GET_TICKER_FINAL(C978)</f>
        <v/>
      </c>
      <c r="J978" s="5" t="s">
        <v>1792</v>
      </c>
    </row>
    <row r="979" spans="1:10">
      <c r="A979">
        <v>978</v>
      </c>
      <c r="B979" s="1" t="s">
        <v>888</v>
      </c>
      <c r="C979" s="1" t="s">
        <v>976</v>
      </c>
      <c r="D979" s="1">
        <v>284</v>
      </c>
      <c r="E979" s="1">
        <v>347</v>
      </c>
      <c r="F979" s="1">
        <v>0.9</v>
      </c>
      <c r="G979" s="1">
        <v>20260402</v>
      </c>
      <c r="H979" t="b">
        <f t="shared" si="16"/>
        <v>0</v>
      </c>
      <c r="I979" t="str" cm="1">
        <f t="array" ref="I979">GET_TICKER_FINAL(C979)</f>
        <v/>
      </c>
      <c r="J979" s="5" t="s">
        <v>16</v>
      </c>
    </row>
    <row r="980" spans="1:10">
      <c r="A980">
        <v>979</v>
      </c>
      <c r="B980" s="1" t="s">
        <v>888</v>
      </c>
      <c r="C980" s="1" t="s">
        <v>977</v>
      </c>
      <c r="D980" s="1">
        <v>281</v>
      </c>
      <c r="E980" s="1">
        <v>311</v>
      </c>
      <c r="F980" s="1">
        <v>0.77</v>
      </c>
      <c r="G980" s="1">
        <v>20260326</v>
      </c>
      <c r="H980" t="b">
        <f t="shared" si="16"/>
        <v>0</v>
      </c>
      <c r="I980" t="str" cm="1">
        <f t="array" ref="I980">GET_TICKER_FINAL(C980)</f>
        <v/>
      </c>
      <c r="J980" s="5" t="s">
        <v>1792</v>
      </c>
    </row>
    <row r="981" spans="1:10">
      <c r="A981">
        <v>980</v>
      </c>
      <c r="B981" s="1" t="s">
        <v>888</v>
      </c>
      <c r="C981" s="1" t="s">
        <v>978</v>
      </c>
      <c r="D981" s="1">
        <v>281</v>
      </c>
      <c r="E981" s="1">
        <v>26</v>
      </c>
      <c r="F981" s="1">
        <v>0.93</v>
      </c>
      <c r="G981" s="1">
        <v>20260327</v>
      </c>
      <c r="H981" t="b">
        <f t="shared" si="16"/>
        <v>0</v>
      </c>
      <c r="I981" t="str" cm="1">
        <f t="array" ref="I981">GET_TICKER_FINAL(C981)</f>
        <v/>
      </c>
      <c r="J981" s="5" t="s">
        <v>16</v>
      </c>
    </row>
    <row r="982" spans="1:10">
      <c r="A982">
        <v>981</v>
      </c>
      <c r="B982" s="1" t="s">
        <v>888</v>
      </c>
      <c r="C982" s="1" t="s">
        <v>979</v>
      </c>
      <c r="D982" s="1">
        <v>277</v>
      </c>
      <c r="E982" s="1">
        <v>296</v>
      </c>
      <c r="F982" s="1">
        <v>0.91</v>
      </c>
      <c r="G982" s="1">
        <v>20260327</v>
      </c>
      <c r="H982" t="b">
        <f t="shared" si="16"/>
        <v>0</v>
      </c>
      <c r="I982" t="str" cm="1">
        <f t="array" ref="I982">GET_TICKER_FINAL(C982)</f>
        <v>META</v>
      </c>
      <c r="J982" s="5" t="s">
        <v>16</v>
      </c>
    </row>
    <row r="983" spans="1:10">
      <c r="A983">
        <v>982</v>
      </c>
      <c r="B983" s="1" t="s">
        <v>888</v>
      </c>
      <c r="C983" s="1" t="s">
        <v>980</v>
      </c>
      <c r="D983" s="1">
        <v>266</v>
      </c>
      <c r="E983" s="1">
        <v>86</v>
      </c>
      <c r="F983" s="1">
        <v>0.79</v>
      </c>
      <c r="G983" s="1">
        <v>20260327</v>
      </c>
      <c r="H983" t="b">
        <f t="shared" si="16"/>
        <v>0</v>
      </c>
      <c r="I983" t="str" cm="1">
        <f t="array" ref="I983">GET_TICKER_FINAL(C983)</f>
        <v/>
      </c>
      <c r="J983" s="5" t="s">
        <v>16</v>
      </c>
    </row>
    <row r="984" spans="1:10">
      <c r="A984">
        <v>983</v>
      </c>
      <c r="B984" s="1" t="s">
        <v>888</v>
      </c>
      <c r="C984" s="1" t="s">
        <v>981</v>
      </c>
      <c r="D984" s="1">
        <v>265</v>
      </c>
      <c r="E984" s="1">
        <v>158</v>
      </c>
      <c r="F984" s="1">
        <v>0.9</v>
      </c>
      <c r="G984" s="1">
        <v>20260320</v>
      </c>
      <c r="H984" t="b">
        <f t="shared" si="16"/>
        <v>0</v>
      </c>
      <c r="I984" t="str" cm="1">
        <f t="array" ref="I984">GET_TICKER_FINAL(C984)</f>
        <v/>
      </c>
      <c r="J984" s="5" t="s">
        <v>1792</v>
      </c>
    </row>
    <row r="985" spans="1:10">
      <c r="A985">
        <v>984</v>
      </c>
      <c r="B985" s="1" t="s">
        <v>888</v>
      </c>
      <c r="C985" s="1" t="s">
        <v>982</v>
      </c>
      <c r="D985" s="1">
        <v>244</v>
      </c>
      <c r="E985" s="1">
        <v>62</v>
      </c>
      <c r="F985" s="1">
        <v>0.94</v>
      </c>
      <c r="G985" s="1">
        <v>20260402</v>
      </c>
      <c r="H985" t="b">
        <f t="shared" si="16"/>
        <v>0</v>
      </c>
      <c r="I985" t="str" cm="1">
        <f t="array" ref="I985">GET_TICKER_FINAL(C985)</f>
        <v/>
      </c>
      <c r="J985" s="5" t="s">
        <v>1792</v>
      </c>
    </row>
    <row r="986" spans="1:10">
      <c r="A986">
        <v>985</v>
      </c>
      <c r="B986" s="1" t="s">
        <v>888</v>
      </c>
      <c r="C986" s="1" t="s">
        <v>983</v>
      </c>
      <c r="D986" s="1">
        <v>242</v>
      </c>
      <c r="E986" s="1">
        <v>598</v>
      </c>
      <c r="F986" s="1">
        <v>0.77</v>
      </c>
      <c r="G986" s="1">
        <v>20260327</v>
      </c>
      <c r="H986" t="b">
        <f t="shared" si="16"/>
        <v>0</v>
      </c>
      <c r="I986" t="str" cm="1">
        <f t="array" ref="I986">GET_TICKER_FINAL(C986)</f>
        <v/>
      </c>
      <c r="J986" s="5" t="s">
        <v>25</v>
      </c>
    </row>
    <row r="987" spans="1:10">
      <c r="A987">
        <v>986</v>
      </c>
      <c r="B987" s="1" t="s">
        <v>888</v>
      </c>
      <c r="C987" s="1" t="s">
        <v>984</v>
      </c>
      <c r="D987" s="1">
        <v>242</v>
      </c>
      <c r="E987" s="1">
        <v>68</v>
      </c>
      <c r="F987" s="1">
        <v>0.87</v>
      </c>
      <c r="G987" s="1">
        <v>20260323</v>
      </c>
      <c r="H987" t="b">
        <f t="shared" si="16"/>
        <v>0</v>
      </c>
      <c r="I987" t="str" cm="1">
        <f t="array" ref="I987">GET_TICKER_FINAL(C987)</f>
        <v>NVO</v>
      </c>
      <c r="J987" s="5" t="s">
        <v>1792</v>
      </c>
    </row>
    <row r="988" spans="1:10">
      <c r="A988">
        <v>987</v>
      </c>
      <c r="B988" s="1" t="s">
        <v>888</v>
      </c>
      <c r="C988" s="1" t="s">
        <v>985</v>
      </c>
      <c r="D988" s="1">
        <v>239</v>
      </c>
      <c r="E988" s="1">
        <v>185</v>
      </c>
      <c r="F988" s="1">
        <v>0.78</v>
      </c>
      <c r="G988" s="1">
        <v>20260330</v>
      </c>
      <c r="H988" t="b">
        <f t="shared" si="16"/>
        <v>0</v>
      </c>
      <c r="I988" t="str" cm="1">
        <f t="array" ref="I988">GET_TICKER_FINAL(C988)</f>
        <v/>
      </c>
      <c r="J988" s="5" t="s">
        <v>1792</v>
      </c>
    </row>
    <row r="989" spans="1:10">
      <c r="A989">
        <v>988</v>
      </c>
      <c r="B989" s="1" t="s">
        <v>888</v>
      </c>
      <c r="C989" s="1" t="s">
        <v>986</v>
      </c>
      <c r="D989" s="1">
        <v>236</v>
      </c>
      <c r="E989" s="1">
        <v>306</v>
      </c>
      <c r="F989" s="1">
        <v>0.9</v>
      </c>
      <c r="G989" s="1">
        <v>20260401</v>
      </c>
      <c r="H989" t="b">
        <f t="shared" si="16"/>
        <v>0</v>
      </c>
      <c r="I989" t="str" cm="1">
        <f t="array" ref="I989">GET_TICKER_FINAL(C989)</f>
        <v/>
      </c>
      <c r="J989" s="5" t="s">
        <v>25</v>
      </c>
    </row>
    <row r="990" spans="1:10">
      <c r="A990">
        <v>989</v>
      </c>
      <c r="B990" s="1" t="s">
        <v>888</v>
      </c>
      <c r="C990" s="1" t="s">
        <v>987</v>
      </c>
      <c r="D990" s="1">
        <v>226</v>
      </c>
      <c r="E990" s="1">
        <v>149</v>
      </c>
      <c r="F990" s="1">
        <v>0.91</v>
      </c>
      <c r="G990" s="1">
        <v>20260402</v>
      </c>
      <c r="H990" t="b">
        <f t="shared" si="16"/>
        <v>0</v>
      </c>
      <c r="I990" t="str" cm="1">
        <f t="array" ref="I990">GET_TICKER_FINAL(C990)</f>
        <v>MU</v>
      </c>
      <c r="J990" s="5" t="s">
        <v>1792</v>
      </c>
    </row>
    <row r="991" spans="1:10">
      <c r="A991">
        <v>990</v>
      </c>
      <c r="B991" s="1" t="s">
        <v>888</v>
      </c>
      <c r="C991" s="1" t="s">
        <v>988</v>
      </c>
      <c r="D991" s="1">
        <v>220</v>
      </c>
      <c r="E991" s="1">
        <v>62</v>
      </c>
      <c r="F991" s="1">
        <v>0.91</v>
      </c>
      <c r="G991" s="1">
        <v>20260323</v>
      </c>
      <c r="H991" t="b">
        <f t="shared" si="16"/>
        <v>0</v>
      </c>
      <c r="I991" t="str" cm="1">
        <f t="array" ref="I991">GET_TICKER_FINAL(C991)</f>
        <v>MSFT</v>
      </c>
      <c r="J991" s="5" t="s">
        <v>16</v>
      </c>
    </row>
    <row r="992" spans="1:10">
      <c r="A992">
        <v>991</v>
      </c>
      <c r="B992" s="1" t="s">
        <v>888</v>
      </c>
      <c r="C992" s="1" t="s">
        <v>989</v>
      </c>
      <c r="D992" s="1">
        <v>219</v>
      </c>
      <c r="E992" s="1">
        <v>97</v>
      </c>
      <c r="F992" s="1">
        <v>0.81</v>
      </c>
      <c r="G992" s="1">
        <v>20260324</v>
      </c>
      <c r="H992" t="b">
        <f t="shared" si="16"/>
        <v>0</v>
      </c>
      <c r="I992" t="str" cm="1">
        <f t="array" ref="I992">GET_TICKER_FINAL(C992)</f>
        <v/>
      </c>
      <c r="J992" s="5" t="s">
        <v>1792</v>
      </c>
    </row>
    <row r="993" spans="1:10">
      <c r="A993">
        <v>992</v>
      </c>
      <c r="B993" s="1" t="s">
        <v>888</v>
      </c>
      <c r="C993" s="1" t="s">
        <v>990</v>
      </c>
      <c r="D993" s="1">
        <v>218</v>
      </c>
      <c r="E993" s="1">
        <v>381</v>
      </c>
      <c r="F993" s="1">
        <v>0.78</v>
      </c>
      <c r="G993" s="1">
        <v>20260331</v>
      </c>
      <c r="H993" t="b">
        <f t="shared" si="16"/>
        <v>0</v>
      </c>
      <c r="I993" t="str" cm="1">
        <f t="array" ref="I993">GET_TICKER_FINAL(C993)</f>
        <v/>
      </c>
      <c r="J993" s="5" t="s">
        <v>1792</v>
      </c>
    </row>
    <row r="994" spans="1:10">
      <c r="A994">
        <v>993</v>
      </c>
      <c r="B994" s="1" t="s">
        <v>888</v>
      </c>
      <c r="C994" s="1" t="s">
        <v>991</v>
      </c>
      <c r="D994" s="1">
        <v>212</v>
      </c>
      <c r="E994" s="1">
        <v>24</v>
      </c>
      <c r="F994" s="1">
        <v>0.96</v>
      </c>
      <c r="G994" s="1">
        <v>20260323</v>
      </c>
      <c r="H994" t="b">
        <f t="shared" si="16"/>
        <v>0</v>
      </c>
      <c r="I994" t="str" cm="1">
        <f t="array" ref="I994">GET_TICKER_FINAL(C994)</f>
        <v>NVDA</v>
      </c>
      <c r="J994" s="5" t="s">
        <v>16</v>
      </c>
    </row>
    <row r="995" spans="1:10">
      <c r="A995">
        <v>994</v>
      </c>
      <c r="B995" s="1" t="s">
        <v>888</v>
      </c>
      <c r="C995" s="1" t="s">
        <v>992</v>
      </c>
      <c r="D995" s="1">
        <v>206</v>
      </c>
      <c r="E995" s="1">
        <v>48</v>
      </c>
      <c r="F995" s="1">
        <v>0.97</v>
      </c>
      <c r="G995" s="1">
        <v>20260323</v>
      </c>
      <c r="H995" t="b">
        <f t="shared" si="16"/>
        <v>0</v>
      </c>
      <c r="I995" t="str" cm="1">
        <f t="array" ref="I995">GET_TICKER_FINAL(C995)</f>
        <v>NVDA</v>
      </c>
      <c r="J995" s="5" t="s">
        <v>25</v>
      </c>
    </row>
    <row r="996" spans="1:10">
      <c r="A996">
        <v>995</v>
      </c>
      <c r="B996" s="1" t="s">
        <v>888</v>
      </c>
      <c r="C996" s="1" t="s">
        <v>993</v>
      </c>
      <c r="D996" s="1">
        <v>205</v>
      </c>
      <c r="E996" s="1">
        <v>354</v>
      </c>
      <c r="F996" s="1">
        <v>0.92</v>
      </c>
      <c r="G996" s="1">
        <v>20260323</v>
      </c>
      <c r="H996" t="b">
        <f t="shared" si="16"/>
        <v>0</v>
      </c>
      <c r="I996" t="str" cm="1">
        <f t="array" ref="I996">GET_TICKER_FINAL(C996)</f>
        <v/>
      </c>
      <c r="J996" s="5" t="s">
        <v>1792</v>
      </c>
    </row>
    <row r="997" spans="1:10">
      <c r="A997">
        <v>996</v>
      </c>
      <c r="B997" s="1" t="s">
        <v>888</v>
      </c>
      <c r="C997" s="1" t="s">
        <v>994</v>
      </c>
      <c r="D997" s="1">
        <v>200</v>
      </c>
      <c r="E997" s="1">
        <v>235</v>
      </c>
      <c r="F997" s="1">
        <v>0.88</v>
      </c>
      <c r="G997" s="1">
        <v>20260324</v>
      </c>
      <c r="H997" t="b">
        <f t="shared" si="16"/>
        <v>0</v>
      </c>
      <c r="I997" t="str" cm="1">
        <f t="array" ref="I997">GET_TICKER_FINAL(C997)</f>
        <v/>
      </c>
      <c r="J997" s="5" t="s">
        <v>25</v>
      </c>
    </row>
    <row r="998" spans="1:10">
      <c r="A998">
        <v>997</v>
      </c>
      <c r="B998" s="1" t="s">
        <v>888</v>
      </c>
      <c r="C998" s="1" t="s">
        <v>995</v>
      </c>
      <c r="D998" s="1">
        <v>199</v>
      </c>
      <c r="E998" s="1">
        <v>37</v>
      </c>
      <c r="F998" s="1">
        <v>0.97</v>
      </c>
      <c r="G998" s="1">
        <v>20260323</v>
      </c>
      <c r="H998" t="b">
        <f t="shared" si="16"/>
        <v>0</v>
      </c>
      <c r="I998" t="str" cm="1">
        <f t="array" ref="I998">GET_TICKER_FINAL(C998)</f>
        <v>UBER</v>
      </c>
      <c r="J998" s="5" t="s">
        <v>16</v>
      </c>
    </row>
    <row r="999" spans="1:10">
      <c r="A999">
        <v>998</v>
      </c>
      <c r="B999" s="1" t="s">
        <v>888</v>
      </c>
      <c r="C999" s="1" t="s">
        <v>996</v>
      </c>
      <c r="D999" s="1">
        <v>196</v>
      </c>
      <c r="E999" s="1">
        <v>515</v>
      </c>
      <c r="F999" s="1">
        <v>0.78</v>
      </c>
      <c r="G999" s="1">
        <v>20260330</v>
      </c>
      <c r="H999" t="b">
        <f t="shared" si="16"/>
        <v>0</v>
      </c>
      <c r="I999" t="str" cm="1">
        <f t="array" ref="I999">GET_TICKER_FINAL(C999)</f>
        <v/>
      </c>
      <c r="J999" s="5" t="s">
        <v>16</v>
      </c>
    </row>
    <row r="1000" spans="1:10">
      <c r="A1000">
        <v>999</v>
      </c>
      <c r="B1000" s="1" t="s">
        <v>888</v>
      </c>
      <c r="C1000" s="1" t="s">
        <v>997</v>
      </c>
      <c r="D1000" s="1">
        <v>193</v>
      </c>
      <c r="E1000" s="1">
        <v>152</v>
      </c>
      <c r="F1000" s="1">
        <v>0.8</v>
      </c>
      <c r="G1000" s="1">
        <v>20260330</v>
      </c>
      <c r="H1000" t="b">
        <f t="shared" si="16"/>
        <v>0</v>
      </c>
      <c r="I1000" t="str" cm="1">
        <f t="array" ref="I1000">GET_TICKER_FINAL(C1000)</f>
        <v>MSFT</v>
      </c>
      <c r="J1000" s="5" t="s">
        <v>28</v>
      </c>
    </row>
    <row r="1001" spans="1:10">
      <c r="A1001">
        <v>1000</v>
      </c>
      <c r="B1001" s="1" t="s">
        <v>888</v>
      </c>
      <c r="C1001" s="1" t="s">
        <v>998</v>
      </c>
      <c r="D1001" s="1">
        <v>192</v>
      </c>
      <c r="E1001" s="1">
        <v>647</v>
      </c>
      <c r="F1001" s="1">
        <v>0.78</v>
      </c>
      <c r="G1001" s="1">
        <v>20260401</v>
      </c>
      <c r="H1001" t="b">
        <f t="shared" si="16"/>
        <v>0</v>
      </c>
      <c r="I1001" t="str" cm="1">
        <f t="array" ref="I1001">GET_TICKER_FINAL(C1001)</f>
        <v/>
      </c>
      <c r="J1001" s="5" t="s">
        <v>1792</v>
      </c>
    </row>
    <row r="1002" spans="1:10">
      <c r="A1002">
        <v>1001</v>
      </c>
      <c r="B1002" s="1" t="s">
        <v>888</v>
      </c>
      <c r="C1002" s="1" t="s">
        <v>999</v>
      </c>
      <c r="D1002" s="1">
        <v>186</v>
      </c>
      <c r="E1002" s="1">
        <v>575</v>
      </c>
      <c r="F1002" s="1">
        <v>0.85</v>
      </c>
      <c r="G1002" s="1">
        <v>20260331</v>
      </c>
      <c r="H1002" t="b">
        <f t="shared" si="16"/>
        <v>0</v>
      </c>
      <c r="I1002" t="str" cm="1">
        <f t="array" ref="I1002">GET_TICKER_FINAL(C1002)</f>
        <v/>
      </c>
      <c r="J1002" s="5" t="s">
        <v>1792</v>
      </c>
    </row>
    <row r="1003" spans="1:10">
      <c r="A1003">
        <v>1002</v>
      </c>
      <c r="B1003" s="1" t="s">
        <v>888</v>
      </c>
      <c r="C1003" s="1" t="s">
        <v>1000</v>
      </c>
      <c r="D1003" s="1">
        <v>185</v>
      </c>
      <c r="E1003" s="1">
        <v>102</v>
      </c>
      <c r="F1003" s="1">
        <v>0.93</v>
      </c>
      <c r="G1003" s="1">
        <v>20260323</v>
      </c>
      <c r="H1003" t="b">
        <f t="shared" si="16"/>
        <v>0</v>
      </c>
      <c r="I1003" t="str" cm="1">
        <f t="array" ref="I1003">GET_TICKER_FINAL(C1003)</f>
        <v>MU</v>
      </c>
      <c r="J1003" s="5" t="s">
        <v>25</v>
      </c>
    </row>
    <row r="1004" spans="1:10">
      <c r="A1004">
        <v>1003</v>
      </c>
      <c r="B1004" s="1" t="s">
        <v>888</v>
      </c>
      <c r="C1004" s="1" t="s">
        <v>1001</v>
      </c>
      <c r="D1004" s="1">
        <v>181</v>
      </c>
      <c r="E1004" s="1">
        <v>125</v>
      </c>
      <c r="F1004" s="1">
        <v>0.93</v>
      </c>
      <c r="G1004" s="1">
        <v>20260330</v>
      </c>
      <c r="H1004" t="b">
        <f t="shared" si="16"/>
        <v>0</v>
      </c>
      <c r="I1004" t="str" cm="1">
        <f t="array" ref="I1004">GET_TICKER_FINAL(C1004)</f>
        <v>META</v>
      </c>
      <c r="J1004" s="5" t="s">
        <v>1792</v>
      </c>
    </row>
    <row r="1005" spans="1:10">
      <c r="A1005">
        <v>1004</v>
      </c>
      <c r="B1005" s="1" t="s">
        <v>888</v>
      </c>
      <c r="C1005" s="1" t="s">
        <v>1002</v>
      </c>
      <c r="D1005" s="1">
        <v>177</v>
      </c>
      <c r="E1005" s="1">
        <v>70</v>
      </c>
      <c r="F1005" s="1">
        <v>0.91</v>
      </c>
      <c r="G1005" s="1">
        <v>20260402</v>
      </c>
      <c r="H1005" t="b">
        <f t="shared" si="16"/>
        <v>0</v>
      </c>
      <c r="I1005" t="str" cm="1">
        <f t="array" ref="I1005">GET_TICKER_FINAL(C1005)</f>
        <v/>
      </c>
      <c r="J1005" s="5" t="s">
        <v>16</v>
      </c>
    </row>
    <row r="1006" spans="1:10">
      <c r="A1006">
        <v>1005</v>
      </c>
      <c r="B1006" s="1" t="s">
        <v>888</v>
      </c>
      <c r="C1006" s="1" t="s">
        <v>1003</v>
      </c>
      <c r="D1006" s="1">
        <v>174</v>
      </c>
      <c r="E1006" s="1">
        <v>89</v>
      </c>
      <c r="F1006" s="1">
        <v>0.93</v>
      </c>
      <c r="G1006" s="1">
        <v>20260401</v>
      </c>
      <c r="H1006" t="b">
        <f t="shared" si="16"/>
        <v>0</v>
      </c>
      <c r="I1006" t="str" cm="1">
        <f t="array" ref="I1006">GET_TICKER_FINAL(C1006)</f>
        <v/>
      </c>
      <c r="J1006" s="5" t="s">
        <v>16</v>
      </c>
    </row>
    <row r="1007" spans="1:10">
      <c r="A1007">
        <v>1006</v>
      </c>
      <c r="B1007" s="1" t="s">
        <v>888</v>
      </c>
      <c r="C1007" s="1" t="s">
        <v>1004</v>
      </c>
      <c r="D1007" s="1">
        <v>173</v>
      </c>
      <c r="E1007" s="1">
        <v>97</v>
      </c>
      <c r="F1007" s="1">
        <v>0.95</v>
      </c>
      <c r="G1007" s="1">
        <v>20260320</v>
      </c>
      <c r="H1007" t="b">
        <f t="shared" si="16"/>
        <v>0</v>
      </c>
      <c r="I1007" t="str" cm="1">
        <f t="array" ref="I1007">GET_TICKER_FINAL(C1007)</f>
        <v>MU</v>
      </c>
      <c r="J1007" s="5" t="s">
        <v>25</v>
      </c>
    </row>
    <row r="1008" spans="1:10">
      <c r="A1008">
        <v>1007</v>
      </c>
      <c r="B1008" s="1" t="s">
        <v>888</v>
      </c>
      <c r="C1008" s="1" t="s">
        <v>1005</v>
      </c>
      <c r="D1008" s="1">
        <v>172</v>
      </c>
      <c r="E1008" s="1">
        <v>392</v>
      </c>
      <c r="F1008" s="1">
        <v>0.8</v>
      </c>
      <c r="G1008" s="1">
        <v>20260327</v>
      </c>
      <c r="H1008" t="b">
        <f t="shared" si="16"/>
        <v>0</v>
      </c>
      <c r="I1008" t="str" cm="1">
        <f t="array" ref="I1008">GET_TICKER_FINAL(C1008)</f>
        <v/>
      </c>
      <c r="J1008" s="5" t="s">
        <v>16</v>
      </c>
    </row>
    <row r="1009" spans="1:10">
      <c r="A1009">
        <v>1008</v>
      </c>
      <c r="B1009" s="1" t="s">
        <v>888</v>
      </c>
      <c r="C1009" s="1" t="s">
        <v>1006</v>
      </c>
      <c r="D1009" s="1">
        <v>172</v>
      </c>
      <c r="E1009" s="1">
        <v>25</v>
      </c>
      <c r="F1009" s="1">
        <v>0.98</v>
      </c>
      <c r="G1009" s="1">
        <v>20260323</v>
      </c>
      <c r="H1009" t="b">
        <f t="shared" si="16"/>
        <v>0</v>
      </c>
      <c r="I1009" t="str" cm="1">
        <f t="array" ref="I1009">GET_TICKER_FINAL(C1009)</f>
        <v>NVDA</v>
      </c>
      <c r="J1009" s="5" t="s">
        <v>16</v>
      </c>
    </row>
    <row r="1010" spans="1:10">
      <c r="A1010">
        <v>1009</v>
      </c>
      <c r="B1010" s="1" t="s">
        <v>888</v>
      </c>
      <c r="C1010" s="1" t="s">
        <v>1007</v>
      </c>
      <c r="D1010" s="1">
        <v>168</v>
      </c>
      <c r="E1010" s="1">
        <v>25</v>
      </c>
      <c r="F1010" s="1">
        <v>0.96</v>
      </c>
      <c r="G1010" s="1">
        <v>20260402</v>
      </c>
      <c r="H1010" t="b">
        <f t="shared" si="16"/>
        <v>0</v>
      </c>
      <c r="I1010" t="str" cm="1">
        <f t="array" ref="I1010">GET_TICKER_FINAL(C1010)</f>
        <v>AAPL</v>
      </c>
      <c r="J1010" s="5" t="s">
        <v>28</v>
      </c>
    </row>
    <row r="1011" spans="1:10">
      <c r="A1011">
        <v>1010</v>
      </c>
      <c r="B1011" s="1" t="s">
        <v>888</v>
      </c>
      <c r="C1011" s="1" t="s">
        <v>1008</v>
      </c>
      <c r="D1011" s="1">
        <v>162</v>
      </c>
      <c r="E1011" s="1">
        <v>298</v>
      </c>
      <c r="F1011" s="1">
        <v>0.76</v>
      </c>
      <c r="G1011" s="1">
        <v>20260401</v>
      </c>
      <c r="H1011" t="b">
        <f t="shared" si="16"/>
        <v>0</v>
      </c>
      <c r="I1011" t="str" cm="1">
        <f t="array" ref="I1011">GET_TICKER_FINAL(C1011)</f>
        <v/>
      </c>
      <c r="J1011" s="5" t="s">
        <v>1792</v>
      </c>
    </row>
    <row r="1012" spans="1:10">
      <c r="A1012">
        <v>1011</v>
      </c>
      <c r="B1012" s="1" t="s">
        <v>888</v>
      </c>
      <c r="C1012" s="1" t="s">
        <v>1009</v>
      </c>
      <c r="D1012" s="1">
        <v>156</v>
      </c>
      <c r="E1012" s="1">
        <v>221</v>
      </c>
      <c r="F1012" s="1">
        <v>0.8</v>
      </c>
      <c r="G1012" s="1">
        <v>20260320</v>
      </c>
      <c r="H1012" t="b">
        <f t="shared" si="16"/>
        <v>0</v>
      </c>
      <c r="I1012" t="str" cm="1">
        <f t="array" ref="I1012">GET_TICKER_FINAL(C1012)</f>
        <v/>
      </c>
      <c r="J1012" s="5" t="s">
        <v>1792</v>
      </c>
    </row>
    <row r="1013" spans="1:10">
      <c r="A1013">
        <v>1012</v>
      </c>
      <c r="B1013" s="1" t="s">
        <v>888</v>
      </c>
      <c r="C1013" s="1" t="s">
        <v>1010</v>
      </c>
      <c r="D1013" s="1">
        <v>139</v>
      </c>
      <c r="E1013" s="1">
        <v>110</v>
      </c>
      <c r="F1013" s="1">
        <v>0.77</v>
      </c>
      <c r="G1013" s="1">
        <v>20260402</v>
      </c>
      <c r="H1013" t="b">
        <f t="shared" si="16"/>
        <v>0</v>
      </c>
      <c r="I1013" t="str" cm="1">
        <f t="array" ref="I1013">GET_TICKER_FINAL(C1013)</f>
        <v/>
      </c>
      <c r="J1013" s="5" t="s">
        <v>1792</v>
      </c>
    </row>
    <row r="1014" spans="1:10">
      <c r="A1014">
        <v>1013</v>
      </c>
      <c r="B1014" s="1" t="s">
        <v>888</v>
      </c>
      <c r="C1014" s="1" t="s">
        <v>1011</v>
      </c>
      <c r="D1014" s="1">
        <v>136</v>
      </c>
      <c r="E1014" s="1">
        <v>65</v>
      </c>
      <c r="F1014" s="1">
        <v>0.94</v>
      </c>
      <c r="G1014" s="1">
        <v>20260320</v>
      </c>
      <c r="H1014" t="b">
        <f t="shared" si="16"/>
        <v>0</v>
      </c>
      <c r="I1014" t="str" cm="1">
        <f t="array" ref="I1014">GET_TICKER_FINAL(C1014)</f>
        <v>MU</v>
      </c>
      <c r="J1014" s="5" t="s">
        <v>16</v>
      </c>
    </row>
    <row r="1015" spans="1:10">
      <c r="A1015">
        <v>1014</v>
      </c>
      <c r="B1015" s="1" t="s">
        <v>888</v>
      </c>
      <c r="C1015" s="1" t="s">
        <v>1012</v>
      </c>
      <c r="D1015" s="1">
        <v>134</v>
      </c>
      <c r="E1015" s="1">
        <v>359</v>
      </c>
      <c r="F1015" s="1">
        <v>0.86</v>
      </c>
      <c r="G1015" s="1">
        <v>20260324</v>
      </c>
      <c r="H1015" t="b">
        <f t="shared" si="16"/>
        <v>0</v>
      </c>
      <c r="I1015" t="str" cm="1">
        <f t="array" ref="I1015">GET_TICKER_FINAL(C1015)</f>
        <v/>
      </c>
      <c r="J1015" s="5" t="s">
        <v>1792</v>
      </c>
    </row>
    <row r="1016" spans="1:10">
      <c r="A1016">
        <v>1015</v>
      </c>
      <c r="B1016" s="1" t="s">
        <v>888</v>
      </c>
      <c r="C1016" s="1" t="s">
        <v>1013</v>
      </c>
      <c r="D1016" s="1">
        <v>134</v>
      </c>
      <c r="E1016" s="1">
        <v>146</v>
      </c>
      <c r="F1016" s="1">
        <v>0.79</v>
      </c>
      <c r="G1016" s="1">
        <v>20260402</v>
      </c>
      <c r="H1016" t="b">
        <f t="shared" si="16"/>
        <v>0</v>
      </c>
      <c r="I1016" t="str" cm="1">
        <f t="array" ref="I1016">GET_TICKER_FINAL(C1016)</f>
        <v/>
      </c>
      <c r="J1016" s="5" t="s">
        <v>28</v>
      </c>
    </row>
    <row r="1017" spans="1:10">
      <c r="A1017">
        <v>1016</v>
      </c>
      <c r="B1017" s="1" t="s">
        <v>888</v>
      </c>
      <c r="C1017" s="1" t="s">
        <v>1014</v>
      </c>
      <c r="D1017" s="1">
        <v>133</v>
      </c>
      <c r="E1017" s="1">
        <v>225</v>
      </c>
      <c r="F1017" s="1">
        <v>0.73</v>
      </c>
      <c r="G1017" s="1">
        <v>20260324</v>
      </c>
      <c r="H1017" t="b">
        <f t="shared" si="16"/>
        <v>0</v>
      </c>
      <c r="I1017" t="str" cm="1">
        <f t="array" ref="I1017">GET_TICKER_FINAL(C1017)</f>
        <v/>
      </c>
      <c r="J1017" s="5" t="s">
        <v>16</v>
      </c>
    </row>
    <row r="1018" spans="1:10">
      <c r="A1018">
        <v>1017</v>
      </c>
      <c r="B1018" s="1" t="s">
        <v>888</v>
      </c>
      <c r="C1018" s="1" t="s">
        <v>1015</v>
      </c>
      <c r="D1018" s="1">
        <v>130</v>
      </c>
      <c r="E1018" s="1">
        <v>72</v>
      </c>
      <c r="F1018" s="1">
        <v>0.96</v>
      </c>
      <c r="G1018" s="1">
        <v>20260402</v>
      </c>
      <c r="H1018" t="b">
        <f t="shared" si="16"/>
        <v>0</v>
      </c>
      <c r="I1018" t="str" cm="1">
        <f t="array" ref="I1018">GET_TICKER_FINAL(C1018)</f>
        <v/>
      </c>
      <c r="J1018" s="5" t="s">
        <v>16</v>
      </c>
    </row>
    <row r="1019" spans="1:10">
      <c r="A1019">
        <v>1018</v>
      </c>
      <c r="B1019" s="1" t="s">
        <v>888</v>
      </c>
      <c r="C1019" s="1" t="s">
        <v>1016</v>
      </c>
      <c r="D1019" s="1">
        <v>129</v>
      </c>
      <c r="E1019" s="1">
        <v>80</v>
      </c>
      <c r="F1019" s="1">
        <v>0.83</v>
      </c>
      <c r="G1019" s="1">
        <v>20260323</v>
      </c>
      <c r="H1019" t="b">
        <f t="shared" si="16"/>
        <v>0</v>
      </c>
      <c r="I1019" t="str" cm="1">
        <f t="array" ref="I1019">GET_TICKER_FINAL(C1019)</f>
        <v/>
      </c>
      <c r="J1019" s="5" t="s">
        <v>1792</v>
      </c>
    </row>
    <row r="1020" spans="1:10">
      <c r="A1020">
        <v>1019</v>
      </c>
      <c r="B1020" s="1" t="s">
        <v>888</v>
      </c>
      <c r="C1020" s="1" t="s">
        <v>1017</v>
      </c>
      <c r="D1020" s="1">
        <v>128</v>
      </c>
      <c r="E1020" s="1">
        <v>56</v>
      </c>
      <c r="F1020" s="1">
        <v>0.75</v>
      </c>
      <c r="G1020" s="1">
        <v>20260323</v>
      </c>
      <c r="H1020" t="b">
        <f t="shared" si="16"/>
        <v>0</v>
      </c>
      <c r="I1020" t="str" cm="1">
        <f t="array" ref="I1020">GET_TICKER_FINAL(C1020)</f>
        <v>PLTR</v>
      </c>
      <c r="J1020" s="5" t="s">
        <v>25</v>
      </c>
    </row>
    <row r="1021" spans="1:10">
      <c r="A1021">
        <v>1020</v>
      </c>
      <c r="B1021" s="1" t="s">
        <v>888</v>
      </c>
      <c r="C1021" s="1" t="s">
        <v>1018</v>
      </c>
      <c r="D1021" s="1">
        <v>126</v>
      </c>
      <c r="E1021" s="1">
        <v>16</v>
      </c>
      <c r="F1021" s="1">
        <v>0.91</v>
      </c>
      <c r="G1021" s="1">
        <v>20260326</v>
      </c>
      <c r="H1021" t="b">
        <f t="shared" si="16"/>
        <v>0</v>
      </c>
      <c r="I1021" t="str" cm="1">
        <f t="array" ref="I1021">GET_TICKER_FINAL(C1021)</f>
        <v>BABA</v>
      </c>
      <c r="J1021" s="5" t="s">
        <v>25</v>
      </c>
    </row>
    <row r="1022" spans="1:10">
      <c r="A1022">
        <v>1021</v>
      </c>
      <c r="B1022" s="1" t="s">
        <v>888</v>
      </c>
      <c r="C1022" s="1" t="s">
        <v>1019</v>
      </c>
      <c r="D1022" s="1">
        <v>126</v>
      </c>
      <c r="E1022" s="1">
        <v>58</v>
      </c>
      <c r="F1022" s="1">
        <v>0.92</v>
      </c>
      <c r="G1022" s="1">
        <v>20260320</v>
      </c>
      <c r="H1022" t="b">
        <f t="shared" si="16"/>
        <v>0</v>
      </c>
      <c r="I1022" t="str" cm="1">
        <f t="array" ref="I1022">GET_TICKER_FINAL(C1022)</f>
        <v/>
      </c>
      <c r="J1022" s="5" t="s">
        <v>25</v>
      </c>
    </row>
    <row r="1023" spans="1:10">
      <c r="A1023">
        <v>1022</v>
      </c>
      <c r="B1023" s="1" t="s">
        <v>888</v>
      </c>
      <c r="C1023" s="1" t="s">
        <v>1020</v>
      </c>
      <c r="D1023" s="1">
        <v>120</v>
      </c>
      <c r="E1023" s="1">
        <v>114</v>
      </c>
      <c r="F1023" s="1">
        <v>0.75</v>
      </c>
      <c r="G1023" s="1">
        <v>20260327</v>
      </c>
      <c r="H1023" t="b">
        <f t="shared" si="16"/>
        <v>0</v>
      </c>
      <c r="I1023" t="str" cm="1">
        <f t="array" ref="I1023">GET_TICKER_FINAL(C1023)</f>
        <v/>
      </c>
      <c r="J1023" s="5" t="s">
        <v>16</v>
      </c>
    </row>
    <row r="1024" spans="1:10">
      <c r="A1024">
        <v>1023</v>
      </c>
      <c r="B1024" s="1" t="s">
        <v>888</v>
      </c>
      <c r="C1024" s="1" t="s">
        <v>1021</v>
      </c>
      <c r="D1024" s="1">
        <v>119</v>
      </c>
      <c r="E1024" s="1">
        <v>77</v>
      </c>
      <c r="F1024" s="1">
        <v>0.81</v>
      </c>
      <c r="G1024" s="1">
        <v>20260402</v>
      </c>
      <c r="H1024" t="b">
        <f t="shared" si="16"/>
        <v>0</v>
      </c>
      <c r="I1024" t="str" cm="1">
        <f t="array" ref="I1024">GET_TICKER_FINAL(C1024)</f>
        <v/>
      </c>
      <c r="J1024" s="5" t="s">
        <v>16</v>
      </c>
    </row>
    <row r="1025" spans="1:10">
      <c r="A1025">
        <v>1024</v>
      </c>
      <c r="B1025" s="1" t="s">
        <v>888</v>
      </c>
      <c r="C1025" s="1" t="s">
        <v>1022</v>
      </c>
      <c r="D1025" s="1">
        <v>116</v>
      </c>
      <c r="E1025" s="1">
        <v>106</v>
      </c>
      <c r="F1025" s="1">
        <v>0.81</v>
      </c>
      <c r="G1025" s="1">
        <v>20260324</v>
      </c>
      <c r="H1025" t="b">
        <f t="shared" si="16"/>
        <v>0</v>
      </c>
      <c r="I1025" t="str" cm="1">
        <f t="array" ref="I1025">GET_TICKER_FINAL(C1025)</f>
        <v/>
      </c>
      <c r="J1025" s="5" t="s">
        <v>16</v>
      </c>
    </row>
    <row r="1026" spans="1:10">
      <c r="A1026">
        <v>1025</v>
      </c>
      <c r="B1026" s="1" t="s">
        <v>888</v>
      </c>
      <c r="C1026" s="1" t="s">
        <v>1023</v>
      </c>
      <c r="D1026" s="1">
        <v>105</v>
      </c>
      <c r="E1026" s="1">
        <v>201</v>
      </c>
      <c r="F1026" s="1">
        <v>0.79</v>
      </c>
      <c r="G1026" s="1">
        <v>20260324</v>
      </c>
      <c r="H1026" t="b">
        <f t="shared" si="16"/>
        <v>0</v>
      </c>
      <c r="I1026" t="str" cm="1">
        <f t="array" ref="I1026">GET_TICKER_FINAL(C1026)</f>
        <v/>
      </c>
      <c r="J1026" s="5" t="s">
        <v>1792</v>
      </c>
    </row>
    <row r="1027" spans="1:10">
      <c r="A1027">
        <v>1026</v>
      </c>
      <c r="B1027" s="1" t="s">
        <v>888</v>
      </c>
      <c r="C1027" s="1" t="s">
        <v>1024</v>
      </c>
      <c r="D1027" s="1">
        <v>103</v>
      </c>
      <c r="E1027" s="1">
        <v>29</v>
      </c>
      <c r="F1027" s="1">
        <v>0.9</v>
      </c>
      <c r="G1027" s="1">
        <v>20260324</v>
      </c>
      <c r="H1027" t="b">
        <f t="shared" ref="H1027:H1090" si="17">OR(ISNUMBER(SEARCH("$A",C1027)),ISNUMBER(SEARCH("$B",C1027)),ISNUMBER(SEARCH("$C",C1027)),ISNUMBER(SEARCH("$D",C1027)),ISNUMBER(SEARCH("$E",C1027)),ISNUMBER(SEARCH("$F",C1027)),ISNUMBER(SEARCH("$G",C1027)),ISNUMBER(SEARCH("$H",C1027)),ISNUMBER(SEARCH("$I",C1027)),ISNUMBER(SEARCH("$J",C1027)),ISNUMBER(SEARCH("$K",C1027)),ISNUMBER(SEARCH("$L",C1027)),ISNUMBER(SEARCH("$M",C1027)),ISNUMBER(SEARCH("$N",C1027)),ISNUMBER(SEARCH("$O",C1027)),ISNUMBER(SEARCH("$P",C1027)),ISNUMBER(SEARCH("$Q",C1027)),ISNUMBER(SEARCH("$R",C1027)),ISNUMBER(SEARCH("$S",C1027)),ISNUMBER(SEARCH("$T",C1027)),ISNUMBER(SEARCH("$U",C1027)),ISNUMBER(SEARCH("$V",C1027)),ISNUMBER(SEARCH("$W",C1027)),ISNUMBER(SEARCH("$X",C1027)),ISNUMBER(SEARCH("$Y",C1027)),ISNUMBER(SEARCH("$Z",C1027)))</f>
        <v>0</v>
      </c>
      <c r="I1027" t="str" cm="1">
        <f t="array" ref="I1027">GET_TICKER_FINAL(C1027)</f>
        <v/>
      </c>
      <c r="J1027" s="5" t="s">
        <v>1792</v>
      </c>
    </row>
    <row r="1028" spans="1:10">
      <c r="A1028">
        <v>1027</v>
      </c>
      <c r="B1028" s="1" t="s">
        <v>888</v>
      </c>
      <c r="C1028" s="1" t="s">
        <v>1025</v>
      </c>
      <c r="D1028" s="1">
        <v>101</v>
      </c>
      <c r="E1028" s="1">
        <v>326</v>
      </c>
      <c r="F1028" s="1">
        <v>0.85</v>
      </c>
      <c r="G1028" s="1">
        <v>20260331</v>
      </c>
      <c r="H1028" t="b">
        <f t="shared" si="17"/>
        <v>0</v>
      </c>
      <c r="I1028" t="str" cm="1">
        <f t="array" ref="I1028">GET_TICKER_FINAL(C1028)</f>
        <v/>
      </c>
      <c r="J1028" s="5" t="s">
        <v>1792</v>
      </c>
    </row>
    <row r="1029" spans="1:10">
      <c r="A1029">
        <v>1028</v>
      </c>
      <c r="B1029" s="1" t="s">
        <v>888</v>
      </c>
      <c r="C1029" s="1" t="s">
        <v>1026</v>
      </c>
      <c r="D1029" s="1">
        <v>101</v>
      </c>
      <c r="E1029" s="1">
        <v>70</v>
      </c>
      <c r="F1029" s="1">
        <v>0.79</v>
      </c>
      <c r="G1029" s="1">
        <v>20260330</v>
      </c>
      <c r="H1029" t="b">
        <f t="shared" si="17"/>
        <v>0</v>
      </c>
      <c r="I1029" t="str" cm="1">
        <f t="array" ref="I1029">GET_TICKER_FINAL(C1029)</f>
        <v>AMZN</v>
      </c>
      <c r="J1029" s="5" t="s">
        <v>1792</v>
      </c>
    </row>
    <row r="1030" spans="1:10">
      <c r="A1030">
        <v>1029</v>
      </c>
      <c r="B1030" s="1" t="s">
        <v>888</v>
      </c>
      <c r="C1030" s="1" t="s">
        <v>1027</v>
      </c>
      <c r="D1030" s="1">
        <v>99</v>
      </c>
      <c r="E1030" s="1">
        <v>520</v>
      </c>
      <c r="F1030" s="1">
        <v>0.9</v>
      </c>
      <c r="G1030" s="1">
        <v>20260320</v>
      </c>
      <c r="H1030" t="b">
        <f t="shared" si="17"/>
        <v>0</v>
      </c>
      <c r="I1030" t="str" cm="1">
        <f t="array" ref="I1030">GET_TICKER_FINAL(C1030)</f>
        <v/>
      </c>
      <c r="J1030" s="5" t="s">
        <v>1792</v>
      </c>
    </row>
    <row r="1031" spans="1:10">
      <c r="A1031">
        <v>1030</v>
      </c>
      <c r="B1031" s="1" t="s">
        <v>888</v>
      </c>
      <c r="C1031" s="1" t="s">
        <v>1028</v>
      </c>
      <c r="D1031" s="1">
        <v>94</v>
      </c>
      <c r="E1031" s="1">
        <v>39</v>
      </c>
      <c r="F1031" s="1">
        <v>0.91</v>
      </c>
      <c r="G1031" s="1">
        <v>20260402</v>
      </c>
      <c r="H1031" t="b">
        <f t="shared" si="17"/>
        <v>0</v>
      </c>
      <c r="I1031" t="str" cm="1">
        <f t="array" ref="I1031">GET_TICKER_FINAL(C1031)</f>
        <v/>
      </c>
      <c r="J1031" s="5" t="s">
        <v>16</v>
      </c>
    </row>
    <row r="1032" spans="1:10">
      <c r="A1032">
        <v>1031</v>
      </c>
      <c r="B1032" s="1" t="s">
        <v>888</v>
      </c>
      <c r="C1032" s="1" t="s">
        <v>1029</v>
      </c>
      <c r="D1032" s="1">
        <v>94</v>
      </c>
      <c r="E1032" s="1">
        <v>55</v>
      </c>
      <c r="F1032" s="1">
        <v>0.87</v>
      </c>
      <c r="G1032" s="1">
        <v>20260402</v>
      </c>
      <c r="H1032" t="b">
        <f t="shared" si="17"/>
        <v>0</v>
      </c>
      <c r="I1032" t="str" cm="1">
        <f t="array" ref="I1032">GET_TICKER_FINAL(C1032)</f>
        <v/>
      </c>
      <c r="J1032" s="5" t="s">
        <v>1792</v>
      </c>
    </row>
    <row r="1033" spans="1:10">
      <c r="A1033">
        <v>1032</v>
      </c>
      <c r="B1033" s="1" t="s">
        <v>888</v>
      </c>
      <c r="C1033" s="1" t="s">
        <v>1030</v>
      </c>
      <c r="D1033" s="1">
        <v>93</v>
      </c>
      <c r="E1033" s="1">
        <v>53</v>
      </c>
      <c r="F1033" s="1">
        <v>0.82</v>
      </c>
      <c r="G1033" s="1">
        <v>20260320</v>
      </c>
      <c r="H1033" t="b">
        <f t="shared" si="17"/>
        <v>0</v>
      </c>
      <c r="I1033" t="str" cm="1">
        <f t="array" ref="I1033">GET_TICKER_FINAL(C1033)</f>
        <v/>
      </c>
      <c r="J1033" s="5" t="s">
        <v>25</v>
      </c>
    </row>
    <row r="1034" spans="1:10">
      <c r="A1034">
        <v>1033</v>
      </c>
      <c r="B1034" s="1" t="s">
        <v>888</v>
      </c>
      <c r="C1034" s="1" t="s">
        <v>1031</v>
      </c>
      <c r="D1034" s="1">
        <v>91</v>
      </c>
      <c r="E1034" s="1">
        <v>64</v>
      </c>
      <c r="F1034" s="1">
        <v>0.8</v>
      </c>
      <c r="G1034" s="1">
        <v>20260331</v>
      </c>
      <c r="H1034" t="b">
        <f t="shared" si="17"/>
        <v>0</v>
      </c>
      <c r="I1034" t="str" cm="1">
        <f t="array" ref="I1034">GET_TICKER_FINAL(C1034)</f>
        <v/>
      </c>
      <c r="J1034" s="5" t="s">
        <v>1792</v>
      </c>
    </row>
    <row r="1035" spans="1:10">
      <c r="A1035">
        <v>1034</v>
      </c>
      <c r="B1035" s="1" t="s">
        <v>888</v>
      </c>
      <c r="C1035" s="1" t="s">
        <v>1032</v>
      </c>
      <c r="D1035" s="1">
        <v>88</v>
      </c>
      <c r="E1035" s="1">
        <v>192</v>
      </c>
      <c r="F1035" s="1">
        <v>0.88</v>
      </c>
      <c r="G1035" s="1">
        <v>20260330</v>
      </c>
      <c r="H1035" t="b">
        <f t="shared" si="17"/>
        <v>0</v>
      </c>
      <c r="I1035" t="str" cm="1">
        <f t="array" ref="I1035">GET_TICKER_FINAL(C1035)</f>
        <v>SPY</v>
      </c>
      <c r="J1035" s="5" t="s">
        <v>16</v>
      </c>
    </row>
    <row r="1036" spans="1:10">
      <c r="A1036">
        <v>1035</v>
      </c>
      <c r="B1036" s="1" t="s">
        <v>888</v>
      </c>
      <c r="C1036" s="1" t="s">
        <v>1033</v>
      </c>
      <c r="D1036" s="1">
        <v>86</v>
      </c>
      <c r="E1036" s="1">
        <v>141</v>
      </c>
      <c r="F1036" s="1">
        <v>0.82</v>
      </c>
      <c r="G1036" s="1">
        <v>20260330</v>
      </c>
      <c r="H1036" t="b">
        <f t="shared" si="17"/>
        <v>0</v>
      </c>
      <c r="I1036" t="str" cm="1">
        <f t="array" ref="I1036">GET_TICKER_FINAL(C1036)</f>
        <v>MU</v>
      </c>
      <c r="J1036" s="5" t="s">
        <v>1792</v>
      </c>
    </row>
    <row r="1037" spans="1:10">
      <c r="A1037">
        <v>1036</v>
      </c>
      <c r="B1037" s="1" t="s">
        <v>888</v>
      </c>
      <c r="C1037" s="1" t="s">
        <v>733</v>
      </c>
      <c r="D1037" s="1">
        <v>81</v>
      </c>
      <c r="E1037" s="1">
        <v>30</v>
      </c>
      <c r="F1037" s="1">
        <v>0.93</v>
      </c>
      <c r="G1037" s="1">
        <v>20260320</v>
      </c>
      <c r="H1037" t="b">
        <f t="shared" si="17"/>
        <v>0</v>
      </c>
      <c r="I1037" t="str" cm="1">
        <f t="array" ref="I1037">GET_TICKER_FINAL(C1037)</f>
        <v/>
      </c>
      <c r="J1037" s="5" t="s">
        <v>16</v>
      </c>
    </row>
    <row r="1038" spans="1:10">
      <c r="A1038">
        <v>1037</v>
      </c>
      <c r="B1038" s="1" t="s">
        <v>888</v>
      </c>
      <c r="C1038" s="1" t="s">
        <v>1034</v>
      </c>
      <c r="D1038" s="1">
        <v>75</v>
      </c>
      <c r="E1038" s="1">
        <v>110</v>
      </c>
      <c r="F1038" s="1">
        <v>0.86</v>
      </c>
      <c r="G1038" s="1">
        <v>20260401</v>
      </c>
      <c r="H1038" t="b">
        <f t="shared" si="17"/>
        <v>0</v>
      </c>
      <c r="I1038" t="str" cm="1">
        <f t="array" ref="I1038">GET_TICKER_FINAL(C1038)</f>
        <v/>
      </c>
      <c r="J1038" s="5" t="s">
        <v>28</v>
      </c>
    </row>
    <row r="1039" spans="1:10">
      <c r="A1039">
        <v>1038</v>
      </c>
      <c r="B1039" s="1" t="s">
        <v>888</v>
      </c>
      <c r="C1039" s="1" t="s">
        <v>1035</v>
      </c>
      <c r="D1039" s="1">
        <v>74</v>
      </c>
      <c r="E1039" s="1">
        <v>11</v>
      </c>
      <c r="F1039" s="1">
        <v>0.93</v>
      </c>
      <c r="G1039" s="1">
        <v>20260326</v>
      </c>
      <c r="H1039" t="b">
        <f t="shared" si="17"/>
        <v>1</v>
      </c>
      <c r="I1039" t="str" cm="1">
        <f t="array" ref="I1039">GET_TICKER_FINAL(C1039)</f>
        <v/>
      </c>
      <c r="J1039" s="5" t="s">
        <v>25</v>
      </c>
    </row>
    <row r="1040" spans="1:10">
      <c r="A1040">
        <v>1039</v>
      </c>
      <c r="B1040" s="1" t="s">
        <v>888</v>
      </c>
      <c r="C1040" s="1" t="s">
        <v>1036</v>
      </c>
      <c r="D1040" s="1">
        <v>71</v>
      </c>
      <c r="E1040" s="1">
        <v>44</v>
      </c>
      <c r="F1040" s="1">
        <v>0.87</v>
      </c>
      <c r="G1040" s="1">
        <v>20260323</v>
      </c>
      <c r="H1040" t="b">
        <f t="shared" si="17"/>
        <v>0</v>
      </c>
      <c r="I1040" t="str" cm="1">
        <f t="array" ref="I1040">GET_TICKER_FINAL(C1040)</f>
        <v>GOOGL</v>
      </c>
      <c r="J1040" s="5" t="s">
        <v>28</v>
      </c>
    </row>
    <row r="1041" spans="1:10">
      <c r="A1041">
        <v>1040</v>
      </c>
      <c r="B1041" s="1" t="s">
        <v>888</v>
      </c>
      <c r="C1041" s="1" t="s">
        <v>1037</v>
      </c>
      <c r="D1041" s="1">
        <v>68</v>
      </c>
      <c r="E1041" s="1">
        <v>73</v>
      </c>
      <c r="F1041" s="1">
        <v>0.86</v>
      </c>
      <c r="G1041" s="1">
        <v>20260402</v>
      </c>
      <c r="H1041" t="b">
        <f t="shared" si="17"/>
        <v>0</v>
      </c>
      <c r="I1041" t="str" cm="1">
        <f t="array" ref="I1041">GET_TICKER_FINAL(C1041)</f>
        <v/>
      </c>
      <c r="J1041" s="5" t="s">
        <v>25</v>
      </c>
    </row>
    <row r="1042" spans="1:10">
      <c r="A1042">
        <v>1041</v>
      </c>
      <c r="B1042" s="1" t="s">
        <v>888</v>
      </c>
      <c r="C1042" s="1" t="s">
        <v>1038</v>
      </c>
      <c r="D1042" s="1">
        <v>66</v>
      </c>
      <c r="E1042" s="1">
        <v>59</v>
      </c>
      <c r="F1042" s="1">
        <v>0.83</v>
      </c>
      <c r="G1042" s="1">
        <v>20260331</v>
      </c>
      <c r="H1042" t="b">
        <f t="shared" si="17"/>
        <v>0</v>
      </c>
      <c r="I1042" t="str" cm="1">
        <f t="array" ref="I1042">GET_TICKER_FINAL(C1042)</f>
        <v/>
      </c>
      <c r="J1042" s="5" t="s">
        <v>1792</v>
      </c>
    </row>
    <row r="1043" spans="1:10">
      <c r="A1043">
        <v>1042</v>
      </c>
      <c r="B1043" s="1" t="s">
        <v>888</v>
      </c>
      <c r="C1043" s="1" t="s">
        <v>1039</v>
      </c>
      <c r="D1043" s="1">
        <v>65</v>
      </c>
      <c r="E1043" s="1">
        <v>64</v>
      </c>
      <c r="F1043" s="1">
        <v>0.85</v>
      </c>
      <c r="G1043" s="1">
        <v>20260401</v>
      </c>
      <c r="H1043" t="b">
        <f t="shared" si="17"/>
        <v>0</v>
      </c>
      <c r="I1043" t="str" cm="1">
        <f t="array" ref="I1043">GET_TICKER_FINAL(C1043)</f>
        <v/>
      </c>
      <c r="J1043" s="5" t="s">
        <v>16</v>
      </c>
    </row>
    <row r="1044" spans="1:10">
      <c r="A1044">
        <v>1043</v>
      </c>
      <c r="B1044" s="1" t="s">
        <v>888</v>
      </c>
      <c r="C1044" s="1" t="s">
        <v>1040</v>
      </c>
      <c r="D1044" s="1">
        <v>65</v>
      </c>
      <c r="E1044" s="1">
        <v>87</v>
      </c>
      <c r="F1044" s="1">
        <v>0.86</v>
      </c>
      <c r="G1044" s="1">
        <v>20260327</v>
      </c>
      <c r="H1044" t="b">
        <f t="shared" si="17"/>
        <v>1</v>
      </c>
      <c r="I1044" t="str" cm="1">
        <f t="array" ref="I1044">GET_TICKER_FINAL(C1044)</f>
        <v/>
      </c>
      <c r="J1044" s="5" t="s">
        <v>1792</v>
      </c>
    </row>
    <row r="1045" spans="1:10">
      <c r="A1045">
        <v>1044</v>
      </c>
      <c r="B1045" s="1" t="s">
        <v>888</v>
      </c>
      <c r="C1045" s="1" t="s">
        <v>1041</v>
      </c>
      <c r="D1045" s="1">
        <v>64</v>
      </c>
      <c r="E1045" s="1">
        <v>157</v>
      </c>
      <c r="F1045" s="1">
        <v>0.8</v>
      </c>
      <c r="G1045" s="1">
        <v>20260323</v>
      </c>
      <c r="H1045" t="b">
        <f t="shared" si="17"/>
        <v>0</v>
      </c>
      <c r="I1045" t="str" cm="1">
        <f t="array" ref="I1045">GET_TICKER_FINAL(C1045)</f>
        <v/>
      </c>
      <c r="J1045" s="5" t="s">
        <v>1792</v>
      </c>
    </row>
    <row r="1046" spans="1:10">
      <c r="A1046">
        <v>1045</v>
      </c>
      <c r="B1046" s="1" t="s">
        <v>888</v>
      </c>
      <c r="C1046" s="1" t="s">
        <v>1042</v>
      </c>
      <c r="D1046" s="1">
        <v>61</v>
      </c>
      <c r="E1046" s="1">
        <v>23</v>
      </c>
      <c r="F1046" s="1">
        <v>0.89</v>
      </c>
      <c r="G1046" s="1">
        <v>20260320</v>
      </c>
      <c r="H1046" t="b">
        <f t="shared" si="17"/>
        <v>0</v>
      </c>
      <c r="I1046" t="str" cm="1">
        <f t="array" ref="I1046">GET_TICKER_FINAL(C1046)</f>
        <v/>
      </c>
      <c r="J1046" s="5" t="s">
        <v>16</v>
      </c>
    </row>
    <row r="1047" spans="1:10">
      <c r="A1047">
        <v>1046</v>
      </c>
      <c r="B1047" s="1" t="s">
        <v>888</v>
      </c>
      <c r="C1047" s="1" t="s">
        <v>1043</v>
      </c>
      <c r="D1047" s="1">
        <v>58</v>
      </c>
      <c r="E1047" s="1">
        <v>7</v>
      </c>
      <c r="F1047" s="1">
        <v>0.91</v>
      </c>
      <c r="G1047" s="1">
        <v>20260402</v>
      </c>
      <c r="H1047" t="b">
        <f t="shared" si="17"/>
        <v>0</v>
      </c>
      <c r="I1047" t="str" cm="1">
        <f t="array" ref="I1047">GET_TICKER_FINAL(C1047)</f>
        <v>AMZN</v>
      </c>
      <c r="J1047" s="5" t="s">
        <v>16</v>
      </c>
    </row>
    <row r="1048" spans="1:10">
      <c r="A1048">
        <v>1047</v>
      </c>
      <c r="B1048" s="1" t="s">
        <v>888</v>
      </c>
      <c r="C1048" s="1" t="s">
        <v>1044</v>
      </c>
      <c r="D1048" s="1">
        <v>57</v>
      </c>
      <c r="E1048" s="1">
        <v>30</v>
      </c>
      <c r="F1048" s="1">
        <v>0.88</v>
      </c>
      <c r="G1048" s="1">
        <v>20260327</v>
      </c>
      <c r="H1048" t="b">
        <f t="shared" si="17"/>
        <v>0</v>
      </c>
      <c r="I1048" t="str" cm="1">
        <f t="array" ref="I1048">GET_TICKER_FINAL(C1048)</f>
        <v/>
      </c>
      <c r="J1048" s="5" t="s">
        <v>1792</v>
      </c>
    </row>
    <row r="1049" spans="1:10">
      <c r="A1049">
        <v>1048</v>
      </c>
      <c r="B1049" s="1" t="s">
        <v>888</v>
      </c>
      <c r="C1049" s="1" t="s">
        <v>1045</v>
      </c>
      <c r="D1049" s="1">
        <v>57</v>
      </c>
      <c r="E1049" s="1">
        <v>11</v>
      </c>
      <c r="F1049" s="1">
        <v>0.92</v>
      </c>
      <c r="G1049" s="1">
        <v>20260331</v>
      </c>
      <c r="H1049" t="b">
        <f t="shared" si="17"/>
        <v>0</v>
      </c>
      <c r="I1049" t="str" cm="1">
        <f t="array" ref="I1049">GET_TICKER_FINAL(C1049)</f>
        <v/>
      </c>
      <c r="J1049" s="5" t="s">
        <v>25</v>
      </c>
    </row>
    <row r="1050" spans="1:10">
      <c r="A1050">
        <v>1049</v>
      </c>
      <c r="B1050" s="1" t="s">
        <v>888</v>
      </c>
      <c r="C1050" s="1" t="s">
        <v>1046</v>
      </c>
      <c r="D1050" s="1">
        <v>57</v>
      </c>
      <c r="E1050" s="1">
        <v>28</v>
      </c>
      <c r="F1050" s="1">
        <v>0.82</v>
      </c>
      <c r="G1050" s="1">
        <v>20260330</v>
      </c>
      <c r="H1050" t="b">
        <f t="shared" si="17"/>
        <v>0</v>
      </c>
      <c r="I1050" t="str" cm="1">
        <f t="array" ref="I1050">GET_TICKER_FINAL(C1050)</f>
        <v>META</v>
      </c>
      <c r="J1050" s="5" t="s">
        <v>1792</v>
      </c>
    </row>
    <row r="1051" spans="1:10">
      <c r="A1051">
        <v>1050</v>
      </c>
      <c r="B1051" s="1" t="s">
        <v>888</v>
      </c>
      <c r="C1051" s="1" t="s">
        <v>1047</v>
      </c>
      <c r="D1051" s="1">
        <v>55</v>
      </c>
      <c r="E1051" s="1">
        <v>152</v>
      </c>
      <c r="F1051" s="1">
        <v>0.67</v>
      </c>
      <c r="G1051" s="1">
        <v>20260402</v>
      </c>
      <c r="H1051" t="b">
        <f t="shared" si="17"/>
        <v>0</v>
      </c>
      <c r="I1051" t="str" cm="1">
        <f t="array" ref="I1051">GET_TICKER_FINAL(C1051)</f>
        <v>MU</v>
      </c>
      <c r="J1051" s="5" t="s">
        <v>25</v>
      </c>
    </row>
    <row r="1052" spans="1:10">
      <c r="A1052">
        <v>1051</v>
      </c>
      <c r="B1052" s="1" t="s">
        <v>888</v>
      </c>
      <c r="C1052" s="1" t="s">
        <v>1048</v>
      </c>
      <c r="D1052" s="1">
        <v>55</v>
      </c>
      <c r="E1052" s="1">
        <v>21</v>
      </c>
      <c r="F1052" s="1">
        <v>0.93</v>
      </c>
      <c r="G1052" s="1">
        <v>20260330</v>
      </c>
      <c r="H1052" t="b">
        <f t="shared" si="17"/>
        <v>0</v>
      </c>
      <c r="I1052" t="str" cm="1">
        <f t="array" ref="I1052">GET_TICKER_FINAL(C1052)</f>
        <v/>
      </c>
      <c r="J1052" s="5" t="s">
        <v>1792</v>
      </c>
    </row>
    <row r="1053" spans="1:10">
      <c r="A1053">
        <v>1052</v>
      </c>
      <c r="B1053" s="1" t="s">
        <v>888</v>
      </c>
      <c r="C1053" s="1" t="s">
        <v>1049</v>
      </c>
      <c r="D1053" s="1">
        <v>54</v>
      </c>
      <c r="E1053" s="1">
        <v>159</v>
      </c>
      <c r="F1053" s="1">
        <v>0.7</v>
      </c>
      <c r="G1053" s="1">
        <v>20260330</v>
      </c>
      <c r="H1053" t="b">
        <f t="shared" si="17"/>
        <v>0</v>
      </c>
      <c r="I1053" t="str" cm="1">
        <f t="array" ref="I1053">GET_TICKER_FINAL(C1053)</f>
        <v/>
      </c>
      <c r="J1053" s="5" t="s">
        <v>16</v>
      </c>
    </row>
    <row r="1054" spans="1:10">
      <c r="A1054">
        <v>1053</v>
      </c>
      <c r="B1054" s="1" t="s">
        <v>888</v>
      </c>
      <c r="C1054" s="1" t="s">
        <v>120</v>
      </c>
      <c r="D1054" s="1">
        <v>53</v>
      </c>
      <c r="E1054" s="1">
        <v>15</v>
      </c>
      <c r="F1054" s="1">
        <v>0.93</v>
      </c>
      <c r="G1054" s="1">
        <v>20260330</v>
      </c>
      <c r="H1054" t="b">
        <f t="shared" si="17"/>
        <v>0</v>
      </c>
      <c r="I1054" t="str" cm="1">
        <f t="array" ref="I1054">GET_TICKER_FINAL(C1054)</f>
        <v/>
      </c>
      <c r="J1054" s="5" t="s">
        <v>1792</v>
      </c>
    </row>
    <row r="1055" spans="1:10">
      <c r="A1055">
        <v>1054</v>
      </c>
      <c r="B1055" s="1" t="s">
        <v>888</v>
      </c>
      <c r="C1055" s="1" t="s">
        <v>1050</v>
      </c>
      <c r="D1055" s="1">
        <v>52</v>
      </c>
      <c r="E1055" s="1">
        <v>8</v>
      </c>
      <c r="F1055" s="1">
        <v>0.96</v>
      </c>
      <c r="G1055" s="1">
        <v>20260402</v>
      </c>
      <c r="H1055" t="b">
        <f t="shared" si="17"/>
        <v>0</v>
      </c>
      <c r="I1055" t="str" cm="1">
        <f t="array" ref="I1055">GET_TICKER_FINAL(C1055)</f>
        <v>TSLA</v>
      </c>
      <c r="J1055" s="5" t="s">
        <v>1792</v>
      </c>
    </row>
    <row r="1056" spans="1:10">
      <c r="A1056">
        <v>1055</v>
      </c>
      <c r="B1056" s="1" t="s">
        <v>888</v>
      </c>
      <c r="C1056" s="1" t="s">
        <v>1051</v>
      </c>
      <c r="D1056" s="1">
        <v>51</v>
      </c>
      <c r="E1056" s="1">
        <v>21</v>
      </c>
      <c r="F1056" s="1">
        <v>0.87</v>
      </c>
      <c r="G1056" s="1">
        <v>20260324</v>
      </c>
      <c r="H1056" t="b">
        <f t="shared" si="17"/>
        <v>0</v>
      </c>
      <c r="I1056" t="str" cm="1">
        <f t="array" ref="I1056">GET_TICKER_FINAL(C1056)</f>
        <v/>
      </c>
      <c r="J1056" s="5" t="s">
        <v>1792</v>
      </c>
    </row>
    <row r="1057" spans="1:10">
      <c r="A1057">
        <v>1056</v>
      </c>
      <c r="B1057" s="1" t="s">
        <v>888</v>
      </c>
      <c r="C1057" s="1" t="s">
        <v>1052</v>
      </c>
      <c r="D1057" s="1">
        <v>51</v>
      </c>
      <c r="E1057" s="1">
        <v>68</v>
      </c>
      <c r="F1057" s="1">
        <v>0.61</v>
      </c>
      <c r="G1057" s="1">
        <v>20260330</v>
      </c>
      <c r="H1057" t="b">
        <f t="shared" si="17"/>
        <v>1</v>
      </c>
      <c r="I1057" t="str" cm="1">
        <f t="array" ref="I1057">GET_TICKER_FINAL(C1057)</f>
        <v/>
      </c>
      <c r="J1057" s="5" t="s">
        <v>16</v>
      </c>
    </row>
    <row r="1058" spans="1:10">
      <c r="A1058">
        <v>1057</v>
      </c>
      <c r="B1058" s="1" t="s">
        <v>888</v>
      </c>
      <c r="C1058" s="1" t="s">
        <v>1053</v>
      </c>
      <c r="D1058" s="1">
        <v>50</v>
      </c>
      <c r="E1058" s="1">
        <v>88</v>
      </c>
      <c r="F1058" s="1">
        <v>0.77</v>
      </c>
      <c r="G1058" s="1">
        <v>20260330</v>
      </c>
      <c r="H1058" t="b">
        <f t="shared" si="17"/>
        <v>0</v>
      </c>
      <c r="I1058" t="str" cm="1">
        <f t="array" ref="I1058">GET_TICKER_FINAL(C1058)</f>
        <v/>
      </c>
      <c r="J1058" s="5" t="s">
        <v>28</v>
      </c>
    </row>
    <row r="1059" spans="1:10">
      <c r="A1059">
        <v>1058</v>
      </c>
      <c r="B1059" s="1" t="s">
        <v>888</v>
      </c>
      <c r="C1059" s="1" t="s">
        <v>1054</v>
      </c>
      <c r="D1059" s="1">
        <v>50</v>
      </c>
      <c r="E1059" s="1">
        <v>13</v>
      </c>
      <c r="F1059" s="1">
        <v>0.91</v>
      </c>
      <c r="G1059" s="1">
        <v>20260323</v>
      </c>
      <c r="H1059" t="b">
        <f t="shared" si="17"/>
        <v>0</v>
      </c>
      <c r="I1059" t="str" cm="1">
        <f t="array" ref="I1059">GET_TICKER_FINAL(C1059)</f>
        <v>RKLB</v>
      </c>
      <c r="J1059" s="5" t="s">
        <v>16</v>
      </c>
    </row>
    <row r="1060" spans="1:10">
      <c r="A1060">
        <v>1059</v>
      </c>
      <c r="B1060" s="1" t="s">
        <v>888</v>
      </c>
      <c r="C1060" s="1" t="s">
        <v>1055</v>
      </c>
      <c r="D1060" s="1">
        <v>50</v>
      </c>
      <c r="E1060" s="1">
        <v>15</v>
      </c>
      <c r="F1060" s="1">
        <v>0.83</v>
      </c>
      <c r="G1060" s="1">
        <v>20260327</v>
      </c>
      <c r="H1060" t="b">
        <f t="shared" si="17"/>
        <v>0</v>
      </c>
      <c r="I1060" t="str" cm="1">
        <f t="array" ref="I1060">GET_TICKER_FINAL(C1060)</f>
        <v/>
      </c>
      <c r="J1060" s="5" t="s">
        <v>16</v>
      </c>
    </row>
    <row r="1061" spans="1:10">
      <c r="A1061">
        <v>1060</v>
      </c>
      <c r="B1061" s="1" t="s">
        <v>888</v>
      </c>
      <c r="C1061" s="1" t="s">
        <v>1056</v>
      </c>
      <c r="D1061" s="1">
        <v>48</v>
      </c>
      <c r="E1061" s="1">
        <v>0</v>
      </c>
      <c r="F1061" s="1">
        <v>0.91</v>
      </c>
      <c r="G1061" s="1">
        <v>20260327</v>
      </c>
      <c r="H1061" t="b">
        <f t="shared" si="17"/>
        <v>1</v>
      </c>
      <c r="I1061" t="str" cm="1">
        <f t="array" ref="I1061">GET_TICKER_FINAL(C1061)</f>
        <v>RKLB</v>
      </c>
      <c r="J1061" s="5" t="s">
        <v>1792</v>
      </c>
    </row>
    <row r="1062" spans="1:10">
      <c r="A1062">
        <v>1061</v>
      </c>
      <c r="B1062" s="1" t="s">
        <v>888</v>
      </c>
      <c r="C1062" s="1" t="s">
        <v>1057</v>
      </c>
      <c r="D1062" s="1">
        <v>48</v>
      </c>
      <c r="E1062" s="1">
        <v>168</v>
      </c>
      <c r="F1062" s="1">
        <v>0.79</v>
      </c>
      <c r="G1062" s="1">
        <v>20260402</v>
      </c>
      <c r="H1062" t="b">
        <f t="shared" si="17"/>
        <v>0</v>
      </c>
      <c r="I1062" t="str" cm="1">
        <f t="array" ref="I1062">GET_TICKER_FINAL(C1062)</f>
        <v/>
      </c>
      <c r="J1062" s="5" t="s">
        <v>16</v>
      </c>
    </row>
    <row r="1063" spans="1:10">
      <c r="A1063">
        <v>1062</v>
      </c>
      <c r="B1063" s="1" t="s">
        <v>888</v>
      </c>
      <c r="C1063" s="1" t="s">
        <v>1058</v>
      </c>
      <c r="D1063" s="1">
        <v>44</v>
      </c>
      <c r="E1063" s="1">
        <v>148</v>
      </c>
      <c r="F1063" s="1">
        <v>0.74</v>
      </c>
      <c r="G1063" s="1">
        <v>20260401</v>
      </c>
      <c r="H1063" t="b">
        <f t="shared" si="17"/>
        <v>0</v>
      </c>
      <c r="I1063" t="str" cm="1">
        <f t="array" ref="I1063">GET_TICKER_FINAL(C1063)</f>
        <v/>
      </c>
      <c r="J1063" s="5" t="s">
        <v>16</v>
      </c>
    </row>
    <row r="1064" spans="1:10">
      <c r="A1064">
        <v>1063</v>
      </c>
      <c r="B1064" s="1" t="s">
        <v>888</v>
      </c>
      <c r="C1064" s="1" t="s">
        <v>1059</v>
      </c>
      <c r="D1064" s="1">
        <v>43</v>
      </c>
      <c r="E1064" s="1">
        <v>14</v>
      </c>
      <c r="F1064" s="1">
        <v>0.88</v>
      </c>
      <c r="G1064" s="1">
        <v>20260330</v>
      </c>
      <c r="H1064" t="b">
        <f t="shared" si="17"/>
        <v>0</v>
      </c>
      <c r="I1064" t="str" cm="1">
        <f t="array" ref="I1064">GET_TICKER_FINAL(C1064)</f>
        <v/>
      </c>
      <c r="J1064" s="5" t="s">
        <v>1792</v>
      </c>
    </row>
    <row r="1065" spans="1:10">
      <c r="A1065">
        <v>1064</v>
      </c>
      <c r="B1065" s="1" t="s">
        <v>888</v>
      </c>
      <c r="C1065" s="1" t="s">
        <v>1060</v>
      </c>
      <c r="D1065" s="1">
        <v>41</v>
      </c>
      <c r="E1065" s="1">
        <v>41</v>
      </c>
      <c r="F1065" s="1">
        <v>0.82</v>
      </c>
      <c r="G1065" s="1">
        <v>20260327</v>
      </c>
      <c r="H1065" t="b">
        <f t="shared" si="17"/>
        <v>0</v>
      </c>
      <c r="I1065" t="str" cm="1">
        <f t="array" ref="I1065">GET_TICKER_FINAL(C1065)</f>
        <v/>
      </c>
      <c r="J1065" s="5" t="s">
        <v>25</v>
      </c>
    </row>
    <row r="1066" spans="1:10">
      <c r="A1066">
        <v>1065</v>
      </c>
      <c r="B1066" s="1" t="s">
        <v>888</v>
      </c>
      <c r="C1066" s="1" t="s">
        <v>1061</v>
      </c>
      <c r="D1066" s="1">
        <v>41</v>
      </c>
      <c r="E1066" s="1">
        <v>100</v>
      </c>
      <c r="F1066" s="1">
        <v>0.79</v>
      </c>
      <c r="G1066" s="1">
        <v>20260331</v>
      </c>
      <c r="H1066" t="b">
        <f t="shared" si="17"/>
        <v>0</v>
      </c>
      <c r="I1066" t="str" cm="1">
        <f t="array" ref="I1066">GET_TICKER_FINAL(C1066)</f>
        <v/>
      </c>
      <c r="J1066" s="5" t="s">
        <v>1792</v>
      </c>
    </row>
    <row r="1067" spans="1:10">
      <c r="A1067">
        <v>1066</v>
      </c>
      <c r="B1067" s="1" t="s">
        <v>888</v>
      </c>
      <c r="C1067" s="1" t="s">
        <v>1062</v>
      </c>
      <c r="D1067" s="1">
        <v>41</v>
      </c>
      <c r="E1067" s="1">
        <v>36</v>
      </c>
      <c r="F1067" s="1">
        <v>0.87</v>
      </c>
      <c r="G1067" s="1">
        <v>20260330</v>
      </c>
      <c r="H1067" t="b">
        <f t="shared" si="17"/>
        <v>0</v>
      </c>
      <c r="I1067" t="str" cm="1">
        <f t="array" ref="I1067">GET_TICKER_FINAL(C1067)</f>
        <v/>
      </c>
      <c r="J1067" s="5" t="s">
        <v>16</v>
      </c>
    </row>
    <row r="1068" spans="1:10">
      <c r="A1068">
        <v>1067</v>
      </c>
      <c r="B1068" s="1" t="s">
        <v>888</v>
      </c>
      <c r="C1068" s="1" t="s">
        <v>1063</v>
      </c>
      <c r="D1068" s="1">
        <v>41</v>
      </c>
      <c r="E1068" s="1">
        <v>27</v>
      </c>
      <c r="F1068" s="1">
        <v>0.9</v>
      </c>
      <c r="G1068" s="1">
        <v>20260402</v>
      </c>
      <c r="H1068" t="b">
        <f t="shared" si="17"/>
        <v>0</v>
      </c>
      <c r="I1068" t="str" cm="1">
        <f t="array" ref="I1068">GET_TICKER_FINAL(C1068)</f>
        <v/>
      </c>
      <c r="J1068" s="5" t="s">
        <v>16</v>
      </c>
    </row>
    <row r="1069" spans="1:10">
      <c r="A1069">
        <v>1068</v>
      </c>
      <c r="B1069" s="1" t="s">
        <v>888</v>
      </c>
      <c r="C1069" s="1" t="s">
        <v>1064</v>
      </c>
      <c r="D1069" s="1">
        <v>40</v>
      </c>
      <c r="E1069" s="1">
        <v>54</v>
      </c>
      <c r="F1069" s="1">
        <v>0.71</v>
      </c>
      <c r="G1069" s="1">
        <v>20260402</v>
      </c>
      <c r="H1069" t="b">
        <f t="shared" si="17"/>
        <v>0</v>
      </c>
      <c r="I1069" t="str" cm="1">
        <f t="array" ref="I1069">GET_TICKER_FINAL(C1069)</f>
        <v/>
      </c>
      <c r="J1069" s="5" t="s">
        <v>1792</v>
      </c>
    </row>
    <row r="1070" spans="1:10">
      <c r="A1070">
        <v>1069</v>
      </c>
      <c r="B1070" s="1" t="s">
        <v>888</v>
      </c>
      <c r="C1070" s="1" t="s">
        <v>1065</v>
      </c>
      <c r="D1070" s="1">
        <v>39</v>
      </c>
      <c r="E1070" s="1">
        <v>141</v>
      </c>
      <c r="F1070" s="1">
        <v>0.65</v>
      </c>
      <c r="G1070" s="1">
        <v>20260402</v>
      </c>
      <c r="H1070" t="b">
        <f t="shared" si="17"/>
        <v>0</v>
      </c>
      <c r="I1070" t="str" cm="1">
        <f t="array" ref="I1070">GET_TICKER_FINAL(C1070)</f>
        <v/>
      </c>
      <c r="J1070" s="5" t="s">
        <v>16</v>
      </c>
    </row>
    <row r="1071" spans="1:10">
      <c r="A1071">
        <v>1070</v>
      </c>
      <c r="B1071" s="1" t="s">
        <v>888</v>
      </c>
      <c r="C1071" s="1" t="s">
        <v>293</v>
      </c>
      <c r="D1071" s="1">
        <v>39</v>
      </c>
      <c r="E1071" s="1">
        <v>80</v>
      </c>
      <c r="F1071" s="1">
        <v>0.69</v>
      </c>
      <c r="G1071" s="1">
        <v>20260402</v>
      </c>
      <c r="H1071" t="b">
        <f t="shared" si="17"/>
        <v>0</v>
      </c>
      <c r="I1071" t="str" cm="1">
        <f t="array" ref="I1071">GET_TICKER_FINAL(C1071)</f>
        <v>SPY</v>
      </c>
      <c r="J1071" s="5" t="s">
        <v>1792</v>
      </c>
    </row>
    <row r="1072" spans="1:10">
      <c r="A1072">
        <v>1071</v>
      </c>
      <c r="B1072" s="1" t="s">
        <v>888</v>
      </c>
      <c r="C1072" s="1" t="s">
        <v>1066</v>
      </c>
      <c r="D1072" s="1">
        <v>39</v>
      </c>
      <c r="E1072" s="1">
        <v>9</v>
      </c>
      <c r="F1072" s="1">
        <v>0.82</v>
      </c>
      <c r="G1072" s="1">
        <v>20260320</v>
      </c>
      <c r="H1072" t="b">
        <f t="shared" si="17"/>
        <v>0</v>
      </c>
      <c r="I1072" t="str" cm="1">
        <f t="array" ref="I1072">GET_TICKER_FINAL(C1072)</f>
        <v>SOFI</v>
      </c>
      <c r="J1072" s="5" t="s">
        <v>1792</v>
      </c>
    </row>
    <row r="1073" spans="1:10">
      <c r="A1073">
        <v>1072</v>
      </c>
      <c r="B1073" s="1" t="s">
        <v>888</v>
      </c>
      <c r="C1073" s="1" t="s">
        <v>1067</v>
      </c>
      <c r="D1073" s="1">
        <v>38</v>
      </c>
      <c r="E1073" s="1">
        <v>14</v>
      </c>
      <c r="F1073" s="1">
        <v>0.74</v>
      </c>
      <c r="G1073" s="1">
        <v>20260324</v>
      </c>
      <c r="H1073" t="b">
        <f t="shared" si="17"/>
        <v>0</v>
      </c>
      <c r="I1073" t="str" cm="1">
        <f t="array" ref="I1073">GET_TICKER_FINAL(C1073)</f>
        <v/>
      </c>
      <c r="J1073" s="5" t="s">
        <v>25</v>
      </c>
    </row>
    <row r="1074" spans="1:10">
      <c r="A1074">
        <v>1073</v>
      </c>
      <c r="B1074" s="1" t="s">
        <v>888</v>
      </c>
      <c r="C1074" s="1" t="s">
        <v>1068</v>
      </c>
      <c r="D1074" s="1">
        <v>37</v>
      </c>
      <c r="E1074" s="1">
        <v>5</v>
      </c>
      <c r="F1074" s="1">
        <v>0.84</v>
      </c>
      <c r="G1074" s="1">
        <v>20260330</v>
      </c>
      <c r="H1074" t="b">
        <f t="shared" si="17"/>
        <v>0</v>
      </c>
      <c r="I1074" t="str" cm="1">
        <f t="array" ref="I1074">GET_TICKER_FINAL(C1074)</f>
        <v>META</v>
      </c>
      <c r="J1074" s="5" t="s">
        <v>16</v>
      </c>
    </row>
    <row r="1075" spans="1:10">
      <c r="A1075">
        <v>1074</v>
      </c>
      <c r="B1075" s="1" t="s">
        <v>888</v>
      </c>
      <c r="C1075" s="1" t="s">
        <v>1069</v>
      </c>
      <c r="D1075" s="1">
        <v>36</v>
      </c>
      <c r="E1075" s="1">
        <v>28</v>
      </c>
      <c r="F1075" s="1">
        <v>0.76</v>
      </c>
      <c r="G1075" s="1">
        <v>20260320</v>
      </c>
      <c r="H1075" t="b">
        <f t="shared" si="17"/>
        <v>0</v>
      </c>
      <c r="I1075" t="str" cm="1">
        <f t="array" ref="I1075">GET_TICKER_FINAL(C1075)</f>
        <v/>
      </c>
      <c r="J1075" s="5" t="s">
        <v>1792</v>
      </c>
    </row>
    <row r="1076" spans="1:10">
      <c r="A1076">
        <v>1075</v>
      </c>
      <c r="B1076" s="1" t="s">
        <v>888</v>
      </c>
      <c r="C1076" s="1" t="s">
        <v>1070</v>
      </c>
      <c r="D1076" s="1">
        <v>35</v>
      </c>
      <c r="E1076" s="1">
        <v>18</v>
      </c>
      <c r="F1076" s="1">
        <v>0.82</v>
      </c>
      <c r="G1076" s="1">
        <v>20260327</v>
      </c>
      <c r="H1076" t="b">
        <f t="shared" si="17"/>
        <v>0</v>
      </c>
      <c r="I1076" t="str" cm="1">
        <f t="array" ref="I1076">GET_TICKER_FINAL(C1076)</f>
        <v/>
      </c>
      <c r="J1076" s="5" t="s">
        <v>1792</v>
      </c>
    </row>
    <row r="1077" spans="1:10">
      <c r="A1077">
        <v>1076</v>
      </c>
      <c r="B1077" s="1" t="s">
        <v>888</v>
      </c>
      <c r="C1077" s="1" t="s">
        <v>1071</v>
      </c>
      <c r="D1077" s="1">
        <v>34</v>
      </c>
      <c r="E1077" s="1">
        <v>24</v>
      </c>
      <c r="F1077" s="1">
        <v>0.82</v>
      </c>
      <c r="G1077" s="1">
        <v>20260402</v>
      </c>
      <c r="H1077" t="b">
        <f t="shared" si="17"/>
        <v>0</v>
      </c>
      <c r="I1077" t="str" cm="1">
        <f t="array" ref="I1077">GET_TICKER_FINAL(C1077)</f>
        <v/>
      </c>
      <c r="J1077" s="5" t="s">
        <v>16</v>
      </c>
    </row>
    <row r="1078" spans="1:10">
      <c r="A1078">
        <v>1077</v>
      </c>
      <c r="B1078" s="1" t="s">
        <v>888</v>
      </c>
      <c r="C1078" s="1" t="s">
        <v>86</v>
      </c>
      <c r="D1078" s="1">
        <v>34</v>
      </c>
      <c r="E1078" s="1">
        <v>70</v>
      </c>
      <c r="F1078" s="1">
        <v>0.85</v>
      </c>
      <c r="G1078" s="1">
        <v>20260323</v>
      </c>
      <c r="H1078" t="b">
        <f t="shared" si="17"/>
        <v>0</v>
      </c>
      <c r="I1078" t="str" cm="1">
        <f t="array" ref="I1078">GET_TICKER_FINAL(C1078)</f>
        <v/>
      </c>
      <c r="J1078" s="5" t="s">
        <v>16</v>
      </c>
    </row>
    <row r="1079" spans="1:10">
      <c r="A1079">
        <v>1078</v>
      </c>
      <c r="B1079" s="1" t="s">
        <v>888</v>
      </c>
      <c r="C1079" s="1" t="s">
        <v>1072</v>
      </c>
      <c r="D1079" s="1">
        <v>32</v>
      </c>
      <c r="E1079" s="1">
        <v>20</v>
      </c>
      <c r="F1079" s="1">
        <v>0.74</v>
      </c>
      <c r="G1079" s="1">
        <v>20260327</v>
      </c>
      <c r="H1079" t="b">
        <f t="shared" si="17"/>
        <v>0</v>
      </c>
      <c r="I1079" t="str" cm="1">
        <f t="array" ref="I1079">GET_TICKER_FINAL(C1079)</f>
        <v/>
      </c>
      <c r="J1079" s="5" t="s">
        <v>1792</v>
      </c>
    </row>
    <row r="1080" spans="1:10">
      <c r="A1080">
        <v>1079</v>
      </c>
      <c r="B1080" s="1" t="s">
        <v>888</v>
      </c>
      <c r="C1080" s="1" t="s">
        <v>1073</v>
      </c>
      <c r="D1080" s="1">
        <v>32</v>
      </c>
      <c r="E1080" s="1">
        <v>8</v>
      </c>
      <c r="F1080" s="1">
        <v>0.9</v>
      </c>
      <c r="G1080" s="1">
        <v>20260323</v>
      </c>
      <c r="H1080" t="b">
        <f t="shared" si="17"/>
        <v>0</v>
      </c>
      <c r="I1080" t="str" cm="1">
        <f t="array" ref="I1080">GET_TICKER_FINAL(C1080)</f>
        <v>NVDA</v>
      </c>
      <c r="J1080" s="5" t="s">
        <v>25</v>
      </c>
    </row>
    <row r="1081" spans="1:10">
      <c r="A1081">
        <v>1080</v>
      </c>
      <c r="B1081" s="1" t="s">
        <v>888</v>
      </c>
      <c r="C1081" s="1" t="s">
        <v>1074</v>
      </c>
      <c r="D1081" s="1">
        <v>30</v>
      </c>
      <c r="E1081" s="1">
        <v>34</v>
      </c>
      <c r="F1081" s="1">
        <v>0.78</v>
      </c>
      <c r="G1081" s="1">
        <v>20260323</v>
      </c>
      <c r="H1081" t="b">
        <f t="shared" si="17"/>
        <v>0</v>
      </c>
      <c r="I1081" t="str" cm="1">
        <f t="array" ref="I1081">GET_TICKER_FINAL(C1081)</f>
        <v/>
      </c>
      <c r="J1081" s="5" t="s">
        <v>16</v>
      </c>
    </row>
    <row r="1082" spans="1:10">
      <c r="A1082">
        <v>1081</v>
      </c>
      <c r="B1082" s="1" t="s">
        <v>888</v>
      </c>
      <c r="C1082" s="1" t="s">
        <v>1075</v>
      </c>
      <c r="D1082" s="1">
        <v>30</v>
      </c>
      <c r="E1082" s="1">
        <v>8</v>
      </c>
      <c r="F1082" s="1">
        <v>0.82</v>
      </c>
      <c r="G1082" s="1">
        <v>20260326</v>
      </c>
      <c r="H1082" t="b">
        <f t="shared" si="17"/>
        <v>0</v>
      </c>
      <c r="I1082" t="str" cm="1">
        <f t="array" ref="I1082">GET_TICKER_FINAL(C1082)</f>
        <v/>
      </c>
      <c r="J1082" s="5" t="s">
        <v>1792</v>
      </c>
    </row>
    <row r="1083" spans="1:10">
      <c r="A1083">
        <v>1082</v>
      </c>
      <c r="B1083" s="1" t="s">
        <v>888</v>
      </c>
      <c r="C1083" s="1" t="s">
        <v>1076</v>
      </c>
      <c r="D1083" s="1">
        <v>30</v>
      </c>
      <c r="E1083" s="1">
        <v>17</v>
      </c>
      <c r="F1083" s="1">
        <v>0.79</v>
      </c>
      <c r="G1083" s="1">
        <v>20260326</v>
      </c>
      <c r="H1083" t="b">
        <f t="shared" si="17"/>
        <v>0</v>
      </c>
      <c r="I1083" t="str" cm="1">
        <f t="array" ref="I1083">GET_TICKER_FINAL(C1083)</f>
        <v/>
      </c>
      <c r="J1083" s="5" t="s">
        <v>25</v>
      </c>
    </row>
    <row r="1084" spans="1:10">
      <c r="A1084">
        <v>1083</v>
      </c>
      <c r="B1084" s="1" t="s">
        <v>888</v>
      </c>
      <c r="C1084" s="1" t="s">
        <v>1077</v>
      </c>
      <c r="D1084" s="1">
        <v>29</v>
      </c>
      <c r="E1084" s="1">
        <v>13</v>
      </c>
      <c r="F1084" s="1">
        <v>0.88</v>
      </c>
      <c r="G1084" s="1">
        <v>20260323</v>
      </c>
      <c r="H1084" t="b">
        <f t="shared" si="17"/>
        <v>0</v>
      </c>
      <c r="I1084" t="str" cm="1">
        <f t="array" ref="I1084">GET_TICKER_FINAL(C1084)</f>
        <v/>
      </c>
      <c r="J1084" s="5" t="s">
        <v>16</v>
      </c>
    </row>
    <row r="1085" spans="1:10">
      <c r="A1085">
        <v>1084</v>
      </c>
      <c r="B1085" s="1" t="s">
        <v>888</v>
      </c>
      <c r="C1085" s="1" t="s">
        <v>1078</v>
      </c>
      <c r="D1085" s="1">
        <v>28</v>
      </c>
      <c r="E1085" s="1">
        <v>4</v>
      </c>
      <c r="F1085" s="1">
        <v>0.92</v>
      </c>
      <c r="G1085" s="1">
        <v>20260326</v>
      </c>
      <c r="H1085" t="b">
        <f t="shared" si="17"/>
        <v>0</v>
      </c>
      <c r="I1085" t="str" cm="1">
        <f t="array" ref="I1085">GET_TICKER_FINAL(C1085)</f>
        <v/>
      </c>
      <c r="J1085" s="5" t="s">
        <v>1792</v>
      </c>
    </row>
    <row r="1086" spans="1:10">
      <c r="A1086">
        <v>1085</v>
      </c>
      <c r="B1086" s="1" t="s">
        <v>888</v>
      </c>
      <c r="C1086" s="1" t="s">
        <v>1079</v>
      </c>
      <c r="D1086" s="1">
        <v>28</v>
      </c>
      <c r="E1086" s="1">
        <v>16</v>
      </c>
      <c r="F1086" s="1">
        <v>0.71</v>
      </c>
      <c r="G1086" s="1">
        <v>20260320</v>
      </c>
      <c r="H1086" t="b">
        <f t="shared" si="17"/>
        <v>0</v>
      </c>
      <c r="I1086" t="str" cm="1">
        <f t="array" ref="I1086">GET_TICKER_FINAL(C1086)</f>
        <v/>
      </c>
      <c r="J1086" s="5" t="s">
        <v>25</v>
      </c>
    </row>
    <row r="1087" spans="1:10">
      <c r="A1087">
        <v>1086</v>
      </c>
      <c r="B1087" s="1" t="s">
        <v>888</v>
      </c>
      <c r="C1087" s="1" t="s">
        <v>1080</v>
      </c>
      <c r="D1087" s="1">
        <v>28</v>
      </c>
      <c r="E1087" s="1">
        <v>28</v>
      </c>
      <c r="F1087" s="1">
        <v>0.7</v>
      </c>
      <c r="G1087" s="1">
        <v>20260323</v>
      </c>
      <c r="H1087" t="b">
        <f t="shared" si="17"/>
        <v>0</v>
      </c>
      <c r="I1087" t="str" cm="1">
        <f t="array" ref="I1087">GET_TICKER_FINAL(C1087)</f>
        <v/>
      </c>
      <c r="J1087" s="5" t="s">
        <v>16</v>
      </c>
    </row>
    <row r="1088" spans="1:10">
      <c r="A1088">
        <v>1087</v>
      </c>
      <c r="B1088" s="1" t="s">
        <v>888</v>
      </c>
      <c r="C1088" s="1" t="s">
        <v>1081</v>
      </c>
      <c r="D1088" s="1">
        <v>28</v>
      </c>
      <c r="E1088" s="1">
        <v>14</v>
      </c>
      <c r="F1088" s="1">
        <v>0.79</v>
      </c>
      <c r="G1088" s="1">
        <v>20260323</v>
      </c>
      <c r="H1088" t="b">
        <f t="shared" si="17"/>
        <v>0</v>
      </c>
      <c r="I1088" t="str" cm="1">
        <f t="array" ref="I1088">GET_TICKER_FINAL(C1088)</f>
        <v>NFLX</v>
      </c>
      <c r="J1088" s="5" t="s">
        <v>1792</v>
      </c>
    </row>
    <row r="1089" spans="1:10">
      <c r="A1089">
        <v>1088</v>
      </c>
      <c r="B1089" s="1" t="s">
        <v>888</v>
      </c>
      <c r="C1089" s="1" t="s">
        <v>1082</v>
      </c>
      <c r="D1089" s="1">
        <v>26</v>
      </c>
      <c r="E1089" s="1">
        <v>14</v>
      </c>
      <c r="F1089" s="1">
        <v>0.8</v>
      </c>
      <c r="G1089" s="1">
        <v>20260330</v>
      </c>
      <c r="H1089" t="b">
        <f t="shared" si="17"/>
        <v>0</v>
      </c>
      <c r="I1089" t="str" cm="1">
        <f t="array" ref="I1089">GET_TICKER_FINAL(C1089)</f>
        <v/>
      </c>
      <c r="J1089" s="5" t="s">
        <v>25</v>
      </c>
    </row>
    <row r="1090" spans="1:10">
      <c r="A1090">
        <v>1089</v>
      </c>
      <c r="B1090" s="1" t="s">
        <v>888</v>
      </c>
      <c r="C1090" s="1" t="s">
        <v>1083</v>
      </c>
      <c r="D1090" s="1">
        <v>24</v>
      </c>
      <c r="E1090" s="1">
        <v>10</v>
      </c>
      <c r="F1090" s="1">
        <v>0.85</v>
      </c>
      <c r="G1090" s="1">
        <v>20260327</v>
      </c>
      <c r="H1090" t="b">
        <f t="shared" si="17"/>
        <v>0</v>
      </c>
      <c r="I1090" t="str" cm="1">
        <f t="array" ref="I1090">GET_TICKER_FINAL(C1090)</f>
        <v/>
      </c>
      <c r="J1090" s="5" t="s">
        <v>1792</v>
      </c>
    </row>
    <row r="1091" spans="1:10">
      <c r="A1091">
        <v>1090</v>
      </c>
      <c r="B1091" s="1" t="s">
        <v>888</v>
      </c>
      <c r="C1091" s="1" t="s">
        <v>527</v>
      </c>
      <c r="D1091" s="1">
        <v>24</v>
      </c>
      <c r="E1091" s="1">
        <v>30</v>
      </c>
      <c r="F1091" s="1">
        <v>0.85</v>
      </c>
      <c r="G1091" s="1">
        <v>20260326</v>
      </c>
      <c r="H1091" t="b">
        <f t="shared" ref="H1091:H1154" si="18">OR(ISNUMBER(SEARCH("$A",C1091)),ISNUMBER(SEARCH("$B",C1091)),ISNUMBER(SEARCH("$C",C1091)),ISNUMBER(SEARCH("$D",C1091)),ISNUMBER(SEARCH("$E",C1091)),ISNUMBER(SEARCH("$F",C1091)),ISNUMBER(SEARCH("$G",C1091)),ISNUMBER(SEARCH("$H",C1091)),ISNUMBER(SEARCH("$I",C1091)),ISNUMBER(SEARCH("$J",C1091)),ISNUMBER(SEARCH("$K",C1091)),ISNUMBER(SEARCH("$L",C1091)),ISNUMBER(SEARCH("$M",C1091)),ISNUMBER(SEARCH("$N",C1091)),ISNUMBER(SEARCH("$O",C1091)),ISNUMBER(SEARCH("$P",C1091)),ISNUMBER(SEARCH("$Q",C1091)),ISNUMBER(SEARCH("$R",C1091)),ISNUMBER(SEARCH("$S",C1091)),ISNUMBER(SEARCH("$T",C1091)),ISNUMBER(SEARCH("$U",C1091)),ISNUMBER(SEARCH("$V",C1091)),ISNUMBER(SEARCH("$W",C1091)),ISNUMBER(SEARCH("$X",C1091)),ISNUMBER(SEARCH("$Y",C1091)),ISNUMBER(SEARCH("$Z",C1091)))</f>
        <v>0</v>
      </c>
      <c r="I1091" t="str" cm="1">
        <f t="array" ref="I1091">GET_TICKER_FINAL(C1091)</f>
        <v/>
      </c>
      <c r="J1091" s="5" t="s">
        <v>16</v>
      </c>
    </row>
    <row r="1092" spans="1:10">
      <c r="A1092">
        <v>1091</v>
      </c>
      <c r="B1092" s="1" t="s">
        <v>888</v>
      </c>
      <c r="C1092" s="1" t="s">
        <v>1084</v>
      </c>
      <c r="D1092" s="1">
        <v>23</v>
      </c>
      <c r="E1092" s="1">
        <v>2</v>
      </c>
      <c r="F1092" s="1">
        <v>0.93</v>
      </c>
      <c r="G1092" s="1">
        <v>20260330</v>
      </c>
      <c r="H1092" t="b">
        <f t="shared" si="18"/>
        <v>0</v>
      </c>
      <c r="I1092" t="str" cm="1">
        <f t="array" ref="I1092">GET_TICKER_FINAL(C1092)</f>
        <v/>
      </c>
      <c r="J1092" s="5" t="s">
        <v>25</v>
      </c>
    </row>
    <row r="1093" spans="1:10">
      <c r="A1093">
        <v>1092</v>
      </c>
      <c r="B1093" s="1" t="s">
        <v>888</v>
      </c>
      <c r="C1093" s="1" t="s">
        <v>1085</v>
      </c>
      <c r="D1093" s="1">
        <v>23</v>
      </c>
      <c r="E1093" s="1">
        <v>714</v>
      </c>
      <c r="F1093" s="1">
        <v>0.95</v>
      </c>
      <c r="G1093" s="1">
        <v>20260331</v>
      </c>
      <c r="H1093" t="b">
        <f t="shared" si="18"/>
        <v>0</v>
      </c>
      <c r="I1093" t="str" cm="1">
        <f t="array" ref="I1093">GET_TICKER_FINAL(C1093)</f>
        <v/>
      </c>
      <c r="J1093" s="5" t="s">
        <v>16</v>
      </c>
    </row>
    <row r="1094" spans="1:10">
      <c r="A1094">
        <v>1093</v>
      </c>
      <c r="B1094" s="1" t="s">
        <v>888</v>
      </c>
      <c r="C1094" s="1" t="s">
        <v>1086</v>
      </c>
      <c r="D1094" s="1">
        <v>22</v>
      </c>
      <c r="E1094" s="1">
        <v>13</v>
      </c>
      <c r="F1094" s="1">
        <v>0.75</v>
      </c>
      <c r="G1094" s="1">
        <v>20260402</v>
      </c>
      <c r="H1094" t="b">
        <f t="shared" si="18"/>
        <v>0</v>
      </c>
      <c r="I1094" t="str" cm="1">
        <f t="array" ref="I1094">GET_TICKER_FINAL(C1094)</f>
        <v>TSLA</v>
      </c>
      <c r="J1094" s="5" t="s">
        <v>1792</v>
      </c>
    </row>
    <row r="1095" spans="1:10">
      <c r="A1095">
        <v>1094</v>
      </c>
      <c r="B1095" s="1" t="s">
        <v>888</v>
      </c>
      <c r="C1095" s="1" t="s">
        <v>1087</v>
      </c>
      <c r="D1095" s="1">
        <v>22</v>
      </c>
      <c r="E1095" s="1">
        <v>19</v>
      </c>
      <c r="F1095" s="1">
        <v>0.78</v>
      </c>
      <c r="G1095" s="1">
        <v>20260402</v>
      </c>
      <c r="H1095" t="b">
        <f t="shared" si="18"/>
        <v>0</v>
      </c>
      <c r="I1095" t="str" cm="1">
        <f t="array" ref="I1095">GET_TICKER_FINAL(C1095)</f>
        <v/>
      </c>
      <c r="J1095" s="5" t="s">
        <v>16</v>
      </c>
    </row>
    <row r="1096" spans="1:10">
      <c r="A1096">
        <v>1095</v>
      </c>
      <c r="B1096" s="1" t="s">
        <v>888</v>
      </c>
      <c r="C1096" s="1" t="s">
        <v>1088</v>
      </c>
      <c r="D1096" s="1">
        <v>21</v>
      </c>
      <c r="E1096" s="1">
        <v>35</v>
      </c>
      <c r="F1096" s="1">
        <v>0.74</v>
      </c>
      <c r="G1096" s="1">
        <v>20260330</v>
      </c>
      <c r="H1096" t="b">
        <f t="shared" si="18"/>
        <v>0</v>
      </c>
      <c r="I1096" t="str" cm="1">
        <f t="array" ref="I1096">GET_TICKER_FINAL(C1096)</f>
        <v/>
      </c>
      <c r="J1096" s="5" t="s">
        <v>16</v>
      </c>
    </row>
    <row r="1097" spans="1:10">
      <c r="A1097">
        <v>1096</v>
      </c>
      <c r="B1097" s="1" t="s">
        <v>888</v>
      </c>
      <c r="C1097" s="1" t="s">
        <v>166</v>
      </c>
      <c r="D1097" s="1">
        <v>21</v>
      </c>
      <c r="E1097" s="1">
        <v>29</v>
      </c>
      <c r="F1097" s="1">
        <v>0.96</v>
      </c>
      <c r="G1097" s="1">
        <v>20260326</v>
      </c>
      <c r="H1097" t="b">
        <f t="shared" si="18"/>
        <v>0</v>
      </c>
      <c r="I1097" t="str" cm="1">
        <f t="array" ref="I1097">GET_TICKER_FINAL(C1097)</f>
        <v/>
      </c>
      <c r="J1097" s="5" t="s">
        <v>1792</v>
      </c>
    </row>
    <row r="1098" spans="1:10">
      <c r="A1098">
        <v>1097</v>
      </c>
      <c r="B1098" s="1" t="s">
        <v>888</v>
      </c>
      <c r="C1098" s="1" t="s">
        <v>1089</v>
      </c>
      <c r="D1098" s="1">
        <v>21</v>
      </c>
      <c r="E1098" s="1">
        <v>15</v>
      </c>
      <c r="F1098" s="1">
        <v>0.85</v>
      </c>
      <c r="G1098" s="1">
        <v>20260326</v>
      </c>
      <c r="H1098" t="b">
        <f t="shared" si="18"/>
        <v>0</v>
      </c>
      <c r="I1098" t="str" cm="1">
        <f t="array" ref="I1098">GET_TICKER_FINAL(C1098)</f>
        <v/>
      </c>
      <c r="J1098" s="5" t="s">
        <v>16</v>
      </c>
    </row>
    <row r="1099" spans="1:10">
      <c r="A1099">
        <v>1098</v>
      </c>
      <c r="B1099" s="1" t="s">
        <v>888</v>
      </c>
      <c r="C1099" s="1" t="s">
        <v>1090</v>
      </c>
      <c r="D1099" s="1">
        <v>21</v>
      </c>
      <c r="E1099" s="1">
        <v>36</v>
      </c>
      <c r="F1099" s="1">
        <v>0.83</v>
      </c>
      <c r="G1099" s="1">
        <v>20260401</v>
      </c>
      <c r="H1099" t="b">
        <f t="shared" si="18"/>
        <v>0</v>
      </c>
      <c r="I1099" t="str" cm="1">
        <f t="array" ref="I1099">GET_TICKER_FINAL(C1099)</f>
        <v/>
      </c>
      <c r="J1099" s="5" t="s">
        <v>1792</v>
      </c>
    </row>
    <row r="1100" spans="1:10">
      <c r="A1100">
        <v>1099</v>
      </c>
      <c r="B1100" s="1" t="s">
        <v>888</v>
      </c>
      <c r="C1100" s="1" t="s">
        <v>1091</v>
      </c>
      <c r="D1100" s="1">
        <v>20</v>
      </c>
      <c r="E1100" s="1">
        <v>42</v>
      </c>
      <c r="F1100" s="1">
        <v>0.7</v>
      </c>
      <c r="G1100" s="1">
        <v>20260330</v>
      </c>
      <c r="H1100" t="b">
        <f t="shared" si="18"/>
        <v>1</v>
      </c>
      <c r="I1100" t="str" cm="1">
        <f t="array" ref="I1100">GET_TICKER_FINAL(C1100)</f>
        <v>SPY</v>
      </c>
      <c r="J1100" s="5" t="s">
        <v>25</v>
      </c>
    </row>
    <row r="1101" spans="1:10">
      <c r="A1101">
        <v>1100</v>
      </c>
      <c r="B1101" s="1" t="s">
        <v>888</v>
      </c>
      <c r="C1101" s="1" t="s">
        <v>1092</v>
      </c>
      <c r="D1101" s="1">
        <v>19</v>
      </c>
      <c r="E1101" s="1">
        <v>6</v>
      </c>
      <c r="F1101" s="1">
        <v>0.95</v>
      </c>
      <c r="G1101" s="1">
        <v>20260327</v>
      </c>
      <c r="H1101" t="b">
        <f t="shared" si="18"/>
        <v>0</v>
      </c>
      <c r="I1101" t="str" cm="1">
        <f t="array" ref="I1101">GET_TICKER_FINAL(C1101)</f>
        <v/>
      </c>
      <c r="J1101" s="5" t="s">
        <v>1792</v>
      </c>
    </row>
    <row r="1102" spans="1:10">
      <c r="A1102">
        <v>1101</v>
      </c>
      <c r="B1102" s="1" t="s">
        <v>888</v>
      </c>
      <c r="C1102" s="1" t="s">
        <v>1093</v>
      </c>
      <c r="D1102" s="1">
        <v>19</v>
      </c>
      <c r="E1102" s="1">
        <v>3</v>
      </c>
      <c r="F1102" s="1">
        <v>0.95</v>
      </c>
      <c r="G1102" s="1">
        <v>20260323</v>
      </c>
      <c r="H1102" t="b">
        <f t="shared" si="18"/>
        <v>0</v>
      </c>
      <c r="I1102" t="str" cm="1">
        <f t="array" ref="I1102">GET_TICKER_FINAL(C1102)</f>
        <v/>
      </c>
      <c r="J1102" s="5" t="s">
        <v>25</v>
      </c>
    </row>
    <row r="1103" spans="1:10">
      <c r="A1103">
        <v>1102</v>
      </c>
      <c r="B1103" s="1" t="s">
        <v>888</v>
      </c>
      <c r="C1103" s="1" t="s">
        <v>1094</v>
      </c>
      <c r="D1103" s="1">
        <v>19</v>
      </c>
      <c r="E1103" s="1">
        <v>17</v>
      </c>
      <c r="F1103" s="1">
        <v>0.71</v>
      </c>
      <c r="G1103" s="1">
        <v>20260323</v>
      </c>
      <c r="H1103" t="b">
        <f t="shared" si="18"/>
        <v>0</v>
      </c>
      <c r="I1103" t="str" cm="1">
        <f t="array" ref="I1103">GET_TICKER_FINAL(C1103)</f>
        <v>RKLB</v>
      </c>
      <c r="J1103" s="5" t="s">
        <v>25</v>
      </c>
    </row>
    <row r="1104" spans="1:10">
      <c r="A1104">
        <v>1103</v>
      </c>
      <c r="B1104" s="1" t="s">
        <v>888</v>
      </c>
      <c r="C1104" s="1" t="s">
        <v>1095</v>
      </c>
      <c r="D1104" s="1">
        <v>18</v>
      </c>
      <c r="E1104" s="1">
        <v>7</v>
      </c>
      <c r="F1104" s="1">
        <v>0.75</v>
      </c>
      <c r="G1104" s="1">
        <v>20260324</v>
      </c>
      <c r="H1104" t="b">
        <f t="shared" si="18"/>
        <v>0</v>
      </c>
      <c r="I1104" t="str" cm="1">
        <f t="array" ref="I1104">GET_TICKER_FINAL(C1104)</f>
        <v/>
      </c>
      <c r="J1104" s="5" t="s">
        <v>1792</v>
      </c>
    </row>
    <row r="1105" spans="1:10">
      <c r="A1105">
        <v>1104</v>
      </c>
      <c r="B1105" s="1" t="s">
        <v>888</v>
      </c>
      <c r="C1105" s="1" t="s">
        <v>1096</v>
      </c>
      <c r="D1105" s="1">
        <v>18</v>
      </c>
      <c r="E1105" s="1">
        <v>69</v>
      </c>
      <c r="F1105" s="1">
        <v>0.72</v>
      </c>
      <c r="G1105" s="1">
        <v>20260331</v>
      </c>
      <c r="H1105" t="b">
        <f t="shared" si="18"/>
        <v>0</v>
      </c>
      <c r="I1105" t="str" cm="1">
        <f t="array" ref="I1105">GET_TICKER_FINAL(C1105)</f>
        <v/>
      </c>
      <c r="J1105" s="5" t="s">
        <v>1792</v>
      </c>
    </row>
    <row r="1106" spans="1:10">
      <c r="A1106">
        <v>1105</v>
      </c>
      <c r="B1106" s="1" t="s">
        <v>888</v>
      </c>
      <c r="C1106" s="1" t="s">
        <v>1097</v>
      </c>
      <c r="D1106" s="1">
        <v>18</v>
      </c>
      <c r="E1106" s="1">
        <v>627</v>
      </c>
      <c r="F1106" s="1">
        <v>0.95</v>
      </c>
      <c r="G1106" s="1">
        <v>20260402</v>
      </c>
      <c r="H1106" t="b">
        <f t="shared" si="18"/>
        <v>0</v>
      </c>
      <c r="I1106" t="str" cm="1">
        <f t="array" ref="I1106">GET_TICKER_FINAL(C1106)</f>
        <v/>
      </c>
      <c r="J1106" s="5" t="s">
        <v>1792</v>
      </c>
    </row>
    <row r="1107" spans="1:10">
      <c r="A1107">
        <v>1106</v>
      </c>
      <c r="B1107" s="1" t="s">
        <v>888</v>
      </c>
      <c r="C1107" s="1" t="s">
        <v>1098</v>
      </c>
      <c r="D1107" s="1">
        <v>18</v>
      </c>
      <c r="E1107" s="1">
        <v>723</v>
      </c>
      <c r="F1107" s="1">
        <v>0.91</v>
      </c>
      <c r="G1107" s="1">
        <v>20260401</v>
      </c>
      <c r="H1107" t="b">
        <f t="shared" si="18"/>
        <v>0</v>
      </c>
      <c r="I1107" t="str" cm="1">
        <f t="array" ref="I1107">GET_TICKER_FINAL(C1107)</f>
        <v/>
      </c>
      <c r="J1107" s="5" t="s">
        <v>1792</v>
      </c>
    </row>
    <row r="1108" spans="1:10">
      <c r="A1108">
        <v>1107</v>
      </c>
      <c r="B1108" s="1" t="s">
        <v>888</v>
      </c>
      <c r="C1108" s="1" t="s">
        <v>1099</v>
      </c>
      <c r="D1108" s="1">
        <v>18</v>
      </c>
      <c r="E1108" s="1">
        <v>9</v>
      </c>
      <c r="F1108" s="1">
        <v>0.83</v>
      </c>
      <c r="G1108" s="1">
        <v>20260330</v>
      </c>
      <c r="H1108" t="b">
        <f t="shared" si="18"/>
        <v>0</v>
      </c>
      <c r="I1108" t="str" cm="1">
        <f t="array" ref="I1108">GET_TICKER_FINAL(C1108)</f>
        <v/>
      </c>
      <c r="J1108" s="5" t="s">
        <v>25</v>
      </c>
    </row>
    <row r="1109" spans="1:10">
      <c r="A1109">
        <v>1108</v>
      </c>
      <c r="B1109" s="1" t="s">
        <v>888</v>
      </c>
      <c r="C1109" s="1" t="s">
        <v>1100</v>
      </c>
      <c r="D1109" s="1">
        <v>16</v>
      </c>
      <c r="E1109" s="1">
        <v>3</v>
      </c>
      <c r="F1109" s="1">
        <v>0.77</v>
      </c>
      <c r="G1109" s="1">
        <v>20260401</v>
      </c>
      <c r="H1109" t="b">
        <f t="shared" si="18"/>
        <v>0</v>
      </c>
      <c r="I1109" t="str" cm="1">
        <f t="array" ref="I1109">GET_TICKER_FINAL(C1109)</f>
        <v/>
      </c>
      <c r="J1109" s="5" t="s">
        <v>1792</v>
      </c>
    </row>
    <row r="1110" spans="1:10">
      <c r="A1110">
        <v>1109</v>
      </c>
      <c r="B1110" s="1" t="s">
        <v>888</v>
      </c>
      <c r="C1110" s="1" t="s">
        <v>1101</v>
      </c>
      <c r="D1110" s="1">
        <v>16</v>
      </c>
      <c r="E1110" s="1">
        <v>33</v>
      </c>
      <c r="F1110" s="1">
        <v>0.72</v>
      </c>
      <c r="G1110" s="1">
        <v>20260324</v>
      </c>
      <c r="H1110" t="b">
        <f t="shared" si="18"/>
        <v>0</v>
      </c>
      <c r="I1110" t="str" cm="1">
        <f t="array" ref="I1110">GET_TICKER_FINAL(C1110)</f>
        <v/>
      </c>
      <c r="J1110" s="5" t="s">
        <v>1792</v>
      </c>
    </row>
    <row r="1111" spans="1:10">
      <c r="A1111">
        <v>1110</v>
      </c>
      <c r="B1111" s="1" t="s">
        <v>888</v>
      </c>
      <c r="C1111" s="1" t="s">
        <v>1102</v>
      </c>
      <c r="D1111" s="1">
        <v>15</v>
      </c>
      <c r="E1111" s="1">
        <v>12</v>
      </c>
      <c r="F1111" s="1">
        <v>0.78</v>
      </c>
      <c r="G1111" s="1">
        <v>20260401</v>
      </c>
      <c r="H1111" t="b">
        <f t="shared" si="18"/>
        <v>0</v>
      </c>
      <c r="I1111" t="str" cm="1">
        <f t="array" ref="I1111">GET_TICKER_FINAL(C1111)</f>
        <v>META</v>
      </c>
      <c r="J1111" s="5" t="s">
        <v>1792</v>
      </c>
    </row>
    <row r="1112" spans="1:10">
      <c r="A1112">
        <v>1111</v>
      </c>
      <c r="B1112" s="1" t="s">
        <v>888</v>
      </c>
      <c r="C1112" s="1" t="s">
        <v>1103</v>
      </c>
      <c r="D1112" s="1">
        <v>15</v>
      </c>
      <c r="E1112" s="1">
        <v>510</v>
      </c>
      <c r="F1112" s="1">
        <v>0.84</v>
      </c>
      <c r="G1112" s="1">
        <v>20260320</v>
      </c>
      <c r="H1112" t="b">
        <f t="shared" si="18"/>
        <v>0</v>
      </c>
      <c r="I1112" t="str" cm="1">
        <f t="array" ref="I1112">GET_TICKER_FINAL(C1112)</f>
        <v/>
      </c>
      <c r="J1112" s="5" t="s">
        <v>1792</v>
      </c>
    </row>
    <row r="1113" spans="1:10">
      <c r="A1113">
        <v>1112</v>
      </c>
      <c r="B1113" s="1" t="s">
        <v>888</v>
      </c>
      <c r="C1113" s="1" t="s">
        <v>1104</v>
      </c>
      <c r="D1113" s="1">
        <v>15</v>
      </c>
      <c r="E1113" s="1">
        <v>23</v>
      </c>
      <c r="F1113" s="1">
        <v>0.78</v>
      </c>
      <c r="G1113" s="1">
        <v>20260327</v>
      </c>
      <c r="H1113" t="b">
        <f t="shared" si="18"/>
        <v>0</v>
      </c>
      <c r="I1113" t="str" cm="1">
        <f t="array" ref="I1113">GET_TICKER_FINAL(C1113)</f>
        <v>USO</v>
      </c>
      <c r="J1113" s="5" t="s">
        <v>1792</v>
      </c>
    </row>
    <row r="1114" spans="1:10">
      <c r="A1114">
        <v>1113</v>
      </c>
      <c r="B1114" s="1" t="s">
        <v>888</v>
      </c>
      <c r="C1114" s="1" t="s">
        <v>1105</v>
      </c>
      <c r="D1114" s="1">
        <v>15</v>
      </c>
      <c r="E1114" s="1">
        <v>20</v>
      </c>
      <c r="F1114" s="1">
        <v>0.67</v>
      </c>
      <c r="G1114" s="1">
        <v>20260327</v>
      </c>
      <c r="H1114" t="b">
        <f t="shared" si="18"/>
        <v>0</v>
      </c>
      <c r="I1114" t="str" cm="1">
        <f t="array" ref="I1114">GET_TICKER_FINAL(C1114)</f>
        <v/>
      </c>
      <c r="J1114" s="5" t="s">
        <v>16</v>
      </c>
    </row>
    <row r="1115" spans="1:10">
      <c r="A1115">
        <v>1114</v>
      </c>
      <c r="B1115" s="1" t="s">
        <v>888</v>
      </c>
      <c r="C1115" s="1" t="s">
        <v>1106</v>
      </c>
      <c r="D1115" s="1">
        <v>15</v>
      </c>
      <c r="E1115" s="1">
        <v>479</v>
      </c>
      <c r="F1115" s="1">
        <v>0.8</v>
      </c>
      <c r="G1115" s="1">
        <v>20260326</v>
      </c>
      <c r="H1115" t="b">
        <f t="shared" si="18"/>
        <v>0</v>
      </c>
      <c r="I1115" t="str" cm="1">
        <f t="array" ref="I1115">GET_TICKER_FINAL(C1115)</f>
        <v/>
      </c>
      <c r="J1115" s="5" t="s">
        <v>1792</v>
      </c>
    </row>
    <row r="1116" spans="1:10">
      <c r="A1116">
        <v>1115</v>
      </c>
      <c r="B1116" s="1" t="s">
        <v>888</v>
      </c>
      <c r="C1116" s="1" t="s">
        <v>1107</v>
      </c>
      <c r="D1116" s="1">
        <v>15</v>
      </c>
      <c r="E1116" s="1">
        <v>17</v>
      </c>
      <c r="F1116" s="1">
        <v>0.78</v>
      </c>
      <c r="G1116" s="1">
        <v>20260324</v>
      </c>
      <c r="H1116" t="b">
        <f t="shared" si="18"/>
        <v>0</v>
      </c>
      <c r="I1116" t="str" cm="1">
        <f t="array" ref="I1116">GET_TICKER_FINAL(C1116)</f>
        <v>MU</v>
      </c>
      <c r="J1116" s="5" t="s">
        <v>1792</v>
      </c>
    </row>
    <row r="1117" spans="1:10">
      <c r="A1117">
        <v>1116</v>
      </c>
      <c r="B1117" s="1" t="s">
        <v>888</v>
      </c>
      <c r="C1117" s="1" t="s">
        <v>1108</v>
      </c>
      <c r="D1117" s="1">
        <v>15</v>
      </c>
      <c r="E1117" s="1">
        <v>12</v>
      </c>
      <c r="F1117" s="1">
        <v>0.83</v>
      </c>
      <c r="G1117" s="1">
        <v>20260327</v>
      </c>
      <c r="H1117" t="b">
        <f t="shared" si="18"/>
        <v>0</v>
      </c>
      <c r="I1117" t="str" cm="1">
        <f t="array" ref="I1117">GET_TICKER_FINAL(C1117)</f>
        <v/>
      </c>
      <c r="J1117" s="5" t="s">
        <v>1792</v>
      </c>
    </row>
    <row r="1118" spans="1:10">
      <c r="A1118">
        <v>1117</v>
      </c>
      <c r="B1118" s="1" t="s">
        <v>888</v>
      </c>
      <c r="C1118" s="1" t="s">
        <v>1109</v>
      </c>
      <c r="D1118" s="1">
        <v>14</v>
      </c>
      <c r="E1118" s="1">
        <v>35</v>
      </c>
      <c r="F1118" s="1">
        <v>0.84</v>
      </c>
      <c r="G1118" s="1">
        <v>20260402</v>
      </c>
      <c r="H1118" t="b">
        <f t="shared" si="18"/>
        <v>0</v>
      </c>
      <c r="I1118" t="str" cm="1">
        <f t="array" ref="I1118">GET_TICKER_FINAL(C1118)</f>
        <v/>
      </c>
      <c r="J1118" s="5" t="s">
        <v>1792</v>
      </c>
    </row>
    <row r="1119" spans="1:10">
      <c r="A1119">
        <v>1118</v>
      </c>
      <c r="B1119" s="1" t="s">
        <v>888</v>
      </c>
      <c r="C1119" s="1" t="s">
        <v>1110</v>
      </c>
      <c r="D1119" s="1">
        <v>14</v>
      </c>
      <c r="E1119" s="1">
        <v>3</v>
      </c>
      <c r="F1119" s="1">
        <v>0.72</v>
      </c>
      <c r="G1119" s="1">
        <v>20260402</v>
      </c>
      <c r="H1119" t="b">
        <f t="shared" si="18"/>
        <v>0</v>
      </c>
      <c r="I1119" t="str" cm="1">
        <f t="array" ref="I1119">GET_TICKER_FINAL(C1119)</f>
        <v/>
      </c>
      <c r="J1119" s="5" t="s">
        <v>25</v>
      </c>
    </row>
    <row r="1120" spans="1:10">
      <c r="A1120">
        <v>1119</v>
      </c>
      <c r="B1120" s="1" t="s">
        <v>888</v>
      </c>
      <c r="C1120" s="1" t="s">
        <v>1111</v>
      </c>
      <c r="D1120" s="1">
        <v>14</v>
      </c>
      <c r="E1120" s="1">
        <v>34</v>
      </c>
      <c r="F1120" s="1">
        <v>0.77</v>
      </c>
      <c r="G1120" s="1">
        <v>20260324</v>
      </c>
      <c r="H1120" t="b">
        <f t="shared" si="18"/>
        <v>0</v>
      </c>
      <c r="I1120" t="str" cm="1">
        <f t="array" ref="I1120">GET_TICKER_FINAL(C1120)</f>
        <v/>
      </c>
      <c r="J1120" s="5" t="s">
        <v>1792</v>
      </c>
    </row>
    <row r="1121" spans="1:10">
      <c r="A1121">
        <v>1120</v>
      </c>
      <c r="B1121" s="1" t="s">
        <v>888</v>
      </c>
      <c r="C1121" s="1" t="s">
        <v>1112</v>
      </c>
      <c r="D1121" s="1">
        <v>14</v>
      </c>
      <c r="E1121" s="1">
        <v>11</v>
      </c>
      <c r="F1121" s="1">
        <v>0.77</v>
      </c>
      <c r="G1121" s="1">
        <v>20260327</v>
      </c>
      <c r="H1121" t="b">
        <f t="shared" si="18"/>
        <v>0</v>
      </c>
      <c r="I1121" t="str" cm="1">
        <f t="array" ref="I1121">GET_TICKER_FINAL(C1121)</f>
        <v>ARM</v>
      </c>
      <c r="J1121" s="5" t="s">
        <v>25</v>
      </c>
    </row>
    <row r="1122" spans="1:10">
      <c r="A1122">
        <v>1121</v>
      </c>
      <c r="B1122" s="1" t="s">
        <v>888</v>
      </c>
      <c r="C1122" s="1" t="s">
        <v>1113</v>
      </c>
      <c r="D1122" s="1">
        <v>14</v>
      </c>
      <c r="E1122" s="1">
        <v>16</v>
      </c>
      <c r="F1122" s="1">
        <v>0.85</v>
      </c>
      <c r="G1122" s="1">
        <v>20260324</v>
      </c>
      <c r="H1122" t="b">
        <f t="shared" si="18"/>
        <v>0</v>
      </c>
      <c r="I1122" t="str" cm="1">
        <f t="array" ref="I1122">GET_TICKER_FINAL(C1122)</f>
        <v/>
      </c>
      <c r="J1122" s="5" t="s">
        <v>1792</v>
      </c>
    </row>
    <row r="1123" spans="1:10">
      <c r="A1123">
        <v>1122</v>
      </c>
      <c r="B1123" s="1" t="s">
        <v>888</v>
      </c>
      <c r="C1123" s="1" t="s">
        <v>1114</v>
      </c>
      <c r="D1123" s="1">
        <v>13</v>
      </c>
      <c r="E1123" s="1">
        <v>725</v>
      </c>
      <c r="F1123" s="1">
        <v>0.85</v>
      </c>
      <c r="G1123" s="1">
        <v>20260327</v>
      </c>
      <c r="H1123" t="b">
        <f t="shared" si="18"/>
        <v>0</v>
      </c>
      <c r="I1123" t="str" cm="1">
        <f t="array" ref="I1123">GET_TICKER_FINAL(C1123)</f>
        <v/>
      </c>
      <c r="J1123" s="5" t="s">
        <v>1792</v>
      </c>
    </row>
    <row r="1124" spans="1:10">
      <c r="A1124">
        <v>1123</v>
      </c>
      <c r="B1124" s="1" t="s">
        <v>888</v>
      </c>
      <c r="C1124" s="1" t="s">
        <v>1115</v>
      </c>
      <c r="D1124" s="1">
        <v>13</v>
      </c>
      <c r="E1124" s="1">
        <v>27</v>
      </c>
      <c r="F1124" s="1">
        <v>0.63</v>
      </c>
      <c r="G1124" s="1">
        <v>20260330</v>
      </c>
      <c r="H1124" t="b">
        <f t="shared" si="18"/>
        <v>0</v>
      </c>
      <c r="I1124" t="str" cm="1">
        <f t="array" ref="I1124">GET_TICKER_FINAL(C1124)</f>
        <v/>
      </c>
      <c r="J1124" s="5" t="s">
        <v>1792</v>
      </c>
    </row>
    <row r="1125" spans="1:10">
      <c r="A1125">
        <v>1124</v>
      </c>
      <c r="B1125" s="1" t="s">
        <v>888</v>
      </c>
      <c r="C1125" s="1" t="s">
        <v>1116</v>
      </c>
      <c r="D1125" s="1">
        <v>13</v>
      </c>
      <c r="E1125" s="1">
        <v>26</v>
      </c>
      <c r="F1125" s="1">
        <v>0.62</v>
      </c>
      <c r="G1125" s="1">
        <v>20260330</v>
      </c>
      <c r="H1125" t="b">
        <f t="shared" si="18"/>
        <v>0</v>
      </c>
      <c r="I1125" t="str" cm="1">
        <f t="array" ref="I1125">GET_TICKER_FINAL(C1125)</f>
        <v/>
      </c>
      <c r="J1125" s="5" t="s">
        <v>1792</v>
      </c>
    </row>
    <row r="1126" spans="1:10">
      <c r="A1126">
        <v>1125</v>
      </c>
      <c r="B1126" s="1" t="s">
        <v>888</v>
      </c>
      <c r="C1126" s="1" t="s">
        <v>1117</v>
      </c>
      <c r="D1126" s="1">
        <v>12</v>
      </c>
      <c r="E1126" s="1">
        <v>14</v>
      </c>
      <c r="F1126" s="1">
        <v>0.8</v>
      </c>
      <c r="G1126" s="1">
        <v>20260401</v>
      </c>
      <c r="H1126" t="b">
        <f t="shared" si="18"/>
        <v>0</v>
      </c>
      <c r="I1126" t="str" cm="1">
        <f t="array" ref="I1126">GET_TICKER_FINAL(C1126)</f>
        <v/>
      </c>
      <c r="J1126" s="5" t="s">
        <v>28</v>
      </c>
    </row>
    <row r="1127" spans="1:10">
      <c r="A1127">
        <v>1126</v>
      </c>
      <c r="B1127" s="1" t="s">
        <v>888</v>
      </c>
      <c r="C1127" s="1" t="s">
        <v>1118</v>
      </c>
      <c r="D1127" s="1">
        <v>12</v>
      </c>
      <c r="E1127" s="1">
        <v>29</v>
      </c>
      <c r="F1127" s="1">
        <v>0.88</v>
      </c>
      <c r="G1127" s="1">
        <v>20260331</v>
      </c>
      <c r="H1127" t="b">
        <f t="shared" si="18"/>
        <v>0</v>
      </c>
      <c r="I1127" t="str" cm="1">
        <f t="array" ref="I1127">GET_TICKER_FINAL(C1127)</f>
        <v/>
      </c>
      <c r="J1127" s="5" t="s">
        <v>1792</v>
      </c>
    </row>
    <row r="1128" spans="1:10">
      <c r="A1128">
        <v>1127</v>
      </c>
      <c r="B1128" s="1" t="s">
        <v>888</v>
      </c>
      <c r="C1128" s="1" t="s">
        <v>1119</v>
      </c>
      <c r="D1128" s="1">
        <v>12</v>
      </c>
      <c r="E1128" s="1">
        <v>15</v>
      </c>
      <c r="F1128" s="1">
        <v>0.84</v>
      </c>
      <c r="G1128" s="1">
        <v>20260323</v>
      </c>
      <c r="H1128" t="b">
        <f t="shared" si="18"/>
        <v>0</v>
      </c>
      <c r="I1128" t="str" cm="1">
        <f t="array" ref="I1128">GET_TICKER_FINAL(C1128)</f>
        <v/>
      </c>
      <c r="J1128" s="5" t="s">
        <v>1792</v>
      </c>
    </row>
    <row r="1129" spans="1:10">
      <c r="A1129">
        <v>1128</v>
      </c>
      <c r="B1129" s="1" t="s">
        <v>888</v>
      </c>
      <c r="C1129" s="1" t="s">
        <v>1120</v>
      </c>
      <c r="D1129" s="1">
        <v>12</v>
      </c>
      <c r="E1129" s="1">
        <v>10</v>
      </c>
      <c r="F1129" s="1">
        <v>0.75</v>
      </c>
      <c r="G1129" s="1">
        <v>20260331</v>
      </c>
      <c r="H1129" t="b">
        <f t="shared" si="18"/>
        <v>0</v>
      </c>
      <c r="I1129" t="str" cm="1">
        <f t="array" ref="I1129">GET_TICKER_FINAL(C1129)</f>
        <v/>
      </c>
      <c r="J1129" s="5" t="s">
        <v>1792</v>
      </c>
    </row>
    <row r="1130" spans="1:10">
      <c r="A1130">
        <v>1129</v>
      </c>
      <c r="B1130" s="1" t="s">
        <v>888</v>
      </c>
      <c r="C1130" s="1" t="s">
        <v>1121</v>
      </c>
      <c r="D1130" s="1">
        <v>12</v>
      </c>
      <c r="E1130" s="1">
        <v>6</v>
      </c>
      <c r="F1130" s="1">
        <v>0.66</v>
      </c>
      <c r="G1130" s="1">
        <v>20260402</v>
      </c>
      <c r="H1130" t="b">
        <f t="shared" si="18"/>
        <v>0</v>
      </c>
      <c r="I1130" t="str" cm="1">
        <f t="array" ref="I1130">GET_TICKER_FINAL(C1130)</f>
        <v/>
      </c>
      <c r="J1130" s="5" t="s">
        <v>1792</v>
      </c>
    </row>
    <row r="1131" spans="1:10">
      <c r="A1131">
        <v>1130</v>
      </c>
      <c r="B1131" s="1" t="s">
        <v>888</v>
      </c>
      <c r="C1131" s="1" t="s">
        <v>1122</v>
      </c>
      <c r="D1131" s="1">
        <v>12</v>
      </c>
      <c r="E1131" s="1">
        <v>544</v>
      </c>
      <c r="F1131" s="1">
        <v>0.83</v>
      </c>
      <c r="G1131" s="1">
        <v>20260326</v>
      </c>
      <c r="H1131" t="b">
        <f t="shared" si="18"/>
        <v>0</v>
      </c>
      <c r="I1131" t="str" cm="1">
        <f t="array" ref="I1131">GET_TICKER_FINAL(C1131)</f>
        <v/>
      </c>
      <c r="J1131" s="5" t="s">
        <v>1792</v>
      </c>
    </row>
    <row r="1132" spans="1:10">
      <c r="A1132">
        <v>1131</v>
      </c>
      <c r="B1132" s="1" t="s">
        <v>888</v>
      </c>
      <c r="C1132" s="1" t="s">
        <v>1123</v>
      </c>
      <c r="D1132" s="1">
        <v>12</v>
      </c>
      <c r="E1132" s="1">
        <v>10</v>
      </c>
      <c r="F1132" s="1">
        <v>0.75</v>
      </c>
      <c r="G1132" s="1">
        <v>20260323</v>
      </c>
      <c r="H1132" t="b">
        <f t="shared" si="18"/>
        <v>0</v>
      </c>
      <c r="I1132" t="str" cm="1">
        <f t="array" ref="I1132">GET_TICKER_FINAL(C1132)</f>
        <v>NVDA</v>
      </c>
      <c r="J1132" s="5" t="s">
        <v>25</v>
      </c>
    </row>
    <row r="1133" spans="1:10">
      <c r="A1133">
        <v>1132</v>
      </c>
      <c r="B1133" s="1" t="s">
        <v>888</v>
      </c>
      <c r="C1133" s="1" t="s">
        <v>1124</v>
      </c>
      <c r="D1133" s="1">
        <v>11</v>
      </c>
      <c r="E1133" s="1">
        <v>8</v>
      </c>
      <c r="F1133" s="1">
        <v>0.67</v>
      </c>
      <c r="G1133" s="1">
        <v>20260402</v>
      </c>
      <c r="H1133" t="b">
        <f t="shared" si="18"/>
        <v>0</v>
      </c>
      <c r="I1133" t="str" cm="1">
        <f t="array" ref="I1133">GET_TICKER_FINAL(C1133)</f>
        <v/>
      </c>
      <c r="J1133" s="5" t="s">
        <v>16</v>
      </c>
    </row>
    <row r="1134" spans="1:10">
      <c r="A1134">
        <v>1133</v>
      </c>
      <c r="B1134" s="1" t="s">
        <v>888</v>
      </c>
      <c r="C1134" s="1" t="s">
        <v>1125</v>
      </c>
      <c r="D1134" s="1">
        <v>11</v>
      </c>
      <c r="E1134" s="1">
        <v>21</v>
      </c>
      <c r="F1134" s="1">
        <v>0.79</v>
      </c>
      <c r="G1134" s="1">
        <v>20260401</v>
      </c>
      <c r="H1134" t="b">
        <f t="shared" si="18"/>
        <v>0</v>
      </c>
      <c r="I1134" t="str" cm="1">
        <f t="array" ref="I1134">GET_TICKER_FINAL(C1134)</f>
        <v/>
      </c>
      <c r="J1134" s="5" t="s">
        <v>1792</v>
      </c>
    </row>
    <row r="1135" spans="1:10">
      <c r="A1135">
        <v>1134</v>
      </c>
      <c r="B1135" s="1" t="s">
        <v>888</v>
      </c>
      <c r="C1135" s="1" t="s">
        <v>1126</v>
      </c>
      <c r="D1135" s="1">
        <v>11</v>
      </c>
      <c r="E1135" s="1">
        <v>30</v>
      </c>
      <c r="F1135" s="1">
        <v>0.87</v>
      </c>
      <c r="G1135" s="1">
        <v>20260331</v>
      </c>
      <c r="H1135" t="b">
        <f t="shared" si="18"/>
        <v>0</v>
      </c>
      <c r="I1135" t="str" cm="1">
        <f t="array" ref="I1135">GET_TICKER_FINAL(C1135)</f>
        <v/>
      </c>
      <c r="J1135" s="5" t="s">
        <v>25</v>
      </c>
    </row>
    <row r="1136" spans="1:10">
      <c r="A1136">
        <v>1135</v>
      </c>
      <c r="B1136" s="1" t="s">
        <v>888</v>
      </c>
      <c r="C1136" s="1" t="s">
        <v>1127</v>
      </c>
      <c r="D1136" s="1">
        <v>11</v>
      </c>
      <c r="E1136" s="1">
        <v>338</v>
      </c>
      <c r="F1136" s="1">
        <v>0.87</v>
      </c>
      <c r="G1136" s="1">
        <v>20260330</v>
      </c>
      <c r="H1136" t="b">
        <f t="shared" si="18"/>
        <v>0</v>
      </c>
      <c r="I1136" t="str" cm="1">
        <f t="array" ref="I1136">GET_TICKER_FINAL(C1136)</f>
        <v/>
      </c>
      <c r="J1136" s="5" t="s">
        <v>1792</v>
      </c>
    </row>
    <row r="1137" spans="1:10">
      <c r="A1137">
        <v>1136</v>
      </c>
      <c r="B1137" s="1" t="s">
        <v>888</v>
      </c>
      <c r="C1137" s="1" t="s">
        <v>1128</v>
      </c>
      <c r="D1137" s="1">
        <v>11</v>
      </c>
      <c r="E1137" s="1">
        <v>20</v>
      </c>
      <c r="F1137" s="1">
        <v>0.74</v>
      </c>
      <c r="G1137" s="1">
        <v>20260330</v>
      </c>
      <c r="H1137" t="b">
        <f t="shared" si="18"/>
        <v>0</v>
      </c>
      <c r="I1137" t="str" cm="1">
        <f t="array" ref="I1137">GET_TICKER_FINAL(C1137)</f>
        <v/>
      </c>
      <c r="J1137" s="5" t="s">
        <v>1792</v>
      </c>
    </row>
    <row r="1138" spans="1:10">
      <c r="A1138">
        <v>1137</v>
      </c>
      <c r="B1138" s="1" t="s">
        <v>888</v>
      </c>
      <c r="C1138" s="1" t="s">
        <v>841</v>
      </c>
      <c r="D1138" s="1">
        <v>11</v>
      </c>
      <c r="E1138" s="1">
        <v>18</v>
      </c>
      <c r="F1138" s="1">
        <v>0.74</v>
      </c>
      <c r="G1138" s="1">
        <v>20260320</v>
      </c>
      <c r="H1138" t="b">
        <f t="shared" si="18"/>
        <v>0</v>
      </c>
      <c r="I1138" t="str" cm="1">
        <f t="array" ref="I1138">GET_TICKER_FINAL(C1138)</f>
        <v/>
      </c>
      <c r="J1138" s="5" t="s">
        <v>1792</v>
      </c>
    </row>
    <row r="1139" spans="1:10">
      <c r="A1139">
        <v>1138</v>
      </c>
      <c r="B1139" s="1" t="s">
        <v>888</v>
      </c>
      <c r="C1139" s="1" t="s">
        <v>1129</v>
      </c>
      <c r="D1139" s="1">
        <v>10</v>
      </c>
      <c r="E1139" s="1">
        <v>9</v>
      </c>
      <c r="F1139" s="1">
        <v>0.7</v>
      </c>
      <c r="G1139" s="1">
        <v>20260320</v>
      </c>
      <c r="H1139" t="b">
        <f t="shared" si="18"/>
        <v>0</v>
      </c>
      <c r="I1139" t="str" cm="1">
        <f t="array" ref="I1139">GET_TICKER_FINAL(C1139)</f>
        <v>NVDA</v>
      </c>
      <c r="J1139" s="5" t="s">
        <v>16</v>
      </c>
    </row>
    <row r="1140" spans="1:10">
      <c r="A1140">
        <v>1139</v>
      </c>
      <c r="B1140" s="1" t="s">
        <v>888</v>
      </c>
      <c r="C1140" s="1" t="s">
        <v>1130</v>
      </c>
      <c r="D1140" s="1">
        <v>10</v>
      </c>
      <c r="E1140" s="1">
        <v>1</v>
      </c>
      <c r="F1140" s="1">
        <v>0.81</v>
      </c>
      <c r="G1140" s="1">
        <v>20260326</v>
      </c>
      <c r="H1140" t="b">
        <f t="shared" si="18"/>
        <v>0</v>
      </c>
      <c r="I1140" t="str" cm="1">
        <f t="array" ref="I1140">GET_TICKER_FINAL(C1140)</f>
        <v>UBER</v>
      </c>
      <c r="J1140" s="5" t="s">
        <v>25</v>
      </c>
    </row>
    <row r="1141" spans="1:10">
      <c r="A1141">
        <v>1140</v>
      </c>
      <c r="B1141" s="1" t="s">
        <v>888</v>
      </c>
      <c r="C1141" s="1" t="s">
        <v>1131</v>
      </c>
      <c r="D1141" s="1">
        <v>10</v>
      </c>
      <c r="E1141" s="1">
        <v>5</v>
      </c>
      <c r="F1141" s="1">
        <v>0.92</v>
      </c>
      <c r="G1141" s="1">
        <v>20260320</v>
      </c>
      <c r="H1141" t="b">
        <f t="shared" si="18"/>
        <v>0</v>
      </c>
      <c r="I1141" t="str" cm="1">
        <f t="array" ref="I1141">GET_TICKER_FINAL(C1141)</f>
        <v/>
      </c>
      <c r="J1141" s="5" t="s">
        <v>1792</v>
      </c>
    </row>
    <row r="1142" spans="1:10">
      <c r="A1142">
        <v>1141</v>
      </c>
      <c r="B1142" s="1" t="s">
        <v>888</v>
      </c>
      <c r="C1142" s="1" t="s">
        <v>1132</v>
      </c>
      <c r="D1142" s="1">
        <v>10</v>
      </c>
      <c r="E1142" s="1">
        <v>2</v>
      </c>
      <c r="F1142" s="1">
        <v>0.86</v>
      </c>
      <c r="G1142" s="1">
        <v>20260324</v>
      </c>
      <c r="H1142" t="b">
        <f t="shared" si="18"/>
        <v>0</v>
      </c>
      <c r="I1142" t="str" cm="1">
        <f t="array" ref="I1142">GET_TICKER_FINAL(C1142)</f>
        <v/>
      </c>
      <c r="J1142" s="5" t="s">
        <v>1792</v>
      </c>
    </row>
    <row r="1143" spans="1:10">
      <c r="A1143">
        <v>1142</v>
      </c>
      <c r="B1143" s="1" t="s">
        <v>888</v>
      </c>
      <c r="C1143" s="1" t="s">
        <v>1133</v>
      </c>
      <c r="D1143" s="1">
        <v>10</v>
      </c>
      <c r="E1143" s="1">
        <v>19</v>
      </c>
      <c r="F1143" s="1">
        <v>0.79</v>
      </c>
      <c r="G1143" s="1">
        <v>20260324</v>
      </c>
      <c r="H1143" t="b">
        <f t="shared" si="18"/>
        <v>0</v>
      </c>
      <c r="I1143" t="str" cm="1">
        <f t="array" ref="I1143">GET_TICKER_FINAL(C1143)</f>
        <v/>
      </c>
      <c r="J1143" s="5" t="s">
        <v>1792</v>
      </c>
    </row>
    <row r="1144" spans="1:10">
      <c r="A1144">
        <v>1143</v>
      </c>
      <c r="B1144" s="1" t="s">
        <v>888</v>
      </c>
      <c r="C1144" s="1" t="s">
        <v>1134</v>
      </c>
      <c r="D1144" s="1">
        <v>10</v>
      </c>
      <c r="E1144" s="1">
        <v>371</v>
      </c>
      <c r="F1144" s="1">
        <v>0.75</v>
      </c>
      <c r="G1144" s="1">
        <v>20260323</v>
      </c>
      <c r="H1144" t="b">
        <f t="shared" si="18"/>
        <v>0</v>
      </c>
      <c r="I1144" t="str" cm="1">
        <f t="array" ref="I1144">GET_TICKER_FINAL(C1144)</f>
        <v/>
      </c>
      <c r="J1144" s="5" t="s">
        <v>1792</v>
      </c>
    </row>
    <row r="1145" spans="1:10">
      <c r="A1145">
        <v>1144</v>
      </c>
      <c r="B1145" s="1" t="s">
        <v>888</v>
      </c>
      <c r="C1145" s="1" t="s">
        <v>1135</v>
      </c>
      <c r="D1145" s="1">
        <v>10</v>
      </c>
      <c r="E1145" s="1">
        <v>8</v>
      </c>
      <c r="F1145" s="1">
        <v>0.81</v>
      </c>
      <c r="G1145" s="1">
        <v>20260323</v>
      </c>
      <c r="H1145" t="b">
        <f t="shared" si="18"/>
        <v>1</v>
      </c>
      <c r="I1145" t="str" cm="1">
        <f t="array" ref="I1145">GET_TICKER_FINAL(C1145)</f>
        <v/>
      </c>
      <c r="J1145" s="5" t="s">
        <v>1792</v>
      </c>
    </row>
    <row r="1146" spans="1:10">
      <c r="A1146">
        <v>1145</v>
      </c>
      <c r="B1146" s="1" t="s">
        <v>888</v>
      </c>
      <c r="C1146" s="1" t="s">
        <v>1136</v>
      </c>
      <c r="D1146" s="1">
        <v>9</v>
      </c>
      <c r="E1146" s="1">
        <v>5</v>
      </c>
      <c r="F1146" s="1">
        <v>0.91</v>
      </c>
      <c r="G1146" s="1">
        <v>20260326</v>
      </c>
      <c r="H1146" t="b">
        <f t="shared" si="18"/>
        <v>1</v>
      </c>
      <c r="I1146" t="str" cm="1">
        <f t="array" ref="I1146">GET_TICKER_FINAL(C1146)</f>
        <v/>
      </c>
      <c r="J1146" s="5" t="s">
        <v>25</v>
      </c>
    </row>
    <row r="1147" spans="1:10">
      <c r="A1147">
        <v>1146</v>
      </c>
      <c r="B1147" s="1" t="s">
        <v>888</v>
      </c>
      <c r="C1147" s="1" t="s">
        <v>1137</v>
      </c>
      <c r="D1147" s="1">
        <v>9</v>
      </c>
      <c r="E1147" s="1">
        <v>21</v>
      </c>
      <c r="F1147" s="1">
        <v>0.72</v>
      </c>
      <c r="G1147" s="1">
        <v>20260331</v>
      </c>
      <c r="H1147" t="b">
        <f t="shared" si="18"/>
        <v>0</v>
      </c>
      <c r="I1147" t="str" cm="1">
        <f t="array" ref="I1147">GET_TICKER_FINAL(C1147)</f>
        <v/>
      </c>
      <c r="J1147" s="5" t="s">
        <v>1792</v>
      </c>
    </row>
    <row r="1148" spans="1:10">
      <c r="A1148">
        <v>1147</v>
      </c>
      <c r="B1148" s="1" t="s">
        <v>888</v>
      </c>
      <c r="C1148" s="1" t="s">
        <v>1138</v>
      </c>
      <c r="D1148" s="1">
        <v>9</v>
      </c>
      <c r="E1148" s="1">
        <v>4</v>
      </c>
      <c r="F1148" s="1">
        <v>0.77</v>
      </c>
      <c r="G1148" s="1">
        <v>20260401</v>
      </c>
      <c r="H1148" t="b">
        <f t="shared" si="18"/>
        <v>0</v>
      </c>
      <c r="I1148" t="str" cm="1">
        <f t="array" ref="I1148">GET_TICKER_FINAL(C1148)</f>
        <v/>
      </c>
      <c r="J1148" s="5" t="s">
        <v>1792</v>
      </c>
    </row>
    <row r="1149" spans="1:10">
      <c r="A1149">
        <v>1148</v>
      </c>
      <c r="B1149" s="1" t="s">
        <v>888</v>
      </c>
      <c r="C1149" s="1" t="s">
        <v>1139</v>
      </c>
      <c r="D1149" s="1">
        <v>9</v>
      </c>
      <c r="E1149" s="1">
        <v>53</v>
      </c>
      <c r="F1149" s="1">
        <v>0.84</v>
      </c>
      <c r="G1149" s="1">
        <v>20260326</v>
      </c>
      <c r="H1149" t="b">
        <f t="shared" si="18"/>
        <v>0</v>
      </c>
      <c r="I1149" t="str" cm="1">
        <f t="array" ref="I1149">GET_TICKER_FINAL(C1149)</f>
        <v/>
      </c>
      <c r="J1149" s="5" t="s">
        <v>1792</v>
      </c>
    </row>
    <row r="1150" spans="1:10">
      <c r="A1150">
        <v>1149</v>
      </c>
      <c r="B1150" s="1" t="s">
        <v>888</v>
      </c>
      <c r="C1150" s="1" t="s">
        <v>1140</v>
      </c>
      <c r="D1150" s="1">
        <v>9</v>
      </c>
      <c r="E1150" s="1">
        <v>21</v>
      </c>
      <c r="F1150" s="1">
        <v>0.59</v>
      </c>
      <c r="G1150" s="1">
        <v>20260320</v>
      </c>
      <c r="H1150" t="b">
        <f t="shared" si="18"/>
        <v>0</v>
      </c>
      <c r="I1150" t="str" cm="1">
        <f t="array" ref="I1150">GET_TICKER_FINAL(C1150)</f>
        <v/>
      </c>
      <c r="J1150" s="5" t="s">
        <v>1792</v>
      </c>
    </row>
    <row r="1151" spans="1:10">
      <c r="A1151">
        <v>1150</v>
      </c>
      <c r="B1151" s="1" t="s">
        <v>888</v>
      </c>
      <c r="C1151" s="1" t="s">
        <v>1141</v>
      </c>
      <c r="D1151" s="1">
        <v>9</v>
      </c>
      <c r="E1151" s="1">
        <v>407</v>
      </c>
      <c r="F1151" s="1">
        <v>0.91</v>
      </c>
      <c r="G1151" s="1">
        <v>20260327</v>
      </c>
      <c r="H1151" t="b">
        <f t="shared" si="18"/>
        <v>0</v>
      </c>
      <c r="I1151" t="str" cm="1">
        <f t="array" ref="I1151">GET_TICKER_FINAL(C1151)</f>
        <v/>
      </c>
      <c r="J1151" s="5" t="s">
        <v>1792</v>
      </c>
    </row>
    <row r="1152" spans="1:10">
      <c r="A1152">
        <v>1151</v>
      </c>
      <c r="B1152" s="1" t="s">
        <v>888</v>
      </c>
      <c r="C1152" s="1" t="s">
        <v>1142</v>
      </c>
      <c r="D1152" s="1">
        <v>9</v>
      </c>
      <c r="E1152" s="1">
        <v>8</v>
      </c>
      <c r="F1152" s="1">
        <v>0.85</v>
      </c>
      <c r="G1152" s="1">
        <v>20260402</v>
      </c>
      <c r="H1152" t="b">
        <f t="shared" si="18"/>
        <v>0</v>
      </c>
      <c r="I1152" t="str" cm="1">
        <f t="array" ref="I1152">GET_TICKER_FINAL(C1152)</f>
        <v>META</v>
      </c>
      <c r="J1152" s="5" t="s">
        <v>1792</v>
      </c>
    </row>
    <row r="1153" spans="1:10">
      <c r="A1153">
        <v>1152</v>
      </c>
      <c r="B1153" s="1" t="s">
        <v>888</v>
      </c>
      <c r="C1153" s="1" t="s">
        <v>1143</v>
      </c>
      <c r="D1153" s="1">
        <v>9</v>
      </c>
      <c r="E1153" s="1">
        <v>4</v>
      </c>
      <c r="F1153" s="1">
        <v>0.7</v>
      </c>
      <c r="G1153" s="1">
        <v>20260327</v>
      </c>
      <c r="H1153" t="b">
        <f t="shared" si="18"/>
        <v>0</v>
      </c>
      <c r="I1153" t="str" cm="1">
        <f t="array" ref="I1153">GET_TICKER_FINAL(C1153)</f>
        <v/>
      </c>
      <c r="J1153" s="5" t="s">
        <v>1792</v>
      </c>
    </row>
    <row r="1154" spans="1:10">
      <c r="A1154">
        <v>1153</v>
      </c>
      <c r="B1154" s="1" t="s">
        <v>888</v>
      </c>
      <c r="C1154" s="1" t="s">
        <v>1144</v>
      </c>
      <c r="D1154" s="1">
        <v>9</v>
      </c>
      <c r="E1154" s="1">
        <v>8</v>
      </c>
      <c r="F1154" s="1">
        <v>1</v>
      </c>
      <c r="G1154" s="1">
        <v>20260402</v>
      </c>
      <c r="H1154" t="b">
        <f t="shared" si="18"/>
        <v>0</v>
      </c>
      <c r="I1154" t="str" cm="1">
        <f t="array" ref="I1154">GET_TICKER_FINAL(C1154)</f>
        <v/>
      </c>
      <c r="J1154" s="5" t="s">
        <v>1792</v>
      </c>
    </row>
    <row r="1155" spans="1:10">
      <c r="A1155">
        <v>1154</v>
      </c>
      <c r="B1155" s="1" t="s">
        <v>888</v>
      </c>
      <c r="C1155" s="1" t="s">
        <v>1145</v>
      </c>
      <c r="D1155" s="1">
        <v>8</v>
      </c>
      <c r="E1155" s="1">
        <v>21</v>
      </c>
      <c r="F1155" s="1">
        <v>0.78</v>
      </c>
      <c r="G1155" s="1">
        <v>20260327</v>
      </c>
      <c r="H1155" t="b">
        <f t="shared" ref="H1155:H1218" si="19">OR(ISNUMBER(SEARCH("$A",C1155)),ISNUMBER(SEARCH("$B",C1155)),ISNUMBER(SEARCH("$C",C1155)),ISNUMBER(SEARCH("$D",C1155)),ISNUMBER(SEARCH("$E",C1155)),ISNUMBER(SEARCH("$F",C1155)),ISNUMBER(SEARCH("$G",C1155)),ISNUMBER(SEARCH("$H",C1155)),ISNUMBER(SEARCH("$I",C1155)),ISNUMBER(SEARCH("$J",C1155)),ISNUMBER(SEARCH("$K",C1155)),ISNUMBER(SEARCH("$L",C1155)),ISNUMBER(SEARCH("$M",C1155)),ISNUMBER(SEARCH("$N",C1155)),ISNUMBER(SEARCH("$O",C1155)),ISNUMBER(SEARCH("$P",C1155)),ISNUMBER(SEARCH("$Q",C1155)),ISNUMBER(SEARCH("$R",C1155)),ISNUMBER(SEARCH("$S",C1155)),ISNUMBER(SEARCH("$T",C1155)),ISNUMBER(SEARCH("$U",C1155)),ISNUMBER(SEARCH("$V",C1155)),ISNUMBER(SEARCH("$W",C1155)),ISNUMBER(SEARCH("$X",C1155)),ISNUMBER(SEARCH("$Y",C1155)),ISNUMBER(SEARCH("$Z",C1155)))</f>
        <v>0</v>
      </c>
      <c r="I1155" t="str" cm="1">
        <f t="array" ref="I1155">GET_TICKER_FINAL(C1155)</f>
        <v/>
      </c>
      <c r="J1155" s="5" t="s">
        <v>1792</v>
      </c>
    </row>
    <row r="1156" spans="1:10">
      <c r="A1156">
        <v>1155</v>
      </c>
      <c r="B1156" s="1" t="s">
        <v>888</v>
      </c>
      <c r="C1156" s="1" t="s">
        <v>1146</v>
      </c>
      <c r="D1156" s="1">
        <v>8</v>
      </c>
      <c r="E1156" s="1">
        <v>4</v>
      </c>
      <c r="F1156" s="1">
        <v>0.83</v>
      </c>
      <c r="G1156" s="1">
        <v>20260326</v>
      </c>
      <c r="H1156" t="b">
        <f t="shared" si="19"/>
        <v>0</v>
      </c>
      <c r="I1156" t="str" cm="1">
        <f t="array" ref="I1156">GET_TICKER_FINAL(C1156)</f>
        <v/>
      </c>
      <c r="J1156" s="5" t="s">
        <v>1792</v>
      </c>
    </row>
    <row r="1157" spans="1:10">
      <c r="A1157">
        <v>1156</v>
      </c>
      <c r="B1157" s="1" t="s">
        <v>888</v>
      </c>
      <c r="C1157" s="1" t="s">
        <v>1147</v>
      </c>
      <c r="D1157" s="1">
        <v>8</v>
      </c>
      <c r="E1157" s="1">
        <v>3</v>
      </c>
      <c r="F1157" s="1">
        <v>0.76</v>
      </c>
      <c r="G1157" s="1">
        <v>20260327</v>
      </c>
      <c r="H1157" t="b">
        <f t="shared" si="19"/>
        <v>0</v>
      </c>
      <c r="I1157" t="str" cm="1">
        <f t="array" ref="I1157">GET_TICKER_FINAL(C1157)</f>
        <v/>
      </c>
      <c r="J1157" s="5" t="s">
        <v>1792</v>
      </c>
    </row>
    <row r="1158" spans="1:10">
      <c r="A1158">
        <v>1157</v>
      </c>
      <c r="B1158" s="1" t="s">
        <v>888</v>
      </c>
      <c r="C1158" s="1" t="s">
        <v>1148</v>
      </c>
      <c r="D1158" s="1">
        <v>8</v>
      </c>
      <c r="E1158" s="1">
        <v>9</v>
      </c>
      <c r="F1158" s="1">
        <v>0.9</v>
      </c>
      <c r="G1158" s="1">
        <v>20260402</v>
      </c>
      <c r="H1158" t="b">
        <f t="shared" si="19"/>
        <v>0</v>
      </c>
      <c r="I1158" t="str" cm="1">
        <f t="array" ref="I1158">GET_TICKER_FINAL(C1158)</f>
        <v/>
      </c>
      <c r="J1158" s="5" t="s">
        <v>1792</v>
      </c>
    </row>
    <row r="1159" spans="1:10">
      <c r="A1159">
        <v>1158</v>
      </c>
      <c r="B1159" s="1" t="s">
        <v>888</v>
      </c>
      <c r="C1159" s="1" t="s">
        <v>1149</v>
      </c>
      <c r="D1159" s="1">
        <v>8</v>
      </c>
      <c r="E1159" s="1">
        <v>5</v>
      </c>
      <c r="F1159" s="1">
        <v>0.79</v>
      </c>
      <c r="G1159" s="1">
        <v>20260327</v>
      </c>
      <c r="H1159" t="b">
        <f t="shared" si="19"/>
        <v>0</v>
      </c>
      <c r="I1159" t="str" cm="1">
        <f t="array" ref="I1159">GET_TICKER_FINAL(C1159)</f>
        <v/>
      </c>
      <c r="J1159" s="5" t="s">
        <v>1792</v>
      </c>
    </row>
    <row r="1160" spans="1:10">
      <c r="A1160">
        <v>1159</v>
      </c>
      <c r="B1160" s="1" t="s">
        <v>888</v>
      </c>
      <c r="C1160" s="1" t="s">
        <v>1150</v>
      </c>
      <c r="D1160" s="1">
        <v>8</v>
      </c>
      <c r="E1160" s="1">
        <v>723</v>
      </c>
      <c r="F1160" s="1">
        <v>0.83</v>
      </c>
      <c r="G1160" s="1">
        <v>20260320</v>
      </c>
      <c r="H1160" t="b">
        <f t="shared" si="19"/>
        <v>0</v>
      </c>
      <c r="I1160" t="str" cm="1">
        <f t="array" ref="I1160">GET_TICKER_FINAL(C1160)</f>
        <v/>
      </c>
      <c r="J1160" s="5" t="s">
        <v>1792</v>
      </c>
    </row>
    <row r="1161" spans="1:10">
      <c r="A1161">
        <v>1160</v>
      </c>
      <c r="B1161" s="1" t="s">
        <v>888</v>
      </c>
      <c r="C1161" s="1" t="s">
        <v>1151</v>
      </c>
      <c r="D1161" s="1">
        <v>8</v>
      </c>
      <c r="E1161" s="1">
        <v>13</v>
      </c>
      <c r="F1161" s="1">
        <v>0.75</v>
      </c>
      <c r="G1161" s="1">
        <v>20260326</v>
      </c>
      <c r="H1161" t="b">
        <f t="shared" si="19"/>
        <v>0</v>
      </c>
      <c r="I1161" t="str" cm="1">
        <f t="array" ref="I1161">GET_TICKER_FINAL(C1161)</f>
        <v>COST</v>
      </c>
      <c r="J1161" s="5" t="s">
        <v>1792</v>
      </c>
    </row>
    <row r="1162" spans="1:10">
      <c r="A1162">
        <v>1161</v>
      </c>
      <c r="B1162" s="1" t="s">
        <v>888</v>
      </c>
      <c r="C1162" s="1" t="s">
        <v>1152</v>
      </c>
      <c r="D1162" s="1">
        <v>8</v>
      </c>
      <c r="E1162" s="1">
        <v>13</v>
      </c>
      <c r="F1162" s="1">
        <v>0.69</v>
      </c>
      <c r="G1162" s="1">
        <v>20260323</v>
      </c>
      <c r="H1162" t="b">
        <f t="shared" si="19"/>
        <v>1</v>
      </c>
      <c r="I1162" t="str" cm="1">
        <f t="array" ref="I1162">GET_TICKER_FINAL(C1162)</f>
        <v/>
      </c>
      <c r="J1162" s="5" t="s">
        <v>28</v>
      </c>
    </row>
    <row r="1163" spans="1:10">
      <c r="A1163">
        <v>1162</v>
      </c>
      <c r="B1163" s="1" t="s">
        <v>888</v>
      </c>
      <c r="C1163" s="1" t="s">
        <v>1153</v>
      </c>
      <c r="D1163" s="1">
        <v>7</v>
      </c>
      <c r="E1163" s="1">
        <v>4</v>
      </c>
      <c r="F1163" s="1">
        <v>1</v>
      </c>
      <c r="G1163" s="1">
        <v>20260323</v>
      </c>
      <c r="H1163" t="b">
        <f t="shared" si="19"/>
        <v>0</v>
      </c>
      <c r="I1163" t="str" cm="1">
        <f t="array" ref="I1163">GET_TICKER_FINAL(C1163)</f>
        <v/>
      </c>
      <c r="J1163" s="5" t="s">
        <v>1792</v>
      </c>
    </row>
    <row r="1164" spans="1:10">
      <c r="A1164">
        <v>1163</v>
      </c>
      <c r="B1164" s="1" t="s">
        <v>888</v>
      </c>
      <c r="C1164" s="1" t="s">
        <v>1154</v>
      </c>
      <c r="D1164" s="1">
        <v>7</v>
      </c>
      <c r="E1164" s="1">
        <v>2</v>
      </c>
      <c r="F1164" s="1">
        <v>0.9</v>
      </c>
      <c r="G1164" s="1">
        <v>20260331</v>
      </c>
      <c r="H1164" t="b">
        <f t="shared" si="19"/>
        <v>0</v>
      </c>
      <c r="I1164" t="str" cm="1">
        <f t="array" ref="I1164">GET_TICKER_FINAL(C1164)</f>
        <v/>
      </c>
      <c r="J1164" s="5" t="s">
        <v>16</v>
      </c>
    </row>
    <row r="1165" spans="1:10">
      <c r="A1165">
        <v>1164</v>
      </c>
      <c r="B1165" s="1" t="s">
        <v>888</v>
      </c>
      <c r="C1165" s="1" t="s">
        <v>1155</v>
      </c>
      <c r="D1165" s="1">
        <v>7</v>
      </c>
      <c r="E1165" s="1">
        <v>1</v>
      </c>
      <c r="F1165" s="1">
        <v>0.82</v>
      </c>
      <c r="G1165" s="1">
        <v>20260324</v>
      </c>
      <c r="H1165" t="b">
        <f t="shared" si="19"/>
        <v>0</v>
      </c>
      <c r="I1165" t="str" cm="1">
        <f t="array" ref="I1165">GET_TICKER_FINAL(C1165)</f>
        <v/>
      </c>
      <c r="J1165" s="5" t="s">
        <v>1792</v>
      </c>
    </row>
    <row r="1166" spans="1:10">
      <c r="A1166">
        <v>1165</v>
      </c>
      <c r="B1166" s="1" t="s">
        <v>888</v>
      </c>
      <c r="C1166" s="1" t="s">
        <v>1156</v>
      </c>
      <c r="D1166" s="1">
        <v>7</v>
      </c>
      <c r="E1166" s="1">
        <v>0</v>
      </c>
      <c r="F1166" s="1">
        <v>0.89</v>
      </c>
      <c r="G1166" s="1">
        <v>20260327</v>
      </c>
      <c r="H1166" t="b">
        <f t="shared" si="19"/>
        <v>0</v>
      </c>
      <c r="I1166" t="str" cm="1">
        <f t="array" ref="I1166">GET_TICKER_FINAL(C1166)</f>
        <v/>
      </c>
      <c r="J1166" s="5" t="s">
        <v>25</v>
      </c>
    </row>
    <row r="1167" spans="1:10">
      <c r="A1167">
        <v>1166</v>
      </c>
      <c r="B1167" s="1" t="s">
        <v>888</v>
      </c>
      <c r="C1167" s="1" t="s">
        <v>1157</v>
      </c>
      <c r="D1167" s="1">
        <v>7</v>
      </c>
      <c r="E1167" s="1">
        <v>4</v>
      </c>
      <c r="F1167" s="1">
        <v>0.65</v>
      </c>
      <c r="G1167" s="1">
        <v>20260327</v>
      </c>
      <c r="H1167" t="b">
        <f t="shared" si="19"/>
        <v>0</v>
      </c>
      <c r="I1167" t="str" cm="1">
        <f t="array" ref="I1167">GET_TICKER_FINAL(C1167)</f>
        <v/>
      </c>
      <c r="J1167" s="5" t="s">
        <v>1792</v>
      </c>
    </row>
    <row r="1168" spans="1:10">
      <c r="A1168">
        <v>1167</v>
      </c>
      <c r="B1168" s="1" t="s">
        <v>888</v>
      </c>
      <c r="C1168" s="1" t="s">
        <v>1158</v>
      </c>
      <c r="D1168" s="1">
        <v>7</v>
      </c>
      <c r="E1168" s="1">
        <v>13</v>
      </c>
      <c r="F1168" s="1">
        <v>0.69</v>
      </c>
      <c r="G1168" s="1">
        <v>20260320</v>
      </c>
      <c r="H1168" t="b">
        <f t="shared" si="19"/>
        <v>0</v>
      </c>
      <c r="I1168" t="str" cm="1">
        <f t="array" ref="I1168">GET_TICKER_FINAL(C1168)</f>
        <v/>
      </c>
      <c r="J1168" s="5" t="s">
        <v>1792</v>
      </c>
    </row>
    <row r="1169" spans="1:10">
      <c r="A1169">
        <v>1168</v>
      </c>
      <c r="B1169" s="1" t="s">
        <v>888</v>
      </c>
      <c r="C1169" s="1" t="s">
        <v>1159</v>
      </c>
      <c r="D1169" s="1">
        <v>7</v>
      </c>
      <c r="E1169" s="1">
        <v>3</v>
      </c>
      <c r="F1169" s="1">
        <v>0.82</v>
      </c>
      <c r="G1169" s="1">
        <v>20260327</v>
      </c>
      <c r="H1169" t="b">
        <f t="shared" si="19"/>
        <v>0</v>
      </c>
      <c r="I1169" t="str" cm="1">
        <f t="array" ref="I1169">GET_TICKER_FINAL(C1169)</f>
        <v/>
      </c>
      <c r="J1169" s="5" t="s">
        <v>1792</v>
      </c>
    </row>
    <row r="1170" spans="1:10">
      <c r="A1170">
        <v>1169</v>
      </c>
      <c r="B1170" s="1" t="s">
        <v>888</v>
      </c>
      <c r="C1170" s="1" t="s">
        <v>1160</v>
      </c>
      <c r="D1170" s="1">
        <v>7</v>
      </c>
      <c r="E1170" s="1">
        <v>13</v>
      </c>
      <c r="F1170" s="1">
        <v>0.74</v>
      </c>
      <c r="G1170" s="1">
        <v>20260320</v>
      </c>
      <c r="H1170" t="b">
        <f t="shared" si="19"/>
        <v>0</v>
      </c>
      <c r="I1170" t="str" cm="1">
        <f t="array" ref="I1170">GET_TICKER_FINAL(C1170)</f>
        <v/>
      </c>
      <c r="J1170" s="5" t="s">
        <v>1792</v>
      </c>
    </row>
    <row r="1171" spans="1:10">
      <c r="A1171">
        <v>1170</v>
      </c>
      <c r="B1171" s="1" t="s">
        <v>888</v>
      </c>
      <c r="C1171" s="1" t="s">
        <v>1161</v>
      </c>
      <c r="D1171" s="1">
        <v>6</v>
      </c>
      <c r="E1171" s="1">
        <v>2</v>
      </c>
      <c r="F1171" s="1">
        <v>0.8</v>
      </c>
      <c r="G1171" s="1">
        <v>20260401</v>
      </c>
      <c r="H1171" t="b">
        <f t="shared" si="19"/>
        <v>0</v>
      </c>
      <c r="I1171" t="str" cm="1">
        <f t="array" ref="I1171">GET_TICKER_FINAL(C1171)</f>
        <v>GOOGL</v>
      </c>
      <c r="J1171" s="5" t="s">
        <v>25</v>
      </c>
    </row>
    <row r="1172" spans="1:10">
      <c r="A1172">
        <v>1171</v>
      </c>
      <c r="B1172" s="1" t="s">
        <v>888</v>
      </c>
      <c r="C1172" s="1" t="s">
        <v>1162</v>
      </c>
      <c r="D1172" s="1">
        <v>6</v>
      </c>
      <c r="E1172" s="1">
        <v>21</v>
      </c>
      <c r="F1172" s="1">
        <v>0.67</v>
      </c>
      <c r="G1172" s="1">
        <v>20260402</v>
      </c>
      <c r="H1172" t="b">
        <f t="shared" si="19"/>
        <v>0</v>
      </c>
      <c r="I1172" t="str" cm="1">
        <f t="array" ref="I1172">GET_TICKER_FINAL(C1172)</f>
        <v/>
      </c>
      <c r="J1172" s="5" t="s">
        <v>1792</v>
      </c>
    </row>
    <row r="1173" spans="1:10">
      <c r="A1173">
        <v>1172</v>
      </c>
      <c r="B1173" s="1" t="s">
        <v>888</v>
      </c>
      <c r="C1173" s="1" t="s">
        <v>303</v>
      </c>
      <c r="D1173" s="1">
        <v>6</v>
      </c>
      <c r="E1173" s="1">
        <v>18</v>
      </c>
      <c r="F1173" s="1">
        <v>0.64</v>
      </c>
      <c r="G1173" s="1">
        <v>20260323</v>
      </c>
      <c r="H1173" t="b">
        <f t="shared" si="19"/>
        <v>0</v>
      </c>
      <c r="I1173" t="str" cm="1">
        <f t="array" ref="I1173">GET_TICKER_FINAL(C1173)</f>
        <v/>
      </c>
      <c r="J1173" s="5" t="s">
        <v>1792</v>
      </c>
    </row>
    <row r="1174" spans="1:10">
      <c r="A1174">
        <v>1173</v>
      </c>
      <c r="B1174" s="1" t="s">
        <v>888</v>
      </c>
      <c r="C1174" s="1" t="s">
        <v>1163</v>
      </c>
      <c r="D1174" s="1">
        <v>6</v>
      </c>
      <c r="E1174" s="1">
        <v>28</v>
      </c>
      <c r="F1174" s="1">
        <v>0.62</v>
      </c>
      <c r="G1174" s="1">
        <v>20260323</v>
      </c>
      <c r="H1174" t="b">
        <f t="shared" si="19"/>
        <v>0</v>
      </c>
      <c r="I1174" t="str" cm="1">
        <f t="array" ref="I1174">GET_TICKER_FINAL(C1174)</f>
        <v/>
      </c>
      <c r="J1174" s="5" t="s">
        <v>1792</v>
      </c>
    </row>
    <row r="1175" spans="1:10">
      <c r="A1175">
        <v>1174</v>
      </c>
      <c r="B1175" s="1" t="s">
        <v>888</v>
      </c>
      <c r="C1175" s="1" t="s">
        <v>1164</v>
      </c>
      <c r="D1175" s="1">
        <v>6</v>
      </c>
      <c r="E1175" s="1">
        <v>30</v>
      </c>
      <c r="F1175" s="1">
        <v>0.62</v>
      </c>
      <c r="G1175" s="1">
        <v>20260331</v>
      </c>
      <c r="H1175" t="b">
        <f t="shared" si="19"/>
        <v>0</v>
      </c>
      <c r="I1175" t="str" cm="1">
        <f t="array" ref="I1175">GET_TICKER_FINAL(C1175)</f>
        <v/>
      </c>
      <c r="J1175" s="5" t="s">
        <v>16</v>
      </c>
    </row>
    <row r="1176" spans="1:10">
      <c r="A1176">
        <v>1175</v>
      </c>
      <c r="B1176" s="1" t="s">
        <v>888</v>
      </c>
      <c r="C1176" s="1" t="s">
        <v>1165</v>
      </c>
      <c r="D1176" s="1">
        <v>6</v>
      </c>
      <c r="E1176" s="1">
        <v>83</v>
      </c>
      <c r="F1176" s="1">
        <v>0.55000000000000004</v>
      </c>
      <c r="G1176" s="1">
        <v>20260401</v>
      </c>
      <c r="H1176" t="b">
        <f t="shared" si="19"/>
        <v>0</v>
      </c>
      <c r="I1176" t="str" cm="1">
        <f t="array" ref="I1176">GET_TICKER_FINAL(C1176)</f>
        <v>MU</v>
      </c>
      <c r="J1176" s="5" t="s">
        <v>16</v>
      </c>
    </row>
    <row r="1177" spans="1:10">
      <c r="A1177">
        <v>1176</v>
      </c>
      <c r="B1177" s="1" t="s">
        <v>888</v>
      </c>
      <c r="C1177" s="1" t="s">
        <v>1166</v>
      </c>
      <c r="D1177" s="1">
        <v>6</v>
      </c>
      <c r="E1177" s="1">
        <v>219</v>
      </c>
      <c r="F1177" s="1">
        <v>0.8</v>
      </c>
      <c r="G1177" s="1">
        <v>20260402</v>
      </c>
      <c r="H1177" t="b">
        <f t="shared" si="19"/>
        <v>0</v>
      </c>
      <c r="I1177" t="str" cm="1">
        <f t="array" ref="I1177">GET_TICKER_FINAL(C1177)</f>
        <v/>
      </c>
      <c r="J1177" s="5" t="s">
        <v>1792</v>
      </c>
    </row>
    <row r="1178" spans="1:10">
      <c r="A1178">
        <v>1177</v>
      </c>
      <c r="B1178" s="1" t="s">
        <v>888</v>
      </c>
      <c r="C1178" s="1" t="s">
        <v>1167</v>
      </c>
      <c r="D1178" s="1">
        <v>6</v>
      </c>
      <c r="E1178" s="1">
        <v>2</v>
      </c>
      <c r="F1178" s="1">
        <v>0.75</v>
      </c>
      <c r="G1178" s="1">
        <v>20260401</v>
      </c>
      <c r="H1178" t="b">
        <f t="shared" si="19"/>
        <v>0</v>
      </c>
      <c r="I1178" t="str" cm="1">
        <f t="array" ref="I1178">GET_TICKER_FINAL(C1178)</f>
        <v>NVO</v>
      </c>
      <c r="J1178" s="5" t="s">
        <v>16</v>
      </c>
    </row>
    <row r="1179" spans="1:10">
      <c r="A1179">
        <v>1178</v>
      </c>
      <c r="B1179" s="1" t="s">
        <v>888</v>
      </c>
      <c r="C1179" s="1" t="s">
        <v>1168</v>
      </c>
      <c r="D1179" s="1">
        <v>6</v>
      </c>
      <c r="E1179" s="1">
        <v>9</v>
      </c>
      <c r="F1179" s="1">
        <v>0.63</v>
      </c>
      <c r="G1179" s="1">
        <v>20260326</v>
      </c>
      <c r="H1179" t="b">
        <f t="shared" si="19"/>
        <v>0</v>
      </c>
      <c r="I1179" t="str" cm="1">
        <f t="array" ref="I1179">GET_TICKER_FINAL(C1179)</f>
        <v/>
      </c>
      <c r="J1179" s="5" t="s">
        <v>1792</v>
      </c>
    </row>
    <row r="1180" spans="1:10">
      <c r="A1180">
        <v>1179</v>
      </c>
      <c r="B1180" s="1" t="s">
        <v>888</v>
      </c>
      <c r="C1180" s="1" t="s">
        <v>1169</v>
      </c>
      <c r="D1180" s="1">
        <v>6</v>
      </c>
      <c r="E1180" s="1">
        <v>12</v>
      </c>
      <c r="F1180" s="1">
        <v>0.81</v>
      </c>
      <c r="G1180" s="1">
        <v>20260330</v>
      </c>
      <c r="H1180" t="b">
        <f t="shared" si="19"/>
        <v>0</v>
      </c>
      <c r="I1180" t="str" cm="1">
        <f t="array" ref="I1180">GET_TICKER_FINAL(C1180)</f>
        <v/>
      </c>
      <c r="J1180" s="5" t="s">
        <v>1792</v>
      </c>
    </row>
    <row r="1181" spans="1:10">
      <c r="A1181">
        <v>1180</v>
      </c>
      <c r="B1181" s="1" t="s">
        <v>888</v>
      </c>
      <c r="C1181" s="1" t="s">
        <v>1170</v>
      </c>
      <c r="D1181" s="1">
        <v>6</v>
      </c>
      <c r="E1181" s="1">
        <v>342</v>
      </c>
      <c r="F1181" s="1">
        <v>0.88</v>
      </c>
      <c r="G1181" s="1">
        <v>20260327</v>
      </c>
      <c r="H1181" t="b">
        <f t="shared" si="19"/>
        <v>0</v>
      </c>
      <c r="I1181" t="str" cm="1">
        <f t="array" ref="I1181">GET_TICKER_FINAL(C1181)</f>
        <v/>
      </c>
      <c r="J1181" s="5" t="s">
        <v>1792</v>
      </c>
    </row>
    <row r="1182" spans="1:10">
      <c r="A1182">
        <v>1181</v>
      </c>
      <c r="B1182" s="1" t="s">
        <v>888</v>
      </c>
      <c r="C1182" s="1" t="s">
        <v>1171</v>
      </c>
      <c r="D1182" s="1">
        <v>6</v>
      </c>
      <c r="E1182" s="1">
        <v>9</v>
      </c>
      <c r="F1182" s="1">
        <v>0.88</v>
      </c>
      <c r="G1182" s="1">
        <v>20260326</v>
      </c>
      <c r="H1182" t="b">
        <f t="shared" si="19"/>
        <v>0</v>
      </c>
      <c r="I1182" t="str" cm="1">
        <f t="array" ref="I1182">GET_TICKER_FINAL(C1182)</f>
        <v/>
      </c>
      <c r="J1182" s="5" t="s">
        <v>1792</v>
      </c>
    </row>
    <row r="1183" spans="1:10">
      <c r="A1183">
        <v>1182</v>
      </c>
      <c r="B1183" s="1" t="s">
        <v>888</v>
      </c>
      <c r="C1183" s="1" t="s">
        <v>1172</v>
      </c>
      <c r="D1183" s="1">
        <v>5</v>
      </c>
      <c r="E1183" s="1">
        <v>8</v>
      </c>
      <c r="F1183" s="1">
        <v>0.67</v>
      </c>
      <c r="G1183" s="1">
        <v>20260327</v>
      </c>
      <c r="H1183" t="b">
        <f t="shared" si="19"/>
        <v>0</v>
      </c>
      <c r="I1183" t="str" cm="1">
        <f t="array" ref="I1183">GET_TICKER_FINAL(C1183)</f>
        <v/>
      </c>
      <c r="J1183" s="5" t="s">
        <v>1792</v>
      </c>
    </row>
    <row r="1184" spans="1:10">
      <c r="A1184">
        <v>1183</v>
      </c>
      <c r="B1184" s="1" t="s">
        <v>888</v>
      </c>
      <c r="C1184" s="1" t="s">
        <v>1173</v>
      </c>
      <c r="D1184" s="1">
        <v>5</v>
      </c>
      <c r="E1184" s="1">
        <v>6</v>
      </c>
      <c r="F1184" s="1">
        <v>0.54</v>
      </c>
      <c r="G1184" s="1">
        <v>20260324</v>
      </c>
      <c r="H1184" t="b">
        <f t="shared" si="19"/>
        <v>0</v>
      </c>
      <c r="I1184" t="str" cm="1">
        <f t="array" ref="I1184">GET_TICKER_FINAL(C1184)</f>
        <v/>
      </c>
      <c r="J1184" s="5" t="s">
        <v>25</v>
      </c>
    </row>
    <row r="1185" spans="1:10">
      <c r="A1185">
        <v>1184</v>
      </c>
      <c r="B1185" s="1" t="s">
        <v>888</v>
      </c>
      <c r="C1185" s="1" t="s">
        <v>1174</v>
      </c>
      <c r="D1185" s="1">
        <v>5</v>
      </c>
      <c r="E1185" s="1">
        <v>3</v>
      </c>
      <c r="F1185" s="1">
        <v>0.73</v>
      </c>
      <c r="G1185" s="1">
        <v>20260401</v>
      </c>
      <c r="H1185" t="b">
        <f t="shared" si="19"/>
        <v>0</v>
      </c>
      <c r="I1185" t="str" cm="1">
        <f t="array" ref="I1185">GET_TICKER_FINAL(C1185)</f>
        <v/>
      </c>
      <c r="J1185" s="5" t="s">
        <v>1792</v>
      </c>
    </row>
    <row r="1186" spans="1:10">
      <c r="A1186">
        <v>1185</v>
      </c>
      <c r="B1186" s="1" t="s">
        <v>888</v>
      </c>
      <c r="C1186" s="1" t="s">
        <v>1175</v>
      </c>
      <c r="D1186" s="1">
        <v>5</v>
      </c>
      <c r="E1186" s="1">
        <v>38</v>
      </c>
      <c r="F1186" s="1">
        <v>0.57999999999999996</v>
      </c>
      <c r="G1186" s="1">
        <v>20260331</v>
      </c>
      <c r="H1186" t="b">
        <f t="shared" si="19"/>
        <v>0</v>
      </c>
      <c r="I1186" t="str" cm="1">
        <f t="array" ref="I1186">GET_TICKER_FINAL(C1186)</f>
        <v/>
      </c>
      <c r="J1186" s="5" t="s">
        <v>28</v>
      </c>
    </row>
    <row r="1187" spans="1:10">
      <c r="A1187">
        <v>1186</v>
      </c>
      <c r="B1187" s="1" t="s">
        <v>888</v>
      </c>
      <c r="C1187" s="1" t="s">
        <v>775</v>
      </c>
      <c r="D1187" s="1">
        <v>5</v>
      </c>
      <c r="E1187" s="1">
        <v>11</v>
      </c>
      <c r="F1187" s="1">
        <v>0.69</v>
      </c>
      <c r="G1187" s="1">
        <v>20260323</v>
      </c>
      <c r="H1187" t="b">
        <f t="shared" si="19"/>
        <v>0</v>
      </c>
      <c r="I1187" t="str" cm="1">
        <f t="array" ref="I1187">GET_TICKER_FINAL(C1187)</f>
        <v>SPY</v>
      </c>
      <c r="J1187" s="5" t="s">
        <v>25</v>
      </c>
    </row>
    <row r="1188" spans="1:10">
      <c r="A1188">
        <v>1187</v>
      </c>
      <c r="B1188" s="1" t="s">
        <v>888</v>
      </c>
      <c r="C1188" s="1" t="s">
        <v>1176</v>
      </c>
      <c r="D1188" s="1">
        <v>4</v>
      </c>
      <c r="E1188" s="1">
        <v>53</v>
      </c>
      <c r="F1188" s="1">
        <v>0.63</v>
      </c>
      <c r="G1188" s="1">
        <v>20260401</v>
      </c>
      <c r="H1188" t="b">
        <f t="shared" si="19"/>
        <v>0</v>
      </c>
      <c r="I1188" t="str" cm="1">
        <f t="array" ref="I1188">GET_TICKER_FINAL(C1188)</f>
        <v/>
      </c>
      <c r="J1188" s="5" t="s">
        <v>1792</v>
      </c>
    </row>
    <row r="1189" spans="1:10">
      <c r="A1189">
        <v>1188</v>
      </c>
      <c r="B1189" s="1" t="s">
        <v>888</v>
      </c>
      <c r="C1189" s="1" t="s">
        <v>1177</v>
      </c>
      <c r="D1189" s="1">
        <v>4</v>
      </c>
      <c r="E1189" s="1">
        <v>6</v>
      </c>
      <c r="F1189" s="1">
        <v>0.75</v>
      </c>
      <c r="G1189" s="1">
        <v>20260324</v>
      </c>
      <c r="H1189" t="b">
        <f t="shared" si="19"/>
        <v>0</v>
      </c>
      <c r="I1189" t="str" cm="1">
        <f t="array" ref="I1189">GET_TICKER_FINAL(C1189)</f>
        <v/>
      </c>
      <c r="J1189" s="5" t="s">
        <v>1792</v>
      </c>
    </row>
    <row r="1190" spans="1:10">
      <c r="A1190">
        <v>1189</v>
      </c>
      <c r="B1190" s="1" t="s">
        <v>888</v>
      </c>
      <c r="C1190" s="1" t="s">
        <v>1178</v>
      </c>
      <c r="D1190" s="1">
        <v>4</v>
      </c>
      <c r="E1190" s="1">
        <v>8</v>
      </c>
      <c r="F1190" s="1">
        <v>0.75</v>
      </c>
      <c r="G1190" s="1">
        <v>20260331</v>
      </c>
      <c r="H1190" t="b">
        <f t="shared" si="19"/>
        <v>0</v>
      </c>
      <c r="I1190" t="str" cm="1">
        <f t="array" ref="I1190">GET_TICKER_FINAL(C1190)</f>
        <v/>
      </c>
      <c r="J1190" s="5" t="s">
        <v>25</v>
      </c>
    </row>
    <row r="1191" spans="1:10">
      <c r="A1191">
        <v>1190</v>
      </c>
      <c r="B1191" s="1" t="s">
        <v>888</v>
      </c>
      <c r="C1191" s="1" t="s">
        <v>1179</v>
      </c>
      <c r="D1191" s="1">
        <v>4</v>
      </c>
      <c r="E1191" s="1">
        <v>9</v>
      </c>
      <c r="F1191" s="1">
        <v>0.67</v>
      </c>
      <c r="G1191" s="1">
        <v>20260401</v>
      </c>
      <c r="H1191" t="b">
        <f t="shared" si="19"/>
        <v>0</v>
      </c>
      <c r="I1191" t="str" cm="1">
        <f t="array" ref="I1191">GET_TICKER_FINAL(C1191)</f>
        <v/>
      </c>
      <c r="J1191" s="5" t="s">
        <v>16</v>
      </c>
    </row>
    <row r="1192" spans="1:10">
      <c r="A1192">
        <v>1191</v>
      </c>
      <c r="B1192" s="1" t="s">
        <v>888</v>
      </c>
      <c r="C1192" s="1" t="s">
        <v>1180</v>
      </c>
      <c r="D1192" s="1">
        <v>4</v>
      </c>
      <c r="E1192" s="1">
        <v>4</v>
      </c>
      <c r="F1192" s="1">
        <v>0.7</v>
      </c>
      <c r="G1192" s="1">
        <v>20260330</v>
      </c>
      <c r="H1192" t="b">
        <f t="shared" si="19"/>
        <v>0</v>
      </c>
      <c r="I1192" t="str" cm="1">
        <f t="array" ref="I1192">GET_TICKER_FINAL(C1192)</f>
        <v/>
      </c>
      <c r="J1192" s="5" t="s">
        <v>1792</v>
      </c>
    </row>
    <row r="1193" spans="1:10">
      <c r="A1193">
        <v>1192</v>
      </c>
      <c r="B1193" s="1" t="s">
        <v>888</v>
      </c>
      <c r="C1193" s="1" t="s">
        <v>1181</v>
      </c>
      <c r="D1193" s="1">
        <v>3</v>
      </c>
      <c r="E1193" s="1">
        <v>9</v>
      </c>
      <c r="F1193" s="1">
        <v>0.67</v>
      </c>
      <c r="G1193" s="1">
        <v>20260402</v>
      </c>
      <c r="H1193" t="b">
        <f t="shared" si="19"/>
        <v>0</v>
      </c>
      <c r="I1193" t="str" cm="1">
        <f t="array" ref="I1193">GET_TICKER_FINAL(C1193)</f>
        <v/>
      </c>
      <c r="J1193" s="5" t="s">
        <v>1792</v>
      </c>
    </row>
    <row r="1194" spans="1:10">
      <c r="A1194">
        <v>1193</v>
      </c>
      <c r="B1194" s="1" t="s">
        <v>888</v>
      </c>
      <c r="C1194" s="1" t="s">
        <v>1182</v>
      </c>
      <c r="D1194" s="1">
        <v>3</v>
      </c>
      <c r="E1194" s="1">
        <v>9</v>
      </c>
      <c r="F1194" s="1">
        <v>0.67</v>
      </c>
      <c r="G1194" s="1">
        <v>20260324</v>
      </c>
      <c r="H1194" t="b">
        <f t="shared" si="19"/>
        <v>0</v>
      </c>
      <c r="I1194" t="str" cm="1">
        <f t="array" ref="I1194">GET_TICKER_FINAL(C1194)</f>
        <v/>
      </c>
      <c r="J1194" s="5" t="s">
        <v>1792</v>
      </c>
    </row>
    <row r="1195" spans="1:10">
      <c r="A1195">
        <v>1194</v>
      </c>
      <c r="B1195" s="1" t="s">
        <v>888</v>
      </c>
      <c r="C1195" s="1" t="s">
        <v>1183</v>
      </c>
      <c r="D1195" s="1">
        <v>3</v>
      </c>
      <c r="E1195" s="1">
        <v>4</v>
      </c>
      <c r="F1195" s="1">
        <v>0.71</v>
      </c>
      <c r="G1195" s="1">
        <v>20260324</v>
      </c>
      <c r="H1195" t="b">
        <f t="shared" si="19"/>
        <v>0</v>
      </c>
      <c r="I1195" t="str" cm="1">
        <f t="array" ref="I1195">GET_TICKER_FINAL(C1195)</f>
        <v/>
      </c>
      <c r="J1195" s="5" t="s">
        <v>1792</v>
      </c>
    </row>
    <row r="1196" spans="1:10">
      <c r="A1196">
        <v>1195</v>
      </c>
      <c r="B1196" s="1" t="s">
        <v>888</v>
      </c>
      <c r="C1196" s="1" t="s">
        <v>1184</v>
      </c>
      <c r="D1196" s="1">
        <v>3</v>
      </c>
      <c r="E1196" s="1">
        <v>18</v>
      </c>
      <c r="F1196" s="1">
        <v>0.8</v>
      </c>
      <c r="G1196" s="1">
        <v>20260324</v>
      </c>
      <c r="H1196" t="b">
        <f t="shared" si="19"/>
        <v>0</v>
      </c>
      <c r="I1196" t="str" cm="1">
        <f t="array" ref="I1196">GET_TICKER_FINAL(C1196)</f>
        <v/>
      </c>
      <c r="J1196" s="5" t="s">
        <v>1792</v>
      </c>
    </row>
    <row r="1197" spans="1:10">
      <c r="A1197">
        <v>1196</v>
      </c>
      <c r="B1197" s="1" t="s">
        <v>888</v>
      </c>
      <c r="C1197" s="1" t="s">
        <v>1185</v>
      </c>
      <c r="D1197" s="1">
        <v>3</v>
      </c>
      <c r="E1197" s="1">
        <v>15</v>
      </c>
      <c r="F1197" s="1">
        <v>0.64</v>
      </c>
      <c r="G1197" s="1">
        <v>20260327</v>
      </c>
      <c r="H1197" t="b">
        <f t="shared" si="19"/>
        <v>0</v>
      </c>
      <c r="I1197" t="str" cm="1">
        <f t="array" ref="I1197">GET_TICKER_FINAL(C1197)</f>
        <v/>
      </c>
      <c r="J1197" s="5" t="s">
        <v>1792</v>
      </c>
    </row>
    <row r="1198" spans="1:10">
      <c r="A1198">
        <v>1197</v>
      </c>
      <c r="B1198" s="1" t="s">
        <v>888</v>
      </c>
      <c r="C1198" s="1" t="s">
        <v>1186</v>
      </c>
      <c r="D1198" s="1">
        <v>3</v>
      </c>
      <c r="E1198" s="1">
        <v>11</v>
      </c>
      <c r="F1198" s="1">
        <v>0.62</v>
      </c>
      <c r="G1198" s="1">
        <v>20260326</v>
      </c>
      <c r="H1198" t="b">
        <f t="shared" si="19"/>
        <v>0</v>
      </c>
      <c r="I1198" t="str" cm="1">
        <f t="array" ref="I1198">GET_TICKER_FINAL(C1198)</f>
        <v/>
      </c>
      <c r="J1198" s="5" t="s">
        <v>16</v>
      </c>
    </row>
    <row r="1199" spans="1:10">
      <c r="A1199">
        <v>1198</v>
      </c>
      <c r="B1199" s="1" t="s">
        <v>888</v>
      </c>
      <c r="C1199" s="1" t="s">
        <v>1187</v>
      </c>
      <c r="D1199" s="1">
        <v>3</v>
      </c>
      <c r="E1199" s="1">
        <v>4</v>
      </c>
      <c r="F1199" s="1">
        <v>0.8</v>
      </c>
      <c r="G1199" s="1">
        <v>20260402</v>
      </c>
      <c r="H1199" t="b">
        <f t="shared" si="19"/>
        <v>0</v>
      </c>
      <c r="I1199" t="str" cm="1">
        <f t="array" ref="I1199">GET_TICKER_FINAL(C1199)</f>
        <v/>
      </c>
      <c r="J1199" s="5" t="s">
        <v>1792</v>
      </c>
    </row>
    <row r="1200" spans="1:10">
      <c r="A1200">
        <v>1199</v>
      </c>
      <c r="B1200" s="1" t="s">
        <v>888</v>
      </c>
      <c r="C1200" s="1" t="s">
        <v>1188</v>
      </c>
      <c r="D1200" s="1">
        <v>3</v>
      </c>
      <c r="E1200" s="1">
        <v>7</v>
      </c>
      <c r="F1200" s="1">
        <v>0.8</v>
      </c>
      <c r="G1200" s="1">
        <v>20260402</v>
      </c>
      <c r="H1200" t="b">
        <f t="shared" si="19"/>
        <v>0</v>
      </c>
      <c r="I1200" t="str" cm="1">
        <f t="array" ref="I1200">GET_TICKER_FINAL(C1200)</f>
        <v/>
      </c>
      <c r="J1200" s="5" t="s">
        <v>1792</v>
      </c>
    </row>
    <row r="1201" spans="1:10">
      <c r="A1201">
        <v>1200</v>
      </c>
      <c r="B1201" s="1" t="s">
        <v>888</v>
      </c>
      <c r="C1201" s="1" t="s">
        <v>1189</v>
      </c>
      <c r="D1201" s="1">
        <v>3</v>
      </c>
      <c r="E1201" s="1">
        <v>34</v>
      </c>
      <c r="F1201" s="1">
        <v>0.56999999999999995</v>
      </c>
      <c r="G1201" s="1">
        <v>20260326</v>
      </c>
      <c r="H1201" t="b">
        <f t="shared" si="19"/>
        <v>0</v>
      </c>
      <c r="I1201" t="str" cm="1">
        <f t="array" ref="I1201">GET_TICKER_FINAL(C1201)</f>
        <v/>
      </c>
      <c r="J1201" s="5" t="s">
        <v>1792</v>
      </c>
    </row>
    <row r="1202" spans="1:10">
      <c r="A1202">
        <v>1201</v>
      </c>
      <c r="B1202" s="1" t="s">
        <v>888</v>
      </c>
      <c r="C1202" s="1" t="s">
        <v>1190</v>
      </c>
      <c r="D1202" s="1">
        <v>3</v>
      </c>
      <c r="E1202" s="1">
        <v>40</v>
      </c>
      <c r="F1202" s="1">
        <v>0.6</v>
      </c>
      <c r="G1202" s="1">
        <v>20260402</v>
      </c>
      <c r="H1202" t="b">
        <f t="shared" si="19"/>
        <v>0</v>
      </c>
      <c r="I1202" t="str" cm="1">
        <f t="array" ref="I1202">GET_TICKER_FINAL(C1202)</f>
        <v/>
      </c>
      <c r="J1202" s="5" t="s">
        <v>1792</v>
      </c>
    </row>
    <row r="1203" spans="1:10">
      <c r="A1203">
        <v>1202</v>
      </c>
      <c r="B1203" s="1" t="s">
        <v>888</v>
      </c>
      <c r="C1203" s="1" t="s">
        <v>1191</v>
      </c>
      <c r="D1203" s="1">
        <v>3</v>
      </c>
      <c r="E1203" s="1">
        <v>0</v>
      </c>
      <c r="F1203" s="1">
        <v>1</v>
      </c>
      <c r="G1203" s="1">
        <v>20260323</v>
      </c>
      <c r="H1203" t="b">
        <f t="shared" si="19"/>
        <v>0</v>
      </c>
      <c r="I1203" t="str" cm="1">
        <f t="array" ref="I1203">GET_TICKER_FINAL(C1203)</f>
        <v/>
      </c>
      <c r="J1203" s="5" t="s">
        <v>1792</v>
      </c>
    </row>
    <row r="1204" spans="1:10">
      <c r="A1204">
        <v>1203</v>
      </c>
      <c r="B1204" s="1" t="s">
        <v>888</v>
      </c>
      <c r="C1204" s="1" t="s">
        <v>1192</v>
      </c>
      <c r="D1204" s="1">
        <v>3</v>
      </c>
      <c r="E1204" s="1">
        <v>0</v>
      </c>
      <c r="F1204" s="1">
        <v>1</v>
      </c>
      <c r="G1204" s="1">
        <v>20260331</v>
      </c>
      <c r="H1204" t="b">
        <f t="shared" si="19"/>
        <v>0</v>
      </c>
      <c r="I1204" t="str" cm="1">
        <f t="array" ref="I1204">GET_TICKER_FINAL(C1204)</f>
        <v/>
      </c>
      <c r="J1204" s="5" t="s">
        <v>25</v>
      </c>
    </row>
    <row r="1205" spans="1:10">
      <c r="A1205">
        <v>1204</v>
      </c>
      <c r="B1205" s="1" t="s">
        <v>888</v>
      </c>
      <c r="C1205" s="1" t="s">
        <v>1193</v>
      </c>
      <c r="D1205" s="1">
        <v>2</v>
      </c>
      <c r="E1205" s="1">
        <v>11</v>
      </c>
      <c r="F1205" s="1">
        <v>0.57999999999999996</v>
      </c>
      <c r="G1205" s="1">
        <v>20260401</v>
      </c>
      <c r="H1205" t="b">
        <f t="shared" si="19"/>
        <v>0</v>
      </c>
      <c r="I1205" t="str" cm="1">
        <f t="array" ref="I1205">GET_TICKER_FINAL(C1205)</f>
        <v/>
      </c>
      <c r="J1205" s="5" t="s">
        <v>1792</v>
      </c>
    </row>
    <row r="1206" spans="1:10">
      <c r="A1206">
        <v>1205</v>
      </c>
      <c r="B1206" s="1" t="s">
        <v>888</v>
      </c>
      <c r="C1206" s="1" t="s">
        <v>1194</v>
      </c>
      <c r="D1206" s="1">
        <v>2</v>
      </c>
      <c r="E1206" s="1">
        <v>18</v>
      </c>
      <c r="F1206" s="1">
        <v>0.6</v>
      </c>
      <c r="G1206" s="1">
        <v>20260401</v>
      </c>
      <c r="H1206" t="b">
        <f t="shared" si="19"/>
        <v>0</v>
      </c>
      <c r="I1206" t="str" cm="1">
        <f t="array" ref="I1206">GET_TICKER_FINAL(C1206)</f>
        <v/>
      </c>
      <c r="J1206" s="5" t="s">
        <v>1792</v>
      </c>
    </row>
    <row r="1207" spans="1:10">
      <c r="A1207">
        <v>1206</v>
      </c>
      <c r="B1207" s="1" t="s">
        <v>888</v>
      </c>
      <c r="C1207" s="1" t="s">
        <v>1195</v>
      </c>
      <c r="D1207" s="1">
        <v>2</v>
      </c>
      <c r="E1207" s="1">
        <v>5</v>
      </c>
      <c r="F1207" s="1">
        <v>0.55000000000000004</v>
      </c>
      <c r="G1207" s="1">
        <v>20260320</v>
      </c>
      <c r="H1207" t="b">
        <f t="shared" si="19"/>
        <v>0</v>
      </c>
      <c r="I1207" t="str" cm="1">
        <f t="array" ref="I1207">GET_TICKER_FINAL(C1207)</f>
        <v/>
      </c>
      <c r="J1207" s="5" t="s">
        <v>1792</v>
      </c>
    </row>
    <row r="1208" spans="1:10">
      <c r="A1208">
        <v>1207</v>
      </c>
      <c r="B1208" s="1" t="s">
        <v>888</v>
      </c>
      <c r="C1208" s="1" t="s">
        <v>1196</v>
      </c>
      <c r="D1208" s="1">
        <v>2</v>
      </c>
      <c r="E1208" s="1">
        <v>8</v>
      </c>
      <c r="F1208" s="1">
        <v>0.75</v>
      </c>
      <c r="G1208" s="1">
        <v>20260401</v>
      </c>
      <c r="H1208" t="b">
        <f t="shared" si="19"/>
        <v>0</v>
      </c>
      <c r="I1208" t="str" cm="1">
        <f t="array" ref="I1208">GET_TICKER_FINAL(C1208)</f>
        <v/>
      </c>
      <c r="J1208" s="5" t="s">
        <v>1792</v>
      </c>
    </row>
    <row r="1209" spans="1:10">
      <c r="A1209">
        <v>1208</v>
      </c>
      <c r="B1209" s="1" t="s">
        <v>888</v>
      </c>
      <c r="C1209" s="1" t="s">
        <v>1197</v>
      </c>
      <c r="D1209" s="1">
        <v>2</v>
      </c>
      <c r="E1209" s="1">
        <v>3</v>
      </c>
      <c r="F1209" s="1">
        <v>0.67</v>
      </c>
      <c r="G1209" s="1">
        <v>20260401</v>
      </c>
      <c r="H1209" t="b">
        <f t="shared" si="19"/>
        <v>0</v>
      </c>
      <c r="I1209" t="str" cm="1">
        <f t="array" ref="I1209">GET_TICKER_FINAL(C1209)</f>
        <v/>
      </c>
      <c r="J1209" s="5" t="s">
        <v>1792</v>
      </c>
    </row>
    <row r="1210" spans="1:10">
      <c r="A1210">
        <v>1209</v>
      </c>
      <c r="B1210" s="1" t="s">
        <v>888</v>
      </c>
      <c r="C1210" s="1" t="s">
        <v>1198</v>
      </c>
      <c r="D1210" s="1">
        <v>2</v>
      </c>
      <c r="E1210" s="1">
        <v>4</v>
      </c>
      <c r="F1210" s="1">
        <v>0.67</v>
      </c>
      <c r="G1210" s="1">
        <v>20260320</v>
      </c>
      <c r="H1210" t="b">
        <f t="shared" si="19"/>
        <v>0</v>
      </c>
      <c r="I1210" t="str" cm="1">
        <f t="array" ref="I1210">GET_TICKER_FINAL(C1210)</f>
        <v/>
      </c>
      <c r="J1210" s="5" t="s">
        <v>25</v>
      </c>
    </row>
    <row r="1211" spans="1:10">
      <c r="A1211">
        <v>1210</v>
      </c>
      <c r="B1211" s="1" t="s">
        <v>888</v>
      </c>
      <c r="C1211" s="1" t="s">
        <v>1199</v>
      </c>
      <c r="D1211" s="1">
        <v>2</v>
      </c>
      <c r="E1211" s="1">
        <v>13</v>
      </c>
      <c r="F1211" s="1">
        <v>0.63</v>
      </c>
      <c r="G1211" s="1">
        <v>20260331</v>
      </c>
      <c r="H1211" t="b">
        <f t="shared" si="19"/>
        <v>0</v>
      </c>
      <c r="I1211" t="str" cm="1">
        <f t="array" ref="I1211">GET_TICKER_FINAL(C1211)</f>
        <v/>
      </c>
      <c r="J1211" s="5" t="s">
        <v>1792</v>
      </c>
    </row>
    <row r="1212" spans="1:10">
      <c r="A1212">
        <v>1211</v>
      </c>
      <c r="B1212" s="1" t="s">
        <v>888</v>
      </c>
      <c r="C1212" s="1" t="s">
        <v>1200</v>
      </c>
      <c r="D1212" s="1">
        <v>2</v>
      </c>
      <c r="E1212" s="1">
        <v>9</v>
      </c>
      <c r="F1212" s="1">
        <v>0.6</v>
      </c>
      <c r="G1212" s="1">
        <v>20260402</v>
      </c>
      <c r="H1212" t="b">
        <f t="shared" si="19"/>
        <v>0</v>
      </c>
      <c r="I1212" t="str" cm="1">
        <f t="array" ref="I1212">GET_TICKER_FINAL(C1212)</f>
        <v/>
      </c>
      <c r="J1212" s="5" t="s">
        <v>1792</v>
      </c>
    </row>
    <row r="1213" spans="1:10">
      <c r="A1213">
        <v>1212</v>
      </c>
      <c r="B1213" s="1" t="s">
        <v>888</v>
      </c>
      <c r="C1213" s="1" t="s">
        <v>1201</v>
      </c>
      <c r="D1213" s="1">
        <v>2</v>
      </c>
      <c r="E1213" s="1">
        <v>0</v>
      </c>
      <c r="F1213" s="1">
        <v>1</v>
      </c>
      <c r="G1213" s="1">
        <v>20260323</v>
      </c>
      <c r="H1213" t="b">
        <f t="shared" si="19"/>
        <v>0</v>
      </c>
      <c r="I1213" t="str" cm="1">
        <f t="array" ref="I1213">GET_TICKER_FINAL(C1213)</f>
        <v/>
      </c>
      <c r="J1213" s="5" t="s">
        <v>1792</v>
      </c>
    </row>
    <row r="1214" spans="1:10">
      <c r="A1214">
        <v>1213</v>
      </c>
      <c r="B1214" s="1" t="s">
        <v>888</v>
      </c>
      <c r="C1214" s="1" t="s">
        <v>1202</v>
      </c>
      <c r="D1214" s="1">
        <v>2</v>
      </c>
      <c r="E1214" s="1">
        <v>13</v>
      </c>
      <c r="F1214" s="1">
        <v>0.53</v>
      </c>
      <c r="G1214" s="1">
        <v>20260323</v>
      </c>
      <c r="H1214" t="b">
        <f t="shared" si="19"/>
        <v>0</v>
      </c>
      <c r="I1214" t="str" cm="1">
        <f t="array" ref="I1214">GET_TICKER_FINAL(C1214)</f>
        <v/>
      </c>
      <c r="J1214" s="5" t="s">
        <v>1792</v>
      </c>
    </row>
    <row r="1215" spans="1:10">
      <c r="A1215">
        <v>1214</v>
      </c>
      <c r="B1215" s="1" t="s">
        <v>888</v>
      </c>
      <c r="C1215" s="1" t="s">
        <v>1203</v>
      </c>
      <c r="D1215" s="1">
        <v>2</v>
      </c>
      <c r="E1215" s="1">
        <v>1</v>
      </c>
      <c r="F1215" s="1">
        <v>0.6</v>
      </c>
      <c r="G1215" s="1">
        <v>20260326</v>
      </c>
      <c r="H1215" t="b">
        <f t="shared" si="19"/>
        <v>1</v>
      </c>
      <c r="I1215" t="str" cm="1">
        <f t="array" ref="I1215">GET_TICKER_FINAL(C1215)</f>
        <v/>
      </c>
      <c r="J1215" s="5" t="s">
        <v>25</v>
      </c>
    </row>
    <row r="1216" spans="1:10">
      <c r="A1216">
        <v>1215</v>
      </c>
      <c r="B1216" s="1" t="s">
        <v>888</v>
      </c>
      <c r="C1216" s="1" t="s">
        <v>280</v>
      </c>
      <c r="D1216" s="1">
        <v>2</v>
      </c>
      <c r="E1216" s="1">
        <v>1</v>
      </c>
      <c r="F1216" s="1">
        <v>0.75</v>
      </c>
      <c r="G1216" s="1">
        <v>20260331</v>
      </c>
      <c r="H1216" t="b">
        <f t="shared" si="19"/>
        <v>0</v>
      </c>
      <c r="I1216" t="str" cm="1">
        <f t="array" ref="I1216">GET_TICKER_FINAL(C1216)</f>
        <v/>
      </c>
      <c r="J1216" s="5" t="s">
        <v>1792</v>
      </c>
    </row>
    <row r="1217" spans="1:10">
      <c r="A1217">
        <v>1216</v>
      </c>
      <c r="B1217" s="1" t="s">
        <v>888</v>
      </c>
      <c r="C1217" s="1" t="s">
        <v>1204</v>
      </c>
      <c r="D1217" s="1">
        <v>2</v>
      </c>
      <c r="E1217" s="1">
        <v>11</v>
      </c>
      <c r="F1217" s="1">
        <v>0.57999999999999996</v>
      </c>
      <c r="G1217" s="1">
        <v>20260324</v>
      </c>
      <c r="H1217" t="b">
        <f t="shared" si="19"/>
        <v>0</v>
      </c>
      <c r="I1217" t="str" cm="1">
        <f t="array" ref="I1217">GET_TICKER_FINAL(C1217)</f>
        <v/>
      </c>
      <c r="J1217" s="5" t="s">
        <v>1792</v>
      </c>
    </row>
    <row r="1218" spans="1:10">
      <c r="A1218">
        <v>1217</v>
      </c>
      <c r="B1218" s="1" t="s">
        <v>888</v>
      </c>
      <c r="C1218" s="1" t="s">
        <v>1205</v>
      </c>
      <c r="D1218" s="1">
        <v>2</v>
      </c>
      <c r="E1218" s="1">
        <v>4</v>
      </c>
      <c r="F1218" s="1">
        <v>0.75</v>
      </c>
      <c r="G1218" s="1">
        <v>20260324</v>
      </c>
      <c r="H1218" t="b">
        <f t="shared" si="19"/>
        <v>0</v>
      </c>
      <c r="I1218" t="str" cm="1">
        <f t="array" ref="I1218">GET_TICKER_FINAL(C1218)</f>
        <v/>
      </c>
      <c r="J1218" s="5" t="s">
        <v>16</v>
      </c>
    </row>
    <row r="1219" spans="1:10">
      <c r="A1219">
        <v>1218</v>
      </c>
      <c r="B1219" s="1" t="s">
        <v>888</v>
      </c>
      <c r="C1219" s="1" t="s">
        <v>1206</v>
      </c>
      <c r="D1219" s="1">
        <v>2</v>
      </c>
      <c r="E1219" s="1">
        <v>1</v>
      </c>
      <c r="F1219" s="1">
        <v>0.75</v>
      </c>
      <c r="G1219" s="1">
        <v>20260324</v>
      </c>
      <c r="H1219" t="b">
        <f t="shared" ref="H1219:H1282" si="20">OR(ISNUMBER(SEARCH("$A",C1219)),ISNUMBER(SEARCH("$B",C1219)),ISNUMBER(SEARCH("$C",C1219)),ISNUMBER(SEARCH("$D",C1219)),ISNUMBER(SEARCH("$E",C1219)),ISNUMBER(SEARCH("$F",C1219)),ISNUMBER(SEARCH("$G",C1219)),ISNUMBER(SEARCH("$H",C1219)),ISNUMBER(SEARCH("$I",C1219)),ISNUMBER(SEARCH("$J",C1219)),ISNUMBER(SEARCH("$K",C1219)),ISNUMBER(SEARCH("$L",C1219)),ISNUMBER(SEARCH("$M",C1219)),ISNUMBER(SEARCH("$N",C1219)),ISNUMBER(SEARCH("$O",C1219)),ISNUMBER(SEARCH("$P",C1219)),ISNUMBER(SEARCH("$Q",C1219)),ISNUMBER(SEARCH("$R",C1219)),ISNUMBER(SEARCH("$S",C1219)),ISNUMBER(SEARCH("$T",C1219)),ISNUMBER(SEARCH("$U",C1219)),ISNUMBER(SEARCH("$V",C1219)),ISNUMBER(SEARCH("$W",C1219)),ISNUMBER(SEARCH("$X",C1219)),ISNUMBER(SEARCH("$Y",C1219)),ISNUMBER(SEARCH("$Z",C1219)))</f>
        <v>0</v>
      </c>
      <c r="I1219" t="str" cm="1">
        <f t="array" ref="I1219">GET_TICKER_FINAL(C1219)</f>
        <v/>
      </c>
      <c r="J1219" s="5" t="s">
        <v>1792</v>
      </c>
    </row>
    <row r="1220" spans="1:10">
      <c r="A1220">
        <v>1219</v>
      </c>
      <c r="B1220" s="1" t="s">
        <v>888</v>
      </c>
      <c r="C1220" s="1" t="s">
        <v>1207</v>
      </c>
      <c r="D1220" s="1">
        <v>2</v>
      </c>
      <c r="E1220" s="1">
        <v>0</v>
      </c>
      <c r="F1220" s="1">
        <v>1</v>
      </c>
      <c r="G1220" s="1">
        <v>20260402</v>
      </c>
      <c r="H1220" t="b">
        <f t="shared" si="20"/>
        <v>0</v>
      </c>
      <c r="I1220" t="str" cm="1">
        <f t="array" ref="I1220">GET_TICKER_FINAL(C1220)</f>
        <v/>
      </c>
      <c r="J1220" s="5" t="s">
        <v>16</v>
      </c>
    </row>
    <row r="1221" spans="1:10">
      <c r="A1221">
        <v>1220</v>
      </c>
      <c r="B1221" s="1" t="s">
        <v>888</v>
      </c>
      <c r="C1221" s="1" t="s">
        <v>1208</v>
      </c>
      <c r="D1221" s="1">
        <v>2</v>
      </c>
      <c r="E1221" s="1">
        <v>7</v>
      </c>
      <c r="F1221" s="1">
        <v>0.62</v>
      </c>
      <c r="G1221" s="1">
        <v>20260327</v>
      </c>
      <c r="H1221" t="b">
        <f t="shared" si="20"/>
        <v>0</v>
      </c>
      <c r="I1221" t="str" cm="1">
        <f t="array" ref="I1221">GET_TICKER_FINAL(C1221)</f>
        <v/>
      </c>
      <c r="J1221" s="5" t="s">
        <v>1792</v>
      </c>
    </row>
    <row r="1222" spans="1:10">
      <c r="A1222">
        <v>1221</v>
      </c>
      <c r="B1222" s="1" t="s">
        <v>888</v>
      </c>
      <c r="C1222" s="1" t="s">
        <v>1209</v>
      </c>
      <c r="D1222" s="1">
        <v>2</v>
      </c>
      <c r="E1222" s="1">
        <v>7</v>
      </c>
      <c r="F1222" s="1">
        <v>0.67</v>
      </c>
      <c r="G1222" s="1">
        <v>20260320</v>
      </c>
      <c r="H1222" t="b">
        <f t="shared" si="20"/>
        <v>0</v>
      </c>
      <c r="I1222" t="str" cm="1">
        <f t="array" ref="I1222">GET_TICKER_FINAL(C1222)</f>
        <v/>
      </c>
      <c r="J1222" s="5" t="s">
        <v>16</v>
      </c>
    </row>
    <row r="1223" spans="1:10">
      <c r="A1223">
        <v>1222</v>
      </c>
      <c r="B1223" s="1" t="s">
        <v>888</v>
      </c>
      <c r="C1223" s="1" t="s">
        <v>1210</v>
      </c>
      <c r="D1223" s="1">
        <v>2</v>
      </c>
      <c r="E1223" s="1">
        <v>11</v>
      </c>
      <c r="F1223" s="1">
        <v>0.57999999999999996</v>
      </c>
      <c r="G1223" s="1">
        <v>20260323</v>
      </c>
      <c r="H1223" t="b">
        <f t="shared" si="20"/>
        <v>1</v>
      </c>
      <c r="I1223" t="str" cm="1">
        <f t="array" ref="I1223">GET_TICKER_FINAL(C1223)</f>
        <v/>
      </c>
      <c r="J1223" s="5" t="s">
        <v>25</v>
      </c>
    </row>
    <row r="1224" spans="1:10">
      <c r="A1224">
        <v>1223</v>
      </c>
      <c r="B1224" s="1" t="s">
        <v>888</v>
      </c>
      <c r="C1224" s="1" t="s">
        <v>1211</v>
      </c>
      <c r="D1224" s="1">
        <v>2</v>
      </c>
      <c r="E1224" s="1">
        <v>5</v>
      </c>
      <c r="F1224" s="1">
        <v>0.57999999999999996</v>
      </c>
      <c r="G1224" s="1">
        <v>20260327</v>
      </c>
      <c r="H1224" t="b">
        <f t="shared" si="20"/>
        <v>0</v>
      </c>
      <c r="I1224" t="str" cm="1">
        <f t="array" ref="I1224">GET_TICKER_FINAL(C1224)</f>
        <v/>
      </c>
      <c r="J1224" s="5" t="s">
        <v>1792</v>
      </c>
    </row>
    <row r="1225" spans="1:10">
      <c r="A1225">
        <v>1224</v>
      </c>
      <c r="B1225" s="1" t="s">
        <v>888</v>
      </c>
      <c r="C1225" s="1" t="s">
        <v>1212</v>
      </c>
      <c r="D1225" s="1">
        <v>1</v>
      </c>
      <c r="E1225" s="1">
        <v>2</v>
      </c>
      <c r="F1225" s="1">
        <v>1</v>
      </c>
      <c r="G1225" s="1">
        <v>20260402</v>
      </c>
      <c r="H1225" t="b">
        <f t="shared" si="20"/>
        <v>0</v>
      </c>
      <c r="I1225" t="str" cm="1">
        <f t="array" ref="I1225">GET_TICKER_FINAL(C1225)</f>
        <v/>
      </c>
      <c r="J1225" s="5" t="s">
        <v>25</v>
      </c>
    </row>
    <row r="1226" spans="1:10">
      <c r="A1226">
        <v>1225</v>
      </c>
      <c r="B1226" s="1" t="s">
        <v>888</v>
      </c>
      <c r="C1226" s="1" t="s">
        <v>164</v>
      </c>
      <c r="D1226" s="1">
        <v>1</v>
      </c>
      <c r="E1226" s="1">
        <v>3</v>
      </c>
      <c r="F1226" s="1">
        <v>0.6</v>
      </c>
      <c r="G1226" s="1">
        <v>20260402</v>
      </c>
      <c r="H1226" t="b">
        <f t="shared" si="20"/>
        <v>0</v>
      </c>
      <c r="I1226" t="str" cm="1">
        <f t="array" ref="I1226">GET_TICKER_FINAL(C1226)</f>
        <v/>
      </c>
      <c r="J1226" s="5" t="s">
        <v>1792</v>
      </c>
    </row>
    <row r="1227" spans="1:10">
      <c r="A1227">
        <v>1226</v>
      </c>
      <c r="B1227" s="1" t="s">
        <v>888</v>
      </c>
      <c r="C1227" s="1" t="s">
        <v>1213</v>
      </c>
      <c r="D1227" s="1">
        <v>1</v>
      </c>
      <c r="E1227" s="1">
        <v>74</v>
      </c>
      <c r="F1227" s="1">
        <v>0.51</v>
      </c>
      <c r="G1227" s="1">
        <v>20260401</v>
      </c>
      <c r="H1227" t="b">
        <f t="shared" si="20"/>
        <v>0</v>
      </c>
      <c r="I1227" t="str" cm="1">
        <f t="array" ref="I1227">GET_TICKER_FINAL(C1227)</f>
        <v/>
      </c>
      <c r="J1227" s="5" t="s">
        <v>16</v>
      </c>
    </row>
    <row r="1228" spans="1:10">
      <c r="A1228">
        <v>1227</v>
      </c>
      <c r="B1228" s="1" t="s">
        <v>888</v>
      </c>
      <c r="C1228" s="1" t="s">
        <v>1214</v>
      </c>
      <c r="D1228" s="1">
        <v>1</v>
      </c>
      <c r="E1228" s="1">
        <v>2</v>
      </c>
      <c r="F1228" s="1">
        <v>0.56999999999999995</v>
      </c>
      <c r="G1228" s="1">
        <v>20260323</v>
      </c>
      <c r="H1228" t="b">
        <f t="shared" si="20"/>
        <v>0</v>
      </c>
      <c r="I1228" t="str" cm="1">
        <f t="array" ref="I1228">GET_TICKER_FINAL(C1228)</f>
        <v/>
      </c>
      <c r="J1228" s="5" t="s">
        <v>1792</v>
      </c>
    </row>
    <row r="1229" spans="1:10">
      <c r="A1229">
        <v>1228</v>
      </c>
      <c r="B1229" s="1" t="s">
        <v>888</v>
      </c>
      <c r="C1229" s="1" t="s">
        <v>1215</v>
      </c>
      <c r="D1229" s="1">
        <v>1</v>
      </c>
      <c r="E1229" s="1">
        <v>5</v>
      </c>
      <c r="F1229" s="1">
        <v>0.67</v>
      </c>
      <c r="G1229" s="1">
        <v>20260320</v>
      </c>
      <c r="H1229" t="b">
        <f t="shared" si="20"/>
        <v>0</v>
      </c>
      <c r="I1229" t="str" cm="1">
        <f t="array" ref="I1229">GET_TICKER_FINAL(C1229)</f>
        <v/>
      </c>
      <c r="J1229" s="5" t="s">
        <v>16</v>
      </c>
    </row>
    <row r="1230" spans="1:10">
      <c r="A1230">
        <v>1229</v>
      </c>
      <c r="B1230" s="1" t="s">
        <v>888</v>
      </c>
      <c r="C1230" s="1" t="s">
        <v>1216</v>
      </c>
      <c r="D1230" s="1">
        <v>1</v>
      </c>
      <c r="E1230" s="1">
        <v>6</v>
      </c>
      <c r="F1230" s="1">
        <v>0.67</v>
      </c>
      <c r="G1230" s="1">
        <v>20260320</v>
      </c>
      <c r="H1230" t="b">
        <f t="shared" si="20"/>
        <v>0</v>
      </c>
      <c r="I1230" t="str" cm="1">
        <f t="array" ref="I1230">GET_TICKER_FINAL(C1230)</f>
        <v/>
      </c>
      <c r="J1230" s="5" t="s">
        <v>28</v>
      </c>
    </row>
    <row r="1231" spans="1:10">
      <c r="A1231">
        <v>1230</v>
      </c>
      <c r="B1231" s="1" t="s">
        <v>888</v>
      </c>
      <c r="C1231" s="1" t="s">
        <v>1217</v>
      </c>
      <c r="D1231" s="1">
        <v>1</v>
      </c>
      <c r="E1231" s="1">
        <v>0</v>
      </c>
      <c r="F1231" s="1">
        <v>1</v>
      </c>
      <c r="G1231" s="1">
        <v>20260320</v>
      </c>
      <c r="H1231" t="b">
        <f t="shared" si="20"/>
        <v>0</v>
      </c>
      <c r="I1231" t="str" cm="1">
        <f t="array" ref="I1231">GET_TICKER_FINAL(C1231)</f>
        <v/>
      </c>
      <c r="J1231" s="5" t="s">
        <v>1792</v>
      </c>
    </row>
    <row r="1232" spans="1:10">
      <c r="A1232">
        <v>1231</v>
      </c>
      <c r="B1232" s="1" t="s">
        <v>888</v>
      </c>
      <c r="C1232" s="1" t="s">
        <v>1218</v>
      </c>
      <c r="D1232" s="1">
        <v>1</v>
      </c>
      <c r="E1232" s="1">
        <v>26</v>
      </c>
      <c r="F1232" s="1">
        <v>0.52</v>
      </c>
      <c r="G1232" s="1">
        <v>20260331</v>
      </c>
      <c r="H1232" t="b">
        <f t="shared" si="20"/>
        <v>0</v>
      </c>
      <c r="I1232" t="str" cm="1">
        <f t="array" ref="I1232">GET_TICKER_FINAL(C1232)</f>
        <v>DUOL</v>
      </c>
      <c r="J1232" s="5" t="s">
        <v>1792</v>
      </c>
    </row>
    <row r="1233" spans="1:10">
      <c r="A1233">
        <v>1232</v>
      </c>
      <c r="B1233" s="1" t="s">
        <v>888</v>
      </c>
      <c r="C1233" s="1" t="s">
        <v>1219</v>
      </c>
      <c r="D1233" s="1">
        <v>1</v>
      </c>
      <c r="E1233" s="1">
        <v>11</v>
      </c>
      <c r="F1233" s="1">
        <v>0.55000000000000004</v>
      </c>
      <c r="G1233" s="1">
        <v>20260330</v>
      </c>
      <c r="H1233" t="b">
        <f t="shared" si="20"/>
        <v>0</v>
      </c>
      <c r="I1233" t="str" cm="1">
        <f t="array" ref="I1233">GET_TICKER_FINAL(C1233)</f>
        <v>OKLO</v>
      </c>
      <c r="J1233" s="5" t="s">
        <v>1792</v>
      </c>
    </row>
    <row r="1234" spans="1:10">
      <c r="A1234">
        <v>1233</v>
      </c>
      <c r="B1234" s="1" t="s">
        <v>888</v>
      </c>
      <c r="C1234" s="1" t="s">
        <v>1220</v>
      </c>
      <c r="D1234" s="1">
        <v>1</v>
      </c>
      <c r="E1234" s="1">
        <v>7</v>
      </c>
      <c r="F1234" s="1">
        <v>0.6</v>
      </c>
      <c r="G1234" s="1">
        <v>20260331</v>
      </c>
      <c r="H1234" t="b">
        <f t="shared" si="20"/>
        <v>0</v>
      </c>
      <c r="I1234" t="str" cm="1">
        <f t="array" ref="I1234">GET_TICKER_FINAL(C1234)</f>
        <v/>
      </c>
      <c r="J1234" s="5" t="s">
        <v>25</v>
      </c>
    </row>
    <row r="1235" spans="1:10">
      <c r="A1235">
        <v>1234</v>
      </c>
      <c r="B1235" s="1" t="s">
        <v>888</v>
      </c>
      <c r="C1235" s="1" t="s">
        <v>1221</v>
      </c>
      <c r="D1235" s="1">
        <v>1</v>
      </c>
      <c r="E1235" s="1">
        <v>17</v>
      </c>
      <c r="F1235" s="1">
        <v>0.52</v>
      </c>
      <c r="G1235" s="1">
        <v>20260327</v>
      </c>
      <c r="H1235" t="b">
        <f t="shared" si="20"/>
        <v>0</v>
      </c>
      <c r="I1235" t="str" cm="1">
        <f t="array" ref="I1235">GET_TICKER_FINAL(C1235)</f>
        <v/>
      </c>
      <c r="J1235" s="5" t="s">
        <v>16</v>
      </c>
    </row>
    <row r="1236" spans="1:10">
      <c r="A1236">
        <v>1235</v>
      </c>
      <c r="B1236" s="1" t="s">
        <v>888</v>
      </c>
      <c r="C1236" s="1" t="s">
        <v>1222</v>
      </c>
      <c r="D1236" s="1">
        <v>1</v>
      </c>
      <c r="E1236" s="1">
        <v>8</v>
      </c>
      <c r="F1236" s="1">
        <v>0.55000000000000004</v>
      </c>
      <c r="G1236" s="1">
        <v>20260327</v>
      </c>
      <c r="H1236" t="b">
        <f t="shared" si="20"/>
        <v>0</v>
      </c>
      <c r="I1236" t="str" cm="1">
        <f t="array" ref="I1236">GET_TICKER_FINAL(C1236)</f>
        <v/>
      </c>
      <c r="J1236" s="5" t="s">
        <v>1792</v>
      </c>
    </row>
    <row r="1237" spans="1:10">
      <c r="A1237">
        <v>1236</v>
      </c>
      <c r="B1237" s="1" t="s">
        <v>888</v>
      </c>
      <c r="C1237" s="1" t="s">
        <v>1223</v>
      </c>
      <c r="D1237" s="1">
        <v>1</v>
      </c>
      <c r="E1237" s="1">
        <v>19</v>
      </c>
      <c r="F1237" s="1">
        <v>0.52</v>
      </c>
      <c r="G1237" s="1">
        <v>20260330</v>
      </c>
      <c r="H1237" t="b">
        <f t="shared" si="20"/>
        <v>0</v>
      </c>
      <c r="I1237" t="str" cm="1">
        <f t="array" ref="I1237">GET_TICKER_FINAL(C1237)</f>
        <v/>
      </c>
      <c r="J1237" s="5" t="s">
        <v>1792</v>
      </c>
    </row>
    <row r="1238" spans="1:10">
      <c r="A1238">
        <v>1237</v>
      </c>
      <c r="B1238" s="1" t="s">
        <v>888</v>
      </c>
      <c r="C1238" s="1" t="s">
        <v>1224</v>
      </c>
      <c r="D1238" s="1">
        <v>1</v>
      </c>
      <c r="E1238" s="1">
        <v>1</v>
      </c>
      <c r="F1238" s="1">
        <v>0.67</v>
      </c>
      <c r="G1238" s="1">
        <v>20260327</v>
      </c>
      <c r="H1238" t="b">
        <f t="shared" si="20"/>
        <v>0</v>
      </c>
      <c r="I1238" t="str" cm="1">
        <f t="array" ref="I1238">GET_TICKER_FINAL(C1238)</f>
        <v/>
      </c>
      <c r="J1238" s="5" t="s">
        <v>1792</v>
      </c>
    </row>
    <row r="1239" spans="1:10">
      <c r="A1239">
        <v>1238</v>
      </c>
      <c r="B1239" s="1" t="s">
        <v>888</v>
      </c>
      <c r="C1239" s="1" t="s">
        <v>1225</v>
      </c>
      <c r="D1239" s="1">
        <v>1</v>
      </c>
      <c r="E1239" s="1">
        <v>1</v>
      </c>
      <c r="F1239" s="1">
        <v>0.67</v>
      </c>
      <c r="G1239" s="1">
        <v>20260330</v>
      </c>
      <c r="H1239" t="b">
        <f t="shared" si="20"/>
        <v>1</v>
      </c>
      <c r="I1239" t="str" cm="1">
        <f t="array" ref="I1239">GET_TICKER_FINAL(C1239)</f>
        <v/>
      </c>
      <c r="J1239" s="5" t="s">
        <v>1792</v>
      </c>
    </row>
    <row r="1240" spans="1:10">
      <c r="A1240">
        <v>1239</v>
      </c>
      <c r="B1240" s="1" t="s">
        <v>888</v>
      </c>
      <c r="C1240" s="1" t="s">
        <v>1226</v>
      </c>
      <c r="D1240" s="1">
        <v>1</v>
      </c>
      <c r="E1240" s="1">
        <v>5</v>
      </c>
      <c r="F1240" s="1">
        <v>0.56999999999999995</v>
      </c>
      <c r="G1240" s="1">
        <v>20260331</v>
      </c>
      <c r="H1240" t="b">
        <f t="shared" si="20"/>
        <v>0</v>
      </c>
      <c r="I1240" t="str" cm="1">
        <f t="array" ref="I1240">GET_TICKER_FINAL(C1240)</f>
        <v/>
      </c>
      <c r="J1240" s="5" t="s">
        <v>1792</v>
      </c>
    </row>
    <row r="1241" spans="1:10">
      <c r="A1241">
        <v>1240</v>
      </c>
      <c r="B1241" s="1" t="s">
        <v>888</v>
      </c>
      <c r="C1241" s="1" t="s">
        <v>1227</v>
      </c>
      <c r="D1241" s="1">
        <v>1</v>
      </c>
      <c r="E1241" s="1">
        <v>3</v>
      </c>
      <c r="F1241" s="1">
        <v>1</v>
      </c>
      <c r="G1241" s="1">
        <v>20260327</v>
      </c>
      <c r="H1241" t="b">
        <f t="shared" si="20"/>
        <v>0</v>
      </c>
      <c r="I1241" t="str" cm="1">
        <f t="array" ref="I1241">GET_TICKER_FINAL(C1241)</f>
        <v>COST</v>
      </c>
      <c r="J1241" s="5" t="s">
        <v>1792</v>
      </c>
    </row>
    <row r="1242" spans="1:10">
      <c r="A1242">
        <v>1241</v>
      </c>
      <c r="B1242" s="1" t="s">
        <v>888</v>
      </c>
      <c r="C1242" s="1" t="s">
        <v>1228</v>
      </c>
      <c r="D1242" s="1">
        <v>1</v>
      </c>
      <c r="E1242" s="1">
        <v>3</v>
      </c>
      <c r="F1242" s="1">
        <v>0.67</v>
      </c>
      <c r="G1242" s="1">
        <v>20260401</v>
      </c>
      <c r="H1242" t="b">
        <f t="shared" si="20"/>
        <v>0</v>
      </c>
      <c r="I1242" t="str" cm="1">
        <f t="array" ref="I1242">GET_TICKER_FINAL(C1242)</f>
        <v>MSFT</v>
      </c>
      <c r="J1242" s="5" t="s">
        <v>25</v>
      </c>
    </row>
    <row r="1243" spans="1:10">
      <c r="A1243">
        <v>1242</v>
      </c>
      <c r="B1243" s="1" t="s">
        <v>888</v>
      </c>
      <c r="C1243" s="1" t="s">
        <v>1229</v>
      </c>
      <c r="D1243" s="1">
        <v>1</v>
      </c>
      <c r="E1243" s="1">
        <v>10</v>
      </c>
      <c r="F1243" s="1">
        <v>0.56999999999999995</v>
      </c>
      <c r="G1243" s="1">
        <v>20260401</v>
      </c>
      <c r="H1243" t="b">
        <f t="shared" si="20"/>
        <v>0</v>
      </c>
      <c r="I1243" t="str" cm="1">
        <f t="array" ref="I1243">GET_TICKER_FINAL(C1243)</f>
        <v/>
      </c>
      <c r="J1243" s="5" t="s">
        <v>28</v>
      </c>
    </row>
    <row r="1244" spans="1:10">
      <c r="A1244">
        <v>1243</v>
      </c>
      <c r="B1244" s="1" t="s">
        <v>888</v>
      </c>
      <c r="C1244" s="1" t="s">
        <v>1230</v>
      </c>
      <c r="D1244" s="1">
        <v>0</v>
      </c>
      <c r="E1244" s="1">
        <v>31</v>
      </c>
      <c r="F1244" s="1">
        <v>0.47</v>
      </c>
      <c r="G1244" s="1">
        <v>20260330</v>
      </c>
      <c r="H1244" t="b">
        <f t="shared" si="20"/>
        <v>0</v>
      </c>
      <c r="I1244" t="str" cm="1">
        <f t="array" ref="I1244">GET_TICKER_FINAL(C1244)</f>
        <v/>
      </c>
      <c r="J1244" s="5" t="s">
        <v>1792</v>
      </c>
    </row>
    <row r="1245" spans="1:10">
      <c r="A1245">
        <v>1244</v>
      </c>
      <c r="B1245" s="1" t="s">
        <v>888</v>
      </c>
      <c r="C1245" s="1" t="s">
        <v>1231</v>
      </c>
      <c r="D1245" s="1">
        <v>0</v>
      </c>
      <c r="E1245" s="1">
        <v>35</v>
      </c>
      <c r="F1245" s="1">
        <v>0.32</v>
      </c>
      <c r="G1245" s="1">
        <v>20260330</v>
      </c>
      <c r="H1245" t="b">
        <f t="shared" si="20"/>
        <v>0</v>
      </c>
      <c r="I1245" t="str" cm="1">
        <f t="array" ref="I1245">GET_TICKER_FINAL(C1245)</f>
        <v/>
      </c>
      <c r="J1245" s="5" t="s">
        <v>1792</v>
      </c>
    </row>
    <row r="1246" spans="1:10">
      <c r="A1246">
        <v>1245</v>
      </c>
      <c r="B1246" s="1" t="s">
        <v>888</v>
      </c>
      <c r="C1246" s="1" t="s">
        <v>1232</v>
      </c>
      <c r="D1246" s="1">
        <v>0</v>
      </c>
      <c r="E1246" s="1">
        <v>1</v>
      </c>
      <c r="F1246" s="1">
        <v>0.5</v>
      </c>
      <c r="G1246" s="1">
        <v>20260402</v>
      </c>
      <c r="H1246" t="b">
        <f t="shared" si="20"/>
        <v>0</v>
      </c>
      <c r="I1246" t="str" cm="1">
        <f t="array" ref="I1246">GET_TICKER_FINAL(C1246)</f>
        <v/>
      </c>
      <c r="J1246" s="5" t="s">
        <v>1792</v>
      </c>
    </row>
    <row r="1247" spans="1:10">
      <c r="A1247">
        <v>1246</v>
      </c>
      <c r="B1247" s="1" t="s">
        <v>888</v>
      </c>
      <c r="C1247" s="1" t="s">
        <v>1233</v>
      </c>
      <c r="D1247" s="1">
        <v>0</v>
      </c>
      <c r="E1247" s="1">
        <v>168</v>
      </c>
      <c r="F1247" s="1">
        <v>0.43</v>
      </c>
      <c r="G1247" s="1">
        <v>20260330</v>
      </c>
      <c r="H1247" t="b">
        <f t="shared" si="20"/>
        <v>0</v>
      </c>
      <c r="I1247" t="str" cm="1">
        <f t="array" ref="I1247">GET_TICKER_FINAL(C1247)</f>
        <v/>
      </c>
      <c r="J1247" s="5" t="s">
        <v>1792</v>
      </c>
    </row>
    <row r="1248" spans="1:10">
      <c r="A1248">
        <v>1247</v>
      </c>
      <c r="B1248" s="1" t="s">
        <v>888</v>
      </c>
      <c r="C1248" s="1" t="s">
        <v>1234</v>
      </c>
      <c r="D1248" s="1">
        <v>0</v>
      </c>
      <c r="E1248" s="1">
        <v>0</v>
      </c>
      <c r="F1248" s="1">
        <v>0.25</v>
      </c>
      <c r="G1248" s="1">
        <v>20260330</v>
      </c>
      <c r="H1248" t="b">
        <f t="shared" si="20"/>
        <v>0</v>
      </c>
      <c r="I1248" t="str" cm="1">
        <f t="array" ref="I1248">GET_TICKER_FINAL(C1248)</f>
        <v/>
      </c>
      <c r="J1248" s="5" t="s">
        <v>1792</v>
      </c>
    </row>
    <row r="1249" spans="1:10">
      <c r="A1249">
        <v>1248</v>
      </c>
      <c r="B1249" s="1" t="s">
        <v>888</v>
      </c>
      <c r="C1249" s="1" t="s">
        <v>1235</v>
      </c>
      <c r="D1249" s="1">
        <v>0</v>
      </c>
      <c r="E1249" s="1">
        <v>15</v>
      </c>
      <c r="F1249" s="1">
        <v>0.36</v>
      </c>
      <c r="G1249" s="1">
        <v>20260330</v>
      </c>
      <c r="H1249" t="b">
        <f t="shared" si="20"/>
        <v>0</v>
      </c>
      <c r="I1249" t="str" cm="1">
        <f t="array" ref="I1249">GET_TICKER_FINAL(C1249)</f>
        <v/>
      </c>
      <c r="J1249" s="5" t="s">
        <v>25</v>
      </c>
    </row>
    <row r="1250" spans="1:10">
      <c r="A1250">
        <v>1249</v>
      </c>
      <c r="B1250" s="1" t="s">
        <v>888</v>
      </c>
      <c r="C1250" s="1" t="s">
        <v>1236</v>
      </c>
      <c r="D1250" s="1">
        <v>0</v>
      </c>
      <c r="E1250" s="1">
        <v>13</v>
      </c>
      <c r="F1250" s="1">
        <v>0.25</v>
      </c>
      <c r="G1250" s="1">
        <v>20260330</v>
      </c>
      <c r="H1250" t="b">
        <f t="shared" si="20"/>
        <v>0</v>
      </c>
      <c r="I1250" t="str" cm="1">
        <f t="array" ref="I1250">GET_TICKER_FINAL(C1250)</f>
        <v/>
      </c>
      <c r="J1250" s="5" t="s">
        <v>1792</v>
      </c>
    </row>
    <row r="1251" spans="1:10">
      <c r="A1251">
        <v>1250</v>
      </c>
      <c r="B1251" s="1" t="s">
        <v>888</v>
      </c>
      <c r="C1251" s="1" t="s">
        <v>1237</v>
      </c>
      <c r="D1251" s="1">
        <v>0</v>
      </c>
      <c r="E1251" s="1">
        <v>10</v>
      </c>
      <c r="F1251" s="1">
        <v>0.4</v>
      </c>
      <c r="G1251" s="1">
        <v>20260330</v>
      </c>
      <c r="H1251" t="b">
        <f t="shared" si="20"/>
        <v>0</v>
      </c>
      <c r="I1251" t="str" cm="1">
        <f t="array" ref="I1251">GET_TICKER_FINAL(C1251)</f>
        <v/>
      </c>
      <c r="J1251" s="5" t="s">
        <v>16</v>
      </c>
    </row>
    <row r="1252" spans="1:10">
      <c r="A1252">
        <v>1251</v>
      </c>
      <c r="B1252" s="1" t="s">
        <v>888</v>
      </c>
      <c r="C1252" s="1" t="s">
        <v>1238</v>
      </c>
      <c r="D1252" s="1">
        <v>0</v>
      </c>
      <c r="E1252" s="1">
        <v>18</v>
      </c>
      <c r="F1252" s="1">
        <v>0.28999999999999998</v>
      </c>
      <c r="G1252" s="1">
        <v>20260330</v>
      </c>
      <c r="H1252" t="b">
        <f t="shared" si="20"/>
        <v>0</v>
      </c>
      <c r="I1252" t="str" cm="1">
        <f t="array" ref="I1252">GET_TICKER_FINAL(C1252)</f>
        <v/>
      </c>
      <c r="J1252" s="5" t="s">
        <v>1792</v>
      </c>
    </row>
    <row r="1253" spans="1:10">
      <c r="A1253">
        <v>1252</v>
      </c>
      <c r="B1253" s="1" t="s">
        <v>888</v>
      </c>
      <c r="C1253" s="1" t="s">
        <v>1239</v>
      </c>
      <c r="D1253" s="1">
        <v>0</v>
      </c>
      <c r="E1253" s="1">
        <v>9</v>
      </c>
      <c r="F1253" s="1">
        <v>0.25</v>
      </c>
      <c r="G1253" s="1">
        <v>20260330</v>
      </c>
      <c r="H1253" t="b">
        <f t="shared" si="20"/>
        <v>0</v>
      </c>
      <c r="I1253" t="str" cm="1">
        <f t="array" ref="I1253">GET_TICKER_FINAL(C1253)</f>
        <v/>
      </c>
      <c r="J1253" s="5" t="s">
        <v>16</v>
      </c>
    </row>
    <row r="1254" spans="1:10" ht="201.6">
      <c r="A1254">
        <v>1253</v>
      </c>
      <c r="B1254" s="1" t="s">
        <v>888</v>
      </c>
      <c r="C1254" s="2" t="s">
        <v>1793</v>
      </c>
      <c r="D1254" s="1">
        <v>0</v>
      </c>
      <c r="E1254" s="1">
        <v>13</v>
      </c>
      <c r="F1254" s="1">
        <v>0.33</v>
      </c>
      <c r="G1254" s="1">
        <v>20260330</v>
      </c>
      <c r="H1254" t="b">
        <f t="shared" si="20"/>
        <v>0</v>
      </c>
      <c r="I1254" t="str" cm="1">
        <f t="array" ref="I1254">GET_TICKER_FINAL(C1254)</f>
        <v/>
      </c>
      <c r="J1254" s="5" t="s">
        <v>1792</v>
      </c>
    </row>
    <row r="1255" spans="1:10">
      <c r="A1255">
        <v>1254</v>
      </c>
      <c r="B1255" s="1" t="s">
        <v>888</v>
      </c>
      <c r="C1255" s="1" t="s">
        <v>1241</v>
      </c>
      <c r="D1255" s="1">
        <v>0</v>
      </c>
      <c r="E1255" s="1">
        <v>8</v>
      </c>
      <c r="F1255" s="1">
        <v>0.31</v>
      </c>
      <c r="G1255" s="1">
        <v>20260330</v>
      </c>
      <c r="H1255" t="b">
        <f t="shared" si="20"/>
        <v>1</v>
      </c>
      <c r="I1255" t="str" cm="1">
        <f t="array" ref="I1255">GET_TICKER_FINAL(C1255)</f>
        <v/>
      </c>
      <c r="J1255" s="5" t="s">
        <v>25</v>
      </c>
    </row>
    <row r="1256" spans="1:10">
      <c r="A1256">
        <v>1255</v>
      </c>
      <c r="B1256" s="1" t="s">
        <v>888</v>
      </c>
      <c r="C1256" s="1" t="s">
        <v>1242</v>
      </c>
      <c r="D1256" s="1">
        <v>0</v>
      </c>
      <c r="E1256" s="1">
        <v>33</v>
      </c>
      <c r="F1256" s="1">
        <v>0.27</v>
      </c>
      <c r="G1256" s="1">
        <v>20260330</v>
      </c>
      <c r="H1256" t="b">
        <f t="shared" si="20"/>
        <v>0</v>
      </c>
      <c r="I1256" t="str" cm="1">
        <f t="array" ref="I1256">GET_TICKER_FINAL(C1256)</f>
        <v/>
      </c>
      <c r="J1256" s="5" t="s">
        <v>1792</v>
      </c>
    </row>
    <row r="1257" spans="1:10">
      <c r="A1257">
        <v>1256</v>
      </c>
      <c r="B1257" s="1" t="s">
        <v>888</v>
      </c>
      <c r="C1257" s="1" t="s">
        <v>1243</v>
      </c>
      <c r="D1257" s="1">
        <v>0</v>
      </c>
      <c r="E1257" s="1">
        <v>11</v>
      </c>
      <c r="F1257" s="1">
        <v>0.46</v>
      </c>
      <c r="G1257" s="1">
        <v>20260402</v>
      </c>
      <c r="H1257" t="b">
        <f t="shared" si="20"/>
        <v>0</v>
      </c>
      <c r="I1257" t="str" cm="1">
        <f t="array" ref="I1257">GET_TICKER_FINAL(C1257)</f>
        <v/>
      </c>
      <c r="J1257" s="5" t="s">
        <v>25</v>
      </c>
    </row>
    <row r="1258" spans="1:10">
      <c r="A1258">
        <v>1257</v>
      </c>
      <c r="B1258" s="1" t="s">
        <v>888</v>
      </c>
      <c r="C1258" s="1" t="s">
        <v>1244</v>
      </c>
      <c r="D1258" s="1">
        <v>0</v>
      </c>
      <c r="E1258" s="1">
        <v>28</v>
      </c>
      <c r="F1258" s="1">
        <v>0.32</v>
      </c>
      <c r="G1258" s="1">
        <v>20260330</v>
      </c>
      <c r="H1258" t="b">
        <f t="shared" si="20"/>
        <v>0</v>
      </c>
      <c r="I1258" t="str" cm="1">
        <f t="array" ref="I1258">GET_TICKER_FINAL(C1258)</f>
        <v/>
      </c>
      <c r="J1258" s="5" t="s">
        <v>1792</v>
      </c>
    </row>
    <row r="1259" spans="1:10">
      <c r="A1259">
        <v>1258</v>
      </c>
      <c r="B1259" s="1" t="s">
        <v>888</v>
      </c>
      <c r="C1259" s="1" t="s">
        <v>1245</v>
      </c>
      <c r="D1259" s="1">
        <v>0</v>
      </c>
      <c r="E1259" s="1">
        <v>48</v>
      </c>
      <c r="F1259" s="1">
        <v>0.28000000000000003</v>
      </c>
      <c r="G1259" s="1">
        <v>20260330</v>
      </c>
      <c r="H1259" t="b">
        <f t="shared" si="20"/>
        <v>0</v>
      </c>
      <c r="I1259" t="str" cm="1">
        <f t="array" ref="I1259">GET_TICKER_FINAL(C1259)</f>
        <v/>
      </c>
      <c r="J1259" s="5" t="s">
        <v>16</v>
      </c>
    </row>
    <row r="1260" spans="1:10">
      <c r="A1260">
        <v>1259</v>
      </c>
      <c r="B1260" s="1" t="s">
        <v>888</v>
      </c>
      <c r="C1260" s="1" t="s">
        <v>1246</v>
      </c>
      <c r="D1260" s="1">
        <v>0</v>
      </c>
      <c r="E1260" s="1">
        <v>51</v>
      </c>
      <c r="F1260" s="1">
        <v>0.26</v>
      </c>
      <c r="G1260" s="1">
        <v>20260330</v>
      </c>
      <c r="H1260" t="b">
        <f t="shared" si="20"/>
        <v>0</v>
      </c>
      <c r="I1260" t="str" cm="1">
        <f t="array" ref="I1260">GET_TICKER_FINAL(C1260)</f>
        <v>SPY</v>
      </c>
      <c r="J1260" s="5" t="s">
        <v>16</v>
      </c>
    </row>
    <row r="1261" spans="1:10">
      <c r="A1261">
        <v>1260</v>
      </c>
      <c r="B1261" s="1" t="s">
        <v>888</v>
      </c>
      <c r="C1261" s="1" t="s">
        <v>1247</v>
      </c>
      <c r="D1261" s="1">
        <v>0</v>
      </c>
      <c r="E1261" s="1">
        <v>26</v>
      </c>
      <c r="F1261" s="1">
        <v>0.2</v>
      </c>
      <c r="G1261" s="1">
        <v>20260402</v>
      </c>
      <c r="H1261" t="b">
        <f t="shared" si="20"/>
        <v>0</v>
      </c>
      <c r="I1261" t="str" cm="1">
        <f t="array" ref="I1261">GET_TICKER_FINAL(C1261)</f>
        <v>MU</v>
      </c>
      <c r="J1261" s="5" t="s">
        <v>1792</v>
      </c>
    </row>
    <row r="1262" spans="1:10">
      <c r="A1262">
        <v>1261</v>
      </c>
      <c r="B1262" s="1" t="s">
        <v>888</v>
      </c>
      <c r="C1262" s="1" t="s">
        <v>1248</v>
      </c>
      <c r="D1262" s="1">
        <v>0</v>
      </c>
      <c r="E1262" s="1">
        <v>11</v>
      </c>
      <c r="F1262" s="1">
        <v>0.33</v>
      </c>
      <c r="G1262" s="1">
        <v>20260402</v>
      </c>
      <c r="H1262" t="b">
        <f t="shared" si="20"/>
        <v>0</v>
      </c>
      <c r="I1262" t="str" cm="1">
        <f t="array" ref="I1262">GET_TICKER_FINAL(C1262)</f>
        <v/>
      </c>
      <c r="J1262" s="5" t="s">
        <v>1792</v>
      </c>
    </row>
    <row r="1263" spans="1:10">
      <c r="A1263">
        <v>1262</v>
      </c>
      <c r="B1263" s="1" t="s">
        <v>888</v>
      </c>
      <c r="C1263" s="1" t="s">
        <v>1249</v>
      </c>
      <c r="D1263" s="1">
        <v>0</v>
      </c>
      <c r="E1263" s="1">
        <v>6</v>
      </c>
      <c r="F1263" s="1">
        <v>0.28999999999999998</v>
      </c>
      <c r="G1263" s="1">
        <v>20260402</v>
      </c>
      <c r="H1263" t="b">
        <f t="shared" si="20"/>
        <v>0</v>
      </c>
      <c r="I1263" t="str" cm="1">
        <f t="array" ref="I1263">GET_TICKER_FINAL(C1263)</f>
        <v>AAPL</v>
      </c>
      <c r="J1263" s="5" t="s">
        <v>1792</v>
      </c>
    </row>
    <row r="1264" spans="1:10">
      <c r="A1264">
        <v>1263</v>
      </c>
      <c r="B1264" s="1" t="s">
        <v>888</v>
      </c>
      <c r="C1264" s="1" t="s">
        <v>1250</v>
      </c>
      <c r="D1264" s="1">
        <v>0</v>
      </c>
      <c r="E1264" s="1">
        <v>8</v>
      </c>
      <c r="F1264" s="1">
        <v>0.42</v>
      </c>
      <c r="G1264" s="1">
        <v>20260402</v>
      </c>
      <c r="H1264" t="b">
        <f t="shared" si="20"/>
        <v>0</v>
      </c>
      <c r="I1264" t="str" cm="1">
        <f t="array" ref="I1264">GET_TICKER_FINAL(C1264)</f>
        <v/>
      </c>
      <c r="J1264" s="5" t="s">
        <v>1792</v>
      </c>
    </row>
    <row r="1265" spans="1:10">
      <c r="A1265">
        <v>1264</v>
      </c>
      <c r="B1265" s="1" t="s">
        <v>888</v>
      </c>
      <c r="C1265" s="1" t="s">
        <v>1251</v>
      </c>
      <c r="D1265" s="1">
        <v>0</v>
      </c>
      <c r="E1265" s="1">
        <v>4</v>
      </c>
      <c r="F1265" s="1">
        <v>0.23</v>
      </c>
      <c r="G1265" s="1">
        <v>20260402</v>
      </c>
      <c r="H1265" t="b">
        <f t="shared" si="20"/>
        <v>0</v>
      </c>
      <c r="I1265" t="str" cm="1">
        <f t="array" ref="I1265">GET_TICKER_FINAL(C1265)</f>
        <v/>
      </c>
      <c r="J1265" s="5" t="s">
        <v>1792</v>
      </c>
    </row>
    <row r="1266" spans="1:10">
      <c r="A1266">
        <v>1265</v>
      </c>
      <c r="B1266" s="1" t="s">
        <v>888</v>
      </c>
      <c r="C1266" s="1" t="s">
        <v>1252</v>
      </c>
      <c r="D1266" s="1">
        <v>0</v>
      </c>
      <c r="E1266" s="1">
        <v>29</v>
      </c>
      <c r="F1266" s="1">
        <v>0.38</v>
      </c>
      <c r="G1266" s="1">
        <v>20260330</v>
      </c>
      <c r="H1266" t="b">
        <f t="shared" si="20"/>
        <v>0</v>
      </c>
      <c r="I1266" t="str" cm="1">
        <f t="array" ref="I1266">GET_TICKER_FINAL(C1266)</f>
        <v/>
      </c>
      <c r="J1266" s="5" t="s">
        <v>25</v>
      </c>
    </row>
    <row r="1267" spans="1:10">
      <c r="A1267">
        <v>1266</v>
      </c>
      <c r="B1267" s="1" t="s">
        <v>888</v>
      </c>
      <c r="C1267" s="1" t="s">
        <v>1253</v>
      </c>
      <c r="D1267" s="1">
        <v>0</v>
      </c>
      <c r="E1267" s="1">
        <v>10</v>
      </c>
      <c r="F1267" s="1">
        <v>0.17</v>
      </c>
      <c r="G1267" s="1">
        <v>20260402</v>
      </c>
      <c r="H1267" t="b">
        <f t="shared" si="20"/>
        <v>0</v>
      </c>
      <c r="I1267" t="str" cm="1">
        <f t="array" ref="I1267">GET_TICKER_FINAL(C1267)</f>
        <v/>
      </c>
      <c r="J1267" s="5" t="s">
        <v>25</v>
      </c>
    </row>
    <row r="1268" spans="1:10">
      <c r="A1268">
        <v>1267</v>
      </c>
      <c r="B1268" s="1" t="s">
        <v>888</v>
      </c>
      <c r="C1268" s="1" t="s">
        <v>1254</v>
      </c>
      <c r="D1268" s="1">
        <v>0</v>
      </c>
      <c r="E1268" s="1">
        <v>81</v>
      </c>
      <c r="F1268" s="1">
        <v>0.43</v>
      </c>
      <c r="G1268" s="1">
        <v>20260402</v>
      </c>
      <c r="H1268" t="b">
        <f t="shared" si="20"/>
        <v>0</v>
      </c>
      <c r="I1268" t="str" cm="1">
        <f t="array" ref="I1268">GET_TICKER_FINAL(C1268)</f>
        <v/>
      </c>
      <c r="J1268" s="5" t="s">
        <v>16</v>
      </c>
    </row>
    <row r="1269" spans="1:10">
      <c r="A1269">
        <v>1268</v>
      </c>
      <c r="B1269" s="1" t="s">
        <v>888</v>
      </c>
      <c r="C1269" s="1" t="s">
        <v>1255</v>
      </c>
      <c r="D1269" s="1">
        <v>0</v>
      </c>
      <c r="E1269" s="1">
        <v>33</v>
      </c>
      <c r="F1269" s="1">
        <v>0.37</v>
      </c>
      <c r="G1269" s="1">
        <v>20260402</v>
      </c>
      <c r="H1269" t="b">
        <f t="shared" si="20"/>
        <v>0</v>
      </c>
      <c r="I1269" t="str" cm="1">
        <f t="array" ref="I1269">GET_TICKER_FINAL(C1269)</f>
        <v/>
      </c>
      <c r="J1269" s="5" t="s">
        <v>16</v>
      </c>
    </row>
    <row r="1270" spans="1:10">
      <c r="A1270">
        <v>1269</v>
      </c>
      <c r="B1270" s="1" t="s">
        <v>888</v>
      </c>
      <c r="C1270" s="1" t="s">
        <v>1256</v>
      </c>
      <c r="D1270" s="1">
        <v>0</v>
      </c>
      <c r="E1270" s="1">
        <v>119</v>
      </c>
      <c r="F1270" s="1">
        <v>0.48</v>
      </c>
      <c r="G1270" s="1">
        <v>20260402</v>
      </c>
      <c r="H1270" t="b">
        <f t="shared" si="20"/>
        <v>0</v>
      </c>
      <c r="I1270" t="str" cm="1">
        <f t="array" ref="I1270">GET_TICKER_FINAL(C1270)</f>
        <v/>
      </c>
      <c r="J1270" s="5" t="s">
        <v>25</v>
      </c>
    </row>
    <row r="1271" spans="1:10">
      <c r="A1271">
        <v>1270</v>
      </c>
      <c r="B1271" s="1" t="s">
        <v>888</v>
      </c>
      <c r="C1271" s="1" t="s">
        <v>1257</v>
      </c>
      <c r="D1271" s="1">
        <v>0</v>
      </c>
      <c r="E1271" s="1">
        <v>7</v>
      </c>
      <c r="F1271" s="1">
        <v>0.37</v>
      </c>
      <c r="G1271" s="1">
        <v>20260402</v>
      </c>
      <c r="H1271" t="b">
        <f t="shared" si="20"/>
        <v>0</v>
      </c>
      <c r="I1271" t="str" cm="1">
        <f t="array" ref="I1271">GET_TICKER_FINAL(C1271)</f>
        <v/>
      </c>
      <c r="J1271" s="5" t="s">
        <v>16</v>
      </c>
    </row>
    <row r="1272" spans="1:10">
      <c r="A1272">
        <v>1271</v>
      </c>
      <c r="B1272" s="1" t="s">
        <v>888</v>
      </c>
      <c r="C1272" s="1" t="s">
        <v>1258</v>
      </c>
      <c r="D1272" s="1">
        <v>0</v>
      </c>
      <c r="E1272" s="1">
        <v>16</v>
      </c>
      <c r="F1272" s="1">
        <v>0.33</v>
      </c>
      <c r="G1272" s="1">
        <v>20260402</v>
      </c>
      <c r="H1272" t="b">
        <f t="shared" si="20"/>
        <v>0</v>
      </c>
      <c r="I1272" t="str" cm="1">
        <f t="array" ref="I1272">GET_TICKER_FINAL(C1272)</f>
        <v/>
      </c>
      <c r="J1272" s="5" t="s">
        <v>16</v>
      </c>
    </row>
    <row r="1273" spans="1:10">
      <c r="A1273">
        <v>1272</v>
      </c>
      <c r="B1273" s="1" t="s">
        <v>888</v>
      </c>
      <c r="C1273" s="1" t="s">
        <v>1259</v>
      </c>
      <c r="D1273" s="1">
        <v>0</v>
      </c>
      <c r="E1273" s="1">
        <v>49</v>
      </c>
      <c r="F1273" s="1">
        <v>0.33</v>
      </c>
      <c r="G1273" s="1">
        <v>20260402</v>
      </c>
      <c r="H1273" t="b">
        <f t="shared" si="20"/>
        <v>0</v>
      </c>
      <c r="I1273" t="str" cm="1">
        <f t="array" ref="I1273">GET_TICKER_FINAL(C1273)</f>
        <v/>
      </c>
      <c r="J1273" s="5" t="s">
        <v>16</v>
      </c>
    </row>
    <row r="1274" spans="1:10">
      <c r="A1274">
        <v>1273</v>
      </c>
      <c r="B1274" s="1" t="s">
        <v>888</v>
      </c>
      <c r="C1274" s="1" t="s">
        <v>1260</v>
      </c>
      <c r="D1274" s="1">
        <v>0</v>
      </c>
      <c r="E1274" s="1">
        <v>28</v>
      </c>
      <c r="F1274" s="1">
        <v>0.19</v>
      </c>
      <c r="G1274" s="1">
        <v>20260402</v>
      </c>
      <c r="H1274" t="b">
        <f t="shared" si="20"/>
        <v>0</v>
      </c>
      <c r="I1274" t="str" cm="1">
        <f t="array" ref="I1274">GET_TICKER_FINAL(C1274)</f>
        <v>SNAP</v>
      </c>
      <c r="J1274" s="5" t="s">
        <v>25</v>
      </c>
    </row>
    <row r="1275" spans="1:10">
      <c r="A1275">
        <v>1274</v>
      </c>
      <c r="B1275" s="1" t="s">
        <v>888</v>
      </c>
      <c r="C1275" s="1" t="s">
        <v>1261</v>
      </c>
      <c r="D1275" s="1">
        <v>0</v>
      </c>
      <c r="E1275" s="1">
        <v>8</v>
      </c>
      <c r="F1275" s="1">
        <v>0.27</v>
      </c>
      <c r="G1275" s="1">
        <v>20260402</v>
      </c>
      <c r="H1275" t="b">
        <f t="shared" si="20"/>
        <v>0</v>
      </c>
      <c r="I1275" t="str" cm="1">
        <f t="array" ref="I1275">GET_TICKER_FINAL(C1275)</f>
        <v/>
      </c>
      <c r="J1275" s="5" t="s">
        <v>1792</v>
      </c>
    </row>
    <row r="1276" spans="1:10">
      <c r="A1276">
        <v>1275</v>
      </c>
      <c r="B1276" s="1" t="s">
        <v>888</v>
      </c>
      <c r="C1276" s="1" t="s">
        <v>1262</v>
      </c>
      <c r="D1276" s="1">
        <v>0</v>
      </c>
      <c r="E1276" s="1">
        <v>1</v>
      </c>
      <c r="F1276" s="1">
        <v>0.19</v>
      </c>
      <c r="G1276" s="1">
        <v>20260402</v>
      </c>
      <c r="H1276" t="b">
        <f t="shared" si="20"/>
        <v>0</v>
      </c>
      <c r="I1276" t="str" cm="1">
        <f t="array" ref="I1276">GET_TICKER_FINAL(C1276)</f>
        <v/>
      </c>
      <c r="J1276" s="5" t="s">
        <v>1792</v>
      </c>
    </row>
    <row r="1277" spans="1:10">
      <c r="A1277">
        <v>1276</v>
      </c>
      <c r="B1277" s="1" t="s">
        <v>888</v>
      </c>
      <c r="C1277" s="1" t="s">
        <v>1263</v>
      </c>
      <c r="D1277" s="1">
        <v>0</v>
      </c>
      <c r="E1277" s="1">
        <v>12</v>
      </c>
      <c r="F1277" s="1">
        <v>0.33</v>
      </c>
      <c r="G1277" s="1">
        <v>20260402</v>
      </c>
      <c r="H1277" t="b">
        <f t="shared" si="20"/>
        <v>0</v>
      </c>
      <c r="I1277" t="str" cm="1">
        <f t="array" ref="I1277">GET_TICKER_FINAL(C1277)</f>
        <v/>
      </c>
      <c r="J1277" s="5" t="s">
        <v>1792</v>
      </c>
    </row>
    <row r="1278" spans="1:10">
      <c r="A1278">
        <v>1277</v>
      </c>
      <c r="B1278" s="1" t="s">
        <v>888</v>
      </c>
      <c r="C1278" s="1" t="s">
        <v>1264</v>
      </c>
      <c r="D1278" s="1">
        <v>0</v>
      </c>
      <c r="E1278" s="1">
        <v>4</v>
      </c>
      <c r="F1278" s="1">
        <v>0.2</v>
      </c>
      <c r="G1278" s="1">
        <v>20260330</v>
      </c>
      <c r="H1278" t="b">
        <f t="shared" si="20"/>
        <v>0</v>
      </c>
      <c r="I1278" t="str" cm="1">
        <f t="array" ref="I1278">GET_TICKER_FINAL(C1278)</f>
        <v>SPY</v>
      </c>
      <c r="J1278" s="5" t="s">
        <v>1792</v>
      </c>
    </row>
    <row r="1279" spans="1:10">
      <c r="A1279">
        <v>1278</v>
      </c>
      <c r="B1279" s="1" t="s">
        <v>888</v>
      </c>
      <c r="C1279" s="1" t="s">
        <v>226</v>
      </c>
      <c r="D1279" s="1">
        <v>0</v>
      </c>
      <c r="E1279" s="1">
        <v>33</v>
      </c>
      <c r="F1279" s="1">
        <v>0.41</v>
      </c>
      <c r="G1279" s="1">
        <v>20260402</v>
      </c>
      <c r="H1279" t="b">
        <f t="shared" si="20"/>
        <v>0</v>
      </c>
      <c r="I1279" t="str" cm="1">
        <f t="array" ref="I1279">GET_TICKER_FINAL(C1279)</f>
        <v/>
      </c>
      <c r="J1279" s="5" t="s">
        <v>1792</v>
      </c>
    </row>
    <row r="1280" spans="1:10">
      <c r="A1280">
        <v>1279</v>
      </c>
      <c r="B1280" s="1" t="s">
        <v>888</v>
      </c>
      <c r="C1280" s="1" t="s">
        <v>1265</v>
      </c>
      <c r="D1280" s="1">
        <v>0</v>
      </c>
      <c r="E1280" s="1">
        <v>32</v>
      </c>
      <c r="F1280" s="1">
        <v>0.39</v>
      </c>
      <c r="G1280" s="1">
        <v>20260402</v>
      </c>
      <c r="H1280" t="b">
        <f t="shared" si="20"/>
        <v>0</v>
      </c>
      <c r="I1280" t="str" cm="1">
        <f t="array" ref="I1280">GET_TICKER_FINAL(C1280)</f>
        <v/>
      </c>
      <c r="J1280" s="5" t="s">
        <v>25</v>
      </c>
    </row>
    <row r="1281" spans="1:10">
      <c r="A1281">
        <v>1280</v>
      </c>
      <c r="B1281" s="1" t="s">
        <v>888</v>
      </c>
      <c r="C1281" s="1" t="s">
        <v>1266</v>
      </c>
      <c r="D1281" s="1">
        <v>0</v>
      </c>
      <c r="E1281" s="1">
        <v>11</v>
      </c>
      <c r="F1281" s="1">
        <v>0.33</v>
      </c>
      <c r="G1281" s="1">
        <v>20260330</v>
      </c>
      <c r="H1281" t="b">
        <f t="shared" si="20"/>
        <v>0</v>
      </c>
      <c r="I1281" t="str" cm="1">
        <f t="array" ref="I1281">GET_TICKER_FINAL(C1281)</f>
        <v/>
      </c>
      <c r="J1281" s="5" t="s">
        <v>16</v>
      </c>
    </row>
    <row r="1282" spans="1:10">
      <c r="A1282">
        <v>1281</v>
      </c>
      <c r="B1282" s="1" t="s">
        <v>888</v>
      </c>
      <c r="C1282" s="1" t="s">
        <v>1267</v>
      </c>
      <c r="D1282" s="1">
        <v>0</v>
      </c>
      <c r="E1282" s="1">
        <v>29</v>
      </c>
      <c r="F1282" s="1">
        <v>0.43</v>
      </c>
      <c r="G1282" s="1">
        <v>20260402</v>
      </c>
      <c r="H1282" t="b">
        <f t="shared" si="20"/>
        <v>0</v>
      </c>
      <c r="I1282" t="str" cm="1">
        <f t="array" ref="I1282">GET_TICKER_FINAL(C1282)</f>
        <v/>
      </c>
      <c r="J1282" s="5" t="s">
        <v>16</v>
      </c>
    </row>
    <row r="1283" spans="1:10">
      <c r="A1283">
        <v>1282</v>
      </c>
      <c r="B1283" s="1" t="s">
        <v>888</v>
      </c>
      <c r="C1283" s="1" t="s">
        <v>1268</v>
      </c>
      <c r="D1283" s="1">
        <v>0</v>
      </c>
      <c r="E1283" s="1">
        <v>40</v>
      </c>
      <c r="F1283" s="1">
        <v>0.33</v>
      </c>
      <c r="G1283" s="1">
        <v>20260402</v>
      </c>
      <c r="H1283" t="b">
        <f t="shared" ref="H1283:H1346" si="21">OR(ISNUMBER(SEARCH("$A",C1283)),ISNUMBER(SEARCH("$B",C1283)),ISNUMBER(SEARCH("$C",C1283)),ISNUMBER(SEARCH("$D",C1283)),ISNUMBER(SEARCH("$E",C1283)),ISNUMBER(SEARCH("$F",C1283)),ISNUMBER(SEARCH("$G",C1283)),ISNUMBER(SEARCH("$H",C1283)),ISNUMBER(SEARCH("$I",C1283)),ISNUMBER(SEARCH("$J",C1283)),ISNUMBER(SEARCH("$K",C1283)),ISNUMBER(SEARCH("$L",C1283)),ISNUMBER(SEARCH("$M",C1283)),ISNUMBER(SEARCH("$N",C1283)),ISNUMBER(SEARCH("$O",C1283)),ISNUMBER(SEARCH("$P",C1283)),ISNUMBER(SEARCH("$Q",C1283)),ISNUMBER(SEARCH("$R",C1283)),ISNUMBER(SEARCH("$S",C1283)),ISNUMBER(SEARCH("$T",C1283)),ISNUMBER(SEARCH("$U",C1283)),ISNUMBER(SEARCH("$V",C1283)),ISNUMBER(SEARCH("$W",C1283)),ISNUMBER(SEARCH("$X",C1283)),ISNUMBER(SEARCH("$Y",C1283)),ISNUMBER(SEARCH("$Z",C1283)))</f>
        <v>0</v>
      </c>
      <c r="I1283" t="str" cm="1">
        <f t="array" ref="I1283">GET_TICKER_FINAL(C1283)</f>
        <v>MSFT</v>
      </c>
      <c r="J1283" s="5" t="s">
        <v>1792</v>
      </c>
    </row>
    <row r="1284" spans="1:10">
      <c r="A1284">
        <v>1283</v>
      </c>
      <c r="B1284" s="1" t="s">
        <v>888</v>
      </c>
      <c r="C1284" s="1" t="s">
        <v>1269</v>
      </c>
      <c r="D1284" s="1">
        <v>0</v>
      </c>
      <c r="E1284" s="1">
        <v>65</v>
      </c>
      <c r="F1284" s="1">
        <v>0.46</v>
      </c>
      <c r="G1284" s="1">
        <v>20260402</v>
      </c>
      <c r="H1284" t="b">
        <f t="shared" si="21"/>
        <v>0</v>
      </c>
      <c r="I1284" t="str" cm="1">
        <f t="array" ref="I1284">GET_TICKER_FINAL(C1284)</f>
        <v/>
      </c>
      <c r="J1284" s="5" t="s">
        <v>16</v>
      </c>
    </row>
    <row r="1285" spans="1:10">
      <c r="A1285">
        <v>1284</v>
      </c>
      <c r="B1285" s="1" t="s">
        <v>888</v>
      </c>
      <c r="C1285" s="1" t="s">
        <v>1270</v>
      </c>
      <c r="D1285" s="1">
        <v>0</v>
      </c>
      <c r="E1285" s="1">
        <v>30</v>
      </c>
      <c r="F1285" s="1">
        <v>0.38</v>
      </c>
      <c r="G1285" s="1">
        <v>20260402</v>
      </c>
      <c r="H1285" t="b">
        <f t="shared" si="21"/>
        <v>0</v>
      </c>
      <c r="I1285" t="str" cm="1">
        <f t="array" ref="I1285">GET_TICKER_FINAL(C1285)</f>
        <v>TSLA</v>
      </c>
      <c r="J1285" s="5" t="s">
        <v>16</v>
      </c>
    </row>
    <row r="1286" spans="1:10">
      <c r="A1286">
        <v>1285</v>
      </c>
      <c r="B1286" s="1" t="s">
        <v>888</v>
      </c>
      <c r="C1286" s="1" t="s">
        <v>1271</v>
      </c>
      <c r="D1286" s="1">
        <v>0</v>
      </c>
      <c r="E1286" s="1">
        <v>19</v>
      </c>
      <c r="F1286" s="1">
        <v>0.21</v>
      </c>
      <c r="G1286" s="1">
        <v>20260402</v>
      </c>
      <c r="H1286" t="b">
        <f t="shared" si="21"/>
        <v>0</v>
      </c>
      <c r="I1286" t="str" cm="1">
        <f t="array" ref="I1286">GET_TICKER_FINAL(C1286)</f>
        <v/>
      </c>
      <c r="J1286" s="5" t="s">
        <v>1792</v>
      </c>
    </row>
    <row r="1287" spans="1:10">
      <c r="A1287">
        <v>1286</v>
      </c>
      <c r="B1287" s="1" t="s">
        <v>888</v>
      </c>
      <c r="C1287" s="1" t="s">
        <v>1272</v>
      </c>
      <c r="D1287" s="1">
        <v>0</v>
      </c>
      <c r="E1287" s="1">
        <v>23</v>
      </c>
      <c r="F1287" s="1">
        <v>0.33</v>
      </c>
      <c r="G1287" s="1">
        <v>20260401</v>
      </c>
      <c r="H1287" t="b">
        <f t="shared" si="21"/>
        <v>0</v>
      </c>
      <c r="I1287" t="str" cm="1">
        <f t="array" ref="I1287">GET_TICKER_FINAL(C1287)</f>
        <v/>
      </c>
      <c r="J1287" s="5" t="s">
        <v>1792</v>
      </c>
    </row>
    <row r="1288" spans="1:10">
      <c r="A1288">
        <v>1287</v>
      </c>
      <c r="B1288" s="1" t="s">
        <v>888</v>
      </c>
      <c r="C1288" s="1" t="s">
        <v>1273</v>
      </c>
      <c r="D1288" s="1">
        <v>0</v>
      </c>
      <c r="E1288" s="1">
        <v>18</v>
      </c>
      <c r="F1288" s="1">
        <v>0.25</v>
      </c>
      <c r="G1288" s="1">
        <v>20260320</v>
      </c>
      <c r="H1288" t="b">
        <f t="shared" si="21"/>
        <v>0</v>
      </c>
      <c r="I1288" t="str" cm="1">
        <f t="array" ref="I1288">GET_TICKER_FINAL(C1288)</f>
        <v/>
      </c>
      <c r="J1288" s="5" t="s">
        <v>25</v>
      </c>
    </row>
    <row r="1289" spans="1:10">
      <c r="A1289">
        <v>1288</v>
      </c>
      <c r="B1289" s="1" t="s">
        <v>888</v>
      </c>
      <c r="C1289" s="1" t="s">
        <v>1274</v>
      </c>
      <c r="D1289" s="1">
        <v>0</v>
      </c>
      <c r="E1289" s="1">
        <v>26</v>
      </c>
      <c r="F1289" s="1">
        <v>0.5</v>
      </c>
      <c r="G1289" s="1">
        <v>20260320</v>
      </c>
      <c r="H1289" t="b">
        <f t="shared" si="21"/>
        <v>0</v>
      </c>
      <c r="I1289" t="str" cm="1">
        <f t="array" ref="I1289">GET_TICKER_FINAL(C1289)</f>
        <v/>
      </c>
      <c r="J1289" s="5" t="s">
        <v>25</v>
      </c>
    </row>
    <row r="1290" spans="1:10">
      <c r="A1290">
        <v>1289</v>
      </c>
      <c r="B1290" s="1" t="s">
        <v>888</v>
      </c>
      <c r="C1290" s="1" t="s">
        <v>1275</v>
      </c>
      <c r="D1290" s="1">
        <v>0</v>
      </c>
      <c r="E1290" s="1">
        <v>25</v>
      </c>
      <c r="F1290" s="1">
        <v>0.5</v>
      </c>
      <c r="G1290" s="1">
        <v>20260320</v>
      </c>
      <c r="H1290" t="b">
        <f t="shared" si="21"/>
        <v>0</v>
      </c>
      <c r="I1290" t="str" cm="1">
        <f t="array" ref="I1290">GET_TICKER_FINAL(C1290)</f>
        <v/>
      </c>
      <c r="J1290" s="5" t="s">
        <v>1792</v>
      </c>
    </row>
    <row r="1291" spans="1:10">
      <c r="A1291">
        <v>1290</v>
      </c>
      <c r="B1291" s="1" t="s">
        <v>888</v>
      </c>
      <c r="C1291" s="1" t="s">
        <v>1276</v>
      </c>
      <c r="D1291" s="1">
        <v>0</v>
      </c>
      <c r="E1291" s="1">
        <v>31</v>
      </c>
      <c r="F1291" s="1">
        <v>0.47</v>
      </c>
      <c r="G1291" s="1">
        <v>20260320</v>
      </c>
      <c r="H1291" t="b">
        <f t="shared" si="21"/>
        <v>0</v>
      </c>
      <c r="I1291" t="str" cm="1">
        <f t="array" ref="I1291">GET_TICKER_FINAL(C1291)</f>
        <v/>
      </c>
      <c r="J1291" s="5" t="s">
        <v>1792</v>
      </c>
    </row>
    <row r="1292" spans="1:10">
      <c r="A1292">
        <v>1291</v>
      </c>
      <c r="B1292" s="1" t="s">
        <v>888</v>
      </c>
      <c r="C1292" s="1" t="s">
        <v>1277</v>
      </c>
      <c r="D1292" s="1">
        <v>0</v>
      </c>
      <c r="E1292" s="1">
        <v>73</v>
      </c>
      <c r="F1292" s="1">
        <v>0.31</v>
      </c>
      <c r="G1292" s="1">
        <v>20260320</v>
      </c>
      <c r="H1292" t="b">
        <f t="shared" si="21"/>
        <v>0</v>
      </c>
      <c r="I1292" t="str" cm="1">
        <f t="array" ref="I1292">GET_TICKER_FINAL(C1292)</f>
        <v/>
      </c>
      <c r="J1292" s="5" t="s">
        <v>25</v>
      </c>
    </row>
    <row r="1293" spans="1:10">
      <c r="A1293">
        <v>1292</v>
      </c>
      <c r="B1293" s="1" t="s">
        <v>888</v>
      </c>
      <c r="C1293" s="1" t="s">
        <v>1278</v>
      </c>
      <c r="D1293" s="1">
        <v>0</v>
      </c>
      <c r="E1293" s="1">
        <v>8</v>
      </c>
      <c r="F1293" s="1">
        <v>0.13</v>
      </c>
      <c r="G1293" s="1">
        <v>20260320</v>
      </c>
      <c r="H1293" t="b">
        <f t="shared" si="21"/>
        <v>0</v>
      </c>
      <c r="I1293" t="str" cm="1">
        <f t="array" ref="I1293">GET_TICKER_FINAL(C1293)</f>
        <v>SNAP</v>
      </c>
      <c r="J1293" s="5" t="s">
        <v>28</v>
      </c>
    </row>
    <row r="1294" spans="1:10">
      <c r="A1294">
        <v>1293</v>
      </c>
      <c r="B1294" s="1" t="s">
        <v>888</v>
      </c>
      <c r="C1294" s="1" t="s">
        <v>1279</v>
      </c>
      <c r="D1294" s="1">
        <v>0</v>
      </c>
      <c r="E1294" s="1">
        <v>1</v>
      </c>
      <c r="F1294" s="1">
        <v>0.36</v>
      </c>
      <c r="G1294" s="1">
        <v>20260320</v>
      </c>
      <c r="H1294" t="b">
        <f t="shared" si="21"/>
        <v>0</v>
      </c>
      <c r="I1294" t="str" cm="1">
        <f t="array" ref="I1294">GET_TICKER_FINAL(C1294)</f>
        <v/>
      </c>
      <c r="J1294" s="5" t="s">
        <v>1792</v>
      </c>
    </row>
    <row r="1295" spans="1:10">
      <c r="A1295">
        <v>1294</v>
      </c>
      <c r="B1295" s="1" t="s">
        <v>888</v>
      </c>
      <c r="C1295" s="1" t="s">
        <v>1280</v>
      </c>
      <c r="D1295" s="1">
        <v>0</v>
      </c>
      <c r="E1295" s="1">
        <v>16</v>
      </c>
      <c r="F1295" s="1">
        <v>0.23</v>
      </c>
      <c r="G1295" s="1">
        <v>20260320</v>
      </c>
      <c r="H1295" t="b">
        <f t="shared" si="21"/>
        <v>0</v>
      </c>
      <c r="I1295" t="str" cm="1">
        <f t="array" ref="I1295">GET_TICKER_FINAL(C1295)</f>
        <v/>
      </c>
      <c r="J1295" s="5" t="s">
        <v>1792</v>
      </c>
    </row>
    <row r="1296" spans="1:10">
      <c r="A1296">
        <v>1295</v>
      </c>
      <c r="B1296" s="1" t="s">
        <v>888</v>
      </c>
      <c r="C1296" s="1" t="s">
        <v>1281</v>
      </c>
      <c r="D1296" s="1">
        <v>0</v>
      </c>
      <c r="E1296" s="1">
        <v>71</v>
      </c>
      <c r="F1296" s="1">
        <v>0.21</v>
      </c>
      <c r="G1296" s="1">
        <v>20260320</v>
      </c>
      <c r="H1296" t="b">
        <f t="shared" si="21"/>
        <v>0</v>
      </c>
      <c r="I1296" t="str" cm="1">
        <f t="array" ref="I1296">GET_TICKER_FINAL(C1296)</f>
        <v/>
      </c>
      <c r="J1296" s="5" t="s">
        <v>16</v>
      </c>
    </row>
    <row r="1297" spans="1:10">
      <c r="A1297">
        <v>1296</v>
      </c>
      <c r="B1297" s="1" t="s">
        <v>888</v>
      </c>
      <c r="C1297" s="1" t="s">
        <v>1282</v>
      </c>
      <c r="D1297" s="1">
        <v>0</v>
      </c>
      <c r="E1297" s="1">
        <v>0</v>
      </c>
      <c r="F1297" s="1">
        <v>0.4</v>
      </c>
      <c r="G1297" s="1">
        <v>20260320</v>
      </c>
      <c r="H1297" t="b">
        <f t="shared" si="21"/>
        <v>0</v>
      </c>
      <c r="I1297" t="str" cm="1">
        <f t="array" ref="I1297">GET_TICKER_FINAL(C1297)</f>
        <v/>
      </c>
      <c r="J1297" s="5" t="s">
        <v>1792</v>
      </c>
    </row>
    <row r="1298" spans="1:10">
      <c r="A1298">
        <v>1297</v>
      </c>
      <c r="B1298" s="1" t="s">
        <v>888</v>
      </c>
      <c r="C1298" s="1" t="s">
        <v>1283</v>
      </c>
      <c r="D1298" s="1">
        <v>0</v>
      </c>
      <c r="E1298" s="1">
        <v>47</v>
      </c>
      <c r="F1298" s="1">
        <v>0.42</v>
      </c>
      <c r="G1298" s="1">
        <v>20260320</v>
      </c>
      <c r="H1298" t="b">
        <f t="shared" si="21"/>
        <v>0</v>
      </c>
      <c r="I1298" t="str" cm="1">
        <f t="array" ref="I1298">GET_TICKER_FINAL(C1298)</f>
        <v/>
      </c>
      <c r="J1298" s="5" t="s">
        <v>1792</v>
      </c>
    </row>
    <row r="1299" spans="1:10">
      <c r="A1299">
        <v>1298</v>
      </c>
      <c r="B1299" s="1" t="s">
        <v>888</v>
      </c>
      <c r="C1299" s="1" t="s">
        <v>1284</v>
      </c>
      <c r="D1299" s="1">
        <v>0</v>
      </c>
      <c r="E1299" s="1">
        <v>15</v>
      </c>
      <c r="F1299" s="1">
        <v>0.43</v>
      </c>
      <c r="G1299" s="1">
        <v>20260327</v>
      </c>
      <c r="H1299" t="b">
        <f t="shared" si="21"/>
        <v>0</v>
      </c>
      <c r="I1299" t="str" cm="1">
        <f t="array" ref="I1299">GET_TICKER_FINAL(C1299)</f>
        <v/>
      </c>
      <c r="J1299" s="5" t="s">
        <v>28</v>
      </c>
    </row>
    <row r="1300" spans="1:10">
      <c r="A1300">
        <v>1299</v>
      </c>
      <c r="B1300" s="1" t="s">
        <v>888</v>
      </c>
      <c r="C1300" s="1" t="s">
        <v>1285</v>
      </c>
      <c r="D1300" s="1">
        <v>0</v>
      </c>
      <c r="E1300" s="1">
        <v>28</v>
      </c>
      <c r="F1300" s="1">
        <v>0.41</v>
      </c>
      <c r="G1300" s="1">
        <v>20260327</v>
      </c>
      <c r="H1300" t="b">
        <f t="shared" si="21"/>
        <v>0</v>
      </c>
      <c r="I1300" t="str" cm="1">
        <f t="array" ref="I1300">GET_TICKER_FINAL(C1300)</f>
        <v>SNAP</v>
      </c>
      <c r="J1300" s="5" t="s">
        <v>16</v>
      </c>
    </row>
    <row r="1301" spans="1:10">
      <c r="A1301">
        <v>1300</v>
      </c>
      <c r="B1301" s="1" t="s">
        <v>888</v>
      </c>
      <c r="C1301" s="1" t="s">
        <v>1286</v>
      </c>
      <c r="D1301" s="1">
        <v>0</v>
      </c>
      <c r="E1301" s="1">
        <v>4</v>
      </c>
      <c r="F1301" s="1">
        <v>0.43</v>
      </c>
      <c r="G1301" s="1">
        <v>20260320</v>
      </c>
      <c r="H1301" t="b">
        <f t="shared" si="21"/>
        <v>0</v>
      </c>
      <c r="I1301" t="str" cm="1">
        <f t="array" ref="I1301">GET_TICKER_FINAL(C1301)</f>
        <v/>
      </c>
      <c r="J1301" s="5" t="s">
        <v>28</v>
      </c>
    </row>
    <row r="1302" spans="1:10">
      <c r="A1302">
        <v>1301</v>
      </c>
      <c r="B1302" s="1" t="s">
        <v>888</v>
      </c>
      <c r="C1302" s="1" t="s">
        <v>1287</v>
      </c>
      <c r="D1302" s="1">
        <v>0</v>
      </c>
      <c r="E1302" s="1">
        <v>7</v>
      </c>
      <c r="F1302" s="1">
        <v>0.23</v>
      </c>
      <c r="G1302" s="1">
        <v>20260320</v>
      </c>
      <c r="H1302" t="b">
        <f t="shared" si="21"/>
        <v>0</v>
      </c>
      <c r="I1302" t="str" cm="1">
        <f t="array" ref="I1302">GET_TICKER_FINAL(C1302)</f>
        <v/>
      </c>
      <c r="J1302" s="5" t="s">
        <v>16</v>
      </c>
    </row>
    <row r="1303" spans="1:10">
      <c r="A1303">
        <v>1302</v>
      </c>
      <c r="B1303" s="1" t="s">
        <v>888</v>
      </c>
      <c r="C1303" s="1" t="s">
        <v>1288</v>
      </c>
      <c r="D1303" s="1">
        <v>0</v>
      </c>
      <c r="E1303" s="1">
        <v>64</v>
      </c>
      <c r="F1303" s="1">
        <v>0.4</v>
      </c>
      <c r="G1303" s="1">
        <v>20260327</v>
      </c>
      <c r="H1303" t="b">
        <f t="shared" si="21"/>
        <v>0</v>
      </c>
      <c r="I1303" t="str" cm="1">
        <f t="array" ref="I1303">GET_TICKER_FINAL(C1303)</f>
        <v/>
      </c>
      <c r="J1303" s="5" t="s">
        <v>16</v>
      </c>
    </row>
    <row r="1304" spans="1:10">
      <c r="A1304">
        <v>1303</v>
      </c>
      <c r="B1304" s="1" t="s">
        <v>888</v>
      </c>
      <c r="C1304" s="1" t="s">
        <v>1289</v>
      </c>
      <c r="D1304" s="1">
        <v>0</v>
      </c>
      <c r="E1304" s="1">
        <v>45</v>
      </c>
      <c r="F1304" s="1">
        <v>0.36</v>
      </c>
      <c r="G1304" s="1">
        <v>20260320</v>
      </c>
      <c r="H1304" t="b">
        <f t="shared" si="21"/>
        <v>0</v>
      </c>
      <c r="I1304" t="str" cm="1">
        <f t="array" ref="I1304">GET_TICKER_FINAL(C1304)</f>
        <v/>
      </c>
      <c r="J1304" s="5" t="s">
        <v>1792</v>
      </c>
    </row>
    <row r="1305" spans="1:10">
      <c r="A1305">
        <v>1304</v>
      </c>
      <c r="B1305" s="1" t="s">
        <v>888</v>
      </c>
      <c r="C1305" s="1" t="s">
        <v>1290</v>
      </c>
      <c r="D1305" s="1">
        <v>0</v>
      </c>
      <c r="E1305" s="1">
        <v>0</v>
      </c>
      <c r="F1305" s="1">
        <v>0.2</v>
      </c>
      <c r="G1305" s="1">
        <v>20260320</v>
      </c>
      <c r="H1305" t="b">
        <f t="shared" si="21"/>
        <v>0</v>
      </c>
      <c r="I1305" t="str" cm="1">
        <f t="array" ref="I1305">GET_TICKER_FINAL(C1305)</f>
        <v/>
      </c>
      <c r="J1305" s="5" t="s">
        <v>1792</v>
      </c>
    </row>
    <row r="1306" spans="1:10">
      <c r="A1306">
        <v>1305</v>
      </c>
      <c r="B1306" s="1" t="s">
        <v>888</v>
      </c>
      <c r="C1306" s="1" t="s">
        <v>1291</v>
      </c>
      <c r="D1306" s="1">
        <v>0</v>
      </c>
      <c r="E1306" s="1">
        <v>36</v>
      </c>
      <c r="F1306" s="1">
        <v>0.33</v>
      </c>
      <c r="G1306" s="1">
        <v>20260320</v>
      </c>
      <c r="H1306" t="b">
        <f t="shared" si="21"/>
        <v>0</v>
      </c>
      <c r="I1306" t="str" cm="1">
        <f t="array" ref="I1306">GET_TICKER_FINAL(C1306)</f>
        <v/>
      </c>
      <c r="J1306" s="5" t="s">
        <v>1792</v>
      </c>
    </row>
    <row r="1307" spans="1:10">
      <c r="A1307">
        <v>1306</v>
      </c>
      <c r="B1307" s="1" t="s">
        <v>888</v>
      </c>
      <c r="C1307" s="1" t="s">
        <v>1292</v>
      </c>
      <c r="D1307" s="1">
        <v>0</v>
      </c>
      <c r="E1307" s="1">
        <v>164</v>
      </c>
      <c r="F1307" s="1">
        <v>0.47</v>
      </c>
      <c r="G1307" s="1">
        <v>20260320</v>
      </c>
      <c r="H1307" t="b">
        <f t="shared" si="21"/>
        <v>0</v>
      </c>
      <c r="I1307" t="str" cm="1">
        <f t="array" ref="I1307">GET_TICKER_FINAL(C1307)</f>
        <v/>
      </c>
      <c r="J1307" s="5" t="s">
        <v>16</v>
      </c>
    </row>
    <row r="1308" spans="1:10">
      <c r="A1308">
        <v>1307</v>
      </c>
      <c r="B1308" s="1" t="s">
        <v>888</v>
      </c>
      <c r="C1308" s="1" t="s">
        <v>1293</v>
      </c>
      <c r="D1308" s="1">
        <v>0</v>
      </c>
      <c r="E1308" s="1">
        <v>7</v>
      </c>
      <c r="F1308" s="1">
        <v>0.28999999999999998</v>
      </c>
      <c r="G1308" s="1">
        <v>20260320</v>
      </c>
      <c r="H1308" t="b">
        <f t="shared" si="21"/>
        <v>0</v>
      </c>
      <c r="I1308" t="str" cm="1">
        <f t="array" ref="I1308">GET_TICKER_FINAL(C1308)</f>
        <v>MU</v>
      </c>
      <c r="J1308" s="5" t="s">
        <v>25</v>
      </c>
    </row>
    <row r="1309" spans="1:10">
      <c r="A1309">
        <v>1308</v>
      </c>
      <c r="B1309" s="1" t="s">
        <v>888</v>
      </c>
      <c r="C1309" s="1" t="s">
        <v>1294</v>
      </c>
      <c r="D1309" s="1">
        <v>0</v>
      </c>
      <c r="E1309" s="1">
        <v>9</v>
      </c>
      <c r="F1309" s="1">
        <v>0.18</v>
      </c>
      <c r="G1309" s="1">
        <v>20260320</v>
      </c>
      <c r="H1309" t="b">
        <f t="shared" si="21"/>
        <v>0</v>
      </c>
      <c r="I1309" t="str" cm="1">
        <f t="array" ref="I1309">GET_TICKER_FINAL(C1309)</f>
        <v>COST</v>
      </c>
      <c r="J1309" s="5" t="s">
        <v>25</v>
      </c>
    </row>
    <row r="1310" spans="1:10">
      <c r="A1310">
        <v>1309</v>
      </c>
      <c r="B1310" s="1" t="s">
        <v>888</v>
      </c>
      <c r="C1310" s="1" t="s">
        <v>1295</v>
      </c>
      <c r="D1310" s="1">
        <v>0</v>
      </c>
      <c r="E1310" s="1">
        <v>17</v>
      </c>
      <c r="F1310" s="1">
        <v>0.28999999999999998</v>
      </c>
      <c r="G1310" s="1">
        <v>20260320</v>
      </c>
      <c r="H1310" t="b">
        <f t="shared" si="21"/>
        <v>0</v>
      </c>
      <c r="I1310" t="str" cm="1">
        <f t="array" ref="I1310">GET_TICKER_FINAL(C1310)</f>
        <v/>
      </c>
      <c r="J1310" s="5" t="s">
        <v>16</v>
      </c>
    </row>
    <row r="1311" spans="1:10">
      <c r="A1311">
        <v>1310</v>
      </c>
      <c r="B1311" s="1" t="s">
        <v>888</v>
      </c>
      <c r="C1311" s="1" t="s">
        <v>1296</v>
      </c>
      <c r="D1311" s="1">
        <v>0</v>
      </c>
      <c r="E1311" s="1">
        <v>24</v>
      </c>
      <c r="F1311" s="1">
        <v>0.21</v>
      </c>
      <c r="G1311" s="1">
        <v>20260320</v>
      </c>
      <c r="H1311" t="b">
        <f t="shared" si="21"/>
        <v>0</v>
      </c>
      <c r="I1311" t="str" cm="1">
        <f t="array" ref="I1311">GET_TICKER_FINAL(C1311)</f>
        <v/>
      </c>
      <c r="J1311" s="5" t="s">
        <v>1792</v>
      </c>
    </row>
    <row r="1312" spans="1:10">
      <c r="A1312">
        <v>1311</v>
      </c>
      <c r="B1312" s="1" t="s">
        <v>888</v>
      </c>
      <c r="C1312" s="1" t="s">
        <v>1297</v>
      </c>
      <c r="D1312" s="1">
        <v>0</v>
      </c>
      <c r="E1312" s="1">
        <v>0</v>
      </c>
      <c r="F1312" s="1">
        <v>0.33</v>
      </c>
      <c r="G1312" s="1">
        <v>20260320</v>
      </c>
      <c r="H1312" t="b">
        <f t="shared" si="21"/>
        <v>0</v>
      </c>
      <c r="I1312" t="str" cm="1">
        <f t="array" ref="I1312">GET_TICKER_FINAL(C1312)</f>
        <v/>
      </c>
      <c r="J1312" s="5" t="s">
        <v>1792</v>
      </c>
    </row>
    <row r="1313" spans="1:10">
      <c r="A1313">
        <v>1312</v>
      </c>
      <c r="B1313" s="1" t="s">
        <v>888</v>
      </c>
      <c r="C1313" s="1" t="s">
        <v>1298</v>
      </c>
      <c r="D1313" s="1">
        <v>0</v>
      </c>
      <c r="E1313" s="1">
        <v>9</v>
      </c>
      <c r="F1313" s="1">
        <v>0.27</v>
      </c>
      <c r="G1313" s="1">
        <v>20260320</v>
      </c>
      <c r="H1313" t="b">
        <f t="shared" si="21"/>
        <v>0</v>
      </c>
      <c r="I1313" t="str" cm="1">
        <f t="array" ref="I1313">GET_TICKER_FINAL(C1313)</f>
        <v/>
      </c>
      <c r="J1313" s="5" t="s">
        <v>1792</v>
      </c>
    </row>
    <row r="1314" spans="1:10">
      <c r="A1314">
        <v>1313</v>
      </c>
      <c r="B1314" s="1" t="s">
        <v>888</v>
      </c>
      <c r="C1314" s="1" t="s">
        <v>1299</v>
      </c>
      <c r="D1314" s="1">
        <v>0</v>
      </c>
      <c r="E1314" s="1">
        <v>4</v>
      </c>
      <c r="F1314" s="1">
        <v>0.38</v>
      </c>
      <c r="G1314" s="1">
        <v>20260330</v>
      </c>
      <c r="H1314" t="b">
        <f t="shared" si="21"/>
        <v>0</v>
      </c>
      <c r="I1314" t="str" cm="1">
        <f t="array" ref="I1314">GET_TICKER_FINAL(C1314)</f>
        <v/>
      </c>
      <c r="J1314" s="5" t="s">
        <v>1792</v>
      </c>
    </row>
    <row r="1315" spans="1:10">
      <c r="A1315">
        <v>1314</v>
      </c>
      <c r="B1315" s="1" t="s">
        <v>888</v>
      </c>
      <c r="C1315" s="1" t="s">
        <v>1300</v>
      </c>
      <c r="D1315" s="1">
        <v>0</v>
      </c>
      <c r="E1315" s="1">
        <v>64</v>
      </c>
      <c r="F1315" s="1">
        <v>0.42</v>
      </c>
      <c r="G1315" s="1">
        <v>20260330</v>
      </c>
      <c r="H1315" t="b">
        <f t="shared" si="21"/>
        <v>0</v>
      </c>
      <c r="I1315" t="str" cm="1">
        <f t="array" ref="I1315">GET_TICKER_FINAL(C1315)</f>
        <v/>
      </c>
      <c r="J1315" s="5" t="s">
        <v>16</v>
      </c>
    </row>
    <row r="1316" spans="1:10">
      <c r="A1316">
        <v>1315</v>
      </c>
      <c r="B1316" s="1" t="s">
        <v>888</v>
      </c>
      <c r="C1316" s="1" t="s">
        <v>1301</v>
      </c>
      <c r="D1316" s="1">
        <v>0</v>
      </c>
      <c r="E1316" s="1">
        <v>27</v>
      </c>
      <c r="F1316" s="1">
        <v>0.33</v>
      </c>
      <c r="G1316" s="1">
        <v>20260330</v>
      </c>
      <c r="H1316" t="b">
        <f t="shared" si="21"/>
        <v>0</v>
      </c>
      <c r="I1316" t="str" cm="1">
        <f t="array" ref="I1316">GET_TICKER_FINAL(C1316)</f>
        <v/>
      </c>
      <c r="J1316" s="5" t="s">
        <v>1792</v>
      </c>
    </row>
    <row r="1317" spans="1:10">
      <c r="A1317">
        <v>1316</v>
      </c>
      <c r="B1317" s="1" t="s">
        <v>888</v>
      </c>
      <c r="C1317" s="1" t="s">
        <v>1302</v>
      </c>
      <c r="D1317" s="1">
        <v>0</v>
      </c>
      <c r="E1317" s="1">
        <v>8</v>
      </c>
      <c r="F1317" s="1">
        <v>0.46</v>
      </c>
      <c r="G1317" s="1">
        <v>20260330</v>
      </c>
      <c r="H1317" t="b">
        <f t="shared" si="21"/>
        <v>0</v>
      </c>
      <c r="I1317" t="str" cm="1">
        <f t="array" ref="I1317">GET_TICKER_FINAL(C1317)</f>
        <v/>
      </c>
      <c r="J1317" s="5" t="s">
        <v>28</v>
      </c>
    </row>
    <row r="1318" spans="1:10">
      <c r="A1318">
        <v>1317</v>
      </c>
      <c r="B1318" s="1" t="s">
        <v>888</v>
      </c>
      <c r="C1318" s="1" t="s">
        <v>1303</v>
      </c>
      <c r="D1318" s="1">
        <v>0</v>
      </c>
      <c r="E1318" s="1">
        <v>20</v>
      </c>
      <c r="F1318" s="1">
        <v>0.36</v>
      </c>
      <c r="G1318" s="1">
        <v>20260330</v>
      </c>
      <c r="H1318" t="b">
        <f t="shared" si="21"/>
        <v>0</v>
      </c>
      <c r="I1318" t="str" cm="1">
        <f t="array" ref="I1318">GET_TICKER_FINAL(C1318)</f>
        <v/>
      </c>
      <c r="J1318" s="5" t="s">
        <v>25</v>
      </c>
    </row>
    <row r="1319" spans="1:10">
      <c r="A1319">
        <v>1318</v>
      </c>
      <c r="B1319" s="1" t="s">
        <v>888</v>
      </c>
      <c r="C1319" s="1" t="s">
        <v>1304</v>
      </c>
      <c r="D1319" s="1">
        <v>0</v>
      </c>
      <c r="E1319" s="1">
        <v>2</v>
      </c>
      <c r="F1319" s="1">
        <v>0.33</v>
      </c>
      <c r="G1319" s="1">
        <v>20260330</v>
      </c>
      <c r="H1319" t="b">
        <f t="shared" si="21"/>
        <v>0</v>
      </c>
      <c r="I1319" t="str" cm="1">
        <f t="array" ref="I1319">GET_TICKER_FINAL(C1319)</f>
        <v/>
      </c>
      <c r="J1319" s="5" t="s">
        <v>25</v>
      </c>
    </row>
    <row r="1320" spans="1:10">
      <c r="A1320">
        <v>1319</v>
      </c>
      <c r="B1320" s="1" t="s">
        <v>888</v>
      </c>
      <c r="C1320" s="1" t="s">
        <v>1305</v>
      </c>
      <c r="D1320" s="1">
        <v>0</v>
      </c>
      <c r="E1320" s="1">
        <v>32</v>
      </c>
      <c r="F1320" s="1">
        <v>0.44</v>
      </c>
      <c r="G1320" s="1">
        <v>20260327</v>
      </c>
      <c r="H1320" t="b">
        <f t="shared" si="21"/>
        <v>0</v>
      </c>
      <c r="I1320" t="str" cm="1">
        <f t="array" ref="I1320">GET_TICKER_FINAL(C1320)</f>
        <v/>
      </c>
      <c r="J1320" s="5" t="s">
        <v>1792</v>
      </c>
    </row>
    <row r="1321" spans="1:10">
      <c r="A1321">
        <v>1320</v>
      </c>
      <c r="B1321" s="1" t="s">
        <v>888</v>
      </c>
      <c r="C1321" s="1" t="s">
        <v>1306</v>
      </c>
      <c r="D1321" s="1">
        <v>0</v>
      </c>
      <c r="E1321" s="1">
        <v>10</v>
      </c>
      <c r="F1321" s="1">
        <v>0.31</v>
      </c>
      <c r="G1321" s="1">
        <v>20260327</v>
      </c>
      <c r="H1321" t="b">
        <f t="shared" si="21"/>
        <v>0</v>
      </c>
      <c r="I1321" t="str" cm="1">
        <f t="array" ref="I1321">GET_TICKER_FINAL(C1321)</f>
        <v/>
      </c>
      <c r="J1321" s="5" t="s">
        <v>25</v>
      </c>
    </row>
    <row r="1322" spans="1:10">
      <c r="A1322">
        <v>1321</v>
      </c>
      <c r="B1322" s="1" t="s">
        <v>888</v>
      </c>
      <c r="C1322" s="1" t="s">
        <v>1307</v>
      </c>
      <c r="D1322" s="1">
        <v>0</v>
      </c>
      <c r="E1322" s="1">
        <v>23</v>
      </c>
      <c r="F1322" s="1">
        <v>0.31</v>
      </c>
      <c r="G1322" s="1">
        <v>20260327</v>
      </c>
      <c r="H1322" t="b">
        <f t="shared" si="21"/>
        <v>0</v>
      </c>
      <c r="I1322" t="str" cm="1">
        <f t="array" ref="I1322">GET_TICKER_FINAL(C1322)</f>
        <v/>
      </c>
      <c r="J1322" s="5" t="s">
        <v>1792</v>
      </c>
    </row>
    <row r="1323" spans="1:10">
      <c r="A1323">
        <v>1322</v>
      </c>
      <c r="B1323" s="1" t="s">
        <v>888</v>
      </c>
      <c r="C1323" s="1" t="s">
        <v>1308</v>
      </c>
      <c r="D1323" s="1">
        <v>0</v>
      </c>
      <c r="E1323" s="1">
        <v>84</v>
      </c>
      <c r="F1323" s="1">
        <v>0.44</v>
      </c>
      <c r="G1323" s="1">
        <v>20260327</v>
      </c>
      <c r="H1323" t="b">
        <f t="shared" si="21"/>
        <v>0</v>
      </c>
      <c r="I1323" t="str" cm="1">
        <f t="array" ref="I1323">GET_TICKER_FINAL(C1323)</f>
        <v>MSFT</v>
      </c>
      <c r="J1323" s="5" t="s">
        <v>1792</v>
      </c>
    </row>
    <row r="1324" spans="1:10">
      <c r="A1324">
        <v>1323</v>
      </c>
      <c r="B1324" s="1" t="s">
        <v>888</v>
      </c>
      <c r="C1324" s="1" t="s">
        <v>1309</v>
      </c>
      <c r="D1324" s="1">
        <v>0</v>
      </c>
      <c r="E1324" s="1">
        <v>28</v>
      </c>
      <c r="F1324" s="1">
        <v>0.36</v>
      </c>
      <c r="G1324" s="1">
        <v>20260327</v>
      </c>
      <c r="H1324" t="b">
        <f t="shared" si="21"/>
        <v>0</v>
      </c>
      <c r="I1324" t="str" cm="1">
        <f t="array" ref="I1324">GET_TICKER_FINAL(C1324)</f>
        <v/>
      </c>
      <c r="J1324" s="5" t="s">
        <v>1792</v>
      </c>
    </row>
    <row r="1325" spans="1:10">
      <c r="A1325">
        <v>1324</v>
      </c>
      <c r="B1325" s="1" t="s">
        <v>888</v>
      </c>
      <c r="C1325" s="1" t="s">
        <v>1310</v>
      </c>
      <c r="D1325" s="1">
        <v>0</v>
      </c>
      <c r="E1325" s="1">
        <v>11</v>
      </c>
      <c r="F1325" s="1">
        <v>0.31</v>
      </c>
      <c r="G1325" s="1">
        <v>20260327</v>
      </c>
      <c r="H1325" t="b">
        <f t="shared" si="21"/>
        <v>0</v>
      </c>
      <c r="I1325" t="str" cm="1">
        <f t="array" ref="I1325">GET_TICKER_FINAL(C1325)</f>
        <v/>
      </c>
      <c r="J1325" s="5" t="s">
        <v>25</v>
      </c>
    </row>
    <row r="1326" spans="1:10">
      <c r="A1326">
        <v>1325</v>
      </c>
      <c r="B1326" s="1" t="s">
        <v>888</v>
      </c>
      <c r="C1326" s="1" t="s">
        <v>1311</v>
      </c>
      <c r="D1326" s="1">
        <v>0</v>
      </c>
      <c r="E1326" s="1">
        <v>71</v>
      </c>
      <c r="F1326" s="1">
        <v>0.46</v>
      </c>
      <c r="G1326" s="1">
        <v>20260327</v>
      </c>
      <c r="H1326" t="b">
        <f t="shared" si="21"/>
        <v>0</v>
      </c>
      <c r="I1326" t="str" cm="1">
        <f t="array" ref="I1326">GET_TICKER_FINAL(C1326)</f>
        <v>SPY</v>
      </c>
      <c r="J1326" s="5" t="s">
        <v>25</v>
      </c>
    </row>
    <row r="1327" spans="1:10">
      <c r="A1327">
        <v>1326</v>
      </c>
      <c r="B1327" s="1" t="s">
        <v>888</v>
      </c>
      <c r="C1327" s="1" t="s">
        <v>1312</v>
      </c>
      <c r="D1327" s="1">
        <v>0</v>
      </c>
      <c r="E1327" s="1">
        <v>111</v>
      </c>
      <c r="F1327" s="1">
        <v>0.47</v>
      </c>
      <c r="G1327" s="1">
        <v>20260327</v>
      </c>
      <c r="H1327" t="b">
        <f t="shared" si="21"/>
        <v>0</v>
      </c>
      <c r="I1327" t="str" cm="1">
        <f t="array" ref="I1327">GET_TICKER_FINAL(C1327)</f>
        <v/>
      </c>
      <c r="J1327" s="5" t="s">
        <v>16</v>
      </c>
    </row>
    <row r="1328" spans="1:10">
      <c r="A1328">
        <v>1327</v>
      </c>
      <c r="B1328" s="1" t="s">
        <v>888</v>
      </c>
      <c r="C1328" s="1" t="s">
        <v>1313</v>
      </c>
      <c r="D1328" s="1">
        <v>0</v>
      </c>
      <c r="E1328" s="1">
        <v>167</v>
      </c>
      <c r="F1328" s="1">
        <v>0.47</v>
      </c>
      <c r="G1328" s="1">
        <v>20260327</v>
      </c>
      <c r="H1328" t="b">
        <f t="shared" si="21"/>
        <v>0</v>
      </c>
      <c r="I1328" t="str" cm="1">
        <f t="array" ref="I1328">GET_TICKER_FINAL(C1328)</f>
        <v/>
      </c>
      <c r="J1328" s="5" t="s">
        <v>1792</v>
      </c>
    </row>
    <row r="1329" spans="1:10">
      <c r="A1329">
        <v>1328</v>
      </c>
      <c r="B1329" s="1" t="s">
        <v>888</v>
      </c>
      <c r="C1329" s="1" t="s">
        <v>1314</v>
      </c>
      <c r="D1329" s="1">
        <v>0</v>
      </c>
      <c r="E1329" s="1">
        <v>8</v>
      </c>
      <c r="F1329" s="1">
        <v>0.12</v>
      </c>
      <c r="G1329" s="1">
        <v>20260327</v>
      </c>
      <c r="H1329" t="b">
        <f t="shared" si="21"/>
        <v>0</v>
      </c>
      <c r="I1329" t="str" cm="1">
        <f t="array" ref="I1329">GET_TICKER_FINAL(C1329)</f>
        <v/>
      </c>
      <c r="J1329" s="5" t="s">
        <v>25</v>
      </c>
    </row>
    <row r="1330" spans="1:10">
      <c r="A1330">
        <v>1329</v>
      </c>
      <c r="B1330" s="1" t="s">
        <v>888</v>
      </c>
      <c r="C1330" s="1" t="s">
        <v>1315</v>
      </c>
      <c r="D1330" s="1">
        <v>0</v>
      </c>
      <c r="E1330" s="1">
        <v>141</v>
      </c>
      <c r="F1330" s="1">
        <v>0.45</v>
      </c>
      <c r="G1330" s="1">
        <v>20260327</v>
      </c>
      <c r="H1330" t="b">
        <f t="shared" si="21"/>
        <v>0</v>
      </c>
      <c r="I1330" t="str" cm="1">
        <f t="array" ref="I1330">GET_TICKER_FINAL(C1330)</f>
        <v/>
      </c>
      <c r="J1330" s="5" t="s">
        <v>16</v>
      </c>
    </row>
    <row r="1331" spans="1:10">
      <c r="A1331">
        <v>1330</v>
      </c>
      <c r="B1331" s="1" t="s">
        <v>888</v>
      </c>
      <c r="C1331" s="1" t="s">
        <v>1316</v>
      </c>
      <c r="D1331" s="1">
        <v>0</v>
      </c>
      <c r="E1331" s="1">
        <v>56</v>
      </c>
      <c r="F1331" s="1">
        <v>0.28999999999999998</v>
      </c>
      <c r="G1331" s="1">
        <v>20260327</v>
      </c>
      <c r="H1331" t="b">
        <f t="shared" si="21"/>
        <v>0</v>
      </c>
      <c r="I1331" t="str" cm="1">
        <f t="array" ref="I1331">GET_TICKER_FINAL(C1331)</f>
        <v/>
      </c>
      <c r="J1331" s="5" t="s">
        <v>16</v>
      </c>
    </row>
    <row r="1332" spans="1:10">
      <c r="A1332">
        <v>1331</v>
      </c>
      <c r="B1332" s="1" t="s">
        <v>888</v>
      </c>
      <c r="C1332" s="1" t="s">
        <v>1317</v>
      </c>
      <c r="D1332" s="1">
        <v>0</v>
      </c>
      <c r="E1332" s="1">
        <v>10</v>
      </c>
      <c r="F1332" s="1">
        <v>0.4</v>
      </c>
      <c r="G1332" s="1">
        <v>20260327</v>
      </c>
      <c r="H1332" t="b">
        <f t="shared" si="21"/>
        <v>0</v>
      </c>
      <c r="I1332" t="str" cm="1">
        <f t="array" ref="I1332">GET_TICKER_FINAL(C1332)</f>
        <v/>
      </c>
      <c r="J1332" s="5" t="s">
        <v>1792</v>
      </c>
    </row>
    <row r="1333" spans="1:10">
      <c r="A1333">
        <v>1332</v>
      </c>
      <c r="B1333" s="1" t="s">
        <v>888</v>
      </c>
      <c r="C1333" s="1" t="s">
        <v>1318</v>
      </c>
      <c r="D1333" s="1">
        <v>0</v>
      </c>
      <c r="E1333" s="1">
        <v>8</v>
      </c>
      <c r="F1333" s="1">
        <v>0.25</v>
      </c>
      <c r="G1333" s="1">
        <v>20260327</v>
      </c>
      <c r="H1333" t="b">
        <f t="shared" si="21"/>
        <v>0</v>
      </c>
      <c r="I1333" t="str" cm="1">
        <f t="array" ref="I1333">GET_TICKER_FINAL(C1333)</f>
        <v/>
      </c>
      <c r="J1333" s="5" t="s">
        <v>1792</v>
      </c>
    </row>
    <row r="1334" spans="1:10">
      <c r="A1334">
        <v>1333</v>
      </c>
      <c r="B1334" s="1" t="s">
        <v>888</v>
      </c>
      <c r="C1334" s="1" t="s">
        <v>1319</v>
      </c>
      <c r="D1334" s="1">
        <v>0</v>
      </c>
      <c r="E1334" s="1">
        <v>1</v>
      </c>
      <c r="F1334" s="1">
        <v>0.25</v>
      </c>
      <c r="G1334" s="1">
        <v>20260327</v>
      </c>
      <c r="H1334" t="b">
        <f t="shared" si="21"/>
        <v>0</v>
      </c>
      <c r="I1334" t="str" cm="1">
        <f t="array" ref="I1334">GET_TICKER_FINAL(C1334)</f>
        <v/>
      </c>
      <c r="J1334" s="5" t="s">
        <v>25</v>
      </c>
    </row>
    <row r="1335" spans="1:10">
      <c r="A1335">
        <v>1334</v>
      </c>
      <c r="B1335" s="1" t="s">
        <v>888</v>
      </c>
      <c r="C1335" s="1" t="s">
        <v>1320</v>
      </c>
      <c r="D1335" s="1">
        <v>0</v>
      </c>
      <c r="E1335" s="1">
        <v>5</v>
      </c>
      <c r="F1335" s="1">
        <v>0.3</v>
      </c>
      <c r="G1335" s="1">
        <v>20260327</v>
      </c>
      <c r="H1335" t="b">
        <f t="shared" si="21"/>
        <v>0</v>
      </c>
      <c r="I1335" t="str" cm="1">
        <f t="array" ref="I1335">GET_TICKER_FINAL(C1335)</f>
        <v>TSLA</v>
      </c>
      <c r="J1335" s="5" t="s">
        <v>28</v>
      </c>
    </row>
    <row r="1336" spans="1:10">
      <c r="A1336">
        <v>1335</v>
      </c>
      <c r="B1336" s="1" t="s">
        <v>888</v>
      </c>
      <c r="C1336" s="1" t="s">
        <v>1321</v>
      </c>
      <c r="D1336" s="1">
        <v>0</v>
      </c>
      <c r="E1336" s="1">
        <v>26</v>
      </c>
      <c r="F1336" s="1">
        <v>0.35</v>
      </c>
      <c r="G1336" s="1">
        <v>20260327</v>
      </c>
      <c r="H1336" t="b">
        <f t="shared" si="21"/>
        <v>0</v>
      </c>
      <c r="I1336" t="str" cm="1">
        <f t="array" ref="I1336">GET_TICKER_FINAL(C1336)</f>
        <v/>
      </c>
      <c r="J1336" s="5" t="s">
        <v>1792</v>
      </c>
    </row>
    <row r="1337" spans="1:10">
      <c r="A1337">
        <v>1336</v>
      </c>
      <c r="B1337" s="1" t="s">
        <v>888</v>
      </c>
      <c r="C1337" s="1" t="s">
        <v>1322</v>
      </c>
      <c r="D1337" s="1">
        <v>0</v>
      </c>
      <c r="E1337" s="1">
        <v>28</v>
      </c>
      <c r="F1337" s="1">
        <v>0.37</v>
      </c>
      <c r="G1337" s="1">
        <v>20260327</v>
      </c>
      <c r="H1337" t="b">
        <f t="shared" si="21"/>
        <v>0</v>
      </c>
      <c r="I1337" t="str" cm="1">
        <f t="array" ref="I1337">GET_TICKER_FINAL(C1337)</f>
        <v/>
      </c>
      <c r="J1337" s="5" t="s">
        <v>1792</v>
      </c>
    </row>
    <row r="1338" spans="1:10">
      <c r="A1338">
        <v>1337</v>
      </c>
      <c r="B1338" s="1" t="s">
        <v>888</v>
      </c>
      <c r="C1338" s="1" t="s">
        <v>1323</v>
      </c>
      <c r="D1338" s="1">
        <v>0</v>
      </c>
      <c r="E1338" s="1">
        <v>42</v>
      </c>
      <c r="F1338" s="1">
        <v>0.36</v>
      </c>
      <c r="G1338" s="1">
        <v>20260327</v>
      </c>
      <c r="H1338" t="b">
        <f t="shared" si="21"/>
        <v>0</v>
      </c>
      <c r="I1338" t="str" cm="1">
        <f t="array" ref="I1338">GET_TICKER_FINAL(C1338)</f>
        <v/>
      </c>
      <c r="J1338" s="5" t="s">
        <v>1792</v>
      </c>
    </row>
    <row r="1339" spans="1:10">
      <c r="A1339">
        <v>1338</v>
      </c>
      <c r="B1339" s="1" t="s">
        <v>888</v>
      </c>
      <c r="C1339" s="1" t="s">
        <v>330</v>
      </c>
      <c r="D1339" s="1">
        <v>0</v>
      </c>
      <c r="E1339" s="1">
        <v>22</v>
      </c>
      <c r="F1339" s="1">
        <v>0.35</v>
      </c>
      <c r="G1339" s="1">
        <v>20260324</v>
      </c>
      <c r="H1339" t="b">
        <f t="shared" si="21"/>
        <v>0</v>
      </c>
      <c r="I1339" t="str" cm="1">
        <f t="array" ref="I1339">GET_TICKER_FINAL(C1339)</f>
        <v/>
      </c>
      <c r="J1339" s="5" t="s">
        <v>16</v>
      </c>
    </row>
    <row r="1340" spans="1:10">
      <c r="A1340">
        <v>1339</v>
      </c>
      <c r="B1340" s="1" t="s">
        <v>888</v>
      </c>
      <c r="C1340" s="1" t="s">
        <v>1324</v>
      </c>
      <c r="D1340" s="1">
        <v>0</v>
      </c>
      <c r="E1340" s="1">
        <v>8</v>
      </c>
      <c r="F1340" s="1">
        <v>0.25</v>
      </c>
      <c r="G1340" s="1">
        <v>20260324</v>
      </c>
      <c r="H1340" t="b">
        <f t="shared" si="21"/>
        <v>0</v>
      </c>
      <c r="I1340" t="str" cm="1">
        <f t="array" ref="I1340">GET_TICKER_FINAL(C1340)</f>
        <v/>
      </c>
      <c r="J1340" s="5" t="s">
        <v>1792</v>
      </c>
    </row>
    <row r="1341" spans="1:10">
      <c r="A1341">
        <v>1340</v>
      </c>
      <c r="B1341" s="1" t="s">
        <v>888</v>
      </c>
      <c r="C1341" s="1" t="s">
        <v>1325</v>
      </c>
      <c r="D1341" s="1">
        <v>0</v>
      </c>
      <c r="E1341" s="1">
        <v>8</v>
      </c>
      <c r="F1341" s="1">
        <v>0.15</v>
      </c>
      <c r="G1341" s="1">
        <v>20260324</v>
      </c>
      <c r="H1341" t="b">
        <f t="shared" si="21"/>
        <v>0</v>
      </c>
      <c r="I1341" t="str" cm="1">
        <f t="array" ref="I1341">GET_TICKER_FINAL(C1341)</f>
        <v/>
      </c>
      <c r="J1341" s="5" t="s">
        <v>1792</v>
      </c>
    </row>
    <row r="1342" spans="1:10">
      <c r="A1342">
        <v>1341</v>
      </c>
      <c r="B1342" s="1" t="s">
        <v>888</v>
      </c>
      <c r="C1342" s="1" t="s">
        <v>1326</v>
      </c>
      <c r="D1342" s="1">
        <v>0</v>
      </c>
      <c r="E1342" s="1">
        <v>6</v>
      </c>
      <c r="F1342" s="1">
        <v>0.28999999999999998</v>
      </c>
      <c r="G1342" s="1">
        <v>20260324</v>
      </c>
      <c r="H1342" t="b">
        <f t="shared" si="21"/>
        <v>0</v>
      </c>
      <c r="I1342" t="str" cm="1">
        <f t="array" ref="I1342">GET_TICKER_FINAL(C1342)</f>
        <v>SPY</v>
      </c>
      <c r="J1342" s="5" t="s">
        <v>25</v>
      </c>
    </row>
    <row r="1343" spans="1:10">
      <c r="A1343">
        <v>1342</v>
      </c>
      <c r="B1343" s="1" t="s">
        <v>888</v>
      </c>
      <c r="C1343" s="1" t="s">
        <v>1327</v>
      </c>
      <c r="D1343" s="1">
        <v>0</v>
      </c>
      <c r="E1343" s="1">
        <v>61</v>
      </c>
      <c r="F1343" s="1">
        <v>0.43</v>
      </c>
      <c r="G1343" s="1">
        <v>20260324</v>
      </c>
      <c r="H1343" t="b">
        <f t="shared" si="21"/>
        <v>0</v>
      </c>
      <c r="I1343" t="str" cm="1">
        <f t="array" ref="I1343">GET_TICKER_FINAL(C1343)</f>
        <v/>
      </c>
      <c r="J1343" s="5" t="s">
        <v>16</v>
      </c>
    </row>
    <row r="1344" spans="1:10">
      <c r="A1344">
        <v>1343</v>
      </c>
      <c r="B1344" s="1" t="s">
        <v>888</v>
      </c>
      <c r="C1344" s="1" t="s">
        <v>1328</v>
      </c>
      <c r="D1344" s="1">
        <v>0</v>
      </c>
      <c r="E1344" s="1">
        <v>6</v>
      </c>
      <c r="F1344" s="1">
        <v>0.2</v>
      </c>
      <c r="G1344" s="1">
        <v>20260324</v>
      </c>
      <c r="H1344" t="b">
        <f t="shared" si="21"/>
        <v>0</v>
      </c>
      <c r="I1344" t="str" cm="1">
        <f t="array" ref="I1344">GET_TICKER_FINAL(C1344)</f>
        <v/>
      </c>
      <c r="J1344" s="5" t="s">
        <v>25</v>
      </c>
    </row>
    <row r="1345" spans="1:10">
      <c r="A1345">
        <v>1344</v>
      </c>
      <c r="B1345" s="1" t="s">
        <v>888</v>
      </c>
      <c r="C1345" s="1" t="s">
        <v>317</v>
      </c>
      <c r="D1345" s="1">
        <v>0</v>
      </c>
      <c r="E1345" s="1">
        <v>6</v>
      </c>
      <c r="F1345" s="1">
        <v>0.35</v>
      </c>
      <c r="G1345" s="1">
        <v>20260324</v>
      </c>
      <c r="H1345" t="b">
        <f t="shared" si="21"/>
        <v>0</v>
      </c>
      <c r="I1345" t="str" cm="1">
        <f t="array" ref="I1345">GET_TICKER_FINAL(C1345)</f>
        <v/>
      </c>
      <c r="J1345" s="5" t="s">
        <v>1792</v>
      </c>
    </row>
    <row r="1346" spans="1:10">
      <c r="A1346">
        <v>1345</v>
      </c>
      <c r="B1346" s="1" t="s">
        <v>888</v>
      </c>
      <c r="C1346" s="1" t="s">
        <v>1329</v>
      </c>
      <c r="D1346" s="1">
        <v>0</v>
      </c>
      <c r="E1346" s="1">
        <v>27</v>
      </c>
      <c r="F1346" s="1">
        <v>0.44</v>
      </c>
      <c r="G1346" s="1">
        <v>20260324</v>
      </c>
      <c r="H1346" t="b">
        <f t="shared" si="21"/>
        <v>0</v>
      </c>
      <c r="I1346" t="str" cm="1">
        <f t="array" ref="I1346">GET_TICKER_FINAL(C1346)</f>
        <v/>
      </c>
      <c r="J1346" s="5" t="s">
        <v>25</v>
      </c>
    </row>
    <row r="1347" spans="1:10">
      <c r="A1347">
        <v>1346</v>
      </c>
      <c r="B1347" s="1" t="s">
        <v>888</v>
      </c>
      <c r="C1347" s="1" t="s">
        <v>1330</v>
      </c>
      <c r="D1347" s="1">
        <v>0</v>
      </c>
      <c r="E1347" s="1">
        <v>37</v>
      </c>
      <c r="F1347" s="1">
        <v>0.4</v>
      </c>
      <c r="G1347" s="1">
        <v>20260324</v>
      </c>
      <c r="H1347" t="b">
        <f t="shared" ref="H1347:H1410" si="22">OR(ISNUMBER(SEARCH("$A",C1347)),ISNUMBER(SEARCH("$B",C1347)),ISNUMBER(SEARCH("$C",C1347)),ISNUMBER(SEARCH("$D",C1347)),ISNUMBER(SEARCH("$E",C1347)),ISNUMBER(SEARCH("$F",C1347)),ISNUMBER(SEARCH("$G",C1347)),ISNUMBER(SEARCH("$H",C1347)),ISNUMBER(SEARCH("$I",C1347)),ISNUMBER(SEARCH("$J",C1347)),ISNUMBER(SEARCH("$K",C1347)),ISNUMBER(SEARCH("$L",C1347)),ISNUMBER(SEARCH("$M",C1347)),ISNUMBER(SEARCH("$N",C1347)),ISNUMBER(SEARCH("$O",C1347)),ISNUMBER(SEARCH("$P",C1347)),ISNUMBER(SEARCH("$Q",C1347)),ISNUMBER(SEARCH("$R",C1347)),ISNUMBER(SEARCH("$S",C1347)),ISNUMBER(SEARCH("$T",C1347)),ISNUMBER(SEARCH("$U",C1347)),ISNUMBER(SEARCH("$V",C1347)),ISNUMBER(SEARCH("$W",C1347)),ISNUMBER(SEARCH("$X",C1347)),ISNUMBER(SEARCH("$Y",C1347)),ISNUMBER(SEARCH("$Z",C1347)))</f>
        <v>0</v>
      </c>
      <c r="I1347" t="str" cm="1">
        <f t="array" ref="I1347">GET_TICKER_FINAL(C1347)</f>
        <v>GOOGL</v>
      </c>
      <c r="J1347" s="5" t="s">
        <v>1792</v>
      </c>
    </row>
    <row r="1348" spans="1:10">
      <c r="A1348">
        <v>1347</v>
      </c>
      <c r="B1348" s="1" t="s">
        <v>888</v>
      </c>
      <c r="C1348" s="1" t="s">
        <v>1331</v>
      </c>
      <c r="D1348" s="1">
        <v>0</v>
      </c>
      <c r="E1348" s="1">
        <v>4</v>
      </c>
      <c r="F1348" s="1">
        <v>0.43</v>
      </c>
      <c r="G1348" s="1">
        <v>20260324</v>
      </c>
      <c r="H1348" t="b">
        <f t="shared" si="22"/>
        <v>0</v>
      </c>
      <c r="I1348" t="str" cm="1">
        <f t="array" ref="I1348">GET_TICKER_FINAL(C1348)</f>
        <v/>
      </c>
      <c r="J1348" s="5" t="s">
        <v>1792</v>
      </c>
    </row>
    <row r="1349" spans="1:10">
      <c r="A1349">
        <v>1348</v>
      </c>
      <c r="B1349" s="1" t="s">
        <v>888</v>
      </c>
      <c r="C1349" s="1" t="s">
        <v>1332</v>
      </c>
      <c r="D1349" s="1">
        <v>0</v>
      </c>
      <c r="E1349" s="1">
        <v>19</v>
      </c>
      <c r="F1349" s="1">
        <v>0.35</v>
      </c>
      <c r="G1349" s="1">
        <v>20260324</v>
      </c>
      <c r="H1349" t="b">
        <f t="shared" si="22"/>
        <v>0</v>
      </c>
      <c r="I1349" t="str" cm="1">
        <f t="array" ref="I1349">GET_TICKER_FINAL(C1349)</f>
        <v/>
      </c>
      <c r="J1349" s="5" t="s">
        <v>1792</v>
      </c>
    </row>
    <row r="1350" spans="1:10">
      <c r="A1350">
        <v>1349</v>
      </c>
      <c r="B1350" s="1" t="s">
        <v>888</v>
      </c>
      <c r="C1350" s="1" t="s">
        <v>1333</v>
      </c>
      <c r="D1350" s="1">
        <v>0</v>
      </c>
      <c r="E1350" s="1">
        <v>32</v>
      </c>
      <c r="F1350" s="1">
        <v>0.39</v>
      </c>
      <c r="G1350" s="1">
        <v>20260324</v>
      </c>
      <c r="H1350" t="b">
        <f t="shared" si="22"/>
        <v>0</v>
      </c>
      <c r="I1350" t="str" cm="1">
        <f t="array" ref="I1350">GET_TICKER_FINAL(C1350)</f>
        <v>SNAP</v>
      </c>
      <c r="J1350" s="5" t="s">
        <v>16</v>
      </c>
    </row>
    <row r="1351" spans="1:10">
      <c r="A1351">
        <v>1350</v>
      </c>
      <c r="B1351" s="1" t="s">
        <v>888</v>
      </c>
      <c r="C1351" s="1" t="s">
        <v>1334</v>
      </c>
      <c r="D1351" s="1">
        <v>0</v>
      </c>
      <c r="E1351" s="1">
        <v>24</v>
      </c>
      <c r="F1351" s="1">
        <v>0.35</v>
      </c>
      <c r="G1351" s="1">
        <v>20260324</v>
      </c>
      <c r="H1351" t="b">
        <f t="shared" si="22"/>
        <v>0</v>
      </c>
      <c r="I1351" t="str" cm="1">
        <f t="array" ref="I1351">GET_TICKER_FINAL(C1351)</f>
        <v/>
      </c>
      <c r="J1351" s="5" t="s">
        <v>1792</v>
      </c>
    </row>
    <row r="1352" spans="1:10">
      <c r="A1352">
        <v>1351</v>
      </c>
      <c r="B1352" s="1" t="s">
        <v>888</v>
      </c>
      <c r="C1352" s="1" t="s">
        <v>1335</v>
      </c>
      <c r="D1352" s="1">
        <v>0</v>
      </c>
      <c r="E1352" s="1">
        <v>110</v>
      </c>
      <c r="F1352" s="1">
        <v>0.43</v>
      </c>
      <c r="G1352" s="1">
        <v>20260324</v>
      </c>
      <c r="H1352" t="b">
        <f t="shared" si="22"/>
        <v>0</v>
      </c>
      <c r="I1352" t="str" cm="1">
        <f t="array" ref="I1352">GET_TICKER_FINAL(C1352)</f>
        <v/>
      </c>
      <c r="J1352" s="5" t="s">
        <v>16</v>
      </c>
    </row>
    <row r="1353" spans="1:10">
      <c r="A1353">
        <v>1352</v>
      </c>
      <c r="B1353" s="1" t="s">
        <v>888</v>
      </c>
      <c r="C1353" s="1" t="s">
        <v>1336</v>
      </c>
      <c r="D1353" s="1">
        <v>0</v>
      </c>
      <c r="E1353" s="1">
        <v>23</v>
      </c>
      <c r="F1353" s="1">
        <v>0.33</v>
      </c>
      <c r="G1353" s="1">
        <v>20260324</v>
      </c>
      <c r="H1353" t="b">
        <f t="shared" si="22"/>
        <v>0</v>
      </c>
      <c r="I1353" t="str" cm="1">
        <f t="array" ref="I1353">GET_TICKER_FINAL(C1353)</f>
        <v/>
      </c>
      <c r="J1353" s="5" t="s">
        <v>1792</v>
      </c>
    </row>
    <row r="1354" spans="1:10">
      <c r="A1354">
        <v>1353</v>
      </c>
      <c r="B1354" s="1" t="s">
        <v>888</v>
      </c>
      <c r="C1354" s="1" t="s">
        <v>1337</v>
      </c>
      <c r="D1354" s="1">
        <v>0</v>
      </c>
      <c r="E1354" s="1">
        <v>20</v>
      </c>
      <c r="F1354" s="1">
        <v>0.41</v>
      </c>
      <c r="G1354" s="1">
        <v>20260324</v>
      </c>
      <c r="H1354" t="b">
        <f t="shared" si="22"/>
        <v>0</v>
      </c>
      <c r="I1354" t="str" cm="1">
        <f t="array" ref="I1354">GET_TICKER_FINAL(C1354)</f>
        <v/>
      </c>
      <c r="J1354" s="5" t="s">
        <v>1792</v>
      </c>
    </row>
    <row r="1355" spans="1:10">
      <c r="A1355">
        <v>1354</v>
      </c>
      <c r="B1355" s="1" t="s">
        <v>888</v>
      </c>
      <c r="C1355" s="1" t="s">
        <v>1338</v>
      </c>
      <c r="D1355" s="1">
        <v>0</v>
      </c>
      <c r="E1355" s="1">
        <v>10</v>
      </c>
      <c r="F1355" s="1">
        <v>0.5</v>
      </c>
      <c r="G1355" s="1">
        <v>20260324</v>
      </c>
      <c r="H1355" t="b">
        <f t="shared" si="22"/>
        <v>0</v>
      </c>
      <c r="I1355" t="str" cm="1">
        <f t="array" ref="I1355">GET_TICKER_FINAL(C1355)</f>
        <v>MU</v>
      </c>
      <c r="J1355" s="5" t="s">
        <v>25</v>
      </c>
    </row>
    <row r="1356" spans="1:10">
      <c r="A1356">
        <v>1355</v>
      </c>
      <c r="B1356" s="1" t="s">
        <v>888</v>
      </c>
      <c r="C1356" s="1" t="s">
        <v>1339</v>
      </c>
      <c r="D1356" s="1">
        <v>0</v>
      </c>
      <c r="E1356" s="1">
        <v>8</v>
      </c>
      <c r="F1356" s="1">
        <v>0.43</v>
      </c>
      <c r="G1356" s="1">
        <v>20260324</v>
      </c>
      <c r="H1356" t="b">
        <f t="shared" si="22"/>
        <v>0</v>
      </c>
      <c r="I1356" t="str" cm="1">
        <f t="array" ref="I1356">GET_TICKER_FINAL(C1356)</f>
        <v/>
      </c>
      <c r="J1356" s="5" t="s">
        <v>1792</v>
      </c>
    </row>
    <row r="1357" spans="1:10">
      <c r="A1357">
        <v>1356</v>
      </c>
      <c r="B1357" s="1" t="s">
        <v>888</v>
      </c>
      <c r="C1357" s="1" t="s">
        <v>1340</v>
      </c>
      <c r="D1357" s="1">
        <v>0</v>
      </c>
      <c r="E1357" s="1">
        <v>7</v>
      </c>
      <c r="F1357" s="1">
        <v>0.23</v>
      </c>
      <c r="G1357" s="1">
        <v>20260324</v>
      </c>
      <c r="H1357" t="b">
        <f t="shared" si="22"/>
        <v>0</v>
      </c>
      <c r="I1357" t="str" cm="1">
        <f t="array" ref="I1357">GET_TICKER_FINAL(C1357)</f>
        <v/>
      </c>
      <c r="J1357" s="5" t="s">
        <v>16</v>
      </c>
    </row>
    <row r="1358" spans="1:10">
      <c r="A1358">
        <v>1357</v>
      </c>
      <c r="B1358" s="1" t="s">
        <v>888</v>
      </c>
      <c r="C1358" s="1" t="s">
        <v>1341</v>
      </c>
      <c r="D1358" s="1">
        <v>0</v>
      </c>
      <c r="E1358" s="1">
        <v>8</v>
      </c>
      <c r="F1358" s="1">
        <v>0.14000000000000001</v>
      </c>
      <c r="G1358" s="1">
        <v>20260324</v>
      </c>
      <c r="H1358" t="b">
        <f t="shared" si="22"/>
        <v>0</v>
      </c>
      <c r="I1358" t="str" cm="1">
        <f t="array" ref="I1358">GET_TICKER_FINAL(C1358)</f>
        <v/>
      </c>
      <c r="J1358" s="5" t="s">
        <v>1792</v>
      </c>
    </row>
    <row r="1359" spans="1:10">
      <c r="A1359">
        <v>1358</v>
      </c>
      <c r="B1359" s="1" t="s">
        <v>888</v>
      </c>
      <c r="C1359" s="1" t="s">
        <v>1342</v>
      </c>
      <c r="D1359" s="1">
        <v>0</v>
      </c>
      <c r="E1359" s="1">
        <v>49</v>
      </c>
      <c r="F1359" s="1">
        <v>0.31</v>
      </c>
      <c r="G1359" s="1">
        <v>20260324</v>
      </c>
      <c r="H1359" t="b">
        <f t="shared" si="22"/>
        <v>0</v>
      </c>
      <c r="I1359" t="str" cm="1">
        <f t="array" ref="I1359">GET_TICKER_FINAL(C1359)</f>
        <v/>
      </c>
      <c r="J1359" s="5" t="s">
        <v>16</v>
      </c>
    </row>
    <row r="1360" spans="1:10">
      <c r="A1360">
        <v>1359</v>
      </c>
      <c r="B1360" s="1" t="s">
        <v>888</v>
      </c>
      <c r="C1360" s="1" t="s">
        <v>1343</v>
      </c>
      <c r="D1360" s="1">
        <v>0</v>
      </c>
      <c r="E1360" s="1">
        <v>8</v>
      </c>
      <c r="F1360" s="1">
        <v>0.28999999999999998</v>
      </c>
      <c r="G1360" s="1">
        <v>20260324</v>
      </c>
      <c r="H1360" t="b">
        <f t="shared" si="22"/>
        <v>0</v>
      </c>
      <c r="I1360" t="str" cm="1">
        <f t="array" ref="I1360">GET_TICKER_FINAL(C1360)</f>
        <v>COST</v>
      </c>
      <c r="J1360" s="5" t="s">
        <v>25</v>
      </c>
    </row>
    <row r="1361" spans="1:10">
      <c r="A1361">
        <v>1360</v>
      </c>
      <c r="B1361" s="1" t="s">
        <v>888</v>
      </c>
      <c r="C1361" s="1" t="s">
        <v>1344</v>
      </c>
      <c r="D1361" s="1">
        <v>0</v>
      </c>
      <c r="E1361" s="1">
        <v>33</v>
      </c>
      <c r="F1361" s="1">
        <v>0.48</v>
      </c>
      <c r="G1361" s="1">
        <v>20260401</v>
      </c>
      <c r="H1361" t="b">
        <f t="shared" si="22"/>
        <v>0</v>
      </c>
      <c r="I1361" t="str" cm="1">
        <f t="array" ref="I1361">GET_TICKER_FINAL(C1361)</f>
        <v/>
      </c>
      <c r="J1361" s="5" t="s">
        <v>28</v>
      </c>
    </row>
    <row r="1362" spans="1:10">
      <c r="A1362">
        <v>1361</v>
      </c>
      <c r="B1362" s="1" t="s">
        <v>888</v>
      </c>
      <c r="C1362" s="1" t="s">
        <v>1345</v>
      </c>
      <c r="D1362" s="1">
        <v>0</v>
      </c>
      <c r="E1362" s="1">
        <v>30</v>
      </c>
      <c r="F1362" s="1">
        <v>0.06</v>
      </c>
      <c r="G1362" s="1">
        <v>20260401</v>
      </c>
      <c r="H1362" t="b">
        <f t="shared" si="22"/>
        <v>0</v>
      </c>
      <c r="I1362" t="str" cm="1">
        <f t="array" ref="I1362">GET_TICKER_FINAL(C1362)</f>
        <v/>
      </c>
      <c r="J1362" s="5" t="s">
        <v>16</v>
      </c>
    </row>
    <row r="1363" spans="1:10">
      <c r="A1363">
        <v>1362</v>
      </c>
      <c r="B1363" s="1" t="s">
        <v>888</v>
      </c>
      <c r="C1363" s="1" t="s">
        <v>321</v>
      </c>
      <c r="D1363" s="1">
        <v>0</v>
      </c>
      <c r="E1363" s="1">
        <v>10</v>
      </c>
      <c r="F1363" s="1">
        <v>0.36</v>
      </c>
      <c r="G1363" s="1">
        <v>20260401</v>
      </c>
      <c r="H1363" t="b">
        <f t="shared" si="22"/>
        <v>0</v>
      </c>
      <c r="I1363" t="str" cm="1">
        <f t="array" ref="I1363">GET_TICKER_FINAL(C1363)</f>
        <v/>
      </c>
      <c r="J1363" s="5" t="s">
        <v>25</v>
      </c>
    </row>
    <row r="1364" spans="1:10">
      <c r="A1364">
        <v>1363</v>
      </c>
      <c r="B1364" s="1" t="s">
        <v>888</v>
      </c>
      <c r="C1364" s="1" t="s">
        <v>1346</v>
      </c>
      <c r="D1364" s="1">
        <v>0</v>
      </c>
      <c r="E1364" s="1">
        <v>77</v>
      </c>
      <c r="F1364" s="1">
        <v>0.35</v>
      </c>
      <c r="G1364" s="1">
        <v>20260401</v>
      </c>
      <c r="H1364" t="b">
        <f t="shared" si="22"/>
        <v>0</v>
      </c>
      <c r="I1364" t="str" cm="1">
        <f t="array" ref="I1364">GET_TICKER_FINAL(C1364)</f>
        <v/>
      </c>
      <c r="J1364" s="5" t="s">
        <v>1792</v>
      </c>
    </row>
    <row r="1365" spans="1:10">
      <c r="A1365">
        <v>1364</v>
      </c>
      <c r="B1365" s="1" t="s">
        <v>888</v>
      </c>
      <c r="C1365" s="1" t="s">
        <v>1347</v>
      </c>
      <c r="D1365" s="1">
        <v>0</v>
      </c>
      <c r="E1365" s="1">
        <v>5</v>
      </c>
      <c r="F1365" s="1">
        <v>0.25</v>
      </c>
      <c r="G1365" s="1">
        <v>20260401</v>
      </c>
      <c r="H1365" t="b">
        <f t="shared" si="22"/>
        <v>0</v>
      </c>
      <c r="I1365" t="str" cm="1">
        <f t="array" ref="I1365">GET_TICKER_FINAL(C1365)</f>
        <v/>
      </c>
      <c r="J1365" s="5" t="s">
        <v>1792</v>
      </c>
    </row>
    <row r="1366" spans="1:10">
      <c r="A1366">
        <v>1365</v>
      </c>
      <c r="B1366" s="1" t="s">
        <v>888</v>
      </c>
      <c r="C1366" s="1" t="s">
        <v>1348</v>
      </c>
      <c r="D1366" s="1">
        <v>0</v>
      </c>
      <c r="E1366" s="1">
        <v>38</v>
      </c>
      <c r="F1366" s="1">
        <v>0.4</v>
      </c>
      <c r="G1366" s="1">
        <v>20260401</v>
      </c>
      <c r="H1366" t="b">
        <f t="shared" si="22"/>
        <v>0</v>
      </c>
      <c r="I1366" t="str" cm="1">
        <f t="array" ref="I1366">GET_TICKER_FINAL(C1366)</f>
        <v/>
      </c>
      <c r="J1366" s="5" t="s">
        <v>1792</v>
      </c>
    </row>
    <row r="1367" spans="1:10">
      <c r="A1367">
        <v>1366</v>
      </c>
      <c r="B1367" s="1" t="s">
        <v>888</v>
      </c>
      <c r="C1367" s="1" t="s">
        <v>1349</v>
      </c>
      <c r="D1367" s="1">
        <v>0</v>
      </c>
      <c r="E1367" s="1">
        <v>55</v>
      </c>
      <c r="F1367" s="1">
        <v>0.33</v>
      </c>
      <c r="G1367" s="1">
        <v>20260401</v>
      </c>
      <c r="H1367" t="b">
        <f t="shared" si="22"/>
        <v>0</v>
      </c>
      <c r="I1367" t="str" cm="1">
        <f t="array" ref="I1367">GET_TICKER_FINAL(C1367)</f>
        <v/>
      </c>
      <c r="J1367" s="5" t="s">
        <v>16</v>
      </c>
    </row>
    <row r="1368" spans="1:10">
      <c r="A1368">
        <v>1367</v>
      </c>
      <c r="B1368" s="1" t="s">
        <v>888</v>
      </c>
      <c r="C1368" s="1" t="s">
        <v>1350</v>
      </c>
      <c r="D1368" s="1">
        <v>0</v>
      </c>
      <c r="E1368" s="1">
        <v>72</v>
      </c>
      <c r="F1368" s="1">
        <v>0.38</v>
      </c>
      <c r="G1368" s="1">
        <v>20260401</v>
      </c>
      <c r="H1368" t="b">
        <f t="shared" si="22"/>
        <v>0</v>
      </c>
      <c r="I1368" t="str" cm="1">
        <f t="array" ref="I1368">GET_TICKER_FINAL(C1368)</f>
        <v/>
      </c>
      <c r="J1368" s="5" t="s">
        <v>25</v>
      </c>
    </row>
    <row r="1369" spans="1:10">
      <c r="A1369">
        <v>1368</v>
      </c>
      <c r="B1369" s="1" t="s">
        <v>888</v>
      </c>
      <c r="C1369" s="1" t="s">
        <v>1351</v>
      </c>
      <c r="D1369" s="1">
        <v>0</v>
      </c>
      <c r="E1369" s="1">
        <v>3</v>
      </c>
      <c r="F1369" s="1">
        <v>0.3</v>
      </c>
      <c r="G1369" s="1">
        <v>20260401</v>
      </c>
      <c r="H1369" t="b">
        <f t="shared" si="22"/>
        <v>0</v>
      </c>
      <c r="I1369" t="str" cm="1">
        <f t="array" ref="I1369">GET_TICKER_FINAL(C1369)</f>
        <v/>
      </c>
      <c r="J1369" s="5" t="s">
        <v>16</v>
      </c>
    </row>
    <row r="1370" spans="1:10">
      <c r="A1370">
        <v>1369</v>
      </c>
      <c r="B1370" s="1" t="s">
        <v>888</v>
      </c>
      <c r="C1370" s="1" t="s">
        <v>1352</v>
      </c>
      <c r="D1370" s="1">
        <v>0</v>
      </c>
      <c r="E1370" s="1">
        <v>16</v>
      </c>
      <c r="F1370" s="1">
        <v>0.45</v>
      </c>
      <c r="G1370" s="1">
        <v>20260326</v>
      </c>
      <c r="H1370" t="b">
        <f t="shared" si="22"/>
        <v>0</v>
      </c>
      <c r="I1370" t="str" cm="1">
        <f t="array" ref="I1370">GET_TICKER_FINAL(C1370)</f>
        <v/>
      </c>
      <c r="J1370" s="5" t="s">
        <v>25</v>
      </c>
    </row>
    <row r="1371" spans="1:10">
      <c r="A1371">
        <v>1370</v>
      </c>
      <c r="B1371" s="1" t="s">
        <v>888</v>
      </c>
      <c r="C1371" s="1" t="s">
        <v>1353</v>
      </c>
      <c r="D1371" s="1">
        <v>0</v>
      </c>
      <c r="E1371" s="1">
        <v>52</v>
      </c>
      <c r="F1371" s="1">
        <v>0.37</v>
      </c>
      <c r="G1371" s="1">
        <v>20260401</v>
      </c>
      <c r="H1371" t="b">
        <f t="shared" si="22"/>
        <v>0</v>
      </c>
      <c r="I1371" t="str" cm="1">
        <f t="array" ref="I1371">GET_TICKER_FINAL(C1371)</f>
        <v/>
      </c>
      <c r="J1371" s="5" t="s">
        <v>1792</v>
      </c>
    </row>
    <row r="1372" spans="1:10">
      <c r="A1372">
        <v>1371</v>
      </c>
      <c r="B1372" s="1" t="s">
        <v>888</v>
      </c>
      <c r="C1372" s="1" t="s">
        <v>1354</v>
      </c>
      <c r="D1372" s="1">
        <v>0</v>
      </c>
      <c r="E1372" s="1">
        <v>59</v>
      </c>
      <c r="F1372" s="1">
        <v>0.36</v>
      </c>
      <c r="G1372" s="1">
        <v>20260326</v>
      </c>
      <c r="H1372" t="b">
        <f t="shared" si="22"/>
        <v>0</v>
      </c>
      <c r="I1372" t="str" cm="1">
        <f t="array" ref="I1372">GET_TICKER_FINAL(C1372)</f>
        <v/>
      </c>
      <c r="J1372" s="5" t="s">
        <v>1792</v>
      </c>
    </row>
    <row r="1373" spans="1:10">
      <c r="A1373">
        <v>1372</v>
      </c>
      <c r="B1373" s="1" t="s">
        <v>888</v>
      </c>
      <c r="C1373" s="1" t="s">
        <v>1355</v>
      </c>
      <c r="D1373" s="1">
        <v>0</v>
      </c>
      <c r="E1373" s="1">
        <v>9</v>
      </c>
      <c r="F1373" s="1">
        <v>0.32</v>
      </c>
      <c r="G1373" s="1">
        <v>20260326</v>
      </c>
      <c r="H1373" t="b">
        <f t="shared" si="22"/>
        <v>0</v>
      </c>
      <c r="I1373" t="str" cm="1">
        <f t="array" ref="I1373">GET_TICKER_FINAL(C1373)</f>
        <v/>
      </c>
      <c r="J1373" s="5" t="s">
        <v>28</v>
      </c>
    </row>
    <row r="1374" spans="1:10">
      <c r="A1374">
        <v>1373</v>
      </c>
      <c r="B1374" s="1" t="s">
        <v>888</v>
      </c>
      <c r="C1374" s="1" t="s">
        <v>1356</v>
      </c>
      <c r="D1374" s="1">
        <v>0</v>
      </c>
      <c r="E1374" s="1">
        <v>59</v>
      </c>
      <c r="F1374" s="1">
        <v>0.39</v>
      </c>
      <c r="G1374" s="1">
        <v>20260326</v>
      </c>
      <c r="H1374" t="b">
        <f t="shared" si="22"/>
        <v>0</v>
      </c>
      <c r="I1374" t="str" cm="1">
        <f t="array" ref="I1374">GET_TICKER_FINAL(C1374)</f>
        <v/>
      </c>
      <c r="J1374" s="5" t="s">
        <v>1792</v>
      </c>
    </row>
    <row r="1375" spans="1:10">
      <c r="A1375">
        <v>1374</v>
      </c>
      <c r="B1375" s="1" t="s">
        <v>888</v>
      </c>
      <c r="C1375" s="1" t="s">
        <v>1357</v>
      </c>
      <c r="D1375" s="1">
        <v>0</v>
      </c>
      <c r="E1375" s="1">
        <v>14</v>
      </c>
      <c r="F1375" s="1">
        <v>0.38</v>
      </c>
      <c r="G1375" s="1">
        <v>20260326</v>
      </c>
      <c r="H1375" t="b">
        <f t="shared" si="22"/>
        <v>0</v>
      </c>
      <c r="I1375" t="str" cm="1">
        <f t="array" ref="I1375">GET_TICKER_FINAL(C1375)</f>
        <v/>
      </c>
      <c r="J1375" s="5" t="s">
        <v>25</v>
      </c>
    </row>
    <row r="1376" spans="1:10">
      <c r="A1376">
        <v>1375</v>
      </c>
      <c r="B1376" s="1" t="s">
        <v>888</v>
      </c>
      <c r="C1376" s="1" t="s">
        <v>1358</v>
      </c>
      <c r="D1376" s="1">
        <v>0</v>
      </c>
      <c r="E1376" s="1">
        <v>10</v>
      </c>
      <c r="F1376" s="1">
        <v>0.35</v>
      </c>
      <c r="G1376" s="1">
        <v>20260326</v>
      </c>
      <c r="H1376" t="b">
        <f t="shared" si="22"/>
        <v>0</v>
      </c>
      <c r="I1376" t="str" cm="1">
        <f t="array" ref="I1376">GET_TICKER_FINAL(C1376)</f>
        <v/>
      </c>
      <c r="J1376" s="5" t="s">
        <v>1792</v>
      </c>
    </row>
    <row r="1377" spans="1:10">
      <c r="A1377">
        <v>1376</v>
      </c>
      <c r="B1377" s="1" t="s">
        <v>888</v>
      </c>
      <c r="C1377" s="1" t="s">
        <v>1359</v>
      </c>
      <c r="D1377" s="1">
        <v>0</v>
      </c>
      <c r="E1377" s="1">
        <v>40</v>
      </c>
      <c r="F1377" s="1">
        <v>0.18</v>
      </c>
      <c r="G1377" s="1">
        <v>20260326</v>
      </c>
      <c r="H1377" t="b">
        <f t="shared" si="22"/>
        <v>0</v>
      </c>
      <c r="I1377" t="str" cm="1">
        <f t="array" ref="I1377">GET_TICKER_FINAL(C1377)</f>
        <v/>
      </c>
      <c r="J1377" s="5" t="s">
        <v>1792</v>
      </c>
    </row>
    <row r="1378" spans="1:10">
      <c r="A1378">
        <v>1377</v>
      </c>
      <c r="B1378" s="1" t="s">
        <v>888</v>
      </c>
      <c r="C1378" s="1" t="s">
        <v>1360</v>
      </c>
      <c r="D1378" s="1">
        <v>0</v>
      </c>
      <c r="E1378" s="1">
        <v>24</v>
      </c>
      <c r="F1378" s="1">
        <v>0.18</v>
      </c>
      <c r="G1378" s="1">
        <v>20260326</v>
      </c>
      <c r="H1378" t="b">
        <f t="shared" si="22"/>
        <v>0</v>
      </c>
      <c r="I1378" t="str" cm="1">
        <f t="array" ref="I1378">GET_TICKER_FINAL(C1378)</f>
        <v/>
      </c>
      <c r="J1378" s="5" t="s">
        <v>1792</v>
      </c>
    </row>
    <row r="1379" spans="1:10">
      <c r="A1379">
        <v>1378</v>
      </c>
      <c r="B1379" s="1" t="s">
        <v>888</v>
      </c>
      <c r="C1379" s="1" t="s">
        <v>1361</v>
      </c>
      <c r="D1379" s="1">
        <v>0</v>
      </c>
      <c r="E1379" s="1">
        <v>47</v>
      </c>
      <c r="F1379" s="1">
        <v>0.47</v>
      </c>
      <c r="G1379" s="1">
        <v>20260323</v>
      </c>
      <c r="H1379" t="b">
        <f t="shared" si="22"/>
        <v>0</v>
      </c>
      <c r="I1379" t="str" cm="1">
        <f t="array" ref="I1379">GET_TICKER_FINAL(C1379)</f>
        <v/>
      </c>
      <c r="J1379" s="5" t="s">
        <v>16</v>
      </c>
    </row>
    <row r="1380" spans="1:10">
      <c r="A1380">
        <v>1379</v>
      </c>
      <c r="B1380" s="1" t="s">
        <v>888</v>
      </c>
      <c r="C1380" s="1" t="s">
        <v>1362</v>
      </c>
      <c r="D1380" s="1">
        <v>0</v>
      </c>
      <c r="E1380" s="1">
        <v>68</v>
      </c>
      <c r="F1380" s="1">
        <v>0.32</v>
      </c>
      <c r="G1380" s="1">
        <v>20260323</v>
      </c>
      <c r="H1380" t="b">
        <f t="shared" si="22"/>
        <v>0</v>
      </c>
      <c r="I1380" t="str" cm="1">
        <f t="array" ref="I1380">GET_TICKER_FINAL(C1380)</f>
        <v/>
      </c>
      <c r="J1380" s="5" t="s">
        <v>1792</v>
      </c>
    </row>
    <row r="1381" spans="1:10">
      <c r="A1381">
        <v>1380</v>
      </c>
      <c r="B1381" s="1" t="s">
        <v>888</v>
      </c>
      <c r="C1381" s="1" t="s">
        <v>1363</v>
      </c>
      <c r="D1381" s="1">
        <v>0</v>
      </c>
      <c r="E1381" s="1">
        <v>11</v>
      </c>
      <c r="F1381" s="1">
        <v>0.28999999999999998</v>
      </c>
      <c r="G1381" s="1">
        <v>20260331</v>
      </c>
      <c r="H1381" t="b">
        <f t="shared" si="22"/>
        <v>0</v>
      </c>
      <c r="I1381" t="str" cm="1">
        <f t="array" ref="I1381">GET_TICKER_FINAL(C1381)</f>
        <v/>
      </c>
      <c r="J1381" s="5" t="s">
        <v>16</v>
      </c>
    </row>
    <row r="1382" spans="1:10">
      <c r="A1382">
        <v>1381</v>
      </c>
      <c r="B1382" s="1" t="s">
        <v>888</v>
      </c>
      <c r="C1382" s="1" t="s">
        <v>1364</v>
      </c>
      <c r="D1382" s="1">
        <v>0</v>
      </c>
      <c r="E1382" s="1">
        <v>0</v>
      </c>
      <c r="F1382" s="1">
        <v>0.42</v>
      </c>
      <c r="G1382" s="1">
        <v>20260331</v>
      </c>
      <c r="H1382" t="b">
        <f t="shared" si="22"/>
        <v>0</v>
      </c>
      <c r="I1382" t="str" cm="1">
        <f t="array" ref="I1382">GET_TICKER_FINAL(C1382)</f>
        <v/>
      </c>
      <c r="J1382" s="5" t="s">
        <v>1792</v>
      </c>
    </row>
    <row r="1383" spans="1:10">
      <c r="A1383">
        <v>1382</v>
      </c>
      <c r="B1383" s="1" t="s">
        <v>888</v>
      </c>
      <c r="C1383" s="1" t="s">
        <v>1365</v>
      </c>
      <c r="D1383" s="1">
        <v>0</v>
      </c>
      <c r="E1383" s="1">
        <v>11</v>
      </c>
      <c r="F1383" s="1">
        <v>0.38</v>
      </c>
      <c r="G1383" s="1">
        <v>20260331</v>
      </c>
      <c r="H1383" t="b">
        <f t="shared" si="22"/>
        <v>0</v>
      </c>
      <c r="I1383" t="str" cm="1">
        <f t="array" ref="I1383">GET_TICKER_FINAL(C1383)</f>
        <v/>
      </c>
      <c r="J1383" s="5" t="s">
        <v>1792</v>
      </c>
    </row>
    <row r="1384" spans="1:10">
      <c r="A1384">
        <v>1383</v>
      </c>
      <c r="B1384" s="1" t="s">
        <v>888</v>
      </c>
      <c r="C1384" s="1" t="s">
        <v>1366</v>
      </c>
      <c r="D1384" s="1">
        <v>0</v>
      </c>
      <c r="E1384" s="1">
        <v>9</v>
      </c>
      <c r="F1384" s="1">
        <v>0.44</v>
      </c>
      <c r="G1384" s="1">
        <v>20260331</v>
      </c>
      <c r="H1384" t="b">
        <f t="shared" si="22"/>
        <v>0</v>
      </c>
      <c r="I1384" t="str" cm="1">
        <f t="array" ref="I1384">GET_TICKER_FINAL(C1384)</f>
        <v/>
      </c>
      <c r="J1384" s="5" t="s">
        <v>25</v>
      </c>
    </row>
    <row r="1385" spans="1:10">
      <c r="A1385">
        <v>1384</v>
      </c>
      <c r="B1385" s="1" t="s">
        <v>888</v>
      </c>
      <c r="C1385" s="1" t="s">
        <v>1367</v>
      </c>
      <c r="D1385" s="1">
        <v>0</v>
      </c>
      <c r="E1385" s="1">
        <v>8</v>
      </c>
      <c r="F1385" s="1">
        <v>0.31</v>
      </c>
      <c r="G1385" s="1">
        <v>20260331</v>
      </c>
      <c r="H1385" t="b">
        <f t="shared" si="22"/>
        <v>0</v>
      </c>
      <c r="I1385" t="str" cm="1">
        <f t="array" ref="I1385">GET_TICKER_FINAL(C1385)</f>
        <v/>
      </c>
      <c r="J1385" s="5" t="s">
        <v>1792</v>
      </c>
    </row>
    <row r="1386" spans="1:10">
      <c r="A1386">
        <v>1385</v>
      </c>
      <c r="B1386" s="1" t="s">
        <v>888</v>
      </c>
      <c r="C1386" s="1" t="s">
        <v>1368</v>
      </c>
      <c r="D1386" s="1">
        <v>0</v>
      </c>
      <c r="E1386" s="1">
        <v>15</v>
      </c>
      <c r="F1386" s="1">
        <v>0.31</v>
      </c>
      <c r="G1386" s="1">
        <v>20260331</v>
      </c>
      <c r="H1386" t="b">
        <f t="shared" si="22"/>
        <v>0</v>
      </c>
      <c r="I1386" t="str" cm="1">
        <f t="array" ref="I1386">GET_TICKER_FINAL(C1386)</f>
        <v>TSLA</v>
      </c>
      <c r="J1386" s="5" t="s">
        <v>25</v>
      </c>
    </row>
    <row r="1387" spans="1:10">
      <c r="A1387">
        <v>1386</v>
      </c>
      <c r="B1387" s="1" t="s">
        <v>888</v>
      </c>
      <c r="C1387" s="1" t="s">
        <v>1369</v>
      </c>
      <c r="D1387" s="1">
        <v>0</v>
      </c>
      <c r="E1387" s="1">
        <v>14</v>
      </c>
      <c r="F1387" s="1">
        <v>0.33</v>
      </c>
      <c r="G1387" s="1">
        <v>20260331</v>
      </c>
      <c r="H1387" t="b">
        <f t="shared" si="22"/>
        <v>0</v>
      </c>
      <c r="I1387" t="str" cm="1">
        <f t="array" ref="I1387">GET_TICKER_FINAL(C1387)</f>
        <v>NVO</v>
      </c>
      <c r="J1387" s="5" t="s">
        <v>16</v>
      </c>
    </row>
    <row r="1388" spans="1:10">
      <c r="A1388">
        <v>1387</v>
      </c>
      <c r="B1388" s="1" t="s">
        <v>888</v>
      </c>
      <c r="C1388" s="1" t="s">
        <v>1370</v>
      </c>
      <c r="D1388" s="1">
        <v>0</v>
      </c>
      <c r="E1388" s="1">
        <v>112</v>
      </c>
      <c r="F1388" s="1">
        <v>0.37</v>
      </c>
      <c r="G1388" s="1">
        <v>20260331</v>
      </c>
      <c r="H1388" t="b">
        <f t="shared" si="22"/>
        <v>0</v>
      </c>
      <c r="I1388" t="str" cm="1">
        <f t="array" ref="I1388">GET_TICKER_FINAL(C1388)</f>
        <v/>
      </c>
      <c r="J1388" s="5" t="s">
        <v>25</v>
      </c>
    </row>
    <row r="1389" spans="1:10">
      <c r="A1389">
        <v>1388</v>
      </c>
      <c r="B1389" s="1" t="s">
        <v>888</v>
      </c>
      <c r="C1389" s="1" t="s">
        <v>1371</v>
      </c>
      <c r="D1389" s="1">
        <v>0</v>
      </c>
      <c r="E1389" s="1">
        <v>33</v>
      </c>
      <c r="F1389" s="1">
        <v>0.35</v>
      </c>
      <c r="G1389" s="1">
        <v>20260323</v>
      </c>
      <c r="H1389" t="b">
        <f t="shared" si="22"/>
        <v>0</v>
      </c>
      <c r="I1389" t="str" cm="1">
        <f t="array" ref="I1389">GET_TICKER_FINAL(C1389)</f>
        <v/>
      </c>
      <c r="J1389" s="5" t="s">
        <v>1792</v>
      </c>
    </row>
    <row r="1390" spans="1:10">
      <c r="A1390">
        <v>1389</v>
      </c>
      <c r="B1390" s="1" t="s">
        <v>888</v>
      </c>
      <c r="C1390" s="1" t="s">
        <v>1372</v>
      </c>
      <c r="D1390" s="1">
        <v>0</v>
      </c>
      <c r="E1390" s="1">
        <v>53</v>
      </c>
      <c r="F1390" s="1">
        <v>0.16</v>
      </c>
      <c r="G1390" s="1">
        <v>20260323</v>
      </c>
      <c r="H1390" t="b">
        <f t="shared" si="22"/>
        <v>0</v>
      </c>
      <c r="I1390" t="str" cm="1">
        <f t="array" ref="I1390">GET_TICKER_FINAL(C1390)</f>
        <v/>
      </c>
      <c r="J1390" s="5" t="s">
        <v>16</v>
      </c>
    </row>
    <row r="1391" spans="1:10">
      <c r="A1391">
        <v>1390</v>
      </c>
      <c r="B1391" s="1" t="s">
        <v>888</v>
      </c>
      <c r="C1391" s="1" t="s">
        <v>1373</v>
      </c>
      <c r="D1391" s="1">
        <v>0</v>
      </c>
      <c r="E1391" s="1">
        <v>26</v>
      </c>
      <c r="F1391" s="1">
        <v>0.31</v>
      </c>
      <c r="G1391" s="1">
        <v>20260323</v>
      </c>
      <c r="H1391" t="b">
        <f t="shared" si="22"/>
        <v>0</v>
      </c>
      <c r="I1391" t="str" cm="1">
        <f t="array" ref="I1391">GET_TICKER_FINAL(C1391)</f>
        <v/>
      </c>
      <c r="J1391" s="5" t="s">
        <v>1792</v>
      </c>
    </row>
    <row r="1392" spans="1:10">
      <c r="A1392">
        <v>1391</v>
      </c>
      <c r="B1392" s="1" t="s">
        <v>888</v>
      </c>
      <c r="C1392" s="1" t="s">
        <v>1374</v>
      </c>
      <c r="D1392" s="1">
        <v>0</v>
      </c>
      <c r="E1392" s="1">
        <v>34</v>
      </c>
      <c r="F1392" s="1">
        <v>0.24</v>
      </c>
      <c r="G1392" s="1">
        <v>20260331</v>
      </c>
      <c r="H1392" t="b">
        <f t="shared" si="22"/>
        <v>0</v>
      </c>
      <c r="I1392" t="str" cm="1">
        <f t="array" ref="I1392">GET_TICKER_FINAL(C1392)</f>
        <v/>
      </c>
      <c r="J1392" s="5" t="s">
        <v>1792</v>
      </c>
    </row>
    <row r="1393" spans="1:10">
      <c r="A1393">
        <v>1392</v>
      </c>
      <c r="B1393" s="1" t="s">
        <v>888</v>
      </c>
      <c r="C1393" s="1" t="s">
        <v>379</v>
      </c>
      <c r="D1393" s="1">
        <v>0</v>
      </c>
      <c r="E1393" s="1">
        <v>54</v>
      </c>
      <c r="F1393" s="1">
        <v>0.42</v>
      </c>
      <c r="G1393" s="1">
        <v>20260331</v>
      </c>
      <c r="H1393" t="b">
        <f t="shared" si="22"/>
        <v>0</v>
      </c>
      <c r="I1393" t="str" cm="1">
        <f t="array" ref="I1393">GET_TICKER_FINAL(C1393)</f>
        <v/>
      </c>
      <c r="J1393" s="5" t="s">
        <v>16</v>
      </c>
    </row>
    <row r="1394" spans="1:10">
      <c r="A1394">
        <v>1393</v>
      </c>
      <c r="B1394" s="1" t="s">
        <v>888</v>
      </c>
      <c r="C1394" s="1" t="s">
        <v>1375</v>
      </c>
      <c r="D1394" s="1">
        <v>0</v>
      </c>
      <c r="E1394" s="1">
        <v>34</v>
      </c>
      <c r="F1394" s="1">
        <v>0.35</v>
      </c>
      <c r="G1394" s="1">
        <v>20260331</v>
      </c>
      <c r="H1394" t="b">
        <f t="shared" si="22"/>
        <v>0</v>
      </c>
      <c r="I1394" t="str" cm="1">
        <f t="array" ref="I1394">GET_TICKER_FINAL(C1394)</f>
        <v/>
      </c>
      <c r="J1394" s="5" t="s">
        <v>1792</v>
      </c>
    </row>
    <row r="1395" spans="1:10">
      <c r="A1395">
        <v>1394</v>
      </c>
      <c r="B1395" s="1" t="s">
        <v>1376</v>
      </c>
      <c r="C1395" s="1" t="s">
        <v>1377</v>
      </c>
      <c r="D1395" s="1">
        <v>28249</v>
      </c>
      <c r="E1395" s="1">
        <v>325</v>
      </c>
      <c r="F1395" s="1">
        <v>0.97</v>
      </c>
      <c r="G1395" s="1">
        <v>20260326</v>
      </c>
      <c r="H1395" t="b">
        <f t="shared" si="22"/>
        <v>0</v>
      </c>
      <c r="I1395" t="str" cm="1">
        <f t="array" ref="I1395">GET_TICKER_FINAL(C1395)</f>
        <v/>
      </c>
      <c r="J1395" s="5" t="s">
        <v>1792</v>
      </c>
    </row>
    <row r="1396" spans="1:10">
      <c r="A1396">
        <v>1395</v>
      </c>
      <c r="B1396" s="1" t="s">
        <v>1376</v>
      </c>
      <c r="C1396" s="1" t="s">
        <v>1378</v>
      </c>
      <c r="D1396" s="1">
        <v>18998</v>
      </c>
      <c r="E1396" s="1">
        <v>532</v>
      </c>
      <c r="F1396" s="1">
        <v>0.96</v>
      </c>
      <c r="G1396" s="1">
        <v>20260401</v>
      </c>
      <c r="H1396" t="b">
        <f t="shared" si="22"/>
        <v>0</v>
      </c>
      <c r="I1396" t="str" cm="1">
        <f t="array" ref="I1396">GET_TICKER_FINAL(C1396)</f>
        <v/>
      </c>
      <c r="J1396" s="5" t="s">
        <v>16</v>
      </c>
    </row>
    <row r="1397" spans="1:10">
      <c r="A1397">
        <v>1396</v>
      </c>
      <c r="B1397" s="1" t="s">
        <v>1376</v>
      </c>
      <c r="C1397" s="1" t="s">
        <v>1379</v>
      </c>
      <c r="D1397" s="1">
        <v>17145</v>
      </c>
      <c r="E1397" s="1">
        <v>944</v>
      </c>
      <c r="F1397" s="1">
        <v>0.97</v>
      </c>
      <c r="G1397" s="1">
        <v>20260326</v>
      </c>
      <c r="H1397" t="b">
        <f t="shared" si="22"/>
        <v>0</v>
      </c>
      <c r="I1397" t="str" cm="1">
        <f t="array" ref="I1397">GET_TICKER_FINAL(C1397)</f>
        <v/>
      </c>
      <c r="J1397" s="5" t="s">
        <v>1792</v>
      </c>
    </row>
    <row r="1398" spans="1:10">
      <c r="A1398">
        <v>1397</v>
      </c>
      <c r="B1398" s="1" t="s">
        <v>1376</v>
      </c>
      <c r="C1398" s="1" t="s">
        <v>1380</v>
      </c>
      <c r="D1398" s="1">
        <v>15392</v>
      </c>
      <c r="E1398" s="1">
        <v>480</v>
      </c>
      <c r="F1398" s="1">
        <v>0.97</v>
      </c>
      <c r="G1398" s="1">
        <v>20260326</v>
      </c>
      <c r="H1398" t="b">
        <f t="shared" si="22"/>
        <v>0</v>
      </c>
      <c r="I1398" t="str" cm="1">
        <f t="array" ref="I1398">GET_TICKER_FINAL(C1398)</f>
        <v/>
      </c>
      <c r="J1398" s="5" t="s">
        <v>1792</v>
      </c>
    </row>
    <row r="1399" spans="1:10">
      <c r="A1399">
        <v>1398</v>
      </c>
      <c r="B1399" s="1" t="s">
        <v>1376</v>
      </c>
      <c r="C1399" s="1" t="s">
        <v>1381</v>
      </c>
      <c r="D1399" s="1">
        <v>14237</v>
      </c>
      <c r="E1399" s="1">
        <v>998</v>
      </c>
      <c r="F1399" s="1">
        <v>0.92</v>
      </c>
      <c r="G1399" s="1">
        <v>20260402</v>
      </c>
      <c r="H1399" t="b">
        <f t="shared" si="22"/>
        <v>0</v>
      </c>
      <c r="I1399" t="str" cm="1">
        <f t="array" ref="I1399">GET_TICKER_FINAL(C1399)</f>
        <v/>
      </c>
      <c r="J1399" s="5" t="s">
        <v>1792</v>
      </c>
    </row>
    <row r="1400" spans="1:10">
      <c r="A1400">
        <v>1399</v>
      </c>
      <c r="B1400" s="1" t="s">
        <v>1376</v>
      </c>
      <c r="C1400" s="1" t="s">
        <v>1382</v>
      </c>
      <c r="D1400" s="1">
        <v>13395</v>
      </c>
      <c r="E1400" s="1">
        <v>452</v>
      </c>
      <c r="F1400" s="1">
        <v>0.96</v>
      </c>
      <c r="G1400" s="1">
        <v>20260326</v>
      </c>
      <c r="H1400" t="b">
        <f t="shared" si="22"/>
        <v>0</v>
      </c>
      <c r="I1400" t="str" cm="1">
        <f t="array" ref="I1400">GET_TICKER_FINAL(C1400)</f>
        <v/>
      </c>
      <c r="J1400" s="5" t="s">
        <v>16</v>
      </c>
    </row>
    <row r="1401" spans="1:10">
      <c r="A1401">
        <v>1400</v>
      </c>
      <c r="B1401" s="1" t="s">
        <v>1376</v>
      </c>
      <c r="C1401" s="1" t="s">
        <v>1383</v>
      </c>
      <c r="D1401" s="1">
        <v>11614</v>
      </c>
      <c r="E1401" s="1">
        <v>673</v>
      </c>
      <c r="F1401" s="1">
        <v>0.98</v>
      </c>
      <c r="G1401" s="1">
        <v>20260330</v>
      </c>
      <c r="H1401" t="b">
        <f t="shared" si="22"/>
        <v>0</v>
      </c>
      <c r="I1401" t="str" cm="1">
        <f t="array" ref="I1401">GET_TICKER_FINAL(C1401)</f>
        <v>DIS</v>
      </c>
      <c r="J1401" s="5" t="s">
        <v>16</v>
      </c>
    </row>
    <row r="1402" spans="1:10">
      <c r="A1402">
        <v>1401</v>
      </c>
      <c r="B1402" s="1" t="s">
        <v>1376</v>
      </c>
      <c r="C1402" s="1" t="s">
        <v>1384</v>
      </c>
      <c r="D1402" s="1">
        <v>10463</v>
      </c>
      <c r="E1402" s="1">
        <v>1043</v>
      </c>
      <c r="F1402" s="1">
        <v>0.96</v>
      </c>
      <c r="G1402" s="1">
        <v>20260326</v>
      </c>
      <c r="H1402" t="b">
        <f t="shared" si="22"/>
        <v>0</v>
      </c>
      <c r="I1402" t="str" cm="1">
        <f t="array" ref="I1402">GET_TICKER_FINAL(C1402)</f>
        <v/>
      </c>
      <c r="J1402" s="5" t="s">
        <v>25</v>
      </c>
    </row>
    <row r="1403" spans="1:10">
      <c r="A1403">
        <v>1402</v>
      </c>
      <c r="B1403" s="1" t="s">
        <v>1376</v>
      </c>
      <c r="C1403" s="1" t="s">
        <v>1385</v>
      </c>
      <c r="D1403" s="1">
        <v>10325</v>
      </c>
      <c r="E1403" s="1">
        <v>4225</v>
      </c>
      <c r="F1403" s="1">
        <v>0.83</v>
      </c>
      <c r="G1403" s="1">
        <v>20260327</v>
      </c>
      <c r="H1403" t="b">
        <f t="shared" si="22"/>
        <v>0</v>
      </c>
      <c r="I1403" t="str" cm="1">
        <f t="array" ref="I1403">GET_TICKER_FINAL(C1403)</f>
        <v/>
      </c>
      <c r="J1403" s="5" t="s">
        <v>16</v>
      </c>
    </row>
    <row r="1404" spans="1:10">
      <c r="A1404">
        <v>1403</v>
      </c>
      <c r="B1404" s="1" t="s">
        <v>1376</v>
      </c>
      <c r="C1404" s="1" t="s">
        <v>1386</v>
      </c>
      <c r="D1404" s="1">
        <v>9229</v>
      </c>
      <c r="E1404" s="1">
        <v>161</v>
      </c>
      <c r="F1404" s="1">
        <v>0.98</v>
      </c>
      <c r="G1404" s="1">
        <v>20260402</v>
      </c>
      <c r="H1404" t="b">
        <f t="shared" si="22"/>
        <v>0</v>
      </c>
      <c r="I1404" t="str" cm="1">
        <f t="array" ref="I1404">GET_TICKER_FINAL(C1404)</f>
        <v/>
      </c>
      <c r="J1404" s="5" t="s">
        <v>25</v>
      </c>
    </row>
    <row r="1405" spans="1:10">
      <c r="A1405">
        <v>1404</v>
      </c>
      <c r="B1405" s="1" t="s">
        <v>1376</v>
      </c>
      <c r="C1405" s="1" t="s">
        <v>1387</v>
      </c>
      <c r="D1405" s="1">
        <v>8923</v>
      </c>
      <c r="E1405" s="1">
        <v>716</v>
      </c>
      <c r="F1405" s="1">
        <v>0.9</v>
      </c>
      <c r="G1405" s="1">
        <v>20260323</v>
      </c>
      <c r="H1405" t="b">
        <f t="shared" si="22"/>
        <v>0</v>
      </c>
      <c r="I1405" t="str" cm="1">
        <f t="array" ref="I1405">GET_TICKER_FINAL(C1405)</f>
        <v/>
      </c>
      <c r="J1405" s="5" t="s">
        <v>1792</v>
      </c>
    </row>
    <row r="1406" spans="1:10">
      <c r="A1406">
        <v>1405</v>
      </c>
      <c r="B1406" s="1" t="s">
        <v>1376</v>
      </c>
      <c r="C1406" s="1" t="s">
        <v>1388</v>
      </c>
      <c r="D1406" s="1">
        <v>8664</v>
      </c>
      <c r="E1406" s="1">
        <v>251</v>
      </c>
      <c r="F1406" s="1">
        <v>0.99</v>
      </c>
      <c r="G1406" s="1">
        <v>20260326</v>
      </c>
      <c r="H1406" t="b">
        <f t="shared" si="22"/>
        <v>0</v>
      </c>
      <c r="I1406" t="str" cm="1">
        <f t="array" ref="I1406">GET_TICKER_FINAL(C1406)</f>
        <v/>
      </c>
      <c r="J1406" s="5" t="s">
        <v>16</v>
      </c>
    </row>
    <row r="1407" spans="1:10">
      <c r="A1407">
        <v>1406</v>
      </c>
      <c r="B1407" s="1" t="s">
        <v>1376</v>
      </c>
      <c r="C1407" s="1" t="s">
        <v>1389</v>
      </c>
      <c r="D1407" s="1">
        <v>8434</v>
      </c>
      <c r="E1407" s="1">
        <v>334</v>
      </c>
      <c r="F1407" s="1">
        <v>0.97</v>
      </c>
      <c r="G1407" s="1">
        <v>20260320</v>
      </c>
      <c r="H1407" t="b">
        <f t="shared" si="22"/>
        <v>0</v>
      </c>
      <c r="I1407" t="str" cm="1">
        <f t="array" ref="I1407">GET_TICKER_FINAL(C1407)</f>
        <v/>
      </c>
      <c r="J1407" s="5" t="s">
        <v>1792</v>
      </c>
    </row>
    <row r="1408" spans="1:10">
      <c r="A1408">
        <v>1407</v>
      </c>
      <c r="B1408" s="1" t="s">
        <v>1376</v>
      </c>
      <c r="C1408" s="1" t="s">
        <v>1390</v>
      </c>
      <c r="D1408" s="1">
        <v>8378</v>
      </c>
      <c r="E1408" s="1">
        <v>488</v>
      </c>
      <c r="F1408" s="1">
        <v>0.98</v>
      </c>
      <c r="G1408" s="1">
        <v>20260330</v>
      </c>
      <c r="H1408" t="b">
        <f t="shared" si="22"/>
        <v>0</v>
      </c>
      <c r="I1408" t="str" cm="1">
        <f t="array" ref="I1408">GET_TICKER_FINAL(C1408)</f>
        <v/>
      </c>
      <c r="J1408" s="5" t="s">
        <v>16</v>
      </c>
    </row>
    <row r="1409" spans="1:10">
      <c r="A1409">
        <v>1408</v>
      </c>
      <c r="B1409" s="1" t="s">
        <v>1376</v>
      </c>
      <c r="C1409" s="1" t="s">
        <v>1391</v>
      </c>
      <c r="D1409" s="1">
        <v>7988</v>
      </c>
      <c r="E1409" s="1">
        <v>1661</v>
      </c>
      <c r="F1409" s="1">
        <v>0.89</v>
      </c>
      <c r="G1409" s="1">
        <v>20260402</v>
      </c>
      <c r="H1409" t="b">
        <f t="shared" si="22"/>
        <v>0</v>
      </c>
      <c r="I1409" t="str" cm="1">
        <f t="array" ref="I1409">GET_TICKER_FINAL(C1409)</f>
        <v/>
      </c>
      <c r="J1409" s="5" t="s">
        <v>16</v>
      </c>
    </row>
    <row r="1410" spans="1:10">
      <c r="A1410">
        <v>1409</v>
      </c>
      <c r="B1410" s="1" t="s">
        <v>1376</v>
      </c>
      <c r="C1410" s="1" t="s">
        <v>1392</v>
      </c>
      <c r="D1410" s="1">
        <v>7117</v>
      </c>
      <c r="E1410" s="1">
        <v>418</v>
      </c>
      <c r="F1410" s="1">
        <v>0.97</v>
      </c>
      <c r="G1410" s="1">
        <v>20260331</v>
      </c>
      <c r="H1410" t="b">
        <f t="shared" si="22"/>
        <v>0</v>
      </c>
      <c r="I1410" t="str" cm="1">
        <f t="array" ref="I1410">GET_TICKER_FINAL(C1410)</f>
        <v>GOOGL</v>
      </c>
      <c r="J1410" s="5" t="s">
        <v>16</v>
      </c>
    </row>
    <row r="1411" spans="1:10">
      <c r="A1411">
        <v>1410</v>
      </c>
      <c r="B1411" s="1" t="s">
        <v>1376</v>
      </c>
      <c r="C1411" s="1" t="s">
        <v>1393</v>
      </c>
      <c r="D1411" s="1">
        <v>6961</v>
      </c>
      <c r="E1411" s="1">
        <v>963</v>
      </c>
      <c r="F1411" s="1">
        <v>0.97</v>
      </c>
      <c r="G1411" s="1">
        <v>20260323</v>
      </c>
      <c r="H1411" t="b">
        <f t="shared" ref="H1411:H1474" si="23">OR(ISNUMBER(SEARCH("$A",C1411)),ISNUMBER(SEARCH("$B",C1411)),ISNUMBER(SEARCH("$C",C1411)),ISNUMBER(SEARCH("$D",C1411)),ISNUMBER(SEARCH("$E",C1411)),ISNUMBER(SEARCH("$F",C1411)),ISNUMBER(SEARCH("$G",C1411)),ISNUMBER(SEARCH("$H",C1411)),ISNUMBER(SEARCH("$I",C1411)),ISNUMBER(SEARCH("$J",C1411)),ISNUMBER(SEARCH("$K",C1411)),ISNUMBER(SEARCH("$L",C1411)),ISNUMBER(SEARCH("$M",C1411)),ISNUMBER(SEARCH("$N",C1411)),ISNUMBER(SEARCH("$O",C1411)),ISNUMBER(SEARCH("$P",C1411)),ISNUMBER(SEARCH("$Q",C1411)),ISNUMBER(SEARCH("$R",C1411)),ISNUMBER(SEARCH("$S",C1411)),ISNUMBER(SEARCH("$T",C1411)),ISNUMBER(SEARCH("$U",C1411)),ISNUMBER(SEARCH("$V",C1411)),ISNUMBER(SEARCH("$W",C1411)),ISNUMBER(SEARCH("$X",C1411)),ISNUMBER(SEARCH("$Y",C1411)),ISNUMBER(SEARCH("$Z",C1411)))</f>
        <v>0</v>
      </c>
      <c r="I1411" t="str" cm="1">
        <f t="array" ref="I1411">GET_TICKER_FINAL(C1411)</f>
        <v/>
      </c>
      <c r="J1411" s="5" t="s">
        <v>16</v>
      </c>
    </row>
    <row r="1412" spans="1:10">
      <c r="A1412">
        <v>1411</v>
      </c>
      <c r="B1412" s="1" t="s">
        <v>1376</v>
      </c>
      <c r="C1412" s="1" t="s">
        <v>1394</v>
      </c>
      <c r="D1412" s="1">
        <v>6552</v>
      </c>
      <c r="E1412" s="1">
        <v>431</v>
      </c>
      <c r="F1412" s="1">
        <v>0.98</v>
      </c>
      <c r="G1412" s="1">
        <v>20260326</v>
      </c>
      <c r="H1412" t="b">
        <f t="shared" si="23"/>
        <v>0</v>
      </c>
      <c r="I1412" t="str" cm="1">
        <f t="array" ref="I1412">GET_TICKER_FINAL(C1412)</f>
        <v>UAL</v>
      </c>
      <c r="J1412" s="5" t="s">
        <v>16</v>
      </c>
    </row>
    <row r="1413" spans="1:10">
      <c r="A1413">
        <v>1412</v>
      </c>
      <c r="B1413" s="1" t="s">
        <v>1376</v>
      </c>
      <c r="C1413" s="1" t="s">
        <v>1395</v>
      </c>
      <c r="D1413" s="1">
        <v>5933</v>
      </c>
      <c r="E1413" s="1">
        <v>535</v>
      </c>
      <c r="F1413" s="1">
        <v>0.91</v>
      </c>
      <c r="G1413" s="1">
        <v>20260402</v>
      </c>
      <c r="H1413" t="b">
        <f t="shared" si="23"/>
        <v>0</v>
      </c>
      <c r="I1413" t="str" cm="1">
        <f t="array" ref="I1413">GET_TICKER_FINAL(C1413)</f>
        <v/>
      </c>
      <c r="J1413" s="5" t="s">
        <v>1792</v>
      </c>
    </row>
    <row r="1414" spans="1:10">
      <c r="A1414">
        <v>1413</v>
      </c>
      <c r="B1414" s="1" t="s">
        <v>1376</v>
      </c>
      <c r="C1414" s="1" t="s">
        <v>754</v>
      </c>
      <c r="D1414" s="1">
        <v>5709</v>
      </c>
      <c r="E1414" s="1">
        <v>398</v>
      </c>
      <c r="F1414" s="1">
        <v>0.99</v>
      </c>
      <c r="G1414" s="1">
        <v>20260331</v>
      </c>
      <c r="H1414" t="b">
        <f t="shared" si="23"/>
        <v>0</v>
      </c>
      <c r="I1414" t="str" cm="1">
        <f t="array" ref="I1414">GET_TICKER_FINAL(C1414)</f>
        <v>MSFT</v>
      </c>
      <c r="J1414" s="5" t="s">
        <v>16</v>
      </c>
    </row>
    <row r="1415" spans="1:10">
      <c r="A1415">
        <v>1414</v>
      </c>
      <c r="B1415" s="1" t="s">
        <v>1376</v>
      </c>
      <c r="C1415" s="1" t="s">
        <v>1396</v>
      </c>
      <c r="D1415" s="1">
        <v>5614</v>
      </c>
      <c r="E1415" s="1">
        <v>855</v>
      </c>
      <c r="F1415" s="1">
        <v>0.98</v>
      </c>
      <c r="G1415" s="1">
        <v>20260323</v>
      </c>
      <c r="H1415" t="b">
        <f t="shared" si="23"/>
        <v>0</v>
      </c>
      <c r="I1415" t="str" cm="1">
        <f t="array" ref="I1415">GET_TICKER_FINAL(C1415)</f>
        <v/>
      </c>
      <c r="J1415" s="5" t="s">
        <v>16</v>
      </c>
    </row>
    <row r="1416" spans="1:10">
      <c r="A1416">
        <v>1415</v>
      </c>
      <c r="B1416" s="1" t="s">
        <v>1376</v>
      </c>
      <c r="C1416" s="1" t="s">
        <v>1397</v>
      </c>
      <c r="D1416" s="1">
        <v>5605</v>
      </c>
      <c r="E1416" s="1">
        <v>601</v>
      </c>
      <c r="F1416" s="1">
        <v>0.97</v>
      </c>
      <c r="G1416" s="1">
        <v>20260323</v>
      </c>
      <c r="H1416" t="b">
        <f t="shared" si="23"/>
        <v>0</v>
      </c>
      <c r="I1416" t="str" cm="1">
        <f t="array" ref="I1416">GET_TICKER_FINAL(C1416)</f>
        <v/>
      </c>
      <c r="J1416" s="5" t="s">
        <v>14</v>
      </c>
    </row>
    <row r="1417" spans="1:10">
      <c r="A1417">
        <v>1416</v>
      </c>
      <c r="B1417" s="1" t="s">
        <v>1376</v>
      </c>
      <c r="C1417" s="1" t="s">
        <v>1398</v>
      </c>
      <c r="D1417" s="1">
        <v>5581</v>
      </c>
      <c r="E1417" s="1">
        <v>415</v>
      </c>
      <c r="F1417" s="1">
        <v>0.97</v>
      </c>
      <c r="G1417" s="1">
        <v>20260401</v>
      </c>
      <c r="H1417" t="b">
        <f t="shared" si="23"/>
        <v>0</v>
      </c>
      <c r="I1417" t="str" cm="1">
        <f t="array" ref="I1417">GET_TICKER_FINAL(C1417)</f>
        <v/>
      </c>
      <c r="J1417" s="5" t="s">
        <v>16</v>
      </c>
    </row>
    <row r="1418" spans="1:10">
      <c r="A1418">
        <v>1417</v>
      </c>
      <c r="B1418" s="1" t="s">
        <v>1376</v>
      </c>
      <c r="C1418" s="1" t="s">
        <v>1399</v>
      </c>
      <c r="D1418" s="1">
        <v>4951</v>
      </c>
      <c r="E1418" s="1">
        <v>1082</v>
      </c>
      <c r="F1418" s="1">
        <v>0.97</v>
      </c>
      <c r="G1418" s="1">
        <v>20260330</v>
      </c>
      <c r="H1418" t="b">
        <f t="shared" si="23"/>
        <v>0</v>
      </c>
      <c r="I1418" t="str" cm="1">
        <f t="array" ref="I1418">GET_TICKER_FINAL(C1418)</f>
        <v>NFLX</v>
      </c>
      <c r="J1418" s="5" t="s">
        <v>16</v>
      </c>
    </row>
    <row r="1419" spans="1:10">
      <c r="A1419">
        <v>1418</v>
      </c>
      <c r="B1419" s="1" t="s">
        <v>1376</v>
      </c>
      <c r="C1419" s="1" t="s">
        <v>1400</v>
      </c>
      <c r="D1419" s="1">
        <v>4951</v>
      </c>
      <c r="E1419" s="1">
        <v>650</v>
      </c>
      <c r="F1419" s="1">
        <v>0.96</v>
      </c>
      <c r="G1419" s="1">
        <v>20260326</v>
      </c>
      <c r="H1419" t="b">
        <f t="shared" si="23"/>
        <v>0</v>
      </c>
      <c r="I1419" t="str" cm="1">
        <f t="array" ref="I1419">GET_TICKER_FINAL(C1419)</f>
        <v/>
      </c>
      <c r="J1419" s="5" t="s">
        <v>16</v>
      </c>
    </row>
    <row r="1420" spans="1:10">
      <c r="A1420">
        <v>1419</v>
      </c>
      <c r="B1420" s="1" t="s">
        <v>1376</v>
      </c>
      <c r="C1420" s="1" t="s">
        <v>1401</v>
      </c>
      <c r="D1420" s="1">
        <v>4912</v>
      </c>
      <c r="E1420" s="1">
        <v>188</v>
      </c>
      <c r="F1420" s="1">
        <v>0.98</v>
      </c>
      <c r="G1420" s="1">
        <v>20260402</v>
      </c>
      <c r="H1420" t="b">
        <f t="shared" si="23"/>
        <v>0</v>
      </c>
      <c r="I1420" t="str" cm="1">
        <f t="array" ref="I1420">GET_TICKER_FINAL(C1420)</f>
        <v/>
      </c>
      <c r="J1420" s="5" t="s">
        <v>1792</v>
      </c>
    </row>
    <row r="1421" spans="1:10">
      <c r="A1421">
        <v>1420</v>
      </c>
      <c r="B1421" s="1" t="s">
        <v>1376</v>
      </c>
      <c r="C1421" s="1" t="s">
        <v>1402</v>
      </c>
      <c r="D1421" s="1">
        <v>4745</v>
      </c>
      <c r="E1421" s="1">
        <v>230</v>
      </c>
      <c r="F1421" s="1">
        <v>0.97</v>
      </c>
      <c r="G1421" s="1">
        <v>20260326</v>
      </c>
      <c r="H1421" t="b">
        <f t="shared" si="23"/>
        <v>0</v>
      </c>
      <c r="I1421" t="str" cm="1">
        <f t="array" ref="I1421">GET_TICKER_FINAL(C1421)</f>
        <v/>
      </c>
      <c r="J1421" s="5" t="s">
        <v>25</v>
      </c>
    </row>
    <row r="1422" spans="1:10">
      <c r="A1422">
        <v>1421</v>
      </c>
      <c r="B1422" s="1" t="s">
        <v>1376</v>
      </c>
      <c r="C1422" s="1" t="s">
        <v>1403</v>
      </c>
      <c r="D1422" s="1">
        <v>4400</v>
      </c>
      <c r="E1422" s="1">
        <v>1108</v>
      </c>
      <c r="F1422" s="1">
        <v>0.96</v>
      </c>
      <c r="G1422" s="1">
        <v>20260324</v>
      </c>
      <c r="H1422" t="b">
        <f t="shared" si="23"/>
        <v>0</v>
      </c>
      <c r="I1422" t="str" cm="1">
        <f t="array" ref="I1422">GET_TICKER_FINAL(C1422)</f>
        <v/>
      </c>
      <c r="J1422" s="5" t="s">
        <v>16</v>
      </c>
    </row>
    <row r="1423" spans="1:10">
      <c r="A1423">
        <v>1422</v>
      </c>
      <c r="B1423" s="1" t="s">
        <v>1376</v>
      </c>
      <c r="C1423" s="1" t="s">
        <v>1404</v>
      </c>
      <c r="D1423" s="1">
        <v>4249</v>
      </c>
      <c r="E1423" s="1">
        <v>323</v>
      </c>
      <c r="F1423" s="1">
        <v>0.97</v>
      </c>
      <c r="G1423" s="1">
        <v>20260330</v>
      </c>
      <c r="H1423" t="b">
        <f t="shared" si="23"/>
        <v>0</v>
      </c>
      <c r="I1423" t="str" cm="1">
        <f t="array" ref="I1423">GET_TICKER_FINAL(C1423)</f>
        <v>META</v>
      </c>
      <c r="J1423" s="5" t="s">
        <v>16</v>
      </c>
    </row>
    <row r="1424" spans="1:10">
      <c r="A1424">
        <v>1423</v>
      </c>
      <c r="B1424" s="1" t="s">
        <v>1376</v>
      </c>
      <c r="C1424" s="1" t="s">
        <v>1405</v>
      </c>
      <c r="D1424" s="1">
        <v>4241</v>
      </c>
      <c r="E1424" s="1">
        <v>221</v>
      </c>
      <c r="F1424" s="1">
        <v>0.98</v>
      </c>
      <c r="G1424" s="1">
        <v>20260331</v>
      </c>
      <c r="H1424" t="b">
        <f t="shared" si="23"/>
        <v>0</v>
      </c>
      <c r="I1424" t="str" cm="1">
        <f t="array" ref="I1424">GET_TICKER_FINAL(C1424)</f>
        <v/>
      </c>
      <c r="J1424" s="5" t="s">
        <v>1792</v>
      </c>
    </row>
    <row r="1425" spans="1:10">
      <c r="A1425">
        <v>1424</v>
      </c>
      <c r="B1425" s="1" t="s">
        <v>1376</v>
      </c>
      <c r="C1425" s="1" t="s">
        <v>1406</v>
      </c>
      <c r="D1425" s="1">
        <v>4061</v>
      </c>
      <c r="E1425" s="1">
        <v>489</v>
      </c>
      <c r="F1425" s="1">
        <v>0.95</v>
      </c>
      <c r="G1425" s="1">
        <v>20260327</v>
      </c>
      <c r="H1425" t="b">
        <f t="shared" si="23"/>
        <v>0</v>
      </c>
      <c r="I1425" t="str" cm="1">
        <f t="array" ref="I1425">GET_TICKER_FINAL(C1425)</f>
        <v/>
      </c>
      <c r="J1425" s="5" t="s">
        <v>16</v>
      </c>
    </row>
    <row r="1426" spans="1:10">
      <c r="A1426">
        <v>1425</v>
      </c>
      <c r="B1426" s="1" t="s">
        <v>1376</v>
      </c>
      <c r="C1426" s="1" t="s">
        <v>1407</v>
      </c>
      <c r="D1426" s="1">
        <v>3969</v>
      </c>
      <c r="E1426" s="1">
        <v>417</v>
      </c>
      <c r="F1426" s="1">
        <v>0.99</v>
      </c>
      <c r="G1426" s="1">
        <v>20260331</v>
      </c>
      <c r="H1426" t="b">
        <f t="shared" si="23"/>
        <v>0</v>
      </c>
      <c r="I1426" t="str" cm="1">
        <f t="array" ref="I1426">GET_TICKER_FINAL(C1426)</f>
        <v/>
      </c>
      <c r="J1426" s="5" t="s">
        <v>16</v>
      </c>
    </row>
    <row r="1427" spans="1:10">
      <c r="A1427">
        <v>1426</v>
      </c>
      <c r="B1427" s="1" t="s">
        <v>1376</v>
      </c>
      <c r="C1427" s="1" t="s">
        <v>1408</v>
      </c>
      <c r="D1427" s="1">
        <v>3540</v>
      </c>
      <c r="E1427" s="1">
        <v>351</v>
      </c>
      <c r="F1427" s="1">
        <v>0.98</v>
      </c>
      <c r="G1427" s="1">
        <v>20260331</v>
      </c>
      <c r="H1427" t="b">
        <f t="shared" si="23"/>
        <v>0</v>
      </c>
      <c r="I1427" t="str" cm="1">
        <f t="array" ref="I1427">GET_TICKER_FINAL(C1427)</f>
        <v/>
      </c>
      <c r="J1427" s="5" t="s">
        <v>1792</v>
      </c>
    </row>
    <row r="1428" spans="1:10">
      <c r="A1428">
        <v>1427</v>
      </c>
      <c r="B1428" s="1" t="s">
        <v>1376</v>
      </c>
      <c r="C1428" s="1" t="s">
        <v>1409</v>
      </c>
      <c r="D1428" s="1">
        <v>3476</v>
      </c>
      <c r="E1428" s="1">
        <v>985</v>
      </c>
      <c r="F1428" s="1">
        <v>0.92</v>
      </c>
      <c r="G1428" s="1">
        <v>20260320</v>
      </c>
      <c r="H1428" t="b">
        <f t="shared" si="23"/>
        <v>0</v>
      </c>
      <c r="I1428" t="str" cm="1">
        <f t="array" ref="I1428">GET_TICKER_FINAL(C1428)</f>
        <v/>
      </c>
      <c r="J1428" s="5" t="s">
        <v>1792</v>
      </c>
    </row>
    <row r="1429" spans="1:10">
      <c r="A1429">
        <v>1428</v>
      </c>
      <c r="B1429" s="1" t="s">
        <v>1376</v>
      </c>
      <c r="C1429" s="1" t="s">
        <v>1410</v>
      </c>
      <c r="D1429" s="1">
        <v>3387</v>
      </c>
      <c r="E1429" s="1">
        <v>388</v>
      </c>
      <c r="F1429" s="1">
        <v>0.98</v>
      </c>
      <c r="G1429" s="1">
        <v>20260323</v>
      </c>
      <c r="H1429" t="b">
        <f t="shared" si="23"/>
        <v>0</v>
      </c>
      <c r="I1429" t="str" cm="1">
        <f t="array" ref="I1429">GET_TICKER_FINAL(C1429)</f>
        <v/>
      </c>
      <c r="J1429" s="5" t="s">
        <v>16</v>
      </c>
    </row>
    <row r="1430" spans="1:10">
      <c r="A1430">
        <v>1429</v>
      </c>
      <c r="B1430" s="1" t="s">
        <v>1376</v>
      </c>
      <c r="C1430" s="1" t="s">
        <v>1411</v>
      </c>
      <c r="D1430" s="1">
        <v>3280</v>
      </c>
      <c r="E1430" s="1">
        <v>467</v>
      </c>
      <c r="F1430" s="1">
        <v>0.96</v>
      </c>
      <c r="G1430" s="1">
        <v>20260402</v>
      </c>
      <c r="H1430" t="b">
        <f t="shared" si="23"/>
        <v>0</v>
      </c>
      <c r="I1430" t="str" cm="1">
        <f t="array" ref="I1430">GET_TICKER_FINAL(C1430)</f>
        <v/>
      </c>
      <c r="J1430" s="5" t="s">
        <v>25</v>
      </c>
    </row>
    <row r="1431" spans="1:10">
      <c r="A1431">
        <v>1430</v>
      </c>
      <c r="B1431" s="1" t="s">
        <v>1376</v>
      </c>
      <c r="C1431" s="1" t="s">
        <v>1412</v>
      </c>
      <c r="D1431" s="1">
        <v>3026</v>
      </c>
      <c r="E1431" s="1">
        <v>379</v>
      </c>
      <c r="F1431" s="1">
        <v>0.96</v>
      </c>
      <c r="G1431" s="1">
        <v>20260327</v>
      </c>
      <c r="H1431" t="b">
        <f t="shared" si="23"/>
        <v>0</v>
      </c>
      <c r="I1431" t="str" cm="1">
        <f t="array" ref="I1431">GET_TICKER_FINAL(C1431)</f>
        <v/>
      </c>
      <c r="J1431" s="5" t="s">
        <v>1792</v>
      </c>
    </row>
    <row r="1432" spans="1:10">
      <c r="A1432">
        <v>1431</v>
      </c>
      <c r="B1432" s="1" t="s">
        <v>1376</v>
      </c>
      <c r="C1432" s="1" t="s">
        <v>1413</v>
      </c>
      <c r="D1432" s="1">
        <v>2828</v>
      </c>
      <c r="E1432" s="1">
        <v>1382</v>
      </c>
      <c r="F1432" s="1">
        <v>0.79</v>
      </c>
      <c r="G1432" s="1">
        <v>20260331</v>
      </c>
      <c r="H1432" t="b">
        <f t="shared" si="23"/>
        <v>0</v>
      </c>
      <c r="I1432" t="str" cm="1">
        <f t="array" ref="I1432">GET_TICKER_FINAL(C1432)</f>
        <v/>
      </c>
      <c r="J1432" s="5" t="s">
        <v>1792</v>
      </c>
    </row>
    <row r="1433" spans="1:10">
      <c r="A1433">
        <v>1432</v>
      </c>
      <c r="B1433" s="1" t="s">
        <v>1376</v>
      </c>
      <c r="C1433" s="1" t="s">
        <v>1414</v>
      </c>
      <c r="D1433" s="1">
        <v>2778</v>
      </c>
      <c r="E1433" s="1">
        <v>174</v>
      </c>
      <c r="F1433" s="1">
        <v>0.97</v>
      </c>
      <c r="G1433" s="1">
        <v>20260330</v>
      </c>
      <c r="H1433" t="b">
        <f t="shared" si="23"/>
        <v>0</v>
      </c>
      <c r="I1433" t="str" cm="1">
        <f t="array" ref="I1433">GET_TICKER_FINAL(C1433)</f>
        <v/>
      </c>
      <c r="J1433" s="5" t="s">
        <v>1792</v>
      </c>
    </row>
    <row r="1434" spans="1:10">
      <c r="A1434">
        <v>1433</v>
      </c>
      <c r="B1434" s="1" t="s">
        <v>1376</v>
      </c>
      <c r="C1434" s="1" t="s">
        <v>786</v>
      </c>
      <c r="D1434" s="1">
        <v>2690</v>
      </c>
      <c r="E1434" s="1">
        <v>399</v>
      </c>
      <c r="F1434" s="1">
        <v>0.98</v>
      </c>
      <c r="G1434" s="1">
        <v>20260401</v>
      </c>
      <c r="H1434" t="b">
        <f t="shared" si="23"/>
        <v>0</v>
      </c>
      <c r="I1434" t="str" cm="1">
        <f t="array" ref="I1434">GET_TICKER_FINAL(C1434)</f>
        <v/>
      </c>
      <c r="J1434" s="5" t="s">
        <v>16</v>
      </c>
    </row>
    <row r="1435" spans="1:10">
      <c r="A1435">
        <v>1434</v>
      </c>
      <c r="B1435" s="1" t="s">
        <v>1376</v>
      </c>
      <c r="C1435" s="1" t="s">
        <v>1415</v>
      </c>
      <c r="D1435" s="1">
        <v>2680</v>
      </c>
      <c r="E1435" s="1">
        <v>764</v>
      </c>
      <c r="F1435" s="1">
        <v>0.94</v>
      </c>
      <c r="G1435" s="1">
        <v>20260326</v>
      </c>
      <c r="H1435" t="b">
        <f t="shared" si="23"/>
        <v>0</v>
      </c>
      <c r="I1435" t="str" cm="1">
        <f t="array" ref="I1435">GET_TICKER_FINAL(C1435)</f>
        <v/>
      </c>
      <c r="J1435" s="5" t="s">
        <v>25</v>
      </c>
    </row>
    <row r="1436" spans="1:10">
      <c r="A1436">
        <v>1435</v>
      </c>
      <c r="B1436" s="1" t="s">
        <v>1376</v>
      </c>
      <c r="C1436" s="1" t="s">
        <v>1416</v>
      </c>
      <c r="D1436" s="1">
        <v>2589</v>
      </c>
      <c r="E1436" s="1">
        <v>240</v>
      </c>
      <c r="F1436" s="1">
        <v>0.97</v>
      </c>
      <c r="G1436" s="1">
        <v>20260401</v>
      </c>
      <c r="H1436" t="b">
        <f t="shared" si="23"/>
        <v>1</v>
      </c>
      <c r="I1436" t="str" cm="1">
        <f t="array" ref="I1436">GET_TICKER_FINAL(C1436)</f>
        <v/>
      </c>
      <c r="J1436" s="5" t="s">
        <v>1792</v>
      </c>
    </row>
    <row r="1437" spans="1:10">
      <c r="A1437">
        <v>1436</v>
      </c>
      <c r="B1437" s="1" t="s">
        <v>1376</v>
      </c>
      <c r="C1437" s="1" t="s">
        <v>792</v>
      </c>
      <c r="D1437" s="1">
        <v>2569</v>
      </c>
      <c r="E1437" s="1">
        <v>221</v>
      </c>
      <c r="F1437" s="1">
        <v>0.98</v>
      </c>
      <c r="G1437" s="1">
        <v>20260402</v>
      </c>
      <c r="H1437" t="b">
        <f t="shared" si="23"/>
        <v>0</v>
      </c>
      <c r="I1437" t="str" cm="1">
        <f t="array" ref="I1437">GET_TICKER_FINAL(C1437)</f>
        <v/>
      </c>
      <c r="J1437" s="5" t="s">
        <v>25</v>
      </c>
    </row>
    <row r="1438" spans="1:10">
      <c r="A1438">
        <v>1437</v>
      </c>
      <c r="B1438" s="1" t="s">
        <v>1376</v>
      </c>
      <c r="C1438" s="1" t="s">
        <v>1417</v>
      </c>
      <c r="D1438" s="1">
        <v>2537</v>
      </c>
      <c r="E1438" s="1">
        <v>123</v>
      </c>
      <c r="F1438" s="1">
        <v>0.98</v>
      </c>
      <c r="G1438" s="1">
        <v>20260323</v>
      </c>
      <c r="H1438" t="b">
        <f t="shared" si="23"/>
        <v>0</v>
      </c>
      <c r="I1438" t="str" cm="1">
        <f t="array" ref="I1438">GET_TICKER_FINAL(C1438)</f>
        <v/>
      </c>
      <c r="J1438" s="5" t="s">
        <v>25</v>
      </c>
    </row>
    <row r="1439" spans="1:10">
      <c r="A1439">
        <v>1438</v>
      </c>
      <c r="B1439" s="1" t="s">
        <v>1376</v>
      </c>
      <c r="C1439" s="1" t="s">
        <v>1418</v>
      </c>
      <c r="D1439" s="1">
        <v>2529</v>
      </c>
      <c r="E1439" s="1">
        <v>482</v>
      </c>
      <c r="F1439" s="1">
        <v>0.98</v>
      </c>
      <c r="G1439" s="1">
        <v>20260330</v>
      </c>
      <c r="H1439" t="b">
        <f t="shared" si="23"/>
        <v>0</v>
      </c>
      <c r="I1439" t="str" cm="1">
        <f t="array" ref="I1439">GET_TICKER_FINAL(C1439)</f>
        <v>META</v>
      </c>
      <c r="J1439" s="5" t="s">
        <v>16</v>
      </c>
    </row>
    <row r="1440" spans="1:10">
      <c r="A1440">
        <v>1439</v>
      </c>
      <c r="B1440" s="1" t="s">
        <v>1376</v>
      </c>
      <c r="C1440" s="1" t="s">
        <v>747</v>
      </c>
      <c r="D1440" s="1">
        <v>2482</v>
      </c>
      <c r="E1440" s="1">
        <v>220</v>
      </c>
      <c r="F1440" s="1">
        <v>0.98</v>
      </c>
      <c r="G1440" s="1">
        <v>20260320</v>
      </c>
      <c r="H1440" t="b">
        <f t="shared" si="23"/>
        <v>0</v>
      </c>
      <c r="I1440" t="str" cm="1">
        <f t="array" ref="I1440">GET_TICKER_FINAL(C1440)</f>
        <v/>
      </c>
      <c r="J1440" s="5" t="s">
        <v>16</v>
      </c>
    </row>
    <row r="1441" spans="1:10">
      <c r="A1441">
        <v>1440</v>
      </c>
      <c r="B1441" s="1" t="s">
        <v>1376</v>
      </c>
      <c r="C1441" s="1" t="s">
        <v>1419</v>
      </c>
      <c r="D1441" s="1">
        <v>2461</v>
      </c>
      <c r="E1441" s="1">
        <v>419</v>
      </c>
      <c r="F1441" s="1">
        <v>0.92</v>
      </c>
      <c r="G1441" s="1">
        <v>20260402</v>
      </c>
      <c r="H1441" t="b">
        <f t="shared" si="23"/>
        <v>0</v>
      </c>
      <c r="I1441" t="str" cm="1">
        <f t="array" ref="I1441">GET_TICKER_FINAL(C1441)</f>
        <v/>
      </c>
      <c r="J1441" s="5" t="s">
        <v>16</v>
      </c>
    </row>
    <row r="1442" spans="1:10">
      <c r="A1442">
        <v>1441</v>
      </c>
      <c r="B1442" s="1" t="s">
        <v>1376</v>
      </c>
      <c r="C1442" s="1" t="s">
        <v>1420</v>
      </c>
      <c r="D1442" s="1">
        <v>2405</v>
      </c>
      <c r="E1442" s="1">
        <v>308</v>
      </c>
      <c r="F1442" s="1">
        <v>0.97</v>
      </c>
      <c r="G1442" s="1">
        <v>20260402</v>
      </c>
      <c r="H1442" t="b">
        <f t="shared" si="23"/>
        <v>0</v>
      </c>
      <c r="I1442" t="str" cm="1">
        <f t="array" ref="I1442">GET_TICKER_FINAL(C1442)</f>
        <v/>
      </c>
      <c r="J1442" s="5" t="s">
        <v>16</v>
      </c>
    </row>
    <row r="1443" spans="1:10">
      <c r="A1443">
        <v>1442</v>
      </c>
      <c r="B1443" s="1" t="s">
        <v>1376</v>
      </c>
      <c r="C1443" s="1" t="s">
        <v>1421</v>
      </c>
      <c r="D1443" s="1">
        <v>2380</v>
      </c>
      <c r="E1443" s="1">
        <v>378</v>
      </c>
      <c r="F1443" s="1">
        <v>0.94</v>
      </c>
      <c r="G1443" s="1">
        <v>20260326</v>
      </c>
      <c r="H1443" t="b">
        <f t="shared" si="23"/>
        <v>0</v>
      </c>
      <c r="I1443" t="str" cm="1">
        <f t="array" ref="I1443">GET_TICKER_FINAL(C1443)</f>
        <v/>
      </c>
      <c r="J1443" s="5" t="s">
        <v>16</v>
      </c>
    </row>
    <row r="1444" spans="1:10">
      <c r="A1444">
        <v>1443</v>
      </c>
      <c r="B1444" s="1" t="s">
        <v>1376</v>
      </c>
      <c r="C1444" s="1" t="s">
        <v>1422</v>
      </c>
      <c r="D1444" s="1">
        <v>2306</v>
      </c>
      <c r="E1444" s="1">
        <v>454</v>
      </c>
      <c r="F1444" s="1">
        <v>0.97</v>
      </c>
      <c r="G1444" s="1">
        <v>20260327</v>
      </c>
      <c r="H1444" t="b">
        <f t="shared" si="23"/>
        <v>0</v>
      </c>
      <c r="I1444" t="str" cm="1">
        <f t="array" ref="I1444">GET_TICKER_FINAL(C1444)</f>
        <v/>
      </c>
      <c r="J1444" s="5" t="s">
        <v>1792</v>
      </c>
    </row>
    <row r="1445" spans="1:10">
      <c r="A1445">
        <v>1444</v>
      </c>
      <c r="B1445" s="1" t="s">
        <v>1376</v>
      </c>
      <c r="C1445" s="1" t="s">
        <v>1423</v>
      </c>
      <c r="D1445" s="1">
        <v>2274</v>
      </c>
      <c r="E1445" s="1">
        <v>424</v>
      </c>
      <c r="F1445" s="1">
        <v>0.94</v>
      </c>
      <c r="G1445" s="1">
        <v>20260326</v>
      </c>
      <c r="H1445" t="b">
        <f t="shared" si="23"/>
        <v>0</v>
      </c>
      <c r="I1445" t="str" cm="1">
        <f t="array" ref="I1445">GET_TICKER_FINAL(C1445)</f>
        <v/>
      </c>
      <c r="J1445" s="5" t="s">
        <v>16</v>
      </c>
    </row>
    <row r="1446" spans="1:10">
      <c r="A1446">
        <v>1445</v>
      </c>
      <c r="B1446" s="1" t="s">
        <v>1376</v>
      </c>
      <c r="C1446" s="1" t="s">
        <v>1424</v>
      </c>
      <c r="D1446" s="1">
        <v>2219</v>
      </c>
      <c r="E1446" s="1">
        <v>607</v>
      </c>
      <c r="F1446" s="1">
        <v>0.95</v>
      </c>
      <c r="G1446" s="1">
        <v>20260327</v>
      </c>
      <c r="H1446" t="b">
        <f t="shared" si="23"/>
        <v>0</v>
      </c>
      <c r="I1446" t="str" cm="1">
        <f t="array" ref="I1446">GET_TICKER_FINAL(C1446)</f>
        <v/>
      </c>
      <c r="J1446" s="5" t="s">
        <v>25</v>
      </c>
    </row>
    <row r="1447" spans="1:10">
      <c r="A1447">
        <v>1446</v>
      </c>
      <c r="B1447" s="1" t="s">
        <v>1376</v>
      </c>
      <c r="C1447" s="1" t="s">
        <v>36</v>
      </c>
      <c r="D1447" s="1">
        <v>2205</v>
      </c>
      <c r="E1447" s="1">
        <v>389</v>
      </c>
      <c r="F1447" s="1">
        <v>0.97</v>
      </c>
      <c r="G1447" s="1">
        <v>20260331</v>
      </c>
      <c r="H1447" t="b">
        <f t="shared" si="23"/>
        <v>0</v>
      </c>
      <c r="I1447" t="str" cm="1">
        <f t="array" ref="I1447">GET_TICKER_FINAL(C1447)</f>
        <v/>
      </c>
      <c r="J1447" s="5" t="s">
        <v>16</v>
      </c>
    </row>
    <row r="1448" spans="1:10">
      <c r="A1448">
        <v>1447</v>
      </c>
      <c r="B1448" s="1" t="s">
        <v>1376</v>
      </c>
      <c r="C1448" s="1" t="s">
        <v>39</v>
      </c>
      <c r="D1448" s="1">
        <v>2146</v>
      </c>
      <c r="E1448" s="1">
        <v>320</v>
      </c>
      <c r="F1448" s="1">
        <v>0.97</v>
      </c>
      <c r="G1448" s="1">
        <v>20260402</v>
      </c>
      <c r="H1448" t="b">
        <f t="shared" si="23"/>
        <v>0</v>
      </c>
      <c r="I1448" t="str" cm="1">
        <f t="array" ref="I1448">GET_TICKER_FINAL(C1448)</f>
        <v/>
      </c>
      <c r="J1448" s="5" t="s">
        <v>25</v>
      </c>
    </row>
    <row r="1449" spans="1:10">
      <c r="A1449">
        <v>1448</v>
      </c>
      <c r="B1449" s="1" t="s">
        <v>1376</v>
      </c>
      <c r="C1449" s="1" t="s">
        <v>1425</v>
      </c>
      <c r="D1449" s="1">
        <v>2086</v>
      </c>
      <c r="E1449" s="1">
        <v>273</v>
      </c>
      <c r="F1449" s="1">
        <v>0.96</v>
      </c>
      <c r="G1449" s="1">
        <v>20260401</v>
      </c>
      <c r="H1449" t="b">
        <f t="shared" si="23"/>
        <v>0</v>
      </c>
      <c r="I1449" t="str" cm="1">
        <f t="array" ref="I1449">GET_TICKER_FINAL(C1449)</f>
        <v/>
      </c>
      <c r="J1449" s="5" t="s">
        <v>25</v>
      </c>
    </row>
    <row r="1450" spans="1:10">
      <c r="A1450">
        <v>1449</v>
      </c>
      <c r="B1450" s="1" t="s">
        <v>1376</v>
      </c>
      <c r="C1450" s="1" t="s">
        <v>1426</v>
      </c>
      <c r="D1450" s="1">
        <v>2083</v>
      </c>
      <c r="E1450" s="1">
        <v>346</v>
      </c>
      <c r="F1450" s="1">
        <v>0.95</v>
      </c>
      <c r="G1450" s="1">
        <v>20260402</v>
      </c>
      <c r="H1450" t="b">
        <f t="shared" si="23"/>
        <v>0</v>
      </c>
      <c r="I1450" t="str" cm="1">
        <f t="array" ref="I1450">GET_TICKER_FINAL(C1450)</f>
        <v/>
      </c>
      <c r="J1450" s="5" t="s">
        <v>25</v>
      </c>
    </row>
    <row r="1451" spans="1:10">
      <c r="A1451">
        <v>1450</v>
      </c>
      <c r="B1451" s="1" t="s">
        <v>1376</v>
      </c>
      <c r="C1451" s="1" t="s">
        <v>37</v>
      </c>
      <c r="D1451" s="1">
        <v>1994</v>
      </c>
      <c r="E1451" s="1">
        <v>324</v>
      </c>
      <c r="F1451" s="1">
        <v>0.97</v>
      </c>
      <c r="G1451" s="1">
        <v>20260402</v>
      </c>
      <c r="H1451" t="b">
        <f t="shared" si="23"/>
        <v>0</v>
      </c>
      <c r="I1451" t="str" cm="1">
        <f t="array" ref="I1451">GET_TICKER_FINAL(C1451)</f>
        <v/>
      </c>
      <c r="J1451" s="5" t="s">
        <v>16</v>
      </c>
    </row>
    <row r="1452" spans="1:10">
      <c r="A1452">
        <v>1451</v>
      </c>
      <c r="B1452" s="1" t="s">
        <v>1376</v>
      </c>
      <c r="C1452" s="1" t="s">
        <v>1427</v>
      </c>
      <c r="D1452" s="1">
        <v>1933</v>
      </c>
      <c r="E1452" s="1">
        <v>781</v>
      </c>
      <c r="F1452" s="1">
        <v>0.95</v>
      </c>
      <c r="G1452" s="1">
        <v>20260402</v>
      </c>
      <c r="H1452" t="b">
        <f t="shared" si="23"/>
        <v>0</v>
      </c>
      <c r="I1452" t="str" cm="1">
        <f t="array" ref="I1452">GET_TICKER_FINAL(C1452)</f>
        <v/>
      </c>
      <c r="J1452" s="5" t="s">
        <v>16</v>
      </c>
    </row>
    <row r="1453" spans="1:10">
      <c r="A1453">
        <v>1452</v>
      </c>
      <c r="B1453" s="1" t="s">
        <v>1376</v>
      </c>
      <c r="C1453" s="1" t="s">
        <v>1428</v>
      </c>
      <c r="D1453" s="1">
        <v>1922</v>
      </c>
      <c r="E1453" s="1">
        <v>394</v>
      </c>
      <c r="F1453" s="1">
        <v>0.95</v>
      </c>
      <c r="G1453" s="1">
        <v>20260331</v>
      </c>
      <c r="H1453" t="b">
        <f t="shared" si="23"/>
        <v>0</v>
      </c>
      <c r="I1453" t="str" cm="1">
        <f t="array" ref="I1453">GET_TICKER_FINAL(C1453)</f>
        <v/>
      </c>
      <c r="J1453" s="5" t="s">
        <v>25</v>
      </c>
    </row>
    <row r="1454" spans="1:10">
      <c r="A1454">
        <v>1453</v>
      </c>
      <c r="B1454" s="1" t="s">
        <v>1376</v>
      </c>
      <c r="C1454" s="1" t="s">
        <v>1429</v>
      </c>
      <c r="D1454" s="1">
        <v>1900</v>
      </c>
      <c r="E1454" s="1">
        <v>646</v>
      </c>
      <c r="F1454" s="1">
        <v>0.88</v>
      </c>
      <c r="G1454" s="1">
        <v>20260401</v>
      </c>
      <c r="H1454" t="b">
        <f t="shared" si="23"/>
        <v>0</v>
      </c>
      <c r="I1454" t="str" cm="1">
        <f t="array" ref="I1454">GET_TICKER_FINAL(C1454)</f>
        <v>MSFT</v>
      </c>
      <c r="J1454" s="5" t="s">
        <v>25</v>
      </c>
    </row>
    <row r="1455" spans="1:10">
      <c r="A1455">
        <v>1454</v>
      </c>
      <c r="B1455" s="1" t="s">
        <v>1376</v>
      </c>
      <c r="C1455" s="1" t="s">
        <v>1430</v>
      </c>
      <c r="D1455" s="1">
        <v>1813</v>
      </c>
      <c r="E1455" s="1">
        <v>376</v>
      </c>
      <c r="F1455" s="1">
        <v>0.96</v>
      </c>
      <c r="G1455" s="1">
        <v>20260331</v>
      </c>
      <c r="H1455" t="b">
        <f t="shared" si="23"/>
        <v>0</v>
      </c>
      <c r="I1455" t="str" cm="1">
        <f t="array" ref="I1455">GET_TICKER_FINAL(C1455)</f>
        <v/>
      </c>
      <c r="J1455" s="5" t="s">
        <v>16</v>
      </c>
    </row>
    <row r="1456" spans="1:10">
      <c r="A1456">
        <v>1455</v>
      </c>
      <c r="B1456" s="1" t="s">
        <v>1376</v>
      </c>
      <c r="C1456" s="1" t="s">
        <v>1431</v>
      </c>
      <c r="D1456" s="1">
        <v>1745</v>
      </c>
      <c r="E1456" s="1">
        <v>160</v>
      </c>
      <c r="F1456" s="1">
        <v>0.99</v>
      </c>
      <c r="G1456" s="1">
        <v>20260324</v>
      </c>
      <c r="H1456" t="b">
        <f t="shared" si="23"/>
        <v>0</v>
      </c>
      <c r="I1456" t="str" cm="1">
        <f t="array" ref="I1456">GET_TICKER_FINAL(C1456)</f>
        <v/>
      </c>
      <c r="J1456" s="5" t="s">
        <v>16</v>
      </c>
    </row>
    <row r="1457" spans="1:10">
      <c r="A1457">
        <v>1456</v>
      </c>
      <c r="B1457" s="1" t="s">
        <v>1376</v>
      </c>
      <c r="C1457" s="1" t="s">
        <v>1432</v>
      </c>
      <c r="D1457" s="1">
        <v>1740</v>
      </c>
      <c r="E1457" s="1">
        <v>384</v>
      </c>
      <c r="F1457" s="1">
        <v>0.96</v>
      </c>
      <c r="G1457" s="1">
        <v>20260323</v>
      </c>
      <c r="H1457" t="b">
        <f t="shared" si="23"/>
        <v>0</v>
      </c>
      <c r="I1457" t="str" cm="1">
        <f t="array" ref="I1457">GET_TICKER_FINAL(C1457)</f>
        <v/>
      </c>
      <c r="J1457" s="5" t="s">
        <v>28</v>
      </c>
    </row>
    <row r="1458" spans="1:10">
      <c r="A1458">
        <v>1457</v>
      </c>
      <c r="B1458" s="1" t="s">
        <v>1376</v>
      </c>
      <c r="C1458" s="1" t="s">
        <v>1433</v>
      </c>
      <c r="D1458" s="1">
        <v>1718</v>
      </c>
      <c r="E1458" s="1">
        <v>223</v>
      </c>
      <c r="F1458" s="1">
        <v>0.94</v>
      </c>
      <c r="G1458" s="1">
        <v>20260402</v>
      </c>
      <c r="H1458" t="b">
        <f t="shared" si="23"/>
        <v>0</v>
      </c>
      <c r="I1458" t="str" cm="1">
        <f t="array" ref="I1458">GET_TICKER_FINAL(C1458)</f>
        <v/>
      </c>
      <c r="J1458" s="5" t="s">
        <v>1792</v>
      </c>
    </row>
    <row r="1459" spans="1:10">
      <c r="A1459">
        <v>1458</v>
      </c>
      <c r="B1459" s="1" t="s">
        <v>1376</v>
      </c>
      <c r="C1459" s="1" t="s">
        <v>1434</v>
      </c>
      <c r="D1459" s="1">
        <v>1619</v>
      </c>
      <c r="E1459" s="1">
        <v>511</v>
      </c>
      <c r="F1459" s="1">
        <v>0.95</v>
      </c>
      <c r="G1459" s="1">
        <v>20260331</v>
      </c>
      <c r="H1459" t="b">
        <f t="shared" si="23"/>
        <v>0</v>
      </c>
      <c r="I1459" t="str" cm="1">
        <f t="array" ref="I1459">GET_TICKER_FINAL(C1459)</f>
        <v/>
      </c>
      <c r="J1459" s="5" t="s">
        <v>16</v>
      </c>
    </row>
    <row r="1460" spans="1:10">
      <c r="A1460">
        <v>1459</v>
      </c>
      <c r="B1460" s="1" t="s">
        <v>1376</v>
      </c>
      <c r="C1460" s="1" t="s">
        <v>1435</v>
      </c>
      <c r="D1460" s="1">
        <v>1567</v>
      </c>
      <c r="E1460" s="1">
        <v>156</v>
      </c>
      <c r="F1460" s="1">
        <v>0.95</v>
      </c>
      <c r="G1460" s="1">
        <v>20260323</v>
      </c>
      <c r="H1460" t="b">
        <f t="shared" si="23"/>
        <v>0</v>
      </c>
      <c r="I1460" t="str" cm="1">
        <f t="array" ref="I1460">GET_TICKER_FINAL(C1460)</f>
        <v/>
      </c>
      <c r="J1460" s="5" t="s">
        <v>25</v>
      </c>
    </row>
    <row r="1461" spans="1:10">
      <c r="A1461">
        <v>1460</v>
      </c>
      <c r="B1461" s="1" t="s">
        <v>1376</v>
      </c>
      <c r="C1461" s="1" t="s">
        <v>1436</v>
      </c>
      <c r="D1461" s="1">
        <v>1561</v>
      </c>
      <c r="E1461" s="1">
        <v>327</v>
      </c>
      <c r="F1461" s="1">
        <v>0.95</v>
      </c>
      <c r="G1461" s="1">
        <v>20260402</v>
      </c>
      <c r="H1461" t="b">
        <f t="shared" si="23"/>
        <v>0</v>
      </c>
      <c r="I1461" t="str" cm="1">
        <f t="array" ref="I1461">GET_TICKER_FINAL(C1461)</f>
        <v/>
      </c>
      <c r="J1461" s="5" t="s">
        <v>16</v>
      </c>
    </row>
    <row r="1462" spans="1:10">
      <c r="A1462">
        <v>1461</v>
      </c>
      <c r="B1462" s="1" t="s">
        <v>1376</v>
      </c>
      <c r="C1462" s="1" t="s">
        <v>1437</v>
      </c>
      <c r="D1462" s="1">
        <v>1551</v>
      </c>
      <c r="E1462" s="1">
        <v>309</v>
      </c>
      <c r="F1462" s="1">
        <v>0.93</v>
      </c>
      <c r="G1462" s="1">
        <v>20260330</v>
      </c>
      <c r="H1462" t="b">
        <f t="shared" si="23"/>
        <v>0</v>
      </c>
      <c r="I1462" t="str" cm="1">
        <f t="array" ref="I1462">GET_TICKER_FINAL(C1462)</f>
        <v/>
      </c>
      <c r="J1462" s="5" t="s">
        <v>1792</v>
      </c>
    </row>
    <row r="1463" spans="1:10">
      <c r="A1463">
        <v>1462</v>
      </c>
      <c r="B1463" s="1" t="s">
        <v>1376</v>
      </c>
      <c r="C1463" s="1" t="s">
        <v>1438</v>
      </c>
      <c r="D1463" s="1">
        <v>1523</v>
      </c>
      <c r="E1463" s="1">
        <v>249</v>
      </c>
      <c r="F1463" s="1">
        <v>0.97</v>
      </c>
      <c r="G1463" s="1">
        <v>20260323</v>
      </c>
      <c r="H1463" t="b">
        <f t="shared" si="23"/>
        <v>0</v>
      </c>
      <c r="I1463" t="str" cm="1">
        <f t="array" ref="I1463">GET_TICKER_FINAL(C1463)</f>
        <v/>
      </c>
      <c r="J1463" s="5" t="s">
        <v>25</v>
      </c>
    </row>
    <row r="1464" spans="1:10">
      <c r="A1464">
        <v>1463</v>
      </c>
      <c r="B1464" s="1" t="s">
        <v>1376</v>
      </c>
      <c r="C1464" s="1" t="s">
        <v>1439</v>
      </c>
      <c r="D1464" s="1">
        <v>1492</v>
      </c>
      <c r="E1464" s="1">
        <v>156</v>
      </c>
      <c r="F1464" s="1">
        <v>0.96</v>
      </c>
      <c r="G1464" s="1">
        <v>20260331</v>
      </c>
      <c r="H1464" t="b">
        <f t="shared" si="23"/>
        <v>0</v>
      </c>
      <c r="I1464" t="str" cm="1">
        <f t="array" ref="I1464">GET_TICKER_FINAL(C1464)</f>
        <v/>
      </c>
      <c r="J1464" s="5" t="s">
        <v>25</v>
      </c>
    </row>
    <row r="1465" spans="1:10">
      <c r="A1465">
        <v>1464</v>
      </c>
      <c r="B1465" s="1" t="s">
        <v>1376</v>
      </c>
      <c r="C1465" s="1" t="s">
        <v>793</v>
      </c>
      <c r="D1465" s="1">
        <v>1468</v>
      </c>
      <c r="E1465" s="1">
        <v>94</v>
      </c>
      <c r="F1465" s="1">
        <v>0.98</v>
      </c>
      <c r="G1465" s="1">
        <v>20260326</v>
      </c>
      <c r="H1465" t="b">
        <f t="shared" si="23"/>
        <v>0</v>
      </c>
      <c r="I1465" t="str" cm="1">
        <f t="array" ref="I1465">GET_TICKER_FINAL(C1465)</f>
        <v/>
      </c>
      <c r="J1465" s="5" t="s">
        <v>16</v>
      </c>
    </row>
    <row r="1466" spans="1:10">
      <c r="A1466">
        <v>1465</v>
      </c>
      <c r="B1466" s="1" t="s">
        <v>1376</v>
      </c>
      <c r="C1466" s="1" t="s">
        <v>1440</v>
      </c>
      <c r="D1466" s="1">
        <v>1429</v>
      </c>
      <c r="E1466" s="1">
        <v>180</v>
      </c>
      <c r="F1466" s="1">
        <v>0.96</v>
      </c>
      <c r="G1466" s="1">
        <v>20260327</v>
      </c>
      <c r="H1466" t="b">
        <f t="shared" si="23"/>
        <v>0</v>
      </c>
      <c r="I1466" t="str" cm="1">
        <f t="array" ref="I1466">GET_TICKER_FINAL(C1466)</f>
        <v/>
      </c>
      <c r="J1466" s="5" t="s">
        <v>16</v>
      </c>
    </row>
    <row r="1467" spans="1:10">
      <c r="A1467">
        <v>1466</v>
      </c>
      <c r="B1467" s="1" t="s">
        <v>1376</v>
      </c>
      <c r="C1467" s="1" t="s">
        <v>1441</v>
      </c>
      <c r="D1467" s="1">
        <v>1424</v>
      </c>
      <c r="E1467" s="1">
        <v>146</v>
      </c>
      <c r="F1467" s="1">
        <v>0.97</v>
      </c>
      <c r="G1467" s="1">
        <v>20260331</v>
      </c>
      <c r="H1467" t="b">
        <f t="shared" si="23"/>
        <v>0</v>
      </c>
      <c r="I1467" t="str" cm="1">
        <f t="array" ref="I1467">GET_TICKER_FINAL(C1467)</f>
        <v/>
      </c>
      <c r="J1467" s="5" t="s">
        <v>1792</v>
      </c>
    </row>
    <row r="1468" spans="1:10">
      <c r="A1468">
        <v>1467</v>
      </c>
      <c r="B1468" s="1" t="s">
        <v>1376</v>
      </c>
      <c r="C1468" s="1" t="s">
        <v>1442</v>
      </c>
      <c r="D1468" s="1">
        <v>1418</v>
      </c>
      <c r="E1468" s="1">
        <v>198</v>
      </c>
      <c r="F1468" s="1">
        <v>0.97</v>
      </c>
      <c r="G1468" s="1">
        <v>20260331</v>
      </c>
      <c r="H1468" t="b">
        <f t="shared" si="23"/>
        <v>0</v>
      </c>
      <c r="I1468" t="str" cm="1">
        <f t="array" ref="I1468">GET_TICKER_FINAL(C1468)</f>
        <v>MSFT</v>
      </c>
      <c r="J1468" s="5" t="s">
        <v>25</v>
      </c>
    </row>
    <row r="1469" spans="1:10">
      <c r="A1469">
        <v>1468</v>
      </c>
      <c r="B1469" s="1" t="s">
        <v>1376</v>
      </c>
      <c r="C1469" s="1" t="s">
        <v>1443</v>
      </c>
      <c r="D1469" s="1">
        <v>1408</v>
      </c>
      <c r="E1469" s="1">
        <v>167</v>
      </c>
      <c r="F1469" s="1">
        <v>0.98</v>
      </c>
      <c r="G1469" s="1">
        <v>20260323</v>
      </c>
      <c r="H1469" t="b">
        <f t="shared" si="23"/>
        <v>0</v>
      </c>
      <c r="I1469" t="str" cm="1">
        <f t="array" ref="I1469">GET_TICKER_FINAL(C1469)</f>
        <v>MU</v>
      </c>
      <c r="J1469" s="5" t="s">
        <v>25</v>
      </c>
    </row>
    <row r="1470" spans="1:10">
      <c r="A1470">
        <v>1469</v>
      </c>
      <c r="B1470" s="1" t="s">
        <v>1376</v>
      </c>
      <c r="C1470" s="1" t="s">
        <v>1444</v>
      </c>
      <c r="D1470" s="1">
        <v>1397</v>
      </c>
      <c r="E1470" s="1">
        <v>109</v>
      </c>
      <c r="F1470" s="1">
        <v>0.98</v>
      </c>
      <c r="G1470" s="1">
        <v>20260323</v>
      </c>
      <c r="H1470" t="b">
        <f t="shared" si="23"/>
        <v>0</v>
      </c>
      <c r="I1470" t="str" cm="1">
        <f t="array" ref="I1470">GET_TICKER_FINAL(C1470)</f>
        <v/>
      </c>
      <c r="J1470" s="5" t="s">
        <v>16</v>
      </c>
    </row>
    <row r="1471" spans="1:10">
      <c r="A1471">
        <v>1470</v>
      </c>
      <c r="B1471" s="1" t="s">
        <v>1376</v>
      </c>
      <c r="C1471" s="1" t="s">
        <v>1445</v>
      </c>
      <c r="D1471" s="1">
        <v>1390</v>
      </c>
      <c r="E1471" s="1">
        <v>198</v>
      </c>
      <c r="F1471" s="1">
        <v>0.97</v>
      </c>
      <c r="G1471" s="1">
        <v>20260326</v>
      </c>
      <c r="H1471" t="b">
        <f t="shared" si="23"/>
        <v>0</v>
      </c>
      <c r="I1471" t="str" cm="1">
        <f t="array" ref="I1471">GET_TICKER_FINAL(C1471)</f>
        <v/>
      </c>
      <c r="J1471" s="5" t="s">
        <v>16</v>
      </c>
    </row>
    <row r="1472" spans="1:10">
      <c r="A1472">
        <v>1471</v>
      </c>
      <c r="B1472" s="1" t="s">
        <v>1376</v>
      </c>
      <c r="C1472" s="1" t="s">
        <v>1446</v>
      </c>
      <c r="D1472" s="1">
        <v>1382</v>
      </c>
      <c r="E1472" s="1">
        <v>164</v>
      </c>
      <c r="F1472" s="1">
        <v>0.93</v>
      </c>
      <c r="G1472" s="1">
        <v>20260402</v>
      </c>
      <c r="H1472" t="b">
        <f t="shared" si="23"/>
        <v>0</v>
      </c>
      <c r="I1472" t="str" cm="1">
        <f t="array" ref="I1472">GET_TICKER_FINAL(C1472)</f>
        <v/>
      </c>
      <c r="J1472" s="5" t="s">
        <v>25</v>
      </c>
    </row>
    <row r="1473" spans="1:10">
      <c r="A1473">
        <v>1472</v>
      </c>
      <c r="B1473" s="1" t="s">
        <v>1376</v>
      </c>
      <c r="C1473" s="1" t="s">
        <v>1447</v>
      </c>
      <c r="D1473" s="1">
        <v>1380</v>
      </c>
      <c r="E1473" s="1">
        <v>126</v>
      </c>
      <c r="F1473" s="1">
        <v>0.97</v>
      </c>
      <c r="G1473" s="1">
        <v>20260326</v>
      </c>
      <c r="H1473" t="b">
        <f t="shared" si="23"/>
        <v>0</v>
      </c>
      <c r="I1473" t="str" cm="1">
        <f t="array" ref="I1473">GET_TICKER_FINAL(C1473)</f>
        <v/>
      </c>
      <c r="J1473" s="5" t="s">
        <v>16</v>
      </c>
    </row>
    <row r="1474" spans="1:10">
      <c r="A1474">
        <v>1473</v>
      </c>
      <c r="B1474" s="1" t="s">
        <v>1376</v>
      </c>
      <c r="C1474" s="1" t="s">
        <v>1448</v>
      </c>
      <c r="D1474" s="1">
        <v>1369</v>
      </c>
      <c r="E1474" s="1">
        <v>165</v>
      </c>
      <c r="F1474" s="1">
        <v>0.97</v>
      </c>
      <c r="G1474" s="1">
        <v>20260327</v>
      </c>
      <c r="H1474" t="b">
        <f t="shared" si="23"/>
        <v>0</v>
      </c>
      <c r="I1474" t="str" cm="1">
        <f t="array" ref="I1474">GET_TICKER_FINAL(C1474)</f>
        <v/>
      </c>
      <c r="J1474" s="5" t="s">
        <v>16</v>
      </c>
    </row>
    <row r="1475" spans="1:10">
      <c r="A1475">
        <v>1474</v>
      </c>
      <c r="B1475" s="1" t="s">
        <v>1376</v>
      </c>
      <c r="C1475" s="1" t="s">
        <v>1449</v>
      </c>
      <c r="D1475" s="1">
        <v>1359</v>
      </c>
      <c r="E1475" s="1">
        <v>324</v>
      </c>
      <c r="F1475" s="1">
        <v>0.97</v>
      </c>
      <c r="G1475" s="1">
        <v>20260323</v>
      </c>
      <c r="H1475" t="b">
        <f t="shared" ref="H1475:H1538" si="24">OR(ISNUMBER(SEARCH("$A",C1475)),ISNUMBER(SEARCH("$B",C1475)),ISNUMBER(SEARCH("$C",C1475)),ISNUMBER(SEARCH("$D",C1475)),ISNUMBER(SEARCH("$E",C1475)),ISNUMBER(SEARCH("$F",C1475)),ISNUMBER(SEARCH("$G",C1475)),ISNUMBER(SEARCH("$H",C1475)),ISNUMBER(SEARCH("$I",C1475)),ISNUMBER(SEARCH("$J",C1475)),ISNUMBER(SEARCH("$K",C1475)),ISNUMBER(SEARCH("$L",C1475)),ISNUMBER(SEARCH("$M",C1475)),ISNUMBER(SEARCH("$N",C1475)),ISNUMBER(SEARCH("$O",C1475)),ISNUMBER(SEARCH("$P",C1475)),ISNUMBER(SEARCH("$Q",C1475)),ISNUMBER(SEARCH("$R",C1475)),ISNUMBER(SEARCH("$S",C1475)),ISNUMBER(SEARCH("$T",C1475)),ISNUMBER(SEARCH("$U",C1475)),ISNUMBER(SEARCH("$V",C1475)),ISNUMBER(SEARCH("$W",C1475)),ISNUMBER(SEARCH("$X",C1475)),ISNUMBER(SEARCH("$Y",C1475)),ISNUMBER(SEARCH("$Z",C1475)))</f>
        <v>0</v>
      </c>
      <c r="I1475" t="str" cm="1">
        <f t="array" ref="I1475">GET_TICKER_FINAL(C1475)</f>
        <v/>
      </c>
      <c r="J1475" s="5" t="s">
        <v>16</v>
      </c>
    </row>
    <row r="1476" spans="1:10">
      <c r="A1476">
        <v>1475</v>
      </c>
      <c r="B1476" s="1" t="s">
        <v>1376</v>
      </c>
      <c r="C1476" s="1" t="s">
        <v>1450</v>
      </c>
      <c r="D1476" s="1">
        <v>1357</v>
      </c>
      <c r="E1476" s="1">
        <v>200</v>
      </c>
      <c r="F1476" s="1">
        <v>0.98</v>
      </c>
      <c r="G1476" s="1">
        <v>20260323</v>
      </c>
      <c r="H1476" t="b">
        <f t="shared" si="24"/>
        <v>0</v>
      </c>
      <c r="I1476" t="str" cm="1">
        <f t="array" ref="I1476">GET_TICKER_FINAL(C1476)</f>
        <v/>
      </c>
      <c r="J1476" s="5" t="s">
        <v>16</v>
      </c>
    </row>
    <row r="1477" spans="1:10">
      <c r="A1477">
        <v>1476</v>
      </c>
      <c r="B1477" s="1" t="s">
        <v>1376</v>
      </c>
      <c r="C1477" s="1" t="s">
        <v>1451</v>
      </c>
      <c r="D1477" s="1">
        <v>1336</v>
      </c>
      <c r="E1477" s="1">
        <v>98</v>
      </c>
      <c r="F1477" s="1">
        <v>0.98</v>
      </c>
      <c r="G1477" s="1">
        <v>20260327</v>
      </c>
      <c r="H1477" t="b">
        <f t="shared" si="24"/>
        <v>0</v>
      </c>
      <c r="I1477" t="str" cm="1">
        <f t="array" ref="I1477">GET_TICKER_FINAL(C1477)</f>
        <v/>
      </c>
      <c r="J1477" s="5" t="s">
        <v>16</v>
      </c>
    </row>
    <row r="1478" spans="1:10">
      <c r="A1478">
        <v>1477</v>
      </c>
      <c r="B1478" s="1" t="s">
        <v>1376</v>
      </c>
      <c r="C1478" s="1" t="s">
        <v>1110</v>
      </c>
      <c r="D1478" s="1">
        <v>1279</v>
      </c>
      <c r="E1478" s="1">
        <v>238</v>
      </c>
      <c r="F1478" s="1">
        <v>0.98</v>
      </c>
      <c r="G1478" s="1">
        <v>20260402</v>
      </c>
      <c r="H1478" t="b">
        <f t="shared" si="24"/>
        <v>0</v>
      </c>
      <c r="I1478" t="str" cm="1">
        <f t="array" ref="I1478">GET_TICKER_FINAL(C1478)</f>
        <v/>
      </c>
      <c r="J1478" s="5" t="s">
        <v>25</v>
      </c>
    </row>
    <row r="1479" spans="1:10">
      <c r="A1479">
        <v>1478</v>
      </c>
      <c r="B1479" s="1" t="s">
        <v>1376</v>
      </c>
      <c r="C1479" s="1" t="s">
        <v>1452</v>
      </c>
      <c r="D1479" s="1">
        <v>1268</v>
      </c>
      <c r="E1479" s="1">
        <v>592</v>
      </c>
      <c r="F1479" s="1">
        <v>0.86</v>
      </c>
      <c r="G1479" s="1">
        <v>20260402</v>
      </c>
      <c r="H1479" t="b">
        <f t="shared" si="24"/>
        <v>0</v>
      </c>
      <c r="I1479" t="str" cm="1">
        <f t="array" ref="I1479">GET_TICKER_FINAL(C1479)</f>
        <v/>
      </c>
      <c r="J1479" s="5" t="s">
        <v>16</v>
      </c>
    </row>
    <row r="1480" spans="1:10">
      <c r="A1480">
        <v>1479</v>
      </c>
      <c r="B1480" s="1" t="s">
        <v>1376</v>
      </c>
      <c r="C1480" s="1" t="s">
        <v>1453</v>
      </c>
      <c r="D1480" s="1">
        <v>1266</v>
      </c>
      <c r="E1480" s="1">
        <v>192</v>
      </c>
      <c r="F1480" s="1">
        <v>0.94</v>
      </c>
      <c r="G1480" s="1">
        <v>20260323</v>
      </c>
      <c r="H1480" t="b">
        <f t="shared" si="24"/>
        <v>0</v>
      </c>
      <c r="I1480" t="str" cm="1">
        <f t="array" ref="I1480">GET_TICKER_FINAL(C1480)</f>
        <v/>
      </c>
      <c r="J1480" s="5" t="s">
        <v>25</v>
      </c>
    </row>
    <row r="1481" spans="1:10">
      <c r="A1481">
        <v>1480</v>
      </c>
      <c r="B1481" s="1" t="s">
        <v>1376</v>
      </c>
      <c r="C1481" s="1" t="s">
        <v>1454</v>
      </c>
      <c r="D1481" s="1">
        <v>1252</v>
      </c>
      <c r="E1481" s="1">
        <v>189</v>
      </c>
      <c r="F1481" s="1">
        <v>0.95</v>
      </c>
      <c r="G1481" s="1">
        <v>20260330</v>
      </c>
      <c r="H1481" t="b">
        <f t="shared" si="24"/>
        <v>0</v>
      </c>
      <c r="I1481" t="str" cm="1">
        <f t="array" ref="I1481">GET_TICKER_FINAL(C1481)</f>
        <v/>
      </c>
      <c r="J1481" s="5" t="s">
        <v>1792</v>
      </c>
    </row>
    <row r="1482" spans="1:10">
      <c r="A1482">
        <v>1481</v>
      </c>
      <c r="B1482" s="1" t="s">
        <v>1376</v>
      </c>
      <c r="C1482" s="1" t="s">
        <v>1455</v>
      </c>
      <c r="D1482" s="1">
        <v>1248</v>
      </c>
      <c r="E1482" s="1">
        <v>183</v>
      </c>
      <c r="F1482" s="1">
        <v>0.93</v>
      </c>
      <c r="G1482" s="1">
        <v>20260326</v>
      </c>
      <c r="H1482" t="b">
        <f t="shared" si="24"/>
        <v>0</v>
      </c>
      <c r="I1482" t="str" cm="1">
        <f t="array" ref="I1482">GET_TICKER_FINAL(C1482)</f>
        <v/>
      </c>
      <c r="J1482" s="5" t="s">
        <v>1792</v>
      </c>
    </row>
    <row r="1483" spans="1:10">
      <c r="A1483">
        <v>1482</v>
      </c>
      <c r="B1483" s="1" t="s">
        <v>1376</v>
      </c>
      <c r="C1483" s="1" t="s">
        <v>1456</v>
      </c>
      <c r="D1483" s="1">
        <v>1239</v>
      </c>
      <c r="E1483" s="1">
        <v>724</v>
      </c>
      <c r="F1483" s="1">
        <v>0.86</v>
      </c>
      <c r="G1483" s="1">
        <v>20260402</v>
      </c>
      <c r="H1483" t="b">
        <f t="shared" si="24"/>
        <v>0</v>
      </c>
      <c r="I1483" t="str" cm="1">
        <f t="array" ref="I1483">GET_TICKER_FINAL(C1483)</f>
        <v/>
      </c>
      <c r="J1483" s="5" t="s">
        <v>1792</v>
      </c>
    </row>
    <row r="1484" spans="1:10">
      <c r="A1484">
        <v>1483</v>
      </c>
      <c r="B1484" s="1" t="s">
        <v>1376</v>
      </c>
      <c r="C1484" s="1" t="s">
        <v>1457</v>
      </c>
      <c r="D1484" s="1">
        <v>1147</v>
      </c>
      <c r="E1484" s="1">
        <v>341</v>
      </c>
      <c r="F1484" s="1">
        <v>0.95</v>
      </c>
      <c r="G1484" s="1">
        <v>20260330</v>
      </c>
      <c r="H1484" t="b">
        <f t="shared" si="24"/>
        <v>0</v>
      </c>
      <c r="I1484" t="str" cm="1">
        <f t="array" ref="I1484">GET_TICKER_FINAL(C1484)</f>
        <v/>
      </c>
      <c r="J1484" s="5" t="s">
        <v>25</v>
      </c>
    </row>
    <row r="1485" spans="1:10">
      <c r="A1485">
        <v>1484</v>
      </c>
      <c r="B1485" s="1" t="s">
        <v>1376</v>
      </c>
      <c r="C1485" s="1" t="s">
        <v>1458</v>
      </c>
      <c r="D1485" s="1">
        <v>1122</v>
      </c>
      <c r="E1485" s="1">
        <v>166</v>
      </c>
      <c r="F1485" s="1">
        <v>0.96</v>
      </c>
      <c r="G1485" s="1">
        <v>20260330</v>
      </c>
      <c r="H1485" t="b">
        <f t="shared" si="24"/>
        <v>0</v>
      </c>
      <c r="I1485" t="str" cm="1">
        <f t="array" ref="I1485">GET_TICKER_FINAL(C1485)</f>
        <v/>
      </c>
      <c r="J1485" s="5" t="s">
        <v>1792</v>
      </c>
    </row>
    <row r="1486" spans="1:10">
      <c r="A1486">
        <v>1485</v>
      </c>
      <c r="B1486" s="1" t="s">
        <v>1376</v>
      </c>
      <c r="C1486" s="1" t="s">
        <v>1459</v>
      </c>
      <c r="D1486" s="1">
        <v>1085</v>
      </c>
      <c r="E1486" s="1">
        <v>244</v>
      </c>
      <c r="F1486" s="1">
        <v>0.96</v>
      </c>
      <c r="G1486" s="1">
        <v>20260320</v>
      </c>
      <c r="H1486" t="b">
        <f t="shared" si="24"/>
        <v>0</v>
      </c>
      <c r="I1486" t="str" cm="1">
        <f t="array" ref="I1486">GET_TICKER_FINAL(C1486)</f>
        <v>COST</v>
      </c>
      <c r="J1486" s="5" t="s">
        <v>1792</v>
      </c>
    </row>
    <row r="1487" spans="1:10">
      <c r="A1487">
        <v>1486</v>
      </c>
      <c r="B1487" s="1" t="s">
        <v>1376</v>
      </c>
      <c r="C1487" s="1" t="s">
        <v>1460</v>
      </c>
      <c r="D1487" s="1">
        <v>1065</v>
      </c>
      <c r="E1487" s="1">
        <v>418</v>
      </c>
      <c r="F1487" s="1">
        <v>0.9</v>
      </c>
      <c r="G1487" s="1">
        <v>20260402</v>
      </c>
      <c r="H1487" t="b">
        <f t="shared" si="24"/>
        <v>0</v>
      </c>
      <c r="I1487" t="str" cm="1">
        <f t="array" ref="I1487">GET_TICKER_FINAL(C1487)</f>
        <v/>
      </c>
      <c r="J1487" s="5" t="s">
        <v>1792</v>
      </c>
    </row>
    <row r="1488" spans="1:10">
      <c r="A1488">
        <v>1487</v>
      </c>
      <c r="B1488" s="1" t="s">
        <v>1376</v>
      </c>
      <c r="C1488" s="1" t="s">
        <v>1461</v>
      </c>
      <c r="D1488" s="1">
        <v>1041</v>
      </c>
      <c r="E1488" s="1">
        <v>139</v>
      </c>
      <c r="F1488" s="1">
        <v>0.94</v>
      </c>
      <c r="G1488" s="1">
        <v>20260320</v>
      </c>
      <c r="H1488" t="b">
        <f t="shared" si="24"/>
        <v>0</v>
      </c>
      <c r="I1488" t="str" cm="1">
        <f t="array" ref="I1488">GET_TICKER_FINAL(C1488)</f>
        <v>SPY</v>
      </c>
      <c r="J1488" s="5" t="s">
        <v>16</v>
      </c>
    </row>
    <row r="1489" spans="1:10">
      <c r="A1489">
        <v>1488</v>
      </c>
      <c r="B1489" s="1" t="s">
        <v>1376</v>
      </c>
      <c r="C1489" s="1" t="s">
        <v>1462</v>
      </c>
      <c r="D1489" s="1">
        <v>1033</v>
      </c>
      <c r="E1489" s="1">
        <v>99</v>
      </c>
      <c r="F1489" s="1">
        <v>0.98</v>
      </c>
      <c r="G1489" s="1">
        <v>20260331</v>
      </c>
      <c r="H1489" t="b">
        <f t="shared" si="24"/>
        <v>0</v>
      </c>
      <c r="I1489" t="str" cm="1">
        <f t="array" ref="I1489">GET_TICKER_FINAL(C1489)</f>
        <v>MSFT</v>
      </c>
      <c r="J1489" s="5" t="s">
        <v>16</v>
      </c>
    </row>
    <row r="1490" spans="1:10">
      <c r="A1490">
        <v>1489</v>
      </c>
      <c r="B1490" s="1" t="s">
        <v>1376</v>
      </c>
      <c r="C1490" s="1" t="s">
        <v>1463</v>
      </c>
      <c r="D1490" s="1">
        <v>1027</v>
      </c>
      <c r="E1490" s="1">
        <v>377</v>
      </c>
      <c r="F1490" s="1">
        <v>0.91</v>
      </c>
      <c r="G1490" s="1">
        <v>20260326</v>
      </c>
      <c r="H1490" t="b">
        <f t="shared" si="24"/>
        <v>0</v>
      </c>
      <c r="I1490" t="str" cm="1">
        <f t="array" ref="I1490">GET_TICKER_FINAL(C1490)</f>
        <v/>
      </c>
      <c r="J1490" s="5" t="s">
        <v>25</v>
      </c>
    </row>
    <row r="1491" spans="1:10">
      <c r="A1491">
        <v>1490</v>
      </c>
      <c r="B1491" s="1" t="s">
        <v>1376</v>
      </c>
      <c r="C1491" s="1" t="s">
        <v>1288</v>
      </c>
      <c r="D1491" s="1">
        <v>1026</v>
      </c>
      <c r="E1491" s="1">
        <v>565</v>
      </c>
      <c r="F1491" s="1">
        <v>0.76</v>
      </c>
      <c r="G1491" s="1">
        <v>20260326</v>
      </c>
      <c r="H1491" t="b">
        <f t="shared" si="24"/>
        <v>0</v>
      </c>
      <c r="I1491" t="str" cm="1">
        <f t="array" ref="I1491">GET_TICKER_FINAL(C1491)</f>
        <v/>
      </c>
      <c r="J1491" s="5" t="s">
        <v>16</v>
      </c>
    </row>
    <row r="1492" spans="1:10">
      <c r="A1492">
        <v>1491</v>
      </c>
      <c r="B1492" s="1" t="s">
        <v>1376</v>
      </c>
      <c r="C1492" s="1" t="s">
        <v>1464</v>
      </c>
      <c r="D1492" s="1">
        <v>995</v>
      </c>
      <c r="E1492" s="1">
        <v>309</v>
      </c>
      <c r="F1492" s="1">
        <v>0.92</v>
      </c>
      <c r="G1492" s="1">
        <v>20260320</v>
      </c>
      <c r="H1492" t="b">
        <f t="shared" si="24"/>
        <v>0</v>
      </c>
      <c r="I1492" t="str" cm="1">
        <f t="array" ref="I1492">GET_TICKER_FINAL(C1492)</f>
        <v/>
      </c>
      <c r="J1492" s="5" t="s">
        <v>1792</v>
      </c>
    </row>
    <row r="1493" spans="1:10">
      <c r="A1493">
        <v>1492</v>
      </c>
      <c r="B1493" s="1" t="s">
        <v>1376</v>
      </c>
      <c r="C1493" s="1" t="s">
        <v>1465</v>
      </c>
      <c r="D1493" s="1">
        <v>994</v>
      </c>
      <c r="E1493" s="1">
        <v>95</v>
      </c>
      <c r="F1493" s="1">
        <v>0.97</v>
      </c>
      <c r="G1493" s="1">
        <v>20260331</v>
      </c>
      <c r="H1493" t="b">
        <f t="shared" si="24"/>
        <v>0</v>
      </c>
      <c r="I1493" t="str" cm="1">
        <f t="array" ref="I1493">GET_TICKER_FINAL(C1493)</f>
        <v>GOOGL</v>
      </c>
      <c r="J1493" s="5" t="s">
        <v>16</v>
      </c>
    </row>
    <row r="1494" spans="1:10">
      <c r="A1494">
        <v>1493</v>
      </c>
      <c r="B1494" s="1" t="s">
        <v>1376</v>
      </c>
      <c r="C1494" s="1" t="s">
        <v>1466</v>
      </c>
      <c r="D1494" s="1">
        <v>982</v>
      </c>
      <c r="E1494" s="1">
        <v>73</v>
      </c>
      <c r="F1494" s="1">
        <v>0.97</v>
      </c>
      <c r="G1494" s="1">
        <v>20260324</v>
      </c>
      <c r="H1494" t="b">
        <f t="shared" si="24"/>
        <v>0</v>
      </c>
      <c r="I1494" t="str" cm="1">
        <f t="array" ref="I1494">GET_TICKER_FINAL(C1494)</f>
        <v>SMCI</v>
      </c>
      <c r="J1494" s="5" t="s">
        <v>16</v>
      </c>
    </row>
    <row r="1495" spans="1:10">
      <c r="A1495">
        <v>1494</v>
      </c>
      <c r="B1495" s="1" t="s">
        <v>1376</v>
      </c>
      <c r="C1495" s="1" t="s">
        <v>1467</v>
      </c>
      <c r="D1495" s="1">
        <v>940</v>
      </c>
      <c r="E1495" s="1">
        <v>75</v>
      </c>
      <c r="F1495" s="1">
        <v>0.97</v>
      </c>
      <c r="G1495" s="1">
        <v>20260323</v>
      </c>
      <c r="H1495" t="b">
        <f t="shared" si="24"/>
        <v>0</v>
      </c>
      <c r="I1495" t="str" cm="1">
        <f t="array" ref="I1495">GET_TICKER_FINAL(C1495)</f>
        <v/>
      </c>
      <c r="J1495" s="5" t="s">
        <v>1792</v>
      </c>
    </row>
    <row r="1496" spans="1:10">
      <c r="A1496">
        <v>1495</v>
      </c>
      <c r="B1496" s="1" t="s">
        <v>1376</v>
      </c>
      <c r="C1496" s="1" t="s">
        <v>1468</v>
      </c>
      <c r="D1496" s="1">
        <v>933</v>
      </c>
      <c r="E1496" s="1">
        <v>280</v>
      </c>
      <c r="F1496" s="1">
        <v>0.98</v>
      </c>
      <c r="G1496" s="1">
        <v>20260331</v>
      </c>
      <c r="H1496" t="b">
        <f t="shared" si="24"/>
        <v>0</v>
      </c>
      <c r="I1496" t="str" cm="1">
        <f t="array" ref="I1496">GET_TICKER_FINAL(C1496)</f>
        <v/>
      </c>
      <c r="J1496" s="5" t="s">
        <v>16</v>
      </c>
    </row>
    <row r="1497" spans="1:10">
      <c r="A1497">
        <v>1496</v>
      </c>
      <c r="B1497" s="1" t="s">
        <v>1376</v>
      </c>
      <c r="C1497" s="1" t="s">
        <v>1469</v>
      </c>
      <c r="D1497" s="1">
        <v>931</v>
      </c>
      <c r="E1497" s="1">
        <v>134</v>
      </c>
      <c r="F1497" s="1">
        <v>0.95</v>
      </c>
      <c r="G1497" s="1">
        <v>20260326</v>
      </c>
      <c r="H1497" t="b">
        <f t="shared" si="24"/>
        <v>0</v>
      </c>
      <c r="I1497" t="str" cm="1">
        <f t="array" ref="I1497">GET_TICKER_FINAL(C1497)</f>
        <v>SPY</v>
      </c>
      <c r="J1497" s="5" t="s">
        <v>25</v>
      </c>
    </row>
    <row r="1498" spans="1:10">
      <c r="A1498">
        <v>1497</v>
      </c>
      <c r="B1498" s="1" t="s">
        <v>1376</v>
      </c>
      <c r="C1498" s="1" t="s">
        <v>1470</v>
      </c>
      <c r="D1498" s="1">
        <v>927</v>
      </c>
      <c r="E1498" s="1">
        <v>48</v>
      </c>
      <c r="F1498" s="1">
        <v>0.96</v>
      </c>
      <c r="G1498" s="1">
        <v>20260326</v>
      </c>
      <c r="H1498" t="b">
        <f t="shared" si="24"/>
        <v>0</v>
      </c>
      <c r="I1498" t="str" cm="1">
        <f t="array" ref="I1498">GET_TICKER_FINAL(C1498)</f>
        <v/>
      </c>
      <c r="J1498" s="5" t="s">
        <v>1792</v>
      </c>
    </row>
    <row r="1499" spans="1:10">
      <c r="A1499">
        <v>1498</v>
      </c>
      <c r="B1499" s="1" t="s">
        <v>1376</v>
      </c>
      <c r="C1499" s="1" t="s">
        <v>1471</v>
      </c>
      <c r="D1499" s="1">
        <v>927</v>
      </c>
      <c r="E1499" s="1">
        <v>171</v>
      </c>
      <c r="F1499" s="1">
        <v>0.96</v>
      </c>
      <c r="G1499" s="1">
        <v>20260326</v>
      </c>
      <c r="H1499" t="b">
        <f t="shared" si="24"/>
        <v>0</v>
      </c>
      <c r="I1499" t="str" cm="1">
        <f t="array" ref="I1499">GET_TICKER_FINAL(C1499)</f>
        <v>AMZN</v>
      </c>
      <c r="J1499" s="5" t="s">
        <v>16</v>
      </c>
    </row>
    <row r="1500" spans="1:10">
      <c r="A1500">
        <v>1499</v>
      </c>
      <c r="B1500" s="1" t="s">
        <v>1376</v>
      </c>
      <c r="C1500" s="1" t="s">
        <v>1472</v>
      </c>
      <c r="D1500" s="1">
        <v>920</v>
      </c>
      <c r="E1500" s="1">
        <v>88</v>
      </c>
      <c r="F1500" s="1">
        <v>0.94</v>
      </c>
      <c r="G1500" s="1">
        <v>20260401</v>
      </c>
      <c r="H1500" t="b">
        <f t="shared" si="24"/>
        <v>0</v>
      </c>
      <c r="I1500" t="str" cm="1">
        <f t="array" ref="I1500">GET_TICKER_FINAL(C1500)</f>
        <v/>
      </c>
      <c r="J1500" s="5" t="s">
        <v>25</v>
      </c>
    </row>
    <row r="1501" spans="1:10">
      <c r="A1501">
        <v>1500</v>
      </c>
      <c r="B1501" s="1" t="s">
        <v>1376</v>
      </c>
      <c r="C1501" s="1" t="s">
        <v>1473</v>
      </c>
      <c r="D1501" s="1">
        <v>915</v>
      </c>
      <c r="E1501" s="1">
        <v>274</v>
      </c>
      <c r="F1501" s="1">
        <v>0.94</v>
      </c>
      <c r="G1501" s="1">
        <v>20260323</v>
      </c>
      <c r="H1501" t="b">
        <f t="shared" si="24"/>
        <v>0</v>
      </c>
      <c r="I1501" t="str" cm="1">
        <f t="array" ref="I1501">GET_TICKER_FINAL(C1501)</f>
        <v/>
      </c>
      <c r="J1501" s="5" t="s">
        <v>1792</v>
      </c>
    </row>
    <row r="1502" spans="1:10">
      <c r="A1502">
        <v>1501</v>
      </c>
      <c r="B1502" s="1" t="s">
        <v>1376</v>
      </c>
      <c r="C1502" s="1" t="s">
        <v>1474</v>
      </c>
      <c r="D1502" s="1">
        <v>888</v>
      </c>
      <c r="E1502" s="1">
        <v>213</v>
      </c>
      <c r="F1502" s="1">
        <v>0.96</v>
      </c>
      <c r="G1502" s="1">
        <v>20260323</v>
      </c>
      <c r="H1502" t="b">
        <f t="shared" si="24"/>
        <v>0</v>
      </c>
      <c r="I1502" t="str" cm="1">
        <f t="array" ref="I1502">GET_TICKER_FINAL(C1502)</f>
        <v/>
      </c>
      <c r="J1502" s="5" t="s">
        <v>16</v>
      </c>
    </row>
    <row r="1503" spans="1:10">
      <c r="A1503">
        <v>1502</v>
      </c>
      <c r="B1503" s="1" t="s">
        <v>1376</v>
      </c>
      <c r="C1503" s="1" t="s">
        <v>1475</v>
      </c>
      <c r="D1503" s="1">
        <v>873</v>
      </c>
      <c r="E1503" s="1">
        <v>100</v>
      </c>
      <c r="F1503" s="1">
        <v>0.94</v>
      </c>
      <c r="G1503" s="1">
        <v>20260331</v>
      </c>
      <c r="H1503" t="b">
        <f t="shared" si="24"/>
        <v>0</v>
      </c>
      <c r="I1503" t="str" cm="1">
        <f t="array" ref="I1503">GET_TICKER_FINAL(C1503)</f>
        <v/>
      </c>
      <c r="J1503" s="5" t="s">
        <v>1792</v>
      </c>
    </row>
    <row r="1504" spans="1:10">
      <c r="A1504">
        <v>1503</v>
      </c>
      <c r="B1504" s="1" t="s">
        <v>1376</v>
      </c>
      <c r="C1504" s="1" t="s">
        <v>1476</v>
      </c>
      <c r="D1504" s="1">
        <v>846</v>
      </c>
      <c r="E1504" s="1">
        <v>367</v>
      </c>
      <c r="F1504" s="1">
        <v>0.94</v>
      </c>
      <c r="G1504" s="1">
        <v>20260324</v>
      </c>
      <c r="H1504" t="b">
        <f t="shared" si="24"/>
        <v>0</v>
      </c>
      <c r="I1504" t="str" cm="1">
        <f t="array" ref="I1504">GET_TICKER_FINAL(C1504)</f>
        <v>MSFT</v>
      </c>
      <c r="J1504" s="5" t="s">
        <v>28</v>
      </c>
    </row>
    <row r="1505" spans="1:10">
      <c r="A1505">
        <v>1504</v>
      </c>
      <c r="B1505" s="1" t="s">
        <v>1376</v>
      </c>
      <c r="C1505" s="1" t="s">
        <v>1477</v>
      </c>
      <c r="D1505" s="1">
        <v>805</v>
      </c>
      <c r="E1505" s="1">
        <v>111</v>
      </c>
      <c r="F1505" s="1">
        <v>0.98</v>
      </c>
      <c r="G1505" s="1">
        <v>20260402</v>
      </c>
      <c r="H1505" t="b">
        <f t="shared" si="24"/>
        <v>0</v>
      </c>
      <c r="I1505" t="str" cm="1">
        <f t="array" ref="I1505">GET_TICKER_FINAL(C1505)</f>
        <v/>
      </c>
      <c r="J1505" s="5" t="s">
        <v>25</v>
      </c>
    </row>
    <row r="1506" spans="1:10">
      <c r="A1506">
        <v>1505</v>
      </c>
      <c r="B1506" s="1" t="s">
        <v>1376</v>
      </c>
      <c r="C1506" s="1" t="s">
        <v>1478</v>
      </c>
      <c r="D1506" s="1">
        <v>753</v>
      </c>
      <c r="E1506" s="1">
        <v>159</v>
      </c>
      <c r="F1506" s="1">
        <v>0.96</v>
      </c>
      <c r="G1506" s="1">
        <v>20260402</v>
      </c>
      <c r="H1506" t="b">
        <f t="shared" si="24"/>
        <v>0</v>
      </c>
      <c r="I1506" t="str" cm="1">
        <f t="array" ref="I1506">GET_TICKER_FINAL(C1506)</f>
        <v/>
      </c>
      <c r="J1506" s="5" t="s">
        <v>1792</v>
      </c>
    </row>
    <row r="1507" spans="1:10">
      <c r="A1507">
        <v>1506</v>
      </c>
      <c r="B1507" s="1" t="s">
        <v>1376</v>
      </c>
      <c r="C1507" s="1" t="s">
        <v>1479</v>
      </c>
      <c r="D1507" s="1">
        <v>750</v>
      </c>
      <c r="E1507" s="1">
        <v>221</v>
      </c>
      <c r="F1507" s="1">
        <v>0.96</v>
      </c>
      <c r="G1507" s="1">
        <v>20260402</v>
      </c>
      <c r="H1507" t="b">
        <f t="shared" si="24"/>
        <v>0</v>
      </c>
      <c r="I1507" t="str" cm="1">
        <f t="array" ref="I1507">GET_TICKER_FINAL(C1507)</f>
        <v/>
      </c>
      <c r="J1507" s="5" t="s">
        <v>1792</v>
      </c>
    </row>
    <row r="1508" spans="1:10">
      <c r="A1508">
        <v>1507</v>
      </c>
      <c r="B1508" s="1" t="s">
        <v>1376</v>
      </c>
      <c r="C1508" s="1" t="s">
        <v>1480</v>
      </c>
      <c r="D1508" s="1">
        <v>736</v>
      </c>
      <c r="E1508" s="1">
        <v>191</v>
      </c>
      <c r="F1508" s="1">
        <v>0.97</v>
      </c>
      <c r="G1508" s="1">
        <v>20260402</v>
      </c>
      <c r="H1508" t="b">
        <f t="shared" si="24"/>
        <v>0</v>
      </c>
      <c r="I1508" t="str" cm="1">
        <f t="array" ref="I1508">GET_TICKER_FINAL(C1508)</f>
        <v/>
      </c>
      <c r="J1508" s="5" t="s">
        <v>1792</v>
      </c>
    </row>
    <row r="1509" spans="1:10">
      <c r="A1509">
        <v>1508</v>
      </c>
      <c r="B1509" s="1" t="s">
        <v>1376</v>
      </c>
      <c r="C1509" s="1" t="s">
        <v>1481</v>
      </c>
      <c r="D1509" s="1">
        <v>718</v>
      </c>
      <c r="E1509" s="1">
        <v>429</v>
      </c>
      <c r="F1509" s="1">
        <v>0.85</v>
      </c>
      <c r="G1509" s="1">
        <v>20260326</v>
      </c>
      <c r="H1509" t="b">
        <f t="shared" si="24"/>
        <v>0</v>
      </c>
      <c r="I1509" t="str" cm="1">
        <f t="array" ref="I1509">GET_TICKER_FINAL(C1509)</f>
        <v/>
      </c>
      <c r="J1509" s="5" t="s">
        <v>16</v>
      </c>
    </row>
    <row r="1510" spans="1:10">
      <c r="A1510">
        <v>1509</v>
      </c>
      <c r="B1510" s="1" t="s">
        <v>1376</v>
      </c>
      <c r="C1510" s="1" t="s">
        <v>1482</v>
      </c>
      <c r="D1510" s="1">
        <v>707</v>
      </c>
      <c r="E1510" s="1">
        <v>354</v>
      </c>
      <c r="F1510" s="1">
        <v>0.96</v>
      </c>
      <c r="G1510" s="1">
        <v>20260330</v>
      </c>
      <c r="H1510" t="b">
        <f t="shared" si="24"/>
        <v>0</v>
      </c>
      <c r="I1510" t="str" cm="1">
        <f t="array" ref="I1510">GET_TICKER_FINAL(C1510)</f>
        <v/>
      </c>
      <c r="J1510" s="5" t="s">
        <v>16</v>
      </c>
    </row>
    <row r="1511" spans="1:10">
      <c r="A1511">
        <v>1510</v>
      </c>
      <c r="B1511" s="1" t="s">
        <v>1376</v>
      </c>
      <c r="C1511" s="1" t="s">
        <v>1483</v>
      </c>
      <c r="D1511" s="1">
        <v>700</v>
      </c>
      <c r="E1511" s="1">
        <v>111</v>
      </c>
      <c r="F1511" s="1">
        <v>0.98</v>
      </c>
      <c r="G1511" s="1">
        <v>20260402</v>
      </c>
      <c r="H1511" t="b">
        <f t="shared" si="24"/>
        <v>0</v>
      </c>
      <c r="I1511" t="str" cm="1">
        <f t="array" ref="I1511">GET_TICKER_FINAL(C1511)</f>
        <v/>
      </c>
      <c r="J1511" s="5" t="s">
        <v>16</v>
      </c>
    </row>
    <row r="1512" spans="1:10">
      <c r="A1512">
        <v>1511</v>
      </c>
      <c r="B1512" s="1" t="s">
        <v>1376</v>
      </c>
      <c r="C1512" s="1" t="s">
        <v>1484</v>
      </c>
      <c r="D1512" s="1">
        <v>627</v>
      </c>
      <c r="E1512" s="1">
        <v>320</v>
      </c>
      <c r="F1512" s="1">
        <v>0.94</v>
      </c>
      <c r="G1512" s="1">
        <v>20260327</v>
      </c>
      <c r="H1512" t="b">
        <f t="shared" si="24"/>
        <v>0</v>
      </c>
      <c r="I1512" t="str" cm="1">
        <f t="array" ref="I1512">GET_TICKER_FINAL(C1512)</f>
        <v/>
      </c>
      <c r="J1512" s="5" t="s">
        <v>25</v>
      </c>
    </row>
    <row r="1513" spans="1:10">
      <c r="A1513">
        <v>1512</v>
      </c>
      <c r="B1513" s="1" t="s">
        <v>1376</v>
      </c>
      <c r="C1513" s="1" t="s">
        <v>1485</v>
      </c>
      <c r="D1513" s="1">
        <v>622</v>
      </c>
      <c r="E1513" s="1">
        <v>135</v>
      </c>
      <c r="F1513" s="1">
        <v>0.94</v>
      </c>
      <c r="G1513" s="1">
        <v>20260402</v>
      </c>
      <c r="H1513" t="b">
        <f t="shared" si="24"/>
        <v>0</v>
      </c>
      <c r="I1513" t="str" cm="1">
        <f t="array" ref="I1513">GET_TICKER_FINAL(C1513)</f>
        <v/>
      </c>
      <c r="J1513" s="5" t="s">
        <v>16</v>
      </c>
    </row>
    <row r="1514" spans="1:10">
      <c r="A1514">
        <v>1513</v>
      </c>
      <c r="B1514" s="1" t="s">
        <v>1376</v>
      </c>
      <c r="C1514" s="1" t="s">
        <v>1486</v>
      </c>
      <c r="D1514" s="1">
        <v>608</v>
      </c>
      <c r="E1514" s="1">
        <v>203</v>
      </c>
      <c r="F1514" s="1">
        <v>0.96</v>
      </c>
      <c r="G1514" s="1">
        <v>20260402</v>
      </c>
      <c r="H1514" t="b">
        <f t="shared" si="24"/>
        <v>0</v>
      </c>
      <c r="I1514" t="str" cm="1">
        <f t="array" ref="I1514">GET_TICKER_FINAL(C1514)</f>
        <v/>
      </c>
      <c r="J1514" s="5" t="s">
        <v>16</v>
      </c>
    </row>
    <row r="1515" spans="1:10">
      <c r="A1515">
        <v>1514</v>
      </c>
      <c r="B1515" s="1" t="s">
        <v>1376</v>
      </c>
      <c r="C1515" s="1" t="s">
        <v>1487</v>
      </c>
      <c r="D1515" s="1">
        <v>604</v>
      </c>
      <c r="E1515" s="1">
        <v>200</v>
      </c>
      <c r="F1515" s="1">
        <v>0.95</v>
      </c>
      <c r="G1515" s="1">
        <v>20260327</v>
      </c>
      <c r="H1515" t="b">
        <f t="shared" si="24"/>
        <v>0</v>
      </c>
      <c r="I1515" t="str" cm="1">
        <f t="array" ref="I1515">GET_TICKER_FINAL(C1515)</f>
        <v/>
      </c>
      <c r="J1515" s="5" t="s">
        <v>16</v>
      </c>
    </row>
    <row r="1516" spans="1:10">
      <c r="A1516">
        <v>1515</v>
      </c>
      <c r="B1516" s="1" t="s">
        <v>1376</v>
      </c>
      <c r="C1516" s="1" t="s">
        <v>1488</v>
      </c>
      <c r="D1516" s="1">
        <v>595</v>
      </c>
      <c r="E1516" s="1">
        <v>282</v>
      </c>
      <c r="F1516" s="1">
        <v>0.89</v>
      </c>
      <c r="G1516" s="1">
        <v>20260402</v>
      </c>
      <c r="H1516" t="b">
        <f t="shared" si="24"/>
        <v>0</v>
      </c>
      <c r="I1516" t="str" cm="1">
        <f t="array" ref="I1516">GET_TICKER_FINAL(C1516)</f>
        <v/>
      </c>
      <c r="J1516" s="5" t="s">
        <v>16</v>
      </c>
    </row>
    <row r="1517" spans="1:10">
      <c r="A1517">
        <v>1516</v>
      </c>
      <c r="B1517" s="1" t="s">
        <v>1376</v>
      </c>
      <c r="C1517" s="1" t="s">
        <v>1489</v>
      </c>
      <c r="D1517" s="1">
        <v>594</v>
      </c>
      <c r="E1517" s="1">
        <v>145</v>
      </c>
      <c r="F1517" s="1">
        <v>0.91</v>
      </c>
      <c r="G1517" s="1">
        <v>20260331</v>
      </c>
      <c r="H1517" t="b">
        <f t="shared" si="24"/>
        <v>0</v>
      </c>
      <c r="I1517" t="str" cm="1">
        <f t="array" ref="I1517">GET_TICKER_FINAL(C1517)</f>
        <v/>
      </c>
      <c r="J1517" s="5" t="s">
        <v>16</v>
      </c>
    </row>
    <row r="1518" spans="1:10">
      <c r="A1518">
        <v>1517</v>
      </c>
      <c r="B1518" s="1" t="s">
        <v>1376</v>
      </c>
      <c r="C1518" s="1" t="s">
        <v>1490</v>
      </c>
      <c r="D1518" s="1">
        <v>588</v>
      </c>
      <c r="E1518" s="1">
        <v>119</v>
      </c>
      <c r="F1518" s="1">
        <v>0.93</v>
      </c>
      <c r="G1518" s="1">
        <v>20260323</v>
      </c>
      <c r="H1518" t="b">
        <f t="shared" si="24"/>
        <v>0</v>
      </c>
      <c r="I1518" t="str" cm="1">
        <f t="array" ref="I1518">GET_TICKER_FINAL(C1518)</f>
        <v/>
      </c>
      <c r="J1518" s="5" t="s">
        <v>1792</v>
      </c>
    </row>
    <row r="1519" spans="1:10">
      <c r="A1519">
        <v>1518</v>
      </c>
      <c r="B1519" s="1" t="s">
        <v>1376</v>
      </c>
      <c r="C1519" s="1" t="s">
        <v>1491</v>
      </c>
      <c r="D1519" s="1">
        <v>572</v>
      </c>
      <c r="E1519" s="1">
        <v>200</v>
      </c>
      <c r="F1519" s="1">
        <v>0.93</v>
      </c>
      <c r="G1519" s="1">
        <v>20260402</v>
      </c>
      <c r="H1519" t="b">
        <f t="shared" si="24"/>
        <v>0</v>
      </c>
      <c r="I1519" t="str" cm="1">
        <f t="array" ref="I1519">GET_TICKER_FINAL(C1519)</f>
        <v/>
      </c>
      <c r="J1519" s="5" t="s">
        <v>25</v>
      </c>
    </row>
    <row r="1520" spans="1:10">
      <c r="A1520">
        <v>1519</v>
      </c>
      <c r="B1520" s="1" t="s">
        <v>1376</v>
      </c>
      <c r="C1520" s="1" t="s">
        <v>1492</v>
      </c>
      <c r="D1520" s="1">
        <v>570</v>
      </c>
      <c r="E1520" s="1">
        <v>154</v>
      </c>
      <c r="F1520" s="1">
        <v>0.96</v>
      </c>
      <c r="G1520" s="1">
        <v>20260402</v>
      </c>
      <c r="H1520" t="b">
        <f t="shared" si="24"/>
        <v>0</v>
      </c>
      <c r="I1520" t="str" cm="1">
        <f t="array" ref="I1520">GET_TICKER_FINAL(C1520)</f>
        <v/>
      </c>
      <c r="J1520" s="5" t="s">
        <v>16</v>
      </c>
    </row>
    <row r="1521" spans="1:10">
      <c r="A1521">
        <v>1520</v>
      </c>
      <c r="B1521" s="1" t="s">
        <v>1376</v>
      </c>
      <c r="C1521" s="1" t="s">
        <v>1493</v>
      </c>
      <c r="D1521" s="1">
        <v>562</v>
      </c>
      <c r="E1521" s="1">
        <v>70</v>
      </c>
      <c r="F1521" s="1">
        <v>0.96</v>
      </c>
      <c r="G1521" s="1">
        <v>20260324</v>
      </c>
      <c r="H1521" t="b">
        <f t="shared" si="24"/>
        <v>0</v>
      </c>
      <c r="I1521" t="str" cm="1">
        <f t="array" ref="I1521">GET_TICKER_FINAL(C1521)</f>
        <v/>
      </c>
      <c r="J1521" s="5" t="s">
        <v>16</v>
      </c>
    </row>
    <row r="1522" spans="1:10">
      <c r="A1522">
        <v>1521</v>
      </c>
      <c r="B1522" s="1" t="s">
        <v>1376</v>
      </c>
      <c r="C1522" s="1" t="s">
        <v>1494</v>
      </c>
      <c r="D1522" s="1">
        <v>558</v>
      </c>
      <c r="E1522" s="1">
        <v>403</v>
      </c>
      <c r="F1522" s="1">
        <v>0.92</v>
      </c>
      <c r="G1522" s="1">
        <v>20260324</v>
      </c>
      <c r="H1522" t="b">
        <f t="shared" si="24"/>
        <v>0</v>
      </c>
      <c r="I1522" t="str" cm="1">
        <f t="array" ref="I1522">GET_TICKER_FINAL(C1522)</f>
        <v/>
      </c>
      <c r="J1522" s="5" t="s">
        <v>1792</v>
      </c>
    </row>
    <row r="1523" spans="1:10">
      <c r="A1523">
        <v>1522</v>
      </c>
      <c r="B1523" s="1" t="s">
        <v>1376</v>
      </c>
      <c r="C1523" s="1" t="s">
        <v>1495</v>
      </c>
      <c r="D1523" s="1">
        <v>541</v>
      </c>
      <c r="E1523" s="1">
        <v>62</v>
      </c>
      <c r="F1523" s="1">
        <v>0.97</v>
      </c>
      <c r="G1523" s="1">
        <v>20260330</v>
      </c>
      <c r="H1523" t="b">
        <f t="shared" si="24"/>
        <v>0</v>
      </c>
      <c r="I1523" t="str" cm="1">
        <f t="array" ref="I1523">GET_TICKER_FINAL(C1523)</f>
        <v>ARM</v>
      </c>
      <c r="J1523" s="5" t="s">
        <v>25</v>
      </c>
    </row>
    <row r="1524" spans="1:10">
      <c r="A1524">
        <v>1523</v>
      </c>
      <c r="B1524" s="1" t="s">
        <v>1376</v>
      </c>
      <c r="C1524" s="1" t="s">
        <v>1496</v>
      </c>
      <c r="D1524" s="1">
        <v>525</v>
      </c>
      <c r="E1524" s="1">
        <v>56</v>
      </c>
      <c r="F1524" s="1">
        <v>0.97</v>
      </c>
      <c r="G1524" s="1">
        <v>20260324</v>
      </c>
      <c r="H1524" t="b">
        <f t="shared" si="24"/>
        <v>0</v>
      </c>
      <c r="I1524" t="str" cm="1">
        <f t="array" ref="I1524">GET_TICKER_FINAL(C1524)</f>
        <v/>
      </c>
      <c r="J1524" s="5" t="s">
        <v>16</v>
      </c>
    </row>
    <row r="1525" spans="1:10">
      <c r="A1525">
        <v>1524</v>
      </c>
      <c r="B1525" s="1" t="s">
        <v>1376</v>
      </c>
      <c r="C1525" s="1" t="s">
        <v>1497</v>
      </c>
      <c r="D1525" s="1">
        <v>525</v>
      </c>
      <c r="E1525" s="1">
        <v>218</v>
      </c>
      <c r="F1525" s="1">
        <v>0.89</v>
      </c>
      <c r="G1525" s="1">
        <v>20260331</v>
      </c>
      <c r="H1525" t="b">
        <f t="shared" si="24"/>
        <v>0</v>
      </c>
      <c r="I1525" t="str" cm="1">
        <f t="array" ref="I1525">GET_TICKER_FINAL(C1525)</f>
        <v/>
      </c>
      <c r="J1525" s="5" t="s">
        <v>25</v>
      </c>
    </row>
    <row r="1526" spans="1:10">
      <c r="A1526">
        <v>1525</v>
      </c>
      <c r="B1526" s="1" t="s">
        <v>1376</v>
      </c>
      <c r="C1526" s="1" t="s">
        <v>1498</v>
      </c>
      <c r="D1526" s="1">
        <v>501</v>
      </c>
      <c r="E1526" s="1">
        <v>82</v>
      </c>
      <c r="F1526" s="1">
        <v>0.95</v>
      </c>
      <c r="G1526" s="1">
        <v>20260402</v>
      </c>
      <c r="H1526" t="b">
        <f t="shared" si="24"/>
        <v>0</v>
      </c>
      <c r="I1526" t="str" cm="1">
        <f t="array" ref="I1526">GET_TICKER_FINAL(C1526)</f>
        <v/>
      </c>
      <c r="J1526" s="5" t="s">
        <v>1792</v>
      </c>
    </row>
    <row r="1527" spans="1:10">
      <c r="A1527">
        <v>1526</v>
      </c>
      <c r="B1527" s="1" t="s">
        <v>1376</v>
      </c>
      <c r="C1527" s="1" t="s">
        <v>1499</v>
      </c>
      <c r="D1527" s="1">
        <v>500</v>
      </c>
      <c r="E1527" s="1">
        <v>148</v>
      </c>
      <c r="F1527" s="1">
        <v>0.95</v>
      </c>
      <c r="G1527" s="1">
        <v>20260402</v>
      </c>
      <c r="H1527" t="b">
        <f t="shared" si="24"/>
        <v>0</v>
      </c>
      <c r="I1527" t="str" cm="1">
        <f t="array" ref="I1527">GET_TICKER_FINAL(C1527)</f>
        <v>SPY</v>
      </c>
      <c r="J1527" s="5" t="s">
        <v>16</v>
      </c>
    </row>
    <row r="1528" spans="1:10">
      <c r="A1528">
        <v>1527</v>
      </c>
      <c r="B1528" s="1" t="s">
        <v>1376</v>
      </c>
      <c r="C1528" s="1" t="s">
        <v>1500</v>
      </c>
      <c r="D1528" s="1">
        <v>495</v>
      </c>
      <c r="E1528" s="1">
        <v>262</v>
      </c>
      <c r="F1528" s="1">
        <v>0.96</v>
      </c>
      <c r="G1528" s="1">
        <v>20260323</v>
      </c>
      <c r="H1528" t="b">
        <f t="shared" si="24"/>
        <v>0</v>
      </c>
      <c r="I1528" t="str" cm="1">
        <f t="array" ref="I1528">GET_TICKER_FINAL(C1528)</f>
        <v/>
      </c>
      <c r="J1528" s="5" t="s">
        <v>1792</v>
      </c>
    </row>
    <row r="1529" spans="1:10">
      <c r="A1529">
        <v>1528</v>
      </c>
      <c r="B1529" s="1" t="s">
        <v>1376</v>
      </c>
      <c r="C1529" s="1" t="s">
        <v>1501</v>
      </c>
      <c r="D1529" s="1">
        <v>483</v>
      </c>
      <c r="E1529" s="1">
        <v>134</v>
      </c>
      <c r="F1529" s="1">
        <v>0.9</v>
      </c>
      <c r="G1529" s="1">
        <v>20260330</v>
      </c>
      <c r="H1529" t="b">
        <f t="shared" si="24"/>
        <v>0</v>
      </c>
      <c r="I1529" t="str" cm="1">
        <f t="array" ref="I1529">GET_TICKER_FINAL(C1529)</f>
        <v/>
      </c>
      <c r="J1529" s="5" t="s">
        <v>25</v>
      </c>
    </row>
    <row r="1530" spans="1:10">
      <c r="A1530">
        <v>1529</v>
      </c>
      <c r="B1530" s="1" t="s">
        <v>1376</v>
      </c>
      <c r="C1530" s="1" t="s">
        <v>1502</v>
      </c>
      <c r="D1530" s="1">
        <v>473</v>
      </c>
      <c r="E1530" s="1">
        <v>403</v>
      </c>
      <c r="F1530" s="1">
        <v>0.82</v>
      </c>
      <c r="G1530" s="1">
        <v>20260401</v>
      </c>
      <c r="H1530" t="b">
        <f t="shared" si="24"/>
        <v>0</v>
      </c>
      <c r="I1530" t="str" cm="1">
        <f t="array" ref="I1530">GET_TICKER_FINAL(C1530)</f>
        <v/>
      </c>
      <c r="J1530" s="5" t="s">
        <v>16</v>
      </c>
    </row>
    <row r="1531" spans="1:10">
      <c r="A1531">
        <v>1530</v>
      </c>
      <c r="B1531" s="1" t="s">
        <v>1376</v>
      </c>
      <c r="C1531" s="1" t="s">
        <v>1503</v>
      </c>
      <c r="D1531" s="1">
        <v>465</v>
      </c>
      <c r="E1531" s="1">
        <v>280</v>
      </c>
      <c r="F1531" s="1">
        <v>0.91</v>
      </c>
      <c r="G1531" s="1">
        <v>20260331</v>
      </c>
      <c r="H1531" t="b">
        <f t="shared" si="24"/>
        <v>0</v>
      </c>
      <c r="I1531" t="str" cm="1">
        <f t="array" ref="I1531">GET_TICKER_FINAL(C1531)</f>
        <v/>
      </c>
      <c r="J1531" s="5" t="s">
        <v>16</v>
      </c>
    </row>
    <row r="1532" spans="1:10">
      <c r="A1532">
        <v>1531</v>
      </c>
      <c r="B1532" s="1" t="s">
        <v>1376</v>
      </c>
      <c r="C1532" s="1" t="s">
        <v>1504</v>
      </c>
      <c r="D1532" s="1">
        <v>435</v>
      </c>
      <c r="E1532" s="1">
        <v>232</v>
      </c>
      <c r="F1532" s="1">
        <v>0.88</v>
      </c>
      <c r="G1532" s="1">
        <v>20260327</v>
      </c>
      <c r="H1532" t="b">
        <f t="shared" si="24"/>
        <v>0</v>
      </c>
      <c r="I1532" t="str" cm="1">
        <f t="array" ref="I1532">GET_TICKER_FINAL(C1532)</f>
        <v>MSFT</v>
      </c>
      <c r="J1532" s="5" t="s">
        <v>25</v>
      </c>
    </row>
    <row r="1533" spans="1:10">
      <c r="A1533">
        <v>1532</v>
      </c>
      <c r="B1533" s="1" t="s">
        <v>1376</v>
      </c>
      <c r="C1533" s="1" t="s">
        <v>1505</v>
      </c>
      <c r="D1533" s="1">
        <v>433</v>
      </c>
      <c r="E1533" s="1">
        <v>140</v>
      </c>
      <c r="F1533" s="1">
        <v>0.91</v>
      </c>
      <c r="G1533" s="1">
        <v>20260401</v>
      </c>
      <c r="H1533" t="b">
        <f t="shared" si="24"/>
        <v>0</v>
      </c>
      <c r="I1533" t="str" cm="1">
        <f t="array" ref="I1533">GET_TICKER_FINAL(C1533)</f>
        <v>SOFI</v>
      </c>
      <c r="J1533" s="5" t="s">
        <v>1792</v>
      </c>
    </row>
    <row r="1534" spans="1:10">
      <c r="A1534">
        <v>1533</v>
      </c>
      <c r="B1534" s="1" t="s">
        <v>1376</v>
      </c>
      <c r="C1534" s="1" t="s">
        <v>1506</v>
      </c>
      <c r="D1534" s="1">
        <v>426</v>
      </c>
      <c r="E1534" s="1">
        <v>42</v>
      </c>
      <c r="F1534" s="1">
        <v>0.96</v>
      </c>
      <c r="G1534" s="1">
        <v>20260320</v>
      </c>
      <c r="H1534" t="b">
        <f t="shared" si="24"/>
        <v>0</v>
      </c>
      <c r="I1534" t="str" cm="1">
        <f t="array" ref="I1534">GET_TICKER_FINAL(C1534)</f>
        <v/>
      </c>
      <c r="J1534" s="5" t="s">
        <v>25</v>
      </c>
    </row>
    <row r="1535" spans="1:10">
      <c r="A1535">
        <v>1534</v>
      </c>
      <c r="B1535" s="1" t="s">
        <v>1376</v>
      </c>
      <c r="C1535" s="1" t="s">
        <v>1507</v>
      </c>
      <c r="D1535" s="1">
        <v>417</v>
      </c>
      <c r="E1535" s="1">
        <v>196</v>
      </c>
      <c r="F1535" s="1">
        <v>0.93</v>
      </c>
      <c r="G1535" s="1">
        <v>20260402</v>
      </c>
      <c r="H1535" t="b">
        <f t="shared" si="24"/>
        <v>0</v>
      </c>
      <c r="I1535" t="str" cm="1">
        <f t="array" ref="I1535">GET_TICKER_FINAL(C1535)</f>
        <v/>
      </c>
      <c r="J1535" s="5" t="s">
        <v>16</v>
      </c>
    </row>
    <row r="1536" spans="1:10">
      <c r="A1536">
        <v>1535</v>
      </c>
      <c r="B1536" s="1" t="s">
        <v>1376</v>
      </c>
      <c r="C1536" s="1" t="s">
        <v>1508</v>
      </c>
      <c r="D1536" s="1">
        <v>405</v>
      </c>
      <c r="E1536" s="1">
        <v>50</v>
      </c>
      <c r="F1536" s="1">
        <v>0.97</v>
      </c>
      <c r="G1536" s="1">
        <v>20260402</v>
      </c>
      <c r="H1536" t="b">
        <f t="shared" si="24"/>
        <v>0</v>
      </c>
      <c r="I1536" t="str" cm="1">
        <f t="array" ref="I1536">GET_TICKER_FINAL(C1536)</f>
        <v>NVO</v>
      </c>
      <c r="J1536" s="5" t="s">
        <v>25</v>
      </c>
    </row>
    <row r="1537" spans="1:10">
      <c r="A1537">
        <v>1536</v>
      </c>
      <c r="B1537" s="1" t="s">
        <v>1376</v>
      </c>
      <c r="C1537" s="1" t="s">
        <v>1509</v>
      </c>
      <c r="D1537" s="1">
        <v>392</v>
      </c>
      <c r="E1537" s="1">
        <v>85</v>
      </c>
      <c r="F1537" s="1">
        <v>0.81</v>
      </c>
      <c r="G1537" s="1">
        <v>20260320</v>
      </c>
      <c r="H1537" t="b">
        <f t="shared" si="24"/>
        <v>0</v>
      </c>
      <c r="I1537" t="str" cm="1">
        <f t="array" ref="I1537">GET_TICKER_FINAL(C1537)</f>
        <v/>
      </c>
      <c r="J1537" s="5" t="s">
        <v>1792</v>
      </c>
    </row>
    <row r="1538" spans="1:10">
      <c r="A1538">
        <v>1537</v>
      </c>
      <c r="B1538" s="1" t="s">
        <v>1376</v>
      </c>
      <c r="C1538" s="1" t="s">
        <v>1510</v>
      </c>
      <c r="D1538" s="1">
        <v>391</v>
      </c>
      <c r="E1538" s="1">
        <v>106</v>
      </c>
      <c r="F1538" s="1">
        <v>0.96</v>
      </c>
      <c r="G1538" s="1">
        <v>20260331</v>
      </c>
      <c r="H1538" t="b">
        <f t="shared" si="24"/>
        <v>0</v>
      </c>
      <c r="I1538" t="str" cm="1">
        <f t="array" ref="I1538">GET_TICKER_FINAL(C1538)</f>
        <v/>
      </c>
      <c r="J1538" s="5" t="s">
        <v>25</v>
      </c>
    </row>
    <row r="1539" spans="1:10">
      <c r="A1539">
        <v>1538</v>
      </c>
      <c r="B1539" s="1" t="s">
        <v>1376</v>
      </c>
      <c r="C1539" s="1" t="s">
        <v>1511</v>
      </c>
      <c r="D1539" s="1">
        <v>388</v>
      </c>
      <c r="E1539" s="1">
        <v>107</v>
      </c>
      <c r="F1539" s="1">
        <v>0.98</v>
      </c>
      <c r="G1539" s="1">
        <v>20260331</v>
      </c>
      <c r="H1539" t="b">
        <f t="shared" ref="H1539:H1602" si="25">OR(ISNUMBER(SEARCH("$A",C1539)),ISNUMBER(SEARCH("$B",C1539)),ISNUMBER(SEARCH("$C",C1539)),ISNUMBER(SEARCH("$D",C1539)),ISNUMBER(SEARCH("$E",C1539)),ISNUMBER(SEARCH("$F",C1539)),ISNUMBER(SEARCH("$G",C1539)),ISNUMBER(SEARCH("$H",C1539)),ISNUMBER(SEARCH("$I",C1539)),ISNUMBER(SEARCH("$J",C1539)),ISNUMBER(SEARCH("$K",C1539)),ISNUMBER(SEARCH("$L",C1539)),ISNUMBER(SEARCH("$M",C1539)),ISNUMBER(SEARCH("$N",C1539)),ISNUMBER(SEARCH("$O",C1539)),ISNUMBER(SEARCH("$P",C1539)),ISNUMBER(SEARCH("$Q",C1539)),ISNUMBER(SEARCH("$R",C1539)),ISNUMBER(SEARCH("$S",C1539)),ISNUMBER(SEARCH("$T",C1539)),ISNUMBER(SEARCH("$U",C1539)),ISNUMBER(SEARCH("$V",C1539)),ISNUMBER(SEARCH("$W",C1539)),ISNUMBER(SEARCH("$X",C1539)),ISNUMBER(SEARCH("$Y",C1539)),ISNUMBER(SEARCH("$Z",C1539)))</f>
        <v>0</v>
      </c>
      <c r="I1539" t="str" cm="1">
        <f t="array" ref="I1539">GET_TICKER_FINAL(C1539)</f>
        <v/>
      </c>
      <c r="J1539" s="5" t="s">
        <v>1792</v>
      </c>
    </row>
    <row r="1540" spans="1:10">
      <c r="A1540">
        <v>1539</v>
      </c>
      <c r="B1540" s="1" t="s">
        <v>1376</v>
      </c>
      <c r="C1540" s="1" t="s">
        <v>1512</v>
      </c>
      <c r="D1540" s="1">
        <v>387</v>
      </c>
      <c r="E1540" s="1">
        <v>61</v>
      </c>
      <c r="F1540" s="1">
        <v>0.95</v>
      </c>
      <c r="G1540" s="1">
        <v>20260324</v>
      </c>
      <c r="H1540" t="b">
        <f t="shared" si="25"/>
        <v>0</v>
      </c>
      <c r="I1540" t="str" cm="1">
        <f t="array" ref="I1540">GET_TICKER_FINAL(C1540)</f>
        <v/>
      </c>
      <c r="J1540" s="5" t="s">
        <v>16</v>
      </c>
    </row>
    <row r="1541" spans="1:10">
      <c r="A1541">
        <v>1540</v>
      </c>
      <c r="B1541" s="1" t="s">
        <v>1376</v>
      </c>
      <c r="C1541" s="1" t="s">
        <v>1513</v>
      </c>
      <c r="D1541" s="1">
        <v>386</v>
      </c>
      <c r="E1541" s="1">
        <v>135</v>
      </c>
      <c r="F1541" s="1">
        <v>0.95</v>
      </c>
      <c r="G1541" s="1">
        <v>20260331</v>
      </c>
      <c r="H1541" t="b">
        <f t="shared" si="25"/>
        <v>0</v>
      </c>
      <c r="I1541" t="str" cm="1">
        <f t="array" ref="I1541">GET_TICKER_FINAL(C1541)</f>
        <v/>
      </c>
      <c r="J1541" s="5" t="s">
        <v>25</v>
      </c>
    </row>
    <row r="1542" spans="1:10">
      <c r="A1542">
        <v>1541</v>
      </c>
      <c r="B1542" s="1" t="s">
        <v>1376</v>
      </c>
      <c r="C1542" s="1" t="s">
        <v>1514</v>
      </c>
      <c r="D1542" s="1">
        <v>373</v>
      </c>
      <c r="E1542" s="1">
        <v>56</v>
      </c>
      <c r="F1542" s="1">
        <v>0.95</v>
      </c>
      <c r="G1542" s="1">
        <v>20260330</v>
      </c>
      <c r="H1542" t="b">
        <f t="shared" si="25"/>
        <v>0</v>
      </c>
      <c r="I1542" t="str" cm="1">
        <f t="array" ref="I1542">GET_TICKER_FINAL(C1542)</f>
        <v/>
      </c>
      <c r="J1542" s="5" t="s">
        <v>16</v>
      </c>
    </row>
    <row r="1543" spans="1:10">
      <c r="A1543">
        <v>1542</v>
      </c>
      <c r="B1543" s="1" t="s">
        <v>1376</v>
      </c>
      <c r="C1543" s="1" t="s">
        <v>1515</v>
      </c>
      <c r="D1543" s="1">
        <v>363</v>
      </c>
      <c r="E1543" s="1">
        <v>109</v>
      </c>
      <c r="F1543" s="1">
        <v>0.96</v>
      </c>
      <c r="G1543" s="1">
        <v>20260402</v>
      </c>
      <c r="H1543" t="b">
        <f t="shared" si="25"/>
        <v>0</v>
      </c>
      <c r="I1543" t="str" cm="1">
        <f t="array" ref="I1543">GET_TICKER_FINAL(C1543)</f>
        <v>SPY</v>
      </c>
      <c r="J1543" s="5" t="s">
        <v>16</v>
      </c>
    </row>
    <row r="1544" spans="1:10">
      <c r="A1544">
        <v>1543</v>
      </c>
      <c r="B1544" s="1" t="s">
        <v>1376</v>
      </c>
      <c r="C1544" s="1" t="s">
        <v>1516</v>
      </c>
      <c r="D1544" s="1">
        <v>357</v>
      </c>
      <c r="E1544" s="1">
        <v>167</v>
      </c>
      <c r="F1544" s="1">
        <v>0.93</v>
      </c>
      <c r="G1544" s="1">
        <v>20260327</v>
      </c>
      <c r="H1544" t="b">
        <f t="shared" si="25"/>
        <v>0</v>
      </c>
      <c r="I1544" t="str" cm="1">
        <f t="array" ref="I1544">GET_TICKER_FINAL(C1544)</f>
        <v/>
      </c>
      <c r="J1544" s="5" t="s">
        <v>1792</v>
      </c>
    </row>
    <row r="1545" spans="1:10">
      <c r="A1545">
        <v>1544</v>
      </c>
      <c r="B1545" s="1" t="s">
        <v>1376</v>
      </c>
      <c r="C1545" s="1" t="s">
        <v>1517</v>
      </c>
      <c r="D1545" s="1">
        <v>328</v>
      </c>
      <c r="E1545" s="1">
        <v>40</v>
      </c>
      <c r="F1545" s="1">
        <v>0.94</v>
      </c>
      <c r="G1545" s="1">
        <v>20260402</v>
      </c>
      <c r="H1545" t="b">
        <f t="shared" si="25"/>
        <v>0</v>
      </c>
      <c r="I1545" t="str" cm="1">
        <f t="array" ref="I1545">GET_TICKER_FINAL(C1545)</f>
        <v>SPY</v>
      </c>
      <c r="J1545" s="5" t="s">
        <v>1792</v>
      </c>
    </row>
    <row r="1546" spans="1:10">
      <c r="A1546">
        <v>1545</v>
      </c>
      <c r="B1546" s="1" t="s">
        <v>1376</v>
      </c>
      <c r="C1546" s="1" t="s">
        <v>1518</v>
      </c>
      <c r="D1546" s="1">
        <v>326</v>
      </c>
      <c r="E1546" s="1">
        <v>303</v>
      </c>
      <c r="F1546" s="1">
        <v>0.87</v>
      </c>
      <c r="G1546" s="1">
        <v>20260323</v>
      </c>
      <c r="H1546" t="b">
        <f t="shared" si="25"/>
        <v>0</v>
      </c>
      <c r="I1546" t="str" cm="1">
        <f t="array" ref="I1546">GET_TICKER_FINAL(C1546)</f>
        <v/>
      </c>
      <c r="J1546" s="5" t="s">
        <v>1792</v>
      </c>
    </row>
    <row r="1547" spans="1:10">
      <c r="A1547">
        <v>1546</v>
      </c>
      <c r="B1547" s="1" t="s">
        <v>1376</v>
      </c>
      <c r="C1547" s="1" t="s">
        <v>1519</v>
      </c>
      <c r="D1547" s="1">
        <v>322</v>
      </c>
      <c r="E1547" s="1">
        <v>68</v>
      </c>
      <c r="F1547" s="1">
        <v>0.92</v>
      </c>
      <c r="G1547" s="1">
        <v>20260326</v>
      </c>
      <c r="H1547" t="b">
        <f t="shared" si="25"/>
        <v>0</v>
      </c>
      <c r="I1547" t="str" cm="1">
        <f t="array" ref="I1547">GET_TICKER_FINAL(C1547)</f>
        <v>SPY</v>
      </c>
      <c r="J1547" s="5" t="s">
        <v>16</v>
      </c>
    </row>
    <row r="1548" spans="1:10">
      <c r="A1548">
        <v>1547</v>
      </c>
      <c r="B1548" s="1" t="s">
        <v>1376</v>
      </c>
      <c r="C1548" s="1" t="s">
        <v>1520</v>
      </c>
      <c r="D1548" s="1">
        <v>319</v>
      </c>
      <c r="E1548" s="1">
        <v>40</v>
      </c>
      <c r="F1548" s="1">
        <v>0.94</v>
      </c>
      <c r="G1548" s="1">
        <v>20260320</v>
      </c>
      <c r="H1548" t="b">
        <f t="shared" si="25"/>
        <v>0</v>
      </c>
      <c r="I1548" t="str" cm="1">
        <f t="array" ref="I1548">GET_TICKER_FINAL(C1548)</f>
        <v>MU</v>
      </c>
      <c r="J1548" s="5" t="s">
        <v>25</v>
      </c>
    </row>
    <row r="1549" spans="1:10">
      <c r="A1549">
        <v>1548</v>
      </c>
      <c r="B1549" s="1" t="s">
        <v>1376</v>
      </c>
      <c r="C1549" s="1" t="s">
        <v>1521</v>
      </c>
      <c r="D1549" s="1">
        <v>318</v>
      </c>
      <c r="E1549" s="1">
        <v>144</v>
      </c>
      <c r="F1549" s="1">
        <v>0.97</v>
      </c>
      <c r="G1549" s="1">
        <v>20260402</v>
      </c>
      <c r="H1549" t="b">
        <f t="shared" si="25"/>
        <v>0</v>
      </c>
      <c r="I1549" t="str" cm="1">
        <f t="array" ref="I1549">GET_TICKER_FINAL(C1549)</f>
        <v/>
      </c>
      <c r="J1549" s="5" t="s">
        <v>16</v>
      </c>
    </row>
    <row r="1550" spans="1:10">
      <c r="A1550">
        <v>1549</v>
      </c>
      <c r="B1550" s="1" t="s">
        <v>1376</v>
      </c>
      <c r="C1550" s="1" t="s">
        <v>1522</v>
      </c>
      <c r="D1550" s="1">
        <v>317</v>
      </c>
      <c r="E1550" s="1">
        <v>111</v>
      </c>
      <c r="F1550" s="1">
        <v>0.89</v>
      </c>
      <c r="G1550" s="1">
        <v>20260330</v>
      </c>
      <c r="H1550" t="b">
        <f t="shared" si="25"/>
        <v>0</v>
      </c>
      <c r="I1550" t="str" cm="1">
        <f t="array" ref="I1550">GET_TICKER_FINAL(C1550)</f>
        <v/>
      </c>
      <c r="J1550" s="5" t="s">
        <v>1792</v>
      </c>
    </row>
    <row r="1551" spans="1:10">
      <c r="A1551">
        <v>1550</v>
      </c>
      <c r="B1551" s="1" t="s">
        <v>1376</v>
      </c>
      <c r="C1551" s="1" t="s">
        <v>1523</v>
      </c>
      <c r="D1551" s="1">
        <v>313</v>
      </c>
      <c r="E1551" s="1">
        <v>249</v>
      </c>
      <c r="F1551" s="1">
        <v>0.83</v>
      </c>
      <c r="G1551" s="1">
        <v>20260320</v>
      </c>
      <c r="H1551" t="b">
        <f t="shared" si="25"/>
        <v>1</v>
      </c>
      <c r="I1551" t="str" cm="1">
        <f t="array" ref="I1551">GET_TICKER_FINAL(C1551)</f>
        <v/>
      </c>
      <c r="J1551" s="5" t="s">
        <v>25</v>
      </c>
    </row>
    <row r="1552" spans="1:10">
      <c r="A1552">
        <v>1551</v>
      </c>
      <c r="B1552" s="1" t="s">
        <v>1376</v>
      </c>
      <c r="C1552" s="1" t="s">
        <v>1524</v>
      </c>
      <c r="D1552" s="1">
        <v>312</v>
      </c>
      <c r="E1552" s="1">
        <v>92</v>
      </c>
      <c r="F1552" s="1">
        <v>0.89</v>
      </c>
      <c r="G1552" s="1">
        <v>20260327</v>
      </c>
      <c r="H1552" t="b">
        <f t="shared" si="25"/>
        <v>0</v>
      </c>
      <c r="I1552" t="str" cm="1">
        <f t="array" ref="I1552">GET_TICKER_FINAL(C1552)</f>
        <v/>
      </c>
      <c r="J1552" s="5" t="s">
        <v>25</v>
      </c>
    </row>
    <row r="1553" spans="1:10">
      <c r="A1553">
        <v>1552</v>
      </c>
      <c r="B1553" s="1" t="s">
        <v>1376</v>
      </c>
      <c r="C1553" s="1" t="s">
        <v>1525</v>
      </c>
      <c r="D1553" s="1">
        <v>310</v>
      </c>
      <c r="E1553" s="1">
        <v>20205</v>
      </c>
      <c r="F1553" s="1">
        <v>0.93</v>
      </c>
      <c r="G1553" s="1">
        <v>20260402</v>
      </c>
      <c r="H1553" t="b">
        <f t="shared" si="25"/>
        <v>0</v>
      </c>
      <c r="I1553" t="str" cm="1">
        <f t="array" ref="I1553">GET_TICKER_FINAL(C1553)</f>
        <v/>
      </c>
      <c r="J1553" s="5" t="s">
        <v>1792</v>
      </c>
    </row>
    <row r="1554" spans="1:10">
      <c r="A1554">
        <v>1553</v>
      </c>
      <c r="B1554" s="1" t="s">
        <v>1376</v>
      </c>
      <c r="C1554" s="1" t="s">
        <v>1526</v>
      </c>
      <c r="D1554" s="1">
        <v>307</v>
      </c>
      <c r="E1554" s="1">
        <v>12828</v>
      </c>
      <c r="F1554" s="1">
        <v>0.9</v>
      </c>
      <c r="G1554" s="1">
        <v>20260331</v>
      </c>
      <c r="H1554" t="b">
        <f t="shared" si="25"/>
        <v>0</v>
      </c>
      <c r="I1554" t="str" cm="1">
        <f t="array" ref="I1554">GET_TICKER_FINAL(C1554)</f>
        <v/>
      </c>
      <c r="J1554" s="5" t="s">
        <v>1792</v>
      </c>
    </row>
    <row r="1555" spans="1:10">
      <c r="A1555">
        <v>1554</v>
      </c>
      <c r="B1555" s="1" t="s">
        <v>1376</v>
      </c>
      <c r="C1555" s="1" t="s">
        <v>1527</v>
      </c>
      <c r="D1555" s="1">
        <v>307</v>
      </c>
      <c r="E1555" s="1">
        <v>63</v>
      </c>
      <c r="F1555" s="1">
        <v>0.95</v>
      </c>
      <c r="G1555" s="1">
        <v>20260324</v>
      </c>
      <c r="H1555" t="b">
        <f t="shared" si="25"/>
        <v>0</v>
      </c>
      <c r="I1555" t="str" cm="1">
        <f t="array" ref="I1555">GET_TICKER_FINAL(C1555)</f>
        <v/>
      </c>
      <c r="J1555" s="5" t="s">
        <v>16</v>
      </c>
    </row>
    <row r="1556" spans="1:10">
      <c r="A1556">
        <v>1555</v>
      </c>
      <c r="B1556" s="1" t="s">
        <v>1376</v>
      </c>
      <c r="C1556" s="1" t="s">
        <v>1528</v>
      </c>
      <c r="D1556" s="1">
        <v>304</v>
      </c>
      <c r="E1556" s="1">
        <v>52</v>
      </c>
      <c r="F1556" s="1">
        <v>0.94</v>
      </c>
      <c r="G1556" s="1">
        <v>20260323</v>
      </c>
      <c r="H1556" t="b">
        <f t="shared" si="25"/>
        <v>1</v>
      </c>
      <c r="I1556" t="str" cm="1">
        <f t="array" ref="I1556">GET_TICKER_FINAL(C1556)</f>
        <v>NVO</v>
      </c>
      <c r="J1556" s="5" t="s">
        <v>25</v>
      </c>
    </row>
    <row r="1557" spans="1:10">
      <c r="A1557">
        <v>1556</v>
      </c>
      <c r="B1557" s="1" t="s">
        <v>1376</v>
      </c>
      <c r="C1557" s="1" t="s">
        <v>1529</v>
      </c>
      <c r="D1557" s="1">
        <v>299</v>
      </c>
      <c r="E1557" s="1">
        <v>21794</v>
      </c>
      <c r="F1557" s="1">
        <v>0.93</v>
      </c>
      <c r="G1557" s="1">
        <v>20260331</v>
      </c>
      <c r="H1557" t="b">
        <f t="shared" si="25"/>
        <v>0</v>
      </c>
      <c r="I1557" t="str" cm="1">
        <f t="array" ref="I1557">GET_TICKER_FINAL(C1557)</f>
        <v/>
      </c>
      <c r="J1557" s="5" t="s">
        <v>1792</v>
      </c>
    </row>
    <row r="1558" spans="1:10">
      <c r="A1558">
        <v>1557</v>
      </c>
      <c r="B1558" s="1" t="s">
        <v>1376</v>
      </c>
      <c r="C1558" s="1" t="s">
        <v>1530</v>
      </c>
      <c r="D1558" s="1">
        <v>295</v>
      </c>
      <c r="E1558" s="1">
        <v>93</v>
      </c>
      <c r="F1558" s="1">
        <v>0.9</v>
      </c>
      <c r="G1558" s="1">
        <v>20260331</v>
      </c>
      <c r="H1558" t="b">
        <f t="shared" si="25"/>
        <v>0</v>
      </c>
      <c r="I1558" t="str" cm="1">
        <f t="array" ref="I1558">GET_TICKER_FINAL(C1558)</f>
        <v/>
      </c>
      <c r="J1558" s="5" t="s">
        <v>25</v>
      </c>
    </row>
    <row r="1559" spans="1:10">
      <c r="A1559">
        <v>1558</v>
      </c>
      <c r="B1559" s="1" t="s">
        <v>1376</v>
      </c>
      <c r="C1559" s="1" t="s">
        <v>1531</v>
      </c>
      <c r="D1559" s="1">
        <v>287</v>
      </c>
      <c r="E1559" s="1">
        <v>79</v>
      </c>
      <c r="F1559" s="1">
        <v>0.96</v>
      </c>
      <c r="G1559" s="1">
        <v>20260402</v>
      </c>
      <c r="H1559" t="b">
        <f t="shared" si="25"/>
        <v>0</v>
      </c>
      <c r="I1559" t="str" cm="1">
        <f t="array" ref="I1559">GET_TICKER_FINAL(C1559)</f>
        <v/>
      </c>
      <c r="J1559" s="5" t="s">
        <v>16</v>
      </c>
    </row>
    <row r="1560" spans="1:10">
      <c r="A1560">
        <v>1559</v>
      </c>
      <c r="B1560" s="1" t="s">
        <v>1376</v>
      </c>
      <c r="C1560" s="1" t="s">
        <v>1532</v>
      </c>
      <c r="D1560" s="1">
        <v>284</v>
      </c>
      <c r="E1560" s="1">
        <v>176</v>
      </c>
      <c r="F1560" s="1">
        <v>0.9</v>
      </c>
      <c r="G1560" s="1">
        <v>20260401</v>
      </c>
      <c r="H1560" t="b">
        <f t="shared" si="25"/>
        <v>0</v>
      </c>
      <c r="I1560" t="str" cm="1">
        <f t="array" ref="I1560">GET_TICKER_FINAL(C1560)</f>
        <v/>
      </c>
      <c r="J1560" s="5" t="s">
        <v>16</v>
      </c>
    </row>
    <row r="1561" spans="1:10">
      <c r="A1561">
        <v>1560</v>
      </c>
      <c r="B1561" s="1" t="s">
        <v>1376</v>
      </c>
      <c r="C1561" s="1" t="s">
        <v>1533</v>
      </c>
      <c r="D1561" s="1">
        <v>283</v>
      </c>
      <c r="E1561" s="1">
        <v>13166</v>
      </c>
      <c r="F1561" s="1">
        <v>0.91</v>
      </c>
      <c r="G1561" s="1">
        <v>20260327</v>
      </c>
      <c r="H1561" t="b">
        <f t="shared" si="25"/>
        <v>0</v>
      </c>
      <c r="I1561" t="str" cm="1">
        <f t="array" ref="I1561">GET_TICKER_FINAL(C1561)</f>
        <v/>
      </c>
      <c r="J1561" s="5" t="s">
        <v>1792</v>
      </c>
    </row>
    <row r="1562" spans="1:10">
      <c r="A1562">
        <v>1561</v>
      </c>
      <c r="B1562" s="1" t="s">
        <v>1376</v>
      </c>
      <c r="C1562" s="1" t="s">
        <v>1534</v>
      </c>
      <c r="D1562" s="1">
        <v>276</v>
      </c>
      <c r="E1562" s="1">
        <v>64</v>
      </c>
      <c r="F1562" s="1">
        <v>0.93</v>
      </c>
      <c r="G1562" s="1">
        <v>20260324</v>
      </c>
      <c r="H1562" t="b">
        <f t="shared" si="25"/>
        <v>1</v>
      </c>
      <c r="I1562" t="str" cm="1">
        <f t="array" ref="I1562">GET_TICKER_FINAL(C1562)</f>
        <v/>
      </c>
      <c r="J1562" s="5" t="s">
        <v>16</v>
      </c>
    </row>
    <row r="1563" spans="1:10">
      <c r="A1563">
        <v>1562</v>
      </c>
      <c r="B1563" s="1" t="s">
        <v>1376</v>
      </c>
      <c r="C1563" s="1" t="s">
        <v>1535</v>
      </c>
      <c r="D1563" s="1">
        <v>275</v>
      </c>
      <c r="E1563" s="1">
        <v>209</v>
      </c>
      <c r="F1563" s="1">
        <v>0.91</v>
      </c>
      <c r="G1563" s="1">
        <v>20260323</v>
      </c>
      <c r="H1563" t="b">
        <f t="shared" si="25"/>
        <v>0</v>
      </c>
      <c r="I1563" t="str" cm="1">
        <f t="array" ref="I1563">GET_TICKER_FINAL(C1563)</f>
        <v/>
      </c>
      <c r="J1563" s="5" t="s">
        <v>1792</v>
      </c>
    </row>
    <row r="1564" spans="1:10">
      <c r="A1564">
        <v>1563</v>
      </c>
      <c r="B1564" s="1" t="s">
        <v>1376</v>
      </c>
      <c r="C1564" s="1" t="s">
        <v>1536</v>
      </c>
      <c r="D1564" s="1">
        <v>274</v>
      </c>
      <c r="E1564" s="1">
        <v>60</v>
      </c>
      <c r="F1564" s="1">
        <v>0.98</v>
      </c>
      <c r="G1564" s="1">
        <v>20260402</v>
      </c>
      <c r="H1564" t="b">
        <f t="shared" si="25"/>
        <v>0</v>
      </c>
      <c r="I1564" t="str" cm="1">
        <f t="array" ref="I1564">GET_TICKER_FINAL(C1564)</f>
        <v/>
      </c>
      <c r="J1564" s="5" t="s">
        <v>16</v>
      </c>
    </row>
    <row r="1565" spans="1:10">
      <c r="A1565">
        <v>1564</v>
      </c>
      <c r="B1565" s="1" t="s">
        <v>1376</v>
      </c>
      <c r="C1565" s="1" t="s">
        <v>1537</v>
      </c>
      <c r="D1565" s="1">
        <v>272</v>
      </c>
      <c r="E1565" s="1">
        <v>99</v>
      </c>
      <c r="F1565" s="1">
        <v>0.92</v>
      </c>
      <c r="G1565" s="1">
        <v>20260331</v>
      </c>
      <c r="H1565" t="b">
        <f t="shared" si="25"/>
        <v>0</v>
      </c>
      <c r="I1565" t="str" cm="1">
        <f t="array" ref="I1565">GET_TICKER_FINAL(C1565)</f>
        <v/>
      </c>
      <c r="J1565" s="5" t="s">
        <v>1792</v>
      </c>
    </row>
    <row r="1566" spans="1:10">
      <c r="A1566">
        <v>1565</v>
      </c>
      <c r="B1566" s="1" t="s">
        <v>1376</v>
      </c>
      <c r="C1566" s="1" t="s">
        <v>1538</v>
      </c>
      <c r="D1566" s="1">
        <v>269</v>
      </c>
      <c r="E1566" s="1">
        <v>13067</v>
      </c>
      <c r="F1566" s="1">
        <v>0.92</v>
      </c>
      <c r="G1566" s="1">
        <v>20260323</v>
      </c>
      <c r="H1566" t="b">
        <f t="shared" si="25"/>
        <v>0</v>
      </c>
      <c r="I1566" t="str" cm="1">
        <f t="array" ref="I1566">GET_TICKER_FINAL(C1566)</f>
        <v/>
      </c>
      <c r="J1566" s="5" t="s">
        <v>1792</v>
      </c>
    </row>
    <row r="1567" spans="1:10">
      <c r="A1567">
        <v>1566</v>
      </c>
      <c r="B1567" s="1" t="s">
        <v>1376</v>
      </c>
      <c r="C1567" s="1" t="s">
        <v>1539</v>
      </c>
      <c r="D1567" s="1">
        <v>266</v>
      </c>
      <c r="E1567" s="1">
        <v>24854</v>
      </c>
      <c r="F1567" s="1">
        <v>0.92</v>
      </c>
      <c r="G1567" s="1">
        <v>20260331</v>
      </c>
      <c r="H1567" t="b">
        <f t="shared" si="25"/>
        <v>0</v>
      </c>
      <c r="I1567" t="str" cm="1">
        <f t="array" ref="I1567">GET_TICKER_FINAL(C1567)</f>
        <v/>
      </c>
      <c r="J1567" s="5" t="s">
        <v>1792</v>
      </c>
    </row>
    <row r="1568" spans="1:10">
      <c r="A1568">
        <v>1567</v>
      </c>
      <c r="B1568" s="1" t="s">
        <v>1376</v>
      </c>
      <c r="C1568" s="1" t="s">
        <v>821</v>
      </c>
      <c r="D1568" s="1">
        <v>265</v>
      </c>
      <c r="E1568" s="1">
        <v>134</v>
      </c>
      <c r="F1568" s="1">
        <v>0.96</v>
      </c>
      <c r="G1568" s="1">
        <v>20260323</v>
      </c>
      <c r="H1568" t="b">
        <f t="shared" si="25"/>
        <v>0</v>
      </c>
      <c r="I1568" t="str" cm="1">
        <f t="array" ref="I1568">GET_TICKER_FINAL(C1568)</f>
        <v>BABA</v>
      </c>
      <c r="J1568" s="5" t="s">
        <v>28</v>
      </c>
    </row>
    <row r="1569" spans="1:10">
      <c r="A1569">
        <v>1568</v>
      </c>
      <c r="B1569" s="1" t="s">
        <v>1376</v>
      </c>
      <c r="C1569" s="1" t="s">
        <v>1540</v>
      </c>
      <c r="D1569" s="1">
        <v>259</v>
      </c>
      <c r="E1569" s="1">
        <v>50</v>
      </c>
      <c r="F1569" s="1">
        <v>0.97</v>
      </c>
      <c r="G1569" s="1">
        <v>20260402</v>
      </c>
      <c r="H1569" t="b">
        <f t="shared" si="25"/>
        <v>0</v>
      </c>
      <c r="I1569" t="str" cm="1">
        <f t="array" ref="I1569">GET_TICKER_FINAL(C1569)</f>
        <v/>
      </c>
      <c r="J1569" s="5" t="s">
        <v>14</v>
      </c>
    </row>
    <row r="1570" spans="1:10">
      <c r="A1570">
        <v>1569</v>
      </c>
      <c r="B1570" s="1" t="s">
        <v>1376</v>
      </c>
      <c r="C1570" s="1" t="s">
        <v>1541</v>
      </c>
      <c r="D1570" s="1">
        <v>257</v>
      </c>
      <c r="E1570" s="1">
        <v>127</v>
      </c>
      <c r="F1570" s="1">
        <v>0.95</v>
      </c>
      <c r="G1570" s="1">
        <v>20260323</v>
      </c>
      <c r="H1570" t="b">
        <f t="shared" si="25"/>
        <v>0</v>
      </c>
      <c r="I1570" t="str" cm="1">
        <f t="array" ref="I1570">GET_TICKER_FINAL(C1570)</f>
        <v/>
      </c>
      <c r="J1570" s="5" t="s">
        <v>1792</v>
      </c>
    </row>
    <row r="1571" spans="1:10">
      <c r="A1571">
        <v>1570</v>
      </c>
      <c r="B1571" s="1" t="s">
        <v>1376</v>
      </c>
      <c r="C1571" s="1" t="s">
        <v>1542</v>
      </c>
      <c r="D1571" s="1">
        <v>255</v>
      </c>
      <c r="E1571" s="1">
        <v>22</v>
      </c>
      <c r="F1571" s="1">
        <v>0.99</v>
      </c>
      <c r="G1571" s="1">
        <v>20260323</v>
      </c>
      <c r="H1571" t="b">
        <f t="shared" si="25"/>
        <v>0</v>
      </c>
      <c r="I1571" t="str" cm="1">
        <f t="array" ref="I1571">GET_TICKER_FINAL(C1571)</f>
        <v/>
      </c>
      <c r="J1571" s="5" t="s">
        <v>1792</v>
      </c>
    </row>
    <row r="1572" spans="1:10">
      <c r="A1572">
        <v>1571</v>
      </c>
      <c r="B1572" s="1" t="s">
        <v>1376</v>
      </c>
      <c r="C1572" s="1" t="s">
        <v>1543</v>
      </c>
      <c r="D1572" s="1">
        <v>254</v>
      </c>
      <c r="E1572" s="1">
        <v>15094</v>
      </c>
      <c r="F1572" s="1">
        <v>0.94</v>
      </c>
      <c r="G1572" s="1">
        <v>20260402</v>
      </c>
      <c r="H1572" t="b">
        <f t="shared" si="25"/>
        <v>0</v>
      </c>
      <c r="I1572" t="str" cm="1">
        <f t="array" ref="I1572">GET_TICKER_FINAL(C1572)</f>
        <v/>
      </c>
      <c r="J1572" s="5" t="s">
        <v>1792</v>
      </c>
    </row>
    <row r="1573" spans="1:10">
      <c r="A1573">
        <v>1572</v>
      </c>
      <c r="B1573" s="1" t="s">
        <v>1376</v>
      </c>
      <c r="C1573" s="1" t="s">
        <v>1544</v>
      </c>
      <c r="D1573" s="1">
        <v>253</v>
      </c>
      <c r="E1573" s="1">
        <v>15328</v>
      </c>
      <c r="F1573" s="1">
        <v>0.91</v>
      </c>
      <c r="G1573" s="1">
        <v>20260401</v>
      </c>
      <c r="H1573" t="b">
        <f t="shared" si="25"/>
        <v>0</v>
      </c>
      <c r="I1573" t="str" cm="1">
        <f t="array" ref="I1573">GET_TICKER_FINAL(C1573)</f>
        <v/>
      </c>
      <c r="J1573" s="5" t="s">
        <v>1792</v>
      </c>
    </row>
    <row r="1574" spans="1:10">
      <c r="A1574">
        <v>1573</v>
      </c>
      <c r="B1574" s="1" t="s">
        <v>1376</v>
      </c>
      <c r="C1574" s="1" t="s">
        <v>1545</v>
      </c>
      <c r="D1574" s="1">
        <v>252</v>
      </c>
      <c r="E1574" s="1">
        <v>50</v>
      </c>
      <c r="F1574" s="1">
        <v>0.86</v>
      </c>
      <c r="G1574" s="1">
        <v>20260320</v>
      </c>
      <c r="H1574" t="b">
        <f t="shared" si="25"/>
        <v>0</v>
      </c>
      <c r="I1574" t="str" cm="1">
        <f t="array" ref="I1574">GET_TICKER_FINAL(C1574)</f>
        <v/>
      </c>
      <c r="J1574" s="5" t="s">
        <v>16</v>
      </c>
    </row>
    <row r="1575" spans="1:10">
      <c r="A1575">
        <v>1574</v>
      </c>
      <c r="B1575" s="1" t="s">
        <v>1376</v>
      </c>
      <c r="C1575" s="1" t="s">
        <v>1546</v>
      </c>
      <c r="D1575" s="1">
        <v>251</v>
      </c>
      <c r="E1575" s="1">
        <v>10160</v>
      </c>
      <c r="F1575" s="1">
        <v>0.91</v>
      </c>
      <c r="G1575" s="1">
        <v>20260326</v>
      </c>
      <c r="H1575" t="b">
        <f t="shared" si="25"/>
        <v>0</v>
      </c>
      <c r="I1575" t="str" cm="1">
        <f t="array" ref="I1575">GET_TICKER_FINAL(C1575)</f>
        <v/>
      </c>
      <c r="J1575" s="5" t="s">
        <v>1792</v>
      </c>
    </row>
    <row r="1576" spans="1:10">
      <c r="A1576">
        <v>1575</v>
      </c>
      <c r="B1576" s="1" t="s">
        <v>1376</v>
      </c>
      <c r="C1576" s="1" t="s">
        <v>1547</v>
      </c>
      <c r="D1576" s="1">
        <v>250</v>
      </c>
      <c r="E1576" s="1">
        <v>11925</v>
      </c>
      <c r="F1576" s="1">
        <v>0.91</v>
      </c>
      <c r="G1576" s="1">
        <v>20260327</v>
      </c>
      <c r="H1576" t="b">
        <f t="shared" si="25"/>
        <v>0</v>
      </c>
      <c r="I1576" t="str" cm="1">
        <f t="array" ref="I1576">GET_TICKER_FINAL(C1576)</f>
        <v/>
      </c>
      <c r="J1576" s="5" t="s">
        <v>1792</v>
      </c>
    </row>
    <row r="1577" spans="1:10">
      <c r="A1577">
        <v>1576</v>
      </c>
      <c r="B1577" s="1" t="s">
        <v>1376</v>
      </c>
      <c r="C1577" s="1" t="s">
        <v>1548</v>
      </c>
      <c r="D1577" s="1">
        <v>247</v>
      </c>
      <c r="E1577" s="1">
        <v>179</v>
      </c>
      <c r="F1577" s="1">
        <v>0.95</v>
      </c>
      <c r="G1577" s="1">
        <v>20260402</v>
      </c>
      <c r="H1577" t="b">
        <f t="shared" si="25"/>
        <v>0</v>
      </c>
      <c r="I1577" t="str" cm="1">
        <f t="array" ref="I1577">GET_TICKER_FINAL(C1577)</f>
        <v/>
      </c>
      <c r="J1577" s="5" t="s">
        <v>16</v>
      </c>
    </row>
    <row r="1578" spans="1:10">
      <c r="A1578">
        <v>1577</v>
      </c>
      <c r="B1578" s="1" t="s">
        <v>1376</v>
      </c>
      <c r="C1578" s="1" t="s">
        <v>1549</v>
      </c>
      <c r="D1578" s="1">
        <v>247</v>
      </c>
      <c r="E1578" s="1">
        <v>69</v>
      </c>
      <c r="F1578" s="1">
        <v>0.88</v>
      </c>
      <c r="G1578" s="1">
        <v>20260327</v>
      </c>
      <c r="H1578" t="b">
        <f t="shared" si="25"/>
        <v>0</v>
      </c>
      <c r="I1578" t="str" cm="1">
        <f t="array" ref="I1578">GET_TICKER_FINAL(C1578)</f>
        <v/>
      </c>
      <c r="J1578" s="5" t="s">
        <v>1792</v>
      </c>
    </row>
    <row r="1579" spans="1:10">
      <c r="A1579">
        <v>1578</v>
      </c>
      <c r="B1579" s="1" t="s">
        <v>1376</v>
      </c>
      <c r="C1579" s="1" t="s">
        <v>1550</v>
      </c>
      <c r="D1579" s="1">
        <v>246</v>
      </c>
      <c r="E1579" s="1">
        <v>11274</v>
      </c>
      <c r="F1579" s="1">
        <v>0.91</v>
      </c>
      <c r="G1579" s="1">
        <v>20260402</v>
      </c>
      <c r="H1579" t="b">
        <f t="shared" si="25"/>
        <v>0</v>
      </c>
      <c r="I1579" t="str" cm="1">
        <f t="array" ref="I1579">GET_TICKER_FINAL(C1579)</f>
        <v/>
      </c>
      <c r="J1579" s="5" t="s">
        <v>1792</v>
      </c>
    </row>
    <row r="1580" spans="1:10">
      <c r="A1580">
        <v>1579</v>
      </c>
      <c r="B1580" s="1" t="s">
        <v>1376</v>
      </c>
      <c r="C1580" s="1" t="s">
        <v>1551</v>
      </c>
      <c r="D1580" s="1">
        <v>240</v>
      </c>
      <c r="E1580" s="1">
        <v>16360</v>
      </c>
      <c r="F1580" s="1">
        <v>0.92</v>
      </c>
      <c r="G1580" s="1">
        <v>20260324</v>
      </c>
      <c r="H1580" t="b">
        <f t="shared" si="25"/>
        <v>0</v>
      </c>
      <c r="I1580" t="str" cm="1">
        <f t="array" ref="I1580">GET_TICKER_FINAL(C1580)</f>
        <v/>
      </c>
      <c r="J1580" s="5" t="s">
        <v>1792</v>
      </c>
    </row>
    <row r="1581" spans="1:10">
      <c r="A1581">
        <v>1580</v>
      </c>
      <c r="B1581" s="1" t="s">
        <v>1376</v>
      </c>
      <c r="C1581" s="1" t="s">
        <v>1552</v>
      </c>
      <c r="D1581" s="1">
        <v>240</v>
      </c>
      <c r="E1581" s="1">
        <v>59</v>
      </c>
      <c r="F1581" s="1">
        <v>0.87</v>
      </c>
      <c r="G1581" s="1">
        <v>20260327</v>
      </c>
      <c r="H1581" t="b">
        <f t="shared" si="25"/>
        <v>0</v>
      </c>
      <c r="I1581" t="str" cm="1">
        <f t="array" ref="I1581">GET_TICKER_FINAL(C1581)</f>
        <v>SPY</v>
      </c>
      <c r="J1581" s="5" t="s">
        <v>16</v>
      </c>
    </row>
    <row r="1582" spans="1:10">
      <c r="A1582">
        <v>1581</v>
      </c>
      <c r="B1582" s="1" t="s">
        <v>1376</v>
      </c>
      <c r="C1582" s="1" t="s">
        <v>1553</v>
      </c>
      <c r="D1582" s="1">
        <v>239</v>
      </c>
      <c r="E1582" s="1">
        <v>35</v>
      </c>
      <c r="F1582" s="1">
        <v>0.96</v>
      </c>
      <c r="G1582" s="1">
        <v>20260402</v>
      </c>
      <c r="H1582" t="b">
        <f t="shared" si="25"/>
        <v>0</v>
      </c>
      <c r="I1582" t="str" cm="1">
        <f t="array" ref="I1582">GET_TICKER_FINAL(C1582)</f>
        <v>AMZN</v>
      </c>
      <c r="J1582" s="5" t="s">
        <v>25</v>
      </c>
    </row>
    <row r="1583" spans="1:10">
      <c r="A1583">
        <v>1582</v>
      </c>
      <c r="B1583" s="1" t="s">
        <v>1376</v>
      </c>
      <c r="C1583" s="1" t="s">
        <v>1554</v>
      </c>
      <c r="D1583" s="1">
        <v>237</v>
      </c>
      <c r="E1583" s="1">
        <v>18703</v>
      </c>
      <c r="F1583" s="1">
        <v>0.88</v>
      </c>
      <c r="G1583" s="1">
        <v>20260402</v>
      </c>
      <c r="H1583" t="b">
        <f t="shared" si="25"/>
        <v>0</v>
      </c>
      <c r="I1583" t="str" cm="1">
        <f t="array" ref="I1583">GET_TICKER_FINAL(C1583)</f>
        <v/>
      </c>
      <c r="J1583" s="5" t="s">
        <v>1792</v>
      </c>
    </row>
    <row r="1584" spans="1:10">
      <c r="A1584">
        <v>1583</v>
      </c>
      <c r="B1584" s="1" t="s">
        <v>1376</v>
      </c>
      <c r="C1584" s="1" t="s">
        <v>1555</v>
      </c>
      <c r="D1584" s="1">
        <v>236</v>
      </c>
      <c r="E1584" s="1">
        <v>19738</v>
      </c>
      <c r="F1584" s="1">
        <v>0.92</v>
      </c>
      <c r="G1584" s="1">
        <v>20260324</v>
      </c>
      <c r="H1584" t="b">
        <f t="shared" si="25"/>
        <v>0</v>
      </c>
      <c r="I1584" t="str" cm="1">
        <f t="array" ref="I1584">GET_TICKER_FINAL(C1584)</f>
        <v/>
      </c>
      <c r="J1584" s="5" t="s">
        <v>1792</v>
      </c>
    </row>
    <row r="1585" spans="1:10">
      <c r="A1585">
        <v>1584</v>
      </c>
      <c r="B1585" s="1" t="s">
        <v>1376</v>
      </c>
      <c r="C1585" s="1" t="s">
        <v>1556</v>
      </c>
      <c r="D1585" s="1">
        <v>236</v>
      </c>
      <c r="E1585" s="1">
        <v>19426</v>
      </c>
      <c r="F1585" s="1">
        <v>0.9</v>
      </c>
      <c r="G1585" s="1">
        <v>20260330</v>
      </c>
      <c r="H1585" t="b">
        <f t="shared" si="25"/>
        <v>0</v>
      </c>
      <c r="I1585" t="str" cm="1">
        <f t="array" ref="I1585">GET_TICKER_FINAL(C1585)</f>
        <v/>
      </c>
      <c r="J1585" s="5" t="s">
        <v>1792</v>
      </c>
    </row>
    <row r="1586" spans="1:10">
      <c r="A1586">
        <v>1585</v>
      </c>
      <c r="B1586" s="1" t="s">
        <v>1376</v>
      </c>
      <c r="C1586" s="1" t="s">
        <v>1557</v>
      </c>
      <c r="D1586" s="1">
        <v>234</v>
      </c>
      <c r="E1586" s="1">
        <v>14141</v>
      </c>
      <c r="F1586" s="1">
        <v>0.9</v>
      </c>
      <c r="G1586" s="1">
        <v>20260324</v>
      </c>
      <c r="H1586" t="b">
        <f t="shared" si="25"/>
        <v>0</v>
      </c>
      <c r="I1586" t="str" cm="1">
        <f t="array" ref="I1586">GET_TICKER_FINAL(C1586)</f>
        <v/>
      </c>
      <c r="J1586" s="5" t="s">
        <v>1792</v>
      </c>
    </row>
    <row r="1587" spans="1:10">
      <c r="A1587">
        <v>1586</v>
      </c>
      <c r="B1587" s="1" t="s">
        <v>1376</v>
      </c>
      <c r="C1587" s="1" t="s">
        <v>1558</v>
      </c>
      <c r="D1587" s="1">
        <v>232</v>
      </c>
      <c r="E1587" s="1">
        <v>58</v>
      </c>
      <c r="F1587" s="1">
        <v>0.8</v>
      </c>
      <c r="G1587" s="1">
        <v>20260326</v>
      </c>
      <c r="H1587" t="b">
        <f t="shared" si="25"/>
        <v>0</v>
      </c>
      <c r="I1587" t="str" cm="1">
        <f t="array" ref="I1587">GET_TICKER_FINAL(C1587)</f>
        <v/>
      </c>
      <c r="J1587" s="5" t="s">
        <v>25</v>
      </c>
    </row>
    <row r="1588" spans="1:10">
      <c r="A1588">
        <v>1587</v>
      </c>
      <c r="B1588" s="1" t="s">
        <v>1376</v>
      </c>
      <c r="C1588" s="1" t="s">
        <v>1559</v>
      </c>
      <c r="D1588" s="1">
        <v>232</v>
      </c>
      <c r="E1588" s="1">
        <v>14072</v>
      </c>
      <c r="F1588" s="1">
        <v>0.93</v>
      </c>
      <c r="G1588" s="1">
        <v>20260327</v>
      </c>
      <c r="H1588" t="b">
        <f t="shared" si="25"/>
        <v>0</v>
      </c>
      <c r="I1588" t="str" cm="1">
        <f t="array" ref="I1588">GET_TICKER_FINAL(C1588)</f>
        <v/>
      </c>
      <c r="J1588" s="5" t="s">
        <v>1792</v>
      </c>
    </row>
    <row r="1589" spans="1:10">
      <c r="A1589">
        <v>1588</v>
      </c>
      <c r="B1589" s="1" t="s">
        <v>1376</v>
      </c>
      <c r="C1589" s="1" t="s">
        <v>1560</v>
      </c>
      <c r="D1589" s="1">
        <v>232</v>
      </c>
      <c r="E1589" s="1">
        <v>70</v>
      </c>
      <c r="F1589" s="1">
        <v>0.95</v>
      </c>
      <c r="G1589" s="1">
        <v>20260323</v>
      </c>
      <c r="H1589" t="b">
        <f t="shared" si="25"/>
        <v>0</v>
      </c>
      <c r="I1589" t="str" cm="1">
        <f t="array" ref="I1589">GET_TICKER_FINAL(C1589)</f>
        <v>SPY</v>
      </c>
      <c r="J1589" s="5" t="s">
        <v>16</v>
      </c>
    </row>
    <row r="1590" spans="1:10">
      <c r="A1590">
        <v>1589</v>
      </c>
      <c r="B1590" s="1" t="s">
        <v>1376</v>
      </c>
      <c r="C1590" s="1" t="s">
        <v>1561</v>
      </c>
      <c r="D1590" s="1">
        <v>230</v>
      </c>
      <c r="E1590" s="1">
        <v>36</v>
      </c>
      <c r="F1590" s="1">
        <v>0.97</v>
      </c>
      <c r="G1590" s="1">
        <v>20260402</v>
      </c>
      <c r="H1590" t="b">
        <f t="shared" si="25"/>
        <v>0</v>
      </c>
      <c r="I1590" t="str" cm="1">
        <f t="array" ref="I1590">GET_TICKER_FINAL(C1590)</f>
        <v/>
      </c>
      <c r="J1590" s="5" t="s">
        <v>1792</v>
      </c>
    </row>
    <row r="1591" spans="1:10">
      <c r="A1591">
        <v>1590</v>
      </c>
      <c r="B1591" s="1" t="s">
        <v>1376</v>
      </c>
      <c r="C1591" s="1" t="s">
        <v>858</v>
      </c>
      <c r="D1591" s="1">
        <v>229</v>
      </c>
      <c r="E1591" s="1">
        <v>118</v>
      </c>
      <c r="F1591" s="1">
        <v>0.94</v>
      </c>
      <c r="G1591" s="1">
        <v>20260402</v>
      </c>
      <c r="H1591" t="b">
        <f t="shared" si="25"/>
        <v>0</v>
      </c>
      <c r="I1591" t="str" cm="1">
        <f t="array" ref="I1591">GET_TICKER_FINAL(C1591)</f>
        <v/>
      </c>
      <c r="J1591" s="5" t="s">
        <v>25</v>
      </c>
    </row>
    <row r="1592" spans="1:10">
      <c r="A1592">
        <v>1591</v>
      </c>
      <c r="B1592" s="1" t="s">
        <v>1376</v>
      </c>
      <c r="C1592" s="1" t="s">
        <v>1562</v>
      </c>
      <c r="D1592" s="1">
        <v>226</v>
      </c>
      <c r="E1592" s="1">
        <v>24</v>
      </c>
      <c r="F1592" s="1">
        <v>0.95</v>
      </c>
      <c r="G1592" s="1">
        <v>20260402</v>
      </c>
      <c r="H1592" t="b">
        <f t="shared" si="25"/>
        <v>0</v>
      </c>
      <c r="I1592" t="str" cm="1">
        <f t="array" ref="I1592">GET_TICKER_FINAL(C1592)</f>
        <v/>
      </c>
      <c r="J1592" s="5" t="s">
        <v>25</v>
      </c>
    </row>
    <row r="1593" spans="1:10">
      <c r="A1593">
        <v>1592</v>
      </c>
      <c r="B1593" s="1" t="s">
        <v>1376</v>
      </c>
      <c r="C1593" s="1" t="s">
        <v>1563</v>
      </c>
      <c r="D1593" s="1">
        <v>222</v>
      </c>
      <c r="E1593" s="1">
        <v>13958</v>
      </c>
      <c r="F1593" s="1">
        <v>0.92</v>
      </c>
      <c r="G1593" s="1">
        <v>20260320</v>
      </c>
      <c r="H1593" t="b">
        <f t="shared" si="25"/>
        <v>0</v>
      </c>
      <c r="I1593" t="str" cm="1">
        <f t="array" ref="I1593">GET_TICKER_FINAL(C1593)</f>
        <v/>
      </c>
      <c r="J1593" s="5" t="s">
        <v>1792</v>
      </c>
    </row>
    <row r="1594" spans="1:10">
      <c r="A1594">
        <v>1593</v>
      </c>
      <c r="B1594" s="1" t="s">
        <v>1376</v>
      </c>
      <c r="C1594" s="1" t="s">
        <v>1564</v>
      </c>
      <c r="D1594" s="1">
        <v>217</v>
      </c>
      <c r="E1594" s="1">
        <v>50</v>
      </c>
      <c r="F1594" s="1">
        <v>0.92</v>
      </c>
      <c r="G1594" s="1">
        <v>20260320</v>
      </c>
      <c r="H1594" t="b">
        <f t="shared" si="25"/>
        <v>0</v>
      </c>
      <c r="I1594" t="str" cm="1">
        <f t="array" ref="I1594">GET_TICKER_FINAL(C1594)</f>
        <v>SPY</v>
      </c>
      <c r="J1594" s="5" t="s">
        <v>25</v>
      </c>
    </row>
    <row r="1595" spans="1:10">
      <c r="A1595">
        <v>1594</v>
      </c>
      <c r="B1595" s="1" t="s">
        <v>1376</v>
      </c>
      <c r="C1595" s="1" t="s">
        <v>1565</v>
      </c>
      <c r="D1595" s="1">
        <v>217</v>
      </c>
      <c r="E1595" s="1">
        <v>95</v>
      </c>
      <c r="F1595" s="1">
        <v>0.85</v>
      </c>
      <c r="G1595" s="1">
        <v>20260326</v>
      </c>
      <c r="H1595" t="b">
        <f t="shared" si="25"/>
        <v>0</v>
      </c>
      <c r="I1595" t="str" cm="1">
        <f t="array" ref="I1595">GET_TICKER_FINAL(C1595)</f>
        <v/>
      </c>
      <c r="J1595" s="5" t="s">
        <v>1792</v>
      </c>
    </row>
    <row r="1596" spans="1:10">
      <c r="A1596">
        <v>1595</v>
      </c>
      <c r="B1596" s="1" t="s">
        <v>1376</v>
      </c>
      <c r="C1596" s="1" t="s">
        <v>1566</v>
      </c>
      <c r="D1596" s="1">
        <v>217</v>
      </c>
      <c r="E1596" s="1">
        <v>219</v>
      </c>
      <c r="F1596" s="1">
        <v>0.93</v>
      </c>
      <c r="G1596" s="1">
        <v>20260331</v>
      </c>
      <c r="H1596" t="b">
        <f t="shared" si="25"/>
        <v>0</v>
      </c>
      <c r="I1596" t="str" cm="1">
        <f t="array" ref="I1596">GET_TICKER_FINAL(C1596)</f>
        <v/>
      </c>
      <c r="J1596" s="5" t="s">
        <v>1792</v>
      </c>
    </row>
    <row r="1597" spans="1:10">
      <c r="A1597">
        <v>1596</v>
      </c>
      <c r="B1597" s="1" t="s">
        <v>1376</v>
      </c>
      <c r="C1597" s="1" t="s">
        <v>1567</v>
      </c>
      <c r="D1597" s="1">
        <v>216</v>
      </c>
      <c r="E1597" s="1">
        <v>15139</v>
      </c>
      <c r="F1597" s="1">
        <v>0.91</v>
      </c>
      <c r="G1597" s="1">
        <v>20260323</v>
      </c>
      <c r="H1597" t="b">
        <f t="shared" si="25"/>
        <v>0</v>
      </c>
      <c r="I1597" t="str" cm="1">
        <f t="array" ref="I1597">GET_TICKER_FINAL(C1597)</f>
        <v/>
      </c>
      <c r="J1597" s="5" t="s">
        <v>1792</v>
      </c>
    </row>
    <row r="1598" spans="1:10">
      <c r="A1598">
        <v>1597</v>
      </c>
      <c r="B1598" s="1" t="s">
        <v>1376</v>
      </c>
      <c r="C1598" s="1" t="s">
        <v>1568</v>
      </c>
      <c r="D1598" s="1">
        <v>215</v>
      </c>
      <c r="E1598" s="1">
        <v>47</v>
      </c>
      <c r="F1598" s="1">
        <v>0.96</v>
      </c>
      <c r="G1598" s="1">
        <v>20260327</v>
      </c>
      <c r="H1598" t="b">
        <f t="shared" si="25"/>
        <v>0</v>
      </c>
      <c r="I1598" t="str" cm="1">
        <f t="array" ref="I1598">GET_TICKER_FINAL(C1598)</f>
        <v/>
      </c>
      <c r="J1598" s="5" t="s">
        <v>25</v>
      </c>
    </row>
    <row r="1599" spans="1:10">
      <c r="A1599">
        <v>1598</v>
      </c>
      <c r="B1599" s="1" t="s">
        <v>1376</v>
      </c>
      <c r="C1599" s="1" t="s">
        <v>1569</v>
      </c>
      <c r="D1599" s="1">
        <v>214</v>
      </c>
      <c r="E1599" s="1">
        <v>33</v>
      </c>
      <c r="F1599" s="1">
        <v>0.95</v>
      </c>
      <c r="G1599" s="1">
        <v>20260324</v>
      </c>
      <c r="H1599" t="b">
        <f t="shared" si="25"/>
        <v>0</v>
      </c>
      <c r="I1599" t="str" cm="1">
        <f t="array" ref="I1599">GET_TICKER_FINAL(C1599)</f>
        <v/>
      </c>
      <c r="J1599" s="5" t="s">
        <v>1792</v>
      </c>
    </row>
    <row r="1600" spans="1:10">
      <c r="A1600">
        <v>1599</v>
      </c>
      <c r="B1600" s="1" t="s">
        <v>1376</v>
      </c>
      <c r="C1600" s="1" t="s">
        <v>1570</v>
      </c>
      <c r="D1600" s="1">
        <v>211</v>
      </c>
      <c r="E1600" s="1">
        <v>167</v>
      </c>
      <c r="F1600" s="1">
        <v>0.9</v>
      </c>
      <c r="G1600" s="1">
        <v>20260326</v>
      </c>
      <c r="H1600" t="b">
        <f t="shared" si="25"/>
        <v>0</v>
      </c>
      <c r="I1600" t="str" cm="1">
        <f t="array" ref="I1600">GET_TICKER_FINAL(C1600)</f>
        <v/>
      </c>
      <c r="J1600" s="5" t="s">
        <v>16</v>
      </c>
    </row>
    <row r="1601" spans="1:10">
      <c r="A1601">
        <v>1600</v>
      </c>
      <c r="B1601" s="1" t="s">
        <v>1376</v>
      </c>
      <c r="C1601" s="1" t="s">
        <v>1571</v>
      </c>
      <c r="D1601" s="1">
        <v>211</v>
      </c>
      <c r="E1601" s="1">
        <v>146</v>
      </c>
      <c r="F1601" s="1">
        <v>0.9</v>
      </c>
      <c r="G1601" s="1">
        <v>20260323</v>
      </c>
      <c r="H1601" t="b">
        <f t="shared" si="25"/>
        <v>0</v>
      </c>
      <c r="I1601" t="str" cm="1">
        <f t="array" ref="I1601">GET_TICKER_FINAL(C1601)</f>
        <v>SMCI</v>
      </c>
      <c r="J1601" s="5" t="s">
        <v>25</v>
      </c>
    </row>
    <row r="1602" spans="1:10">
      <c r="A1602">
        <v>1601</v>
      </c>
      <c r="B1602" s="1" t="s">
        <v>1376</v>
      </c>
      <c r="C1602" s="1" t="s">
        <v>1572</v>
      </c>
      <c r="D1602" s="1">
        <v>208</v>
      </c>
      <c r="E1602" s="1">
        <v>40</v>
      </c>
      <c r="F1602" s="1">
        <v>0.95</v>
      </c>
      <c r="G1602" s="1">
        <v>20260402</v>
      </c>
      <c r="H1602" t="b">
        <f t="shared" si="25"/>
        <v>0</v>
      </c>
      <c r="I1602" t="str" cm="1">
        <f t="array" ref="I1602">GET_TICKER_FINAL(C1602)</f>
        <v/>
      </c>
      <c r="J1602" s="5" t="s">
        <v>25</v>
      </c>
    </row>
    <row r="1603" spans="1:10">
      <c r="A1603">
        <v>1602</v>
      </c>
      <c r="B1603" s="1" t="s">
        <v>1376</v>
      </c>
      <c r="C1603" s="1" t="s">
        <v>1573</v>
      </c>
      <c r="D1603" s="1">
        <v>207</v>
      </c>
      <c r="E1603" s="1">
        <v>105</v>
      </c>
      <c r="F1603" s="1">
        <v>0.93</v>
      </c>
      <c r="G1603" s="1">
        <v>20260323</v>
      </c>
      <c r="H1603" t="b">
        <f t="shared" ref="H1603:H1666" si="26">OR(ISNUMBER(SEARCH("$A",C1603)),ISNUMBER(SEARCH("$B",C1603)),ISNUMBER(SEARCH("$C",C1603)),ISNUMBER(SEARCH("$D",C1603)),ISNUMBER(SEARCH("$E",C1603)),ISNUMBER(SEARCH("$F",C1603)),ISNUMBER(SEARCH("$G",C1603)),ISNUMBER(SEARCH("$H",C1603)),ISNUMBER(SEARCH("$I",C1603)),ISNUMBER(SEARCH("$J",C1603)),ISNUMBER(SEARCH("$K",C1603)),ISNUMBER(SEARCH("$L",C1603)),ISNUMBER(SEARCH("$M",C1603)),ISNUMBER(SEARCH("$N",C1603)),ISNUMBER(SEARCH("$O",C1603)),ISNUMBER(SEARCH("$P",C1603)),ISNUMBER(SEARCH("$Q",C1603)),ISNUMBER(SEARCH("$R",C1603)),ISNUMBER(SEARCH("$S",C1603)),ISNUMBER(SEARCH("$T",C1603)),ISNUMBER(SEARCH("$U",C1603)),ISNUMBER(SEARCH("$V",C1603)),ISNUMBER(SEARCH("$W",C1603)),ISNUMBER(SEARCH("$X",C1603)),ISNUMBER(SEARCH("$Y",C1603)),ISNUMBER(SEARCH("$Z",C1603)))</f>
        <v>0</v>
      </c>
      <c r="I1603" t="str" cm="1">
        <f t="array" ref="I1603">GET_TICKER_FINAL(C1603)</f>
        <v>MSFT</v>
      </c>
      <c r="J1603" s="5" t="s">
        <v>16</v>
      </c>
    </row>
    <row r="1604" spans="1:10">
      <c r="A1604">
        <v>1603</v>
      </c>
      <c r="B1604" s="1" t="s">
        <v>1376</v>
      </c>
      <c r="C1604" s="1" t="s">
        <v>1574</v>
      </c>
      <c r="D1604" s="1">
        <v>204</v>
      </c>
      <c r="E1604" s="1">
        <v>82</v>
      </c>
      <c r="F1604" s="1">
        <v>0.93</v>
      </c>
      <c r="G1604" s="1">
        <v>20260327</v>
      </c>
      <c r="H1604" t="b">
        <f t="shared" si="26"/>
        <v>0</v>
      </c>
      <c r="I1604" t="str" cm="1">
        <f t="array" ref="I1604">GET_TICKER_FINAL(C1604)</f>
        <v>GOOGL</v>
      </c>
      <c r="J1604" s="5" t="s">
        <v>25</v>
      </c>
    </row>
    <row r="1605" spans="1:10">
      <c r="A1605">
        <v>1604</v>
      </c>
      <c r="B1605" s="1" t="s">
        <v>1376</v>
      </c>
      <c r="C1605" s="1" t="s">
        <v>1575</v>
      </c>
      <c r="D1605" s="1">
        <v>202</v>
      </c>
      <c r="E1605" s="1">
        <v>17942</v>
      </c>
      <c r="F1605" s="1">
        <v>0.89</v>
      </c>
      <c r="G1605" s="1">
        <v>20260324</v>
      </c>
      <c r="H1605" t="b">
        <f t="shared" si="26"/>
        <v>0</v>
      </c>
      <c r="I1605" t="str" cm="1">
        <f t="array" ref="I1605">GET_TICKER_FINAL(C1605)</f>
        <v/>
      </c>
      <c r="J1605" s="5" t="s">
        <v>1792</v>
      </c>
    </row>
    <row r="1606" spans="1:10">
      <c r="A1606">
        <v>1605</v>
      </c>
      <c r="B1606" s="1" t="s">
        <v>1376</v>
      </c>
      <c r="C1606" s="1" t="s">
        <v>1576</v>
      </c>
      <c r="D1606" s="1">
        <v>196</v>
      </c>
      <c r="E1606" s="1">
        <v>79</v>
      </c>
      <c r="F1606" s="1">
        <v>0.85</v>
      </c>
      <c r="G1606" s="1">
        <v>20260402</v>
      </c>
      <c r="H1606" t="b">
        <f t="shared" si="26"/>
        <v>1</v>
      </c>
      <c r="I1606" t="str" cm="1">
        <f t="array" ref="I1606">GET_TICKER_FINAL(C1606)</f>
        <v/>
      </c>
      <c r="J1606" s="5" t="s">
        <v>25</v>
      </c>
    </row>
    <row r="1607" spans="1:10">
      <c r="A1607">
        <v>1606</v>
      </c>
      <c r="B1607" s="1" t="s">
        <v>1376</v>
      </c>
      <c r="C1607" s="1" t="s">
        <v>1577</v>
      </c>
      <c r="D1607" s="1">
        <v>196</v>
      </c>
      <c r="E1607" s="1">
        <v>75</v>
      </c>
      <c r="F1607" s="1">
        <v>0.94</v>
      </c>
      <c r="G1607" s="1">
        <v>20260402</v>
      </c>
      <c r="H1607" t="b">
        <f t="shared" si="26"/>
        <v>0</v>
      </c>
      <c r="I1607" t="str" cm="1">
        <f t="array" ref="I1607">GET_TICKER_FINAL(C1607)</f>
        <v/>
      </c>
      <c r="J1607" s="5" t="s">
        <v>1792</v>
      </c>
    </row>
    <row r="1608" spans="1:10">
      <c r="A1608">
        <v>1607</v>
      </c>
      <c r="B1608" s="1" t="s">
        <v>1376</v>
      </c>
      <c r="C1608" s="1" t="s">
        <v>1578</v>
      </c>
      <c r="D1608" s="1">
        <v>194</v>
      </c>
      <c r="E1608" s="1">
        <v>13639</v>
      </c>
      <c r="F1608" s="1">
        <v>0.92</v>
      </c>
      <c r="G1608" s="1">
        <v>20260331</v>
      </c>
      <c r="H1608" t="b">
        <f t="shared" si="26"/>
        <v>0</v>
      </c>
      <c r="I1608" t="str" cm="1">
        <f t="array" ref="I1608">GET_TICKER_FINAL(C1608)</f>
        <v/>
      </c>
      <c r="J1608" s="5" t="s">
        <v>1792</v>
      </c>
    </row>
    <row r="1609" spans="1:10">
      <c r="A1609">
        <v>1608</v>
      </c>
      <c r="B1609" s="1" t="s">
        <v>1376</v>
      </c>
      <c r="C1609" s="1" t="s">
        <v>1579</v>
      </c>
      <c r="D1609" s="1">
        <v>193</v>
      </c>
      <c r="E1609" s="1">
        <v>9542</v>
      </c>
      <c r="F1609" s="1">
        <v>0.9</v>
      </c>
      <c r="G1609" s="1">
        <v>20260327</v>
      </c>
      <c r="H1609" t="b">
        <f t="shared" si="26"/>
        <v>0</v>
      </c>
      <c r="I1609" t="str" cm="1">
        <f t="array" ref="I1609">GET_TICKER_FINAL(C1609)</f>
        <v/>
      </c>
      <c r="J1609" s="5" t="s">
        <v>1792</v>
      </c>
    </row>
    <row r="1610" spans="1:10">
      <c r="A1610">
        <v>1609</v>
      </c>
      <c r="B1610" s="1" t="s">
        <v>1376</v>
      </c>
      <c r="C1610" s="1" t="s">
        <v>1580</v>
      </c>
      <c r="D1610" s="1">
        <v>192</v>
      </c>
      <c r="E1610" s="1">
        <v>11103</v>
      </c>
      <c r="F1610" s="1">
        <v>0.9</v>
      </c>
      <c r="G1610" s="1">
        <v>20260320</v>
      </c>
      <c r="H1610" t="b">
        <f t="shared" si="26"/>
        <v>0</v>
      </c>
      <c r="I1610" t="str" cm="1">
        <f t="array" ref="I1610">GET_TICKER_FINAL(C1610)</f>
        <v/>
      </c>
      <c r="J1610" s="5" t="s">
        <v>1792</v>
      </c>
    </row>
    <row r="1611" spans="1:10">
      <c r="A1611">
        <v>1610</v>
      </c>
      <c r="B1611" s="1" t="s">
        <v>1376</v>
      </c>
      <c r="C1611" s="1" t="s">
        <v>1581</v>
      </c>
      <c r="D1611" s="1">
        <v>191</v>
      </c>
      <c r="E1611" s="1">
        <v>8729</v>
      </c>
      <c r="F1611" s="1">
        <v>0.92</v>
      </c>
      <c r="G1611" s="1">
        <v>20260402</v>
      </c>
      <c r="H1611" t="b">
        <f t="shared" si="26"/>
        <v>0</v>
      </c>
      <c r="I1611" t="str" cm="1">
        <f t="array" ref="I1611">GET_TICKER_FINAL(C1611)</f>
        <v/>
      </c>
      <c r="J1611" s="5" t="s">
        <v>1792</v>
      </c>
    </row>
    <row r="1612" spans="1:10">
      <c r="A1612">
        <v>1611</v>
      </c>
      <c r="B1612" s="1" t="s">
        <v>1376</v>
      </c>
      <c r="C1612" s="1" t="s">
        <v>1582</v>
      </c>
      <c r="D1612" s="1">
        <v>190</v>
      </c>
      <c r="E1612" s="1">
        <v>32</v>
      </c>
      <c r="F1612" s="1">
        <v>0.92</v>
      </c>
      <c r="G1612" s="1">
        <v>20260327</v>
      </c>
      <c r="H1612" t="b">
        <f t="shared" si="26"/>
        <v>0</v>
      </c>
      <c r="I1612" t="str" cm="1">
        <f t="array" ref="I1612">GET_TICKER_FINAL(C1612)</f>
        <v/>
      </c>
      <c r="J1612" s="5" t="s">
        <v>25</v>
      </c>
    </row>
    <row r="1613" spans="1:10">
      <c r="A1613">
        <v>1612</v>
      </c>
      <c r="B1613" s="1" t="s">
        <v>1376</v>
      </c>
      <c r="C1613" s="1" t="s">
        <v>1583</v>
      </c>
      <c r="D1613" s="1">
        <v>188</v>
      </c>
      <c r="E1613" s="1">
        <v>96</v>
      </c>
      <c r="F1613" s="1">
        <v>0.93</v>
      </c>
      <c r="G1613" s="1">
        <v>20260331</v>
      </c>
      <c r="H1613" t="b">
        <f t="shared" si="26"/>
        <v>0</v>
      </c>
      <c r="I1613" t="str" cm="1">
        <f t="array" ref="I1613">GET_TICKER_FINAL(C1613)</f>
        <v>GOOGL</v>
      </c>
      <c r="J1613" s="5" t="s">
        <v>25</v>
      </c>
    </row>
    <row r="1614" spans="1:10">
      <c r="A1614">
        <v>1613</v>
      </c>
      <c r="B1614" s="1" t="s">
        <v>1376</v>
      </c>
      <c r="C1614" s="1" t="s">
        <v>1584</v>
      </c>
      <c r="D1614" s="1">
        <v>186</v>
      </c>
      <c r="E1614" s="1">
        <v>79</v>
      </c>
      <c r="F1614" s="1">
        <v>0.98</v>
      </c>
      <c r="G1614" s="1">
        <v>20260402</v>
      </c>
      <c r="H1614" t="b">
        <f t="shared" si="26"/>
        <v>0</v>
      </c>
      <c r="I1614" t="str" cm="1">
        <f t="array" ref="I1614">GET_TICKER_FINAL(C1614)</f>
        <v>TSLA</v>
      </c>
      <c r="J1614" s="5" t="s">
        <v>16</v>
      </c>
    </row>
    <row r="1615" spans="1:10">
      <c r="A1615">
        <v>1614</v>
      </c>
      <c r="B1615" s="1" t="s">
        <v>1376</v>
      </c>
      <c r="C1615" s="1" t="s">
        <v>1585</v>
      </c>
      <c r="D1615" s="1">
        <v>185</v>
      </c>
      <c r="E1615" s="1">
        <v>27</v>
      </c>
      <c r="F1615" s="1">
        <v>0.92</v>
      </c>
      <c r="G1615" s="1">
        <v>20260324</v>
      </c>
      <c r="H1615" t="b">
        <f t="shared" si="26"/>
        <v>0</v>
      </c>
      <c r="I1615" t="str" cm="1">
        <f t="array" ref="I1615">GET_TICKER_FINAL(C1615)</f>
        <v>SPY</v>
      </c>
      <c r="J1615" s="5" t="s">
        <v>16</v>
      </c>
    </row>
    <row r="1616" spans="1:10">
      <c r="A1616">
        <v>1615</v>
      </c>
      <c r="B1616" s="1" t="s">
        <v>1376</v>
      </c>
      <c r="C1616" s="1" t="s">
        <v>1586</v>
      </c>
      <c r="D1616" s="1">
        <v>182</v>
      </c>
      <c r="E1616" s="1">
        <v>118</v>
      </c>
      <c r="F1616" s="1">
        <v>0.9</v>
      </c>
      <c r="G1616" s="1">
        <v>20260330</v>
      </c>
      <c r="H1616" t="b">
        <f t="shared" si="26"/>
        <v>0</v>
      </c>
      <c r="I1616" t="str" cm="1">
        <f t="array" ref="I1616">GET_TICKER_FINAL(C1616)</f>
        <v/>
      </c>
      <c r="J1616" s="5" t="s">
        <v>16</v>
      </c>
    </row>
    <row r="1617" spans="1:10">
      <c r="A1617">
        <v>1616</v>
      </c>
      <c r="B1617" s="1" t="s">
        <v>1376</v>
      </c>
      <c r="C1617" s="1" t="s">
        <v>1587</v>
      </c>
      <c r="D1617" s="1">
        <v>181</v>
      </c>
      <c r="E1617" s="1">
        <v>18</v>
      </c>
      <c r="F1617" s="1">
        <v>0.93</v>
      </c>
      <c r="G1617" s="1">
        <v>20260326</v>
      </c>
      <c r="H1617" t="b">
        <f t="shared" si="26"/>
        <v>0</v>
      </c>
      <c r="I1617" t="str" cm="1">
        <f t="array" ref="I1617">GET_TICKER_FINAL(C1617)</f>
        <v/>
      </c>
      <c r="J1617" s="5" t="s">
        <v>25</v>
      </c>
    </row>
    <row r="1618" spans="1:10">
      <c r="A1618">
        <v>1617</v>
      </c>
      <c r="B1618" s="1" t="s">
        <v>1376</v>
      </c>
      <c r="C1618" s="1" t="s">
        <v>1588</v>
      </c>
      <c r="D1618" s="1">
        <v>178</v>
      </c>
      <c r="E1618" s="1">
        <v>101</v>
      </c>
      <c r="F1618" s="1">
        <v>0.92</v>
      </c>
      <c r="G1618" s="1">
        <v>20260323</v>
      </c>
      <c r="H1618" t="b">
        <f t="shared" si="26"/>
        <v>0</v>
      </c>
      <c r="I1618" t="str" cm="1">
        <f t="array" ref="I1618">GET_TICKER_FINAL(C1618)</f>
        <v/>
      </c>
      <c r="J1618" s="5" t="s">
        <v>1792</v>
      </c>
    </row>
    <row r="1619" spans="1:10">
      <c r="A1619">
        <v>1618</v>
      </c>
      <c r="B1619" s="1" t="s">
        <v>1376</v>
      </c>
      <c r="C1619" s="1" t="s">
        <v>1589</v>
      </c>
      <c r="D1619" s="1">
        <v>177</v>
      </c>
      <c r="E1619" s="1">
        <v>32</v>
      </c>
      <c r="F1619" s="1">
        <v>0.96</v>
      </c>
      <c r="G1619" s="1">
        <v>20260402</v>
      </c>
      <c r="H1619" t="b">
        <f t="shared" si="26"/>
        <v>0</v>
      </c>
      <c r="I1619" t="str" cm="1">
        <f t="array" ref="I1619">GET_TICKER_FINAL(C1619)</f>
        <v/>
      </c>
      <c r="J1619" s="5" t="s">
        <v>28</v>
      </c>
    </row>
    <row r="1620" spans="1:10">
      <c r="A1620">
        <v>1619</v>
      </c>
      <c r="B1620" s="1" t="s">
        <v>1376</v>
      </c>
      <c r="C1620" s="1" t="s">
        <v>1590</v>
      </c>
      <c r="D1620" s="1">
        <v>169</v>
      </c>
      <c r="E1620" s="1">
        <v>84</v>
      </c>
      <c r="F1620" s="1">
        <v>0.78</v>
      </c>
      <c r="G1620" s="1">
        <v>20260326</v>
      </c>
      <c r="H1620" t="b">
        <f t="shared" si="26"/>
        <v>0</v>
      </c>
      <c r="I1620" t="str" cm="1">
        <f t="array" ref="I1620">GET_TICKER_FINAL(C1620)</f>
        <v/>
      </c>
      <c r="J1620" s="5" t="s">
        <v>25</v>
      </c>
    </row>
    <row r="1621" spans="1:10">
      <c r="A1621">
        <v>1620</v>
      </c>
      <c r="B1621" s="1" t="s">
        <v>1376</v>
      </c>
      <c r="C1621" s="1" t="s">
        <v>1591</v>
      </c>
      <c r="D1621" s="1">
        <v>166</v>
      </c>
      <c r="E1621" s="1">
        <v>111</v>
      </c>
      <c r="F1621" s="1">
        <v>0.9</v>
      </c>
      <c r="G1621" s="1">
        <v>20260324</v>
      </c>
      <c r="H1621" t="b">
        <f t="shared" si="26"/>
        <v>0</v>
      </c>
      <c r="I1621" t="str" cm="1">
        <f t="array" ref="I1621">GET_TICKER_FINAL(C1621)</f>
        <v>MSFT</v>
      </c>
      <c r="J1621" s="5" t="s">
        <v>25</v>
      </c>
    </row>
    <row r="1622" spans="1:10">
      <c r="A1622">
        <v>1621</v>
      </c>
      <c r="B1622" s="1" t="s">
        <v>1376</v>
      </c>
      <c r="C1622" s="1" t="s">
        <v>1592</v>
      </c>
      <c r="D1622" s="1">
        <v>163</v>
      </c>
      <c r="E1622" s="1">
        <v>103</v>
      </c>
      <c r="F1622" s="1">
        <v>0.92</v>
      </c>
      <c r="G1622" s="1">
        <v>20260402</v>
      </c>
      <c r="H1622" t="b">
        <f t="shared" si="26"/>
        <v>0</v>
      </c>
      <c r="I1622" t="str" cm="1">
        <f t="array" ref="I1622">GET_TICKER_FINAL(C1622)</f>
        <v>MSFT</v>
      </c>
      <c r="J1622" s="5" t="s">
        <v>25</v>
      </c>
    </row>
    <row r="1623" spans="1:10">
      <c r="A1623">
        <v>1622</v>
      </c>
      <c r="B1623" s="1" t="s">
        <v>1376</v>
      </c>
      <c r="C1623" s="1" t="s">
        <v>1593</v>
      </c>
      <c r="D1623" s="1">
        <v>162</v>
      </c>
      <c r="E1623" s="1">
        <v>32</v>
      </c>
      <c r="F1623" s="1">
        <v>0.91</v>
      </c>
      <c r="G1623" s="1">
        <v>20260330</v>
      </c>
      <c r="H1623" t="b">
        <f t="shared" si="26"/>
        <v>0</v>
      </c>
      <c r="I1623" t="str" cm="1">
        <f t="array" ref="I1623">GET_TICKER_FINAL(C1623)</f>
        <v/>
      </c>
      <c r="J1623" s="5" t="s">
        <v>1792</v>
      </c>
    </row>
    <row r="1624" spans="1:10">
      <c r="A1624">
        <v>1623</v>
      </c>
      <c r="B1624" s="1" t="s">
        <v>1376</v>
      </c>
      <c r="C1624" s="1" t="s">
        <v>1594</v>
      </c>
      <c r="D1624" s="1">
        <v>151</v>
      </c>
      <c r="E1624" s="1">
        <v>45</v>
      </c>
      <c r="F1624" s="1">
        <v>0.96</v>
      </c>
      <c r="G1624" s="1">
        <v>20260320</v>
      </c>
      <c r="H1624" t="b">
        <f t="shared" si="26"/>
        <v>0</v>
      </c>
      <c r="I1624" t="str" cm="1">
        <f t="array" ref="I1624">GET_TICKER_FINAL(C1624)</f>
        <v/>
      </c>
      <c r="J1624" s="5" t="s">
        <v>1792</v>
      </c>
    </row>
    <row r="1625" spans="1:10">
      <c r="A1625">
        <v>1624</v>
      </c>
      <c r="B1625" s="1" t="s">
        <v>1376</v>
      </c>
      <c r="C1625" s="1" t="s">
        <v>1595</v>
      </c>
      <c r="D1625" s="1">
        <v>147</v>
      </c>
      <c r="E1625" s="1">
        <v>57</v>
      </c>
      <c r="F1625" s="1">
        <v>0.93</v>
      </c>
      <c r="G1625" s="1">
        <v>20260330</v>
      </c>
      <c r="H1625" t="b">
        <f t="shared" si="26"/>
        <v>0</v>
      </c>
      <c r="I1625" t="str" cm="1">
        <f t="array" ref="I1625">GET_TICKER_FINAL(C1625)</f>
        <v/>
      </c>
      <c r="J1625" s="5" t="s">
        <v>16</v>
      </c>
    </row>
    <row r="1626" spans="1:10">
      <c r="A1626">
        <v>1625</v>
      </c>
      <c r="B1626" s="1" t="s">
        <v>1376</v>
      </c>
      <c r="C1626" s="1" t="s">
        <v>1596</v>
      </c>
      <c r="D1626" s="1">
        <v>146</v>
      </c>
      <c r="E1626" s="1">
        <v>49</v>
      </c>
      <c r="F1626" s="1">
        <v>0.91</v>
      </c>
      <c r="G1626" s="1">
        <v>20260324</v>
      </c>
      <c r="H1626" t="b">
        <f t="shared" si="26"/>
        <v>0</v>
      </c>
      <c r="I1626" t="str" cm="1">
        <f t="array" ref="I1626">GET_TICKER_FINAL(C1626)</f>
        <v/>
      </c>
      <c r="J1626" s="5" t="s">
        <v>1792</v>
      </c>
    </row>
    <row r="1627" spans="1:10">
      <c r="A1627">
        <v>1626</v>
      </c>
      <c r="B1627" s="1" t="s">
        <v>1376</v>
      </c>
      <c r="C1627" s="1" t="s">
        <v>1597</v>
      </c>
      <c r="D1627" s="1">
        <v>144</v>
      </c>
      <c r="E1627" s="1">
        <v>73</v>
      </c>
      <c r="F1627" s="1">
        <v>0.85</v>
      </c>
      <c r="G1627" s="1">
        <v>20260327</v>
      </c>
      <c r="H1627" t="b">
        <f t="shared" si="26"/>
        <v>0</v>
      </c>
      <c r="I1627" t="str" cm="1">
        <f t="array" ref="I1627">GET_TICKER_FINAL(C1627)</f>
        <v/>
      </c>
      <c r="J1627" s="5" t="s">
        <v>1792</v>
      </c>
    </row>
    <row r="1628" spans="1:10">
      <c r="A1628">
        <v>1627</v>
      </c>
      <c r="B1628" s="1" t="s">
        <v>1376</v>
      </c>
      <c r="C1628" s="1" t="s">
        <v>1598</v>
      </c>
      <c r="D1628" s="1">
        <v>143</v>
      </c>
      <c r="E1628" s="1">
        <v>91</v>
      </c>
      <c r="F1628" s="1">
        <v>0.89</v>
      </c>
      <c r="G1628" s="1">
        <v>20260401</v>
      </c>
      <c r="H1628" t="b">
        <f t="shared" si="26"/>
        <v>0</v>
      </c>
      <c r="I1628" t="str" cm="1">
        <f t="array" ref="I1628">GET_TICKER_FINAL(C1628)</f>
        <v/>
      </c>
      <c r="J1628" s="5" t="s">
        <v>16</v>
      </c>
    </row>
    <row r="1629" spans="1:10">
      <c r="A1629">
        <v>1628</v>
      </c>
      <c r="B1629" s="1" t="s">
        <v>1376</v>
      </c>
      <c r="C1629" s="1" t="s">
        <v>1599</v>
      </c>
      <c r="D1629" s="1">
        <v>143</v>
      </c>
      <c r="E1629" s="1">
        <v>7208</v>
      </c>
      <c r="F1629" s="1">
        <v>0.93</v>
      </c>
      <c r="G1629" s="1">
        <v>20260320</v>
      </c>
      <c r="H1629" t="b">
        <f t="shared" si="26"/>
        <v>0</v>
      </c>
      <c r="I1629" t="str" cm="1">
        <f t="array" ref="I1629">GET_TICKER_FINAL(C1629)</f>
        <v/>
      </c>
      <c r="J1629" s="5" t="s">
        <v>1792</v>
      </c>
    </row>
    <row r="1630" spans="1:10">
      <c r="A1630">
        <v>1629</v>
      </c>
      <c r="B1630" s="1" t="s">
        <v>1376</v>
      </c>
      <c r="C1630" s="1" t="s">
        <v>1600</v>
      </c>
      <c r="D1630" s="1">
        <v>142</v>
      </c>
      <c r="E1630" s="1">
        <v>35</v>
      </c>
      <c r="F1630" s="1">
        <v>0.95</v>
      </c>
      <c r="G1630" s="1">
        <v>20260323</v>
      </c>
      <c r="H1630" t="b">
        <f t="shared" si="26"/>
        <v>0</v>
      </c>
      <c r="I1630" t="str" cm="1">
        <f t="array" ref="I1630">GET_TICKER_FINAL(C1630)</f>
        <v/>
      </c>
      <c r="J1630" s="5" t="s">
        <v>1792</v>
      </c>
    </row>
    <row r="1631" spans="1:10">
      <c r="A1631">
        <v>1630</v>
      </c>
      <c r="B1631" s="1" t="s">
        <v>1376</v>
      </c>
      <c r="C1631" s="1" t="s">
        <v>1601</v>
      </c>
      <c r="D1631" s="1">
        <v>141</v>
      </c>
      <c r="E1631" s="1">
        <v>314</v>
      </c>
      <c r="F1631" s="1">
        <v>0.81</v>
      </c>
      <c r="G1631" s="1">
        <v>20260330</v>
      </c>
      <c r="H1631" t="b">
        <f t="shared" si="26"/>
        <v>0</v>
      </c>
      <c r="I1631" t="str" cm="1">
        <f t="array" ref="I1631">GET_TICKER_FINAL(C1631)</f>
        <v/>
      </c>
      <c r="J1631" s="5" t="s">
        <v>16</v>
      </c>
    </row>
    <row r="1632" spans="1:10">
      <c r="A1632">
        <v>1631</v>
      </c>
      <c r="B1632" s="1" t="s">
        <v>1376</v>
      </c>
      <c r="C1632" s="1" t="s">
        <v>1602</v>
      </c>
      <c r="D1632" s="1">
        <v>135</v>
      </c>
      <c r="E1632" s="1">
        <v>176</v>
      </c>
      <c r="F1632" s="1">
        <v>0.91</v>
      </c>
      <c r="G1632" s="1">
        <v>20260330</v>
      </c>
      <c r="H1632" t="b">
        <f t="shared" si="26"/>
        <v>0</v>
      </c>
      <c r="I1632" t="str" cm="1">
        <f t="array" ref="I1632">GET_TICKER_FINAL(C1632)</f>
        <v/>
      </c>
      <c r="J1632" s="5" t="s">
        <v>25</v>
      </c>
    </row>
    <row r="1633" spans="1:10">
      <c r="A1633">
        <v>1632</v>
      </c>
      <c r="B1633" s="1" t="s">
        <v>1376</v>
      </c>
      <c r="C1633" s="1" t="s">
        <v>1603</v>
      </c>
      <c r="D1633" s="1">
        <v>132</v>
      </c>
      <c r="E1633" s="1">
        <v>49</v>
      </c>
      <c r="F1633" s="1">
        <v>0.92</v>
      </c>
      <c r="G1633" s="1">
        <v>20260401</v>
      </c>
      <c r="H1633" t="b">
        <f t="shared" si="26"/>
        <v>0</v>
      </c>
      <c r="I1633" t="str" cm="1">
        <f t="array" ref="I1633">GET_TICKER_FINAL(C1633)</f>
        <v/>
      </c>
      <c r="J1633" s="5" t="s">
        <v>1792</v>
      </c>
    </row>
    <row r="1634" spans="1:10">
      <c r="A1634">
        <v>1633</v>
      </c>
      <c r="B1634" s="1" t="s">
        <v>1376</v>
      </c>
      <c r="C1634" s="1" t="s">
        <v>1604</v>
      </c>
      <c r="D1634" s="1">
        <v>132</v>
      </c>
      <c r="E1634" s="1">
        <v>28</v>
      </c>
      <c r="F1634" s="1">
        <v>0.91</v>
      </c>
      <c r="G1634" s="1">
        <v>20260320</v>
      </c>
      <c r="H1634" t="b">
        <f t="shared" si="26"/>
        <v>0</v>
      </c>
      <c r="I1634" t="str" cm="1">
        <f t="array" ref="I1634">GET_TICKER_FINAL(C1634)</f>
        <v/>
      </c>
      <c r="J1634" s="5" t="s">
        <v>1792</v>
      </c>
    </row>
    <row r="1635" spans="1:10">
      <c r="A1635">
        <v>1634</v>
      </c>
      <c r="B1635" s="1" t="s">
        <v>1376</v>
      </c>
      <c r="C1635" s="1" t="s">
        <v>1605</v>
      </c>
      <c r="D1635" s="1">
        <v>129</v>
      </c>
      <c r="E1635" s="1">
        <v>35</v>
      </c>
      <c r="F1635" s="1">
        <v>0.94</v>
      </c>
      <c r="G1635" s="1">
        <v>20260323</v>
      </c>
      <c r="H1635" t="b">
        <f t="shared" si="26"/>
        <v>0</v>
      </c>
      <c r="I1635" t="str" cm="1">
        <f t="array" ref="I1635">GET_TICKER_FINAL(C1635)</f>
        <v/>
      </c>
      <c r="J1635" s="5" t="s">
        <v>1792</v>
      </c>
    </row>
    <row r="1636" spans="1:10">
      <c r="A1636">
        <v>1635</v>
      </c>
      <c r="B1636" s="1" t="s">
        <v>1376</v>
      </c>
      <c r="C1636" s="1" t="s">
        <v>1606</v>
      </c>
      <c r="D1636" s="1">
        <v>125</v>
      </c>
      <c r="E1636" s="1">
        <v>59</v>
      </c>
      <c r="F1636" s="1">
        <v>0.88</v>
      </c>
      <c r="G1636" s="1">
        <v>20260330</v>
      </c>
      <c r="H1636" t="b">
        <f t="shared" si="26"/>
        <v>1</v>
      </c>
      <c r="I1636" t="str" cm="1">
        <f t="array" ref="I1636">GET_TICKER_FINAL(C1636)</f>
        <v/>
      </c>
      <c r="J1636" s="5" t="s">
        <v>25</v>
      </c>
    </row>
    <row r="1637" spans="1:10">
      <c r="A1637">
        <v>1636</v>
      </c>
      <c r="B1637" s="1" t="s">
        <v>1376</v>
      </c>
      <c r="C1637" s="1" t="s">
        <v>1607</v>
      </c>
      <c r="D1637" s="1">
        <v>124</v>
      </c>
      <c r="E1637" s="1">
        <v>41</v>
      </c>
      <c r="F1637" s="1">
        <v>0.89</v>
      </c>
      <c r="G1637" s="1">
        <v>20260331</v>
      </c>
      <c r="H1637" t="b">
        <f t="shared" si="26"/>
        <v>0</v>
      </c>
      <c r="I1637" t="str" cm="1">
        <f t="array" ref="I1637">GET_TICKER_FINAL(C1637)</f>
        <v/>
      </c>
      <c r="J1637" s="5" t="s">
        <v>1792</v>
      </c>
    </row>
    <row r="1638" spans="1:10">
      <c r="A1638">
        <v>1637</v>
      </c>
      <c r="B1638" s="1" t="s">
        <v>1376</v>
      </c>
      <c r="C1638" s="1" t="s">
        <v>1608</v>
      </c>
      <c r="D1638" s="1">
        <v>124</v>
      </c>
      <c r="E1638" s="1">
        <v>26</v>
      </c>
      <c r="F1638" s="1">
        <v>0.97</v>
      </c>
      <c r="G1638" s="1">
        <v>20260401</v>
      </c>
      <c r="H1638" t="b">
        <f t="shared" si="26"/>
        <v>0</v>
      </c>
      <c r="I1638" t="str" cm="1">
        <f t="array" ref="I1638">GET_TICKER_FINAL(C1638)</f>
        <v/>
      </c>
      <c r="J1638" s="5" t="s">
        <v>16</v>
      </c>
    </row>
    <row r="1639" spans="1:10">
      <c r="A1639">
        <v>1638</v>
      </c>
      <c r="B1639" s="1" t="s">
        <v>1376</v>
      </c>
      <c r="C1639" s="1" t="s">
        <v>1609</v>
      </c>
      <c r="D1639" s="1">
        <v>122</v>
      </c>
      <c r="E1639" s="1">
        <v>31</v>
      </c>
      <c r="F1639" s="1">
        <v>0.89</v>
      </c>
      <c r="G1639" s="1">
        <v>20260323</v>
      </c>
      <c r="H1639" t="b">
        <f t="shared" si="26"/>
        <v>0</v>
      </c>
      <c r="I1639" t="str" cm="1">
        <f t="array" ref="I1639">GET_TICKER_FINAL(C1639)</f>
        <v/>
      </c>
      <c r="J1639" s="5" t="s">
        <v>1792</v>
      </c>
    </row>
    <row r="1640" spans="1:10">
      <c r="A1640">
        <v>1639</v>
      </c>
      <c r="B1640" s="1" t="s">
        <v>1376</v>
      </c>
      <c r="C1640" s="1" t="s">
        <v>1610</v>
      </c>
      <c r="D1640" s="1">
        <v>119</v>
      </c>
      <c r="E1640" s="1">
        <v>32</v>
      </c>
      <c r="F1640" s="1">
        <v>0.93</v>
      </c>
      <c r="G1640" s="1">
        <v>20260331</v>
      </c>
      <c r="H1640" t="b">
        <f t="shared" si="26"/>
        <v>0</v>
      </c>
      <c r="I1640" t="str" cm="1">
        <f t="array" ref="I1640">GET_TICKER_FINAL(C1640)</f>
        <v/>
      </c>
      <c r="J1640" s="5" t="s">
        <v>16</v>
      </c>
    </row>
    <row r="1641" spans="1:10">
      <c r="A1641">
        <v>1640</v>
      </c>
      <c r="B1641" s="1" t="s">
        <v>1376</v>
      </c>
      <c r="C1641" s="1" t="s">
        <v>1611</v>
      </c>
      <c r="D1641" s="1">
        <v>117</v>
      </c>
      <c r="E1641" s="1">
        <v>18</v>
      </c>
      <c r="F1641" s="1">
        <v>0.92</v>
      </c>
      <c r="G1641" s="1">
        <v>20260326</v>
      </c>
      <c r="H1641" t="b">
        <f t="shared" si="26"/>
        <v>0</v>
      </c>
      <c r="I1641" t="str" cm="1">
        <f t="array" ref="I1641">GET_TICKER_FINAL(C1641)</f>
        <v/>
      </c>
      <c r="J1641" s="5" t="s">
        <v>1792</v>
      </c>
    </row>
    <row r="1642" spans="1:10">
      <c r="A1642">
        <v>1641</v>
      </c>
      <c r="B1642" s="1" t="s">
        <v>1376</v>
      </c>
      <c r="C1642" s="1" t="s">
        <v>1612</v>
      </c>
      <c r="D1642" s="1">
        <v>114</v>
      </c>
      <c r="E1642" s="1">
        <v>37</v>
      </c>
      <c r="F1642" s="1">
        <v>0.83</v>
      </c>
      <c r="G1642" s="1">
        <v>20260324</v>
      </c>
      <c r="H1642" t="b">
        <f t="shared" si="26"/>
        <v>0</v>
      </c>
      <c r="I1642" t="str" cm="1">
        <f t="array" ref="I1642">GET_TICKER_FINAL(C1642)</f>
        <v>SPY</v>
      </c>
      <c r="J1642" s="5" t="s">
        <v>1792</v>
      </c>
    </row>
    <row r="1643" spans="1:10">
      <c r="A1643">
        <v>1642</v>
      </c>
      <c r="B1643" s="1" t="s">
        <v>1376</v>
      </c>
      <c r="C1643" s="1" t="s">
        <v>1613</v>
      </c>
      <c r="D1643" s="1">
        <v>113</v>
      </c>
      <c r="E1643" s="1">
        <v>77</v>
      </c>
      <c r="F1643" s="1">
        <v>0.97</v>
      </c>
      <c r="G1643" s="1">
        <v>20260402</v>
      </c>
      <c r="H1643" t="b">
        <f t="shared" si="26"/>
        <v>0</v>
      </c>
      <c r="I1643" t="str" cm="1">
        <f t="array" ref="I1643">GET_TICKER_FINAL(C1643)</f>
        <v/>
      </c>
      <c r="J1643" s="5" t="s">
        <v>1792</v>
      </c>
    </row>
    <row r="1644" spans="1:10">
      <c r="A1644">
        <v>1643</v>
      </c>
      <c r="B1644" s="1" t="s">
        <v>1376</v>
      </c>
      <c r="C1644" s="1" t="s">
        <v>1614</v>
      </c>
      <c r="D1644" s="1">
        <v>112</v>
      </c>
      <c r="E1644" s="1">
        <v>30</v>
      </c>
      <c r="F1644" s="1">
        <v>0.87</v>
      </c>
      <c r="G1644" s="1">
        <v>20260324</v>
      </c>
      <c r="H1644" t="b">
        <f t="shared" si="26"/>
        <v>0</v>
      </c>
      <c r="I1644" t="str" cm="1">
        <f t="array" ref="I1644">GET_TICKER_FINAL(C1644)</f>
        <v/>
      </c>
      <c r="J1644" s="5" t="s">
        <v>25</v>
      </c>
    </row>
    <row r="1645" spans="1:10">
      <c r="A1645">
        <v>1644</v>
      </c>
      <c r="B1645" s="1" t="s">
        <v>1376</v>
      </c>
      <c r="C1645" s="1" t="s">
        <v>1615</v>
      </c>
      <c r="D1645" s="1">
        <v>112</v>
      </c>
      <c r="E1645" s="1">
        <v>428</v>
      </c>
      <c r="F1645" s="1">
        <v>0.9</v>
      </c>
      <c r="G1645" s="1">
        <v>20260402</v>
      </c>
      <c r="H1645" t="b">
        <f t="shared" si="26"/>
        <v>0</v>
      </c>
      <c r="I1645" t="str" cm="1">
        <f t="array" ref="I1645">GET_TICKER_FINAL(C1645)</f>
        <v/>
      </c>
      <c r="J1645" s="5" t="s">
        <v>1792</v>
      </c>
    </row>
    <row r="1646" spans="1:10">
      <c r="A1646">
        <v>1645</v>
      </c>
      <c r="B1646" s="1" t="s">
        <v>1376</v>
      </c>
      <c r="C1646" s="1" t="s">
        <v>1616</v>
      </c>
      <c r="D1646" s="1">
        <v>112</v>
      </c>
      <c r="E1646" s="1">
        <v>18</v>
      </c>
      <c r="F1646" s="1">
        <v>0.92</v>
      </c>
      <c r="G1646" s="1">
        <v>20260401</v>
      </c>
      <c r="H1646" t="b">
        <f t="shared" si="26"/>
        <v>0</v>
      </c>
      <c r="I1646" t="str" cm="1">
        <f t="array" ref="I1646">GET_TICKER_FINAL(C1646)</f>
        <v>SPY</v>
      </c>
      <c r="J1646" s="5" t="s">
        <v>16</v>
      </c>
    </row>
    <row r="1647" spans="1:10">
      <c r="A1647">
        <v>1646</v>
      </c>
      <c r="B1647" s="1" t="s">
        <v>1376</v>
      </c>
      <c r="C1647" s="1" t="s">
        <v>1617</v>
      </c>
      <c r="D1647" s="1">
        <v>112</v>
      </c>
      <c r="E1647" s="1">
        <v>46</v>
      </c>
      <c r="F1647" s="1">
        <v>0.93</v>
      </c>
      <c r="G1647" s="1">
        <v>20260402</v>
      </c>
      <c r="H1647" t="b">
        <f t="shared" si="26"/>
        <v>0</v>
      </c>
      <c r="I1647" t="str" cm="1">
        <f t="array" ref="I1647">GET_TICKER_FINAL(C1647)</f>
        <v>USO</v>
      </c>
      <c r="J1647" s="5" t="s">
        <v>16</v>
      </c>
    </row>
    <row r="1648" spans="1:10">
      <c r="A1648">
        <v>1647</v>
      </c>
      <c r="B1648" s="1" t="s">
        <v>1376</v>
      </c>
      <c r="C1648" s="1" t="s">
        <v>1618</v>
      </c>
      <c r="D1648" s="1">
        <v>110</v>
      </c>
      <c r="E1648" s="1">
        <v>16</v>
      </c>
      <c r="F1648" s="1">
        <v>0.89</v>
      </c>
      <c r="G1648" s="1">
        <v>20260330</v>
      </c>
      <c r="H1648" t="b">
        <f t="shared" si="26"/>
        <v>0</v>
      </c>
      <c r="I1648" t="str" cm="1">
        <f t="array" ref="I1648">GET_TICKER_FINAL(C1648)</f>
        <v/>
      </c>
      <c r="J1648" s="5" t="s">
        <v>1792</v>
      </c>
    </row>
    <row r="1649" spans="1:10">
      <c r="A1649">
        <v>1648</v>
      </c>
      <c r="B1649" s="1" t="s">
        <v>1376</v>
      </c>
      <c r="C1649" s="1" t="s">
        <v>1619</v>
      </c>
      <c r="D1649" s="1">
        <v>106</v>
      </c>
      <c r="E1649" s="1">
        <v>100</v>
      </c>
      <c r="F1649" s="1">
        <v>0.87</v>
      </c>
      <c r="G1649" s="1">
        <v>20260402</v>
      </c>
      <c r="H1649" t="b">
        <f t="shared" si="26"/>
        <v>0</v>
      </c>
      <c r="I1649" t="str" cm="1">
        <f t="array" ref="I1649">GET_TICKER_FINAL(C1649)</f>
        <v>SPY</v>
      </c>
      <c r="J1649" s="5" t="s">
        <v>16</v>
      </c>
    </row>
    <row r="1650" spans="1:10">
      <c r="A1650">
        <v>1649</v>
      </c>
      <c r="B1650" s="1" t="s">
        <v>1376</v>
      </c>
      <c r="C1650" s="1" t="s">
        <v>1620</v>
      </c>
      <c r="D1650" s="1">
        <v>106</v>
      </c>
      <c r="E1650" s="1">
        <v>16</v>
      </c>
      <c r="F1650" s="1">
        <v>0.92</v>
      </c>
      <c r="G1650" s="1">
        <v>20260324</v>
      </c>
      <c r="H1650" t="b">
        <f t="shared" si="26"/>
        <v>0</v>
      </c>
      <c r="I1650" t="str" cm="1">
        <f t="array" ref="I1650">GET_TICKER_FINAL(C1650)</f>
        <v/>
      </c>
      <c r="J1650" s="5" t="s">
        <v>25</v>
      </c>
    </row>
    <row r="1651" spans="1:10">
      <c r="A1651">
        <v>1650</v>
      </c>
      <c r="B1651" s="1" t="s">
        <v>1376</v>
      </c>
      <c r="C1651" s="1" t="s">
        <v>1621</v>
      </c>
      <c r="D1651" s="1">
        <v>105</v>
      </c>
      <c r="E1651" s="1">
        <v>68</v>
      </c>
      <c r="F1651" s="1">
        <v>0.93</v>
      </c>
      <c r="G1651" s="1">
        <v>20260331</v>
      </c>
      <c r="H1651" t="b">
        <f t="shared" si="26"/>
        <v>0</v>
      </c>
      <c r="I1651" t="str" cm="1">
        <f t="array" ref="I1651">GET_TICKER_FINAL(C1651)</f>
        <v/>
      </c>
      <c r="J1651" s="5" t="s">
        <v>16</v>
      </c>
    </row>
    <row r="1652" spans="1:10">
      <c r="A1652">
        <v>1651</v>
      </c>
      <c r="B1652" s="1" t="s">
        <v>1376</v>
      </c>
      <c r="C1652" s="1" t="s">
        <v>1622</v>
      </c>
      <c r="D1652" s="1">
        <v>104</v>
      </c>
      <c r="E1652" s="1">
        <v>198</v>
      </c>
      <c r="F1652" s="1">
        <v>0.87</v>
      </c>
      <c r="G1652" s="1">
        <v>20260330</v>
      </c>
      <c r="H1652" t="b">
        <f t="shared" si="26"/>
        <v>0</v>
      </c>
      <c r="I1652" t="str" cm="1">
        <f t="array" ref="I1652">GET_TICKER_FINAL(C1652)</f>
        <v/>
      </c>
      <c r="J1652" s="5" t="s">
        <v>1792</v>
      </c>
    </row>
    <row r="1653" spans="1:10">
      <c r="A1653">
        <v>1652</v>
      </c>
      <c r="B1653" s="1" t="s">
        <v>1376</v>
      </c>
      <c r="C1653" s="1" t="s">
        <v>1623</v>
      </c>
      <c r="D1653" s="1">
        <v>104</v>
      </c>
      <c r="E1653" s="1">
        <v>23</v>
      </c>
      <c r="F1653" s="1">
        <v>0.89</v>
      </c>
      <c r="G1653" s="1">
        <v>20260324</v>
      </c>
      <c r="H1653" t="b">
        <f t="shared" si="26"/>
        <v>0</v>
      </c>
      <c r="I1653" t="str" cm="1">
        <f t="array" ref="I1653">GET_TICKER_FINAL(C1653)</f>
        <v/>
      </c>
      <c r="J1653" s="5" t="s">
        <v>25</v>
      </c>
    </row>
    <row r="1654" spans="1:10">
      <c r="A1654">
        <v>1653</v>
      </c>
      <c r="B1654" s="1" t="s">
        <v>1376</v>
      </c>
      <c r="C1654" s="1" t="s">
        <v>1624</v>
      </c>
      <c r="D1654" s="1">
        <v>104</v>
      </c>
      <c r="E1654" s="1">
        <v>34</v>
      </c>
      <c r="F1654" s="1">
        <v>0.88</v>
      </c>
      <c r="G1654" s="1">
        <v>20260320</v>
      </c>
      <c r="H1654" t="b">
        <f t="shared" si="26"/>
        <v>0</v>
      </c>
      <c r="I1654" t="str" cm="1">
        <f t="array" ref="I1654">GET_TICKER_FINAL(C1654)</f>
        <v/>
      </c>
      <c r="J1654" s="5" t="s">
        <v>25</v>
      </c>
    </row>
    <row r="1655" spans="1:10">
      <c r="A1655">
        <v>1654</v>
      </c>
      <c r="B1655" s="1" t="s">
        <v>1376</v>
      </c>
      <c r="C1655" s="1" t="s">
        <v>1625</v>
      </c>
      <c r="D1655" s="1">
        <v>103</v>
      </c>
      <c r="E1655" s="1">
        <v>32</v>
      </c>
      <c r="F1655" s="1">
        <v>0.91</v>
      </c>
      <c r="G1655" s="1">
        <v>20260402</v>
      </c>
      <c r="H1655" t="b">
        <f t="shared" si="26"/>
        <v>0</v>
      </c>
      <c r="I1655" t="str" cm="1">
        <f t="array" ref="I1655">GET_TICKER_FINAL(C1655)</f>
        <v>SPY</v>
      </c>
      <c r="J1655" s="5" t="s">
        <v>16</v>
      </c>
    </row>
    <row r="1656" spans="1:10">
      <c r="A1656">
        <v>1655</v>
      </c>
      <c r="B1656" s="1" t="s">
        <v>1376</v>
      </c>
      <c r="C1656" s="1" t="s">
        <v>1626</v>
      </c>
      <c r="D1656" s="1">
        <v>102</v>
      </c>
      <c r="E1656" s="1">
        <v>86</v>
      </c>
      <c r="F1656" s="1">
        <v>0.85</v>
      </c>
      <c r="G1656" s="1">
        <v>20260402</v>
      </c>
      <c r="H1656" t="b">
        <f t="shared" si="26"/>
        <v>0</v>
      </c>
      <c r="I1656" t="str" cm="1">
        <f t="array" ref="I1656">GET_TICKER_FINAL(C1656)</f>
        <v/>
      </c>
      <c r="J1656" s="5" t="s">
        <v>16</v>
      </c>
    </row>
    <row r="1657" spans="1:10">
      <c r="A1657">
        <v>1656</v>
      </c>
      <c r="B1657" s="1" t="s">
        <v>1376</v>
      </c>
      <c r="C1657" s="1" t="s">
        <v>1627</v>
      </c>
      <c r="D1657" s="1">
        <v>102</v>
      </c>
      <c r="E1657" s="1">
        <v>39</v>
      </c>
      <c r="F1657" s="1">
        <v>0.87</v>
      </c>
      <c r="G1657" s="1">
        <v>20260330</v>
      </c>
      <c r="H1657" t="b">
        <f t="shared" si="26"/>
        <v>0</v>
      </c>
      <c r="I1657" t="str" cm="1">
        <f t="array" ref="I1657">GET_TICKER_FINAL(C1657)</f>
        <v/>
      </c>
      <c r="J1657" s="5" t="s">
        <v>25</v>
      </c>
    </row>
    <row r="1658" spans="1:10">
      <c r="A1658">
        <v>1657</v>
      </c>
      <c r="B1658" s="1" t="s">
        <v>1376</v>
      </c>
      <c r="C1658" s="1" t="s">
        <v>1628</v>
      </c>
      <c r="D1658" s="1">
        <v>102</v>
      </c>
      <c r="E1658" s="1">
        <v>49</v>
      </c>
      <c r="F1658" s="1">
        <v>0.9</v>
      </c>
      <c r="G1658" s="1">
        <v>20260331</v>
      </c>
      <c r="H1658" t="b">
        <f t="shared" si="26"/>
        <v>0</v>
      </c>
      <c r="I1658" t="str" cm="1">
        <f t="array" ref="I1658">GET_TICKER_FINAL(C1658)</f>
        <v/>
      </c>
      <c r="J1658" s="5" t="s">
        <v>25</v>
      </c>
    </row>
    <row r="1659" spans="1:10">
      <c r="A1659">
        <v>1658</v>
      </c>
      <c r="B1659" s="1" t="s">
        <v>1376</v>
      </c>
      <c r="C1659" s="1" t="s">
        <v>1629</v>
      </c>
      <c r="D1659" s="1">
        <v>101</v>
      </c>
      <c r="E1659" s="1">
        <v>28</v>
      </c>
      <c r="F1659" s="1">
        <v>0.94</v>
      </c>
      <c r="G1659" s="1">
        <v>20260320</v>
      </c>
      <c r="H1659" t="b">
        <f t="shared" si="26"/>
        <v>0</v>
      </c>
      <c r="I1659" t="str" cm="1">
        <f t="array" ref="I1659">GET_TICKER_FINAL(C1659)</f>
        <v/>
      </c>
      <c r="J1659" s="5" t="s">
        <v>1792</v>
      </c>
    </row>
    <row r="1660" spans="1:10">
      <c r="A1660">
        <v>1659</v>
      </c>
      <c r="B1660" s="1" t="s">
        <v>1376</v>
      </c>
      <c r="C1660" s="1" t="s">
        <v>1630</v>
      </c>
      <c r="D1660" s="1">
        <v>99</v>
      </c>
      <c r="E1660" s="1">
        <v>117</v>
      </c>
      <c r="F1660" s="1">
        <v>0.82</v>
      </c>
      <c r="G1660" s="1">
        <v>20260402</v>
      </c>
      <c r="H1660" t="b">
        <f t="shared" si="26"/>
        <v>0</v>
      </c>
      <c r="I1660" t="str" cm="1">
        <f t="array" ref="I1660">GET_TICKER_FINAL(C1660)</f>
        <v/>
      </c>
      <c r="J1660" s="5" t="s">
        <v>25</v>
      </c>
    </row>
    <row r="1661" spans="1:10">
      <c r="A1661">
        <v>1660</v>
      </c>
      <c r="B1661" s="1" t="s">
        <v>1376</v>
      </c>
      <c r="C1661" s="1" t="s">
        <v>1631</v>
      </c>
      <c r="D1661" s="1">
        <v>97</v>
      </c>
      <c r="E1661" s="1">
        <v>75</v>
      </c>
      <c r="F1661" s="1">
        <v>0.92</v>
      </c>
      <c r="G1661" s="1">
        <v>20260402</v>
      </c>
      <c r="H1661" t="b">
        <f t="shared" si="26"/>
        <v>0</v>
      </c>
      <c r="I1661" t="str" cm="1">
        <f t="array" ref="I1661">GET_TICKER_FINAL(C1661)</f>
        <v/>
      </c>
      <c r="J1661" s="5" t="s">
        <v>16</v>
      </c>
    </row>
    <row r="1662" spans="1:10">
      <c r="A1662">
        <v>1661</v>
      </c>
      <c r="B1662" s="1" t="s">
        <v>1376</v>
      </c>
      <c r="C1662" s="1" t="s">
        <v>1632</v>
      </c>
      <c r="D1662" s="1">
        <v>92</v>
      </c>
      <c r="E1662" s="1">
        <v>16</v>
      </c>
      <c r="F1662" s="1">
        <v>0.88</v>
      </c>
      <c r="G1662" s="1">
        <v>20260327</v>
      </c>
      <c r="H1662" t="b">
        <f t="shared" si="26"/>
        <v>0</v>
      </c>
      <c r="I1662" t="str" cm="1">
        <f t="array" ref="I1662">GET_TICKER_FINAL(C1662)</f>
        <v/>
      </c>
      <c r="J1662" s="5" t="s">
        <v>25</v>
      </c>
    </row>
    <row r="1663" spans="1:10">
      <c r="A1663">
        <v>1662</v>
      </c>
      <c r="B1663" s="1" t="s">
        <v>1376</v>
      </c>
      <c r="C1663" s="1" t="s">
        <v>1633</v>
      </c>
      <c r="D1663" s="1">
        <v>91</v>
      </c>
      <c r="E1663" s="1">
        <v>46</v>
      </c>
      <c r="F1663" s="1">
        <v>0.88</v>
      </c>
      <c r="G1663" s="1">
        <v>20260402</v>
      </c>
      <c r="H1663" t="b">
        <f t="shared" si="26"/>
        <v>0</v>
      </c>
      <c r="I1663" t="str" cm="1">
        <f t="array" ref="I1663">GET_TICKER_FINAL(C1663)</f>
        <v>SPY</v>
      </c>
      <c r="J1663" s="5" t="s">
        <v>1792</v>
      </c>
    </row>
    <row r="1664" spans="1:10">
      <c r="A1664">
        <v>1663</v>
      </c>
      <c r="B1664" s="1" t="s">
        <v>1376</v>
      </c>
      <c r="C1664" s="1" t="s">
        <v>1634</v>
      </c>
      <c r="D1664" s="1">
        <v>91</v>
      </c>
      <c r="E1664" s="1">
        <v>65</v>
      </c>
      <c r="F1664" s="1">
        <v>0.89</v>
      </c>
      <c r="G1664" s="1">
        <v>20260402</v>
      </c>
      <c r="H1664" t="b">
        <f t="shared" si="26"/>
        <v>0</v>
      </c>
      <c r="I1664" t="str" cm="1">
        <f t="array" ref="I1664">GET_TICKER_FINAL(C1664)</f>
        <v/>
      </c>
      <c r="J1664" s="5" t="s">
        <v>25</v>
      </c>
    </row>
    <row r="1665" spans="1:10">
      <c r="A1665">
        <v>1664</v>
      </c>
      <c r="B1665" s="1" t="s">
        <v>1376</v>
      </c>
      <c r="C1665" s="1" t="s">
        <v>1635</v>
      </c>
      <c r="D1665" s="1">
        <v>89</v>
      </c>
      <c r="E1665" s="1">
        <v>41</v>
      </c>
      <c r="F1665" s="1">
        <v>0.85</v>
      </c>
      <c r="G1665" s="1">
        <v>20260330</v>
      </c>
      <c r="H1665" t="b">
        <f t="shared" si="26"/>
        <v>0</v>
      </c>
      <c r="I1665" t="str" cm="1">
        <f t="array" ref="I1665">GET_TICKER_FINAL(C1665)</f>
        <v>SPY</v>
      </c>
      <c r="J1665" s="5" t="s">
        <v>25</v>
      </c>
    </row>
    <row r="1666" spans="1:10">
      <c r="A1666">
        <v>1665</v>
      </c>
      <c r="B1666" s="1" t="s">
        <v>1376</v>
      </c>
      <c r="C1666" s="1" t="s">
        <v>1636</v>
      </c>
      <c r="D1666" s="1">
        <v>89</v>
      </c>
      <c r="E1666" s="1">
        <v>27</v>
      </c>
      <c r="F1666" s="1">
        <v>0.91</v>
      </c>
      <c r="G1666" s="1">
        <v>20260331</v>
      </c>
      <c r="H1666" t="b">
        <f t="shared" si="26"/>
        <v>1</v>
      </c>
      <c r="I1666" t="str" cm="1">
        <f t="array" ref="I1666">GET_TICKER_FINAL(C1666)</f>
        <v/>
      </c>
      <c r="J1666" s="5" t="s">
        <v>16</v>
      </c>
    </row>
    <row r="1667" spans="1:10">
      <c r="A1667">
        <v>1666</v>
      </c>
      <c r="B1667" s="1" t="s">
        <v>1376</v>
      </c>
      <c r="C1667" s="1" t="s">
        <v>1637</v>
      </c>
      <c r="D1667" s="1">
        <v>89</v>
      </c>
      <c r="E1667" s="1">
        <v>33</v>
      </c>
      <c r="F1667" s="1">
        <v>0.91</v>
      </c>
      <c r="G1667" s="1">
        <v>20260402</v>
      </c>
      <c r="H1667" t="b">
        <f t="shared" ref="H1667:H1730" si="27">OR(ISNUMBER(SEARCH("$A",C1667)),ISNUMBER(SEARCH("$B",C1667)),ISNUMBER(SEARCH("$C",C1667)),ISNUMBER(SEARCH("$D",C1667)),ISNUMBER(SEARCH("$E",C1667)),ISNUMBER(SEARCH("$F",C1667)),ISNUMBER(SEARCH("$G",C1667)),ISNUMBER(SEARCH("$H",C1667)),ISNUMBER(SEARCH("$I",C1667)),ISNUMBER(SEARCH("$J",C1667)),ISNUMBER(SEARCH("$K",C1667)),ISNUMBER(SEARCH("$L",C1667)),ISNUMBER(SEARCH("$M",C1667)),ISNUMBER(SEARCH("$N",C1667)),ISNUMBER(SEARCH("$O",C1667)),ISNUMBER(SEARCH("$P",C1667)),ISNUMBER(SEARCH("$Q",C1667)),ISNUMBER(SEARCH("$R",C1667)),ISNUMBER(SEARCH("$S",C1667)),ISNUMBER(SEARCH("$T",C1667)),ISNUMBER(SEARCH("$U",C1667)),ISNUMBER(SEARCH("$V",C1667)),ISNUMBER(SEARCH("$W",C1667)),ISNUMBER(SEARCH("$X",C1667)),ISNUMBER(SEARCH("$Y",C1667)),ISNUMBER(SEARCH("$Z",C1667)))</f>
        <v>0</v>
      </c>
      <c r="I1667" t="str" cm="1">
        <f t="array" ref="I1667">GET_TICKER_FINAL(C1667)</f>
        <v/>
      </c>
      <c r="J1667" s="5" t="s">
        <v>16</v>
      </c>
    </row>
    <row r="1668" spans="1:10">
      <c r="A1668">
        <v>1667</v>
      </c>
      <c r="B1668" s="1" t="s">
        <v>1376</v>
      </c>
      <c r="C1668" s="1" t="s">
        <v>1638</v>
      </c>
      <c r="D1668" s="1">
        <v>89</v>
      </c>
      <c r="E1668" s="1">
        <v>63</v>
      </c>
      <c r="F1668" s="1">
        <v>0.9</v>
      </c>
      <c r="G1668" s="1">
        <v>20260327</v>
      </c>
      <c r="H1668" t="b">
        <f t="shared" si="27"/>
        <v>0</v>
      </c>
      <c r="I1668" t="str" cm="1">
        <f t="array" ref="I1668">GET_TICKER_FINAL(C1668)</f>
        <v/>
      </c>
      <c r="J1668" s="5" t="s">
        <v>25</v>
      </c>
    </row>
    <row r="1669" spans="1:10">
      <c r="A1669">
        <v>1668</v>
      </c>
      <c r="B1669" s="1" t="s">
        <v>1376</v>
      </c>
      <c r="C1669" s="1" t="s">
        <v>1639</v>
      </c>
      <c r="D1669" s="1">
        <v>88</v>
      </c>
      <c r="E1669" s="1">
        <v>44</v>
      </c>
      <c r="F1669" s="1">
        <v>0.78</v>
      </c>
      <c r="G1669" s="1">
        <v>20260402</v>
      </c>
      <c r="H1669" t="b">
        <f t="shared" si="27"/>
        <v>0</v>
      </c>
      <c r="I1669" t="str" cm="1">
        <f t="array" ref="I1669">GET_TICKER_FINAL(C1669)</f>
        <v/>
      </c>
      <c r="J1669" s="5" t="s">
        <v>25</v>
      </c>
    </row>
    <row r="1670" spans="1:10">
      <c r="A1670">
        <v>1669</v>
      </c>
      <c r="B1670" s="1" t="s">
        <v>1376</v>
      </c>
      <c r="C1670" s="1" t="s">
        <v>1640</v>
      </c>
      <c r="D1670" s="1">
        <v>87</v>
      </c>
      <c r="E1670" s="1">
        <v>64</v>
      </c>
      <c r="F1670" s="1">
        <v>0.84</v>
      </c>
      <c r="G1670" s="1">
        <v>20260330</v>
      </c>
      <c r="H1670" t="b">
        <f t="shared" si="27"/>
        <v>0</v>
      </c>
      <c r="I1670" t="str" cm="1">
        <f t="array" ref="I1670">GET_TICKER_FINAL(C1670)</f>
        <v>SPY</v>
      </c>
      <c r="J1670" s="5" t="s">
        <v>16</v>
      </c>
    </row>
    <row r="1671" spans="1:10">
      <c r="A1671">
        <v>1670</v>
      </c>
      <c r="B1671" s="1" t="s">
        <v>1376</v>
      </c>
      <c r="C1671" s="1" t="s">
        <v>1641</v>
      </c>
      <c r="D1671" s="1">
        <v>85</v>
      </c>
      <c r="E1671" s="1">
        <v>33</v>
      </c>
      <c r="F1671" s="1">
        <v>0.97</v>
      </c>
      <c r="G1671" s="1">
        <v>20260402</v>
      </c>
      <c r="H1671" t="b">
        <f t="shared" si="27"/>
        <v>0</v>
      </c>
      <c r="I1671" t="str" cm="1">
        <f t="array" ref="I1671">GET_TICKER_FINAL(C1671)</f>
        <v/>
      </c>
      <c r="J1671" s="5" t="s">
        <v>25</v>
      </c>
    </row>
    <row r="1672" spans="1:10">
      <c r="A1672">
        <v>1671</v>
      </c>
      <c r="B1672" s="1" t="s">
        <v>1376</v>
      </c>
      <c r="C1672" s="1" t="s">
        <v>1642</v>
      </c>
      <c r="D1672" s="1">
        <v>85</v>
      </c>
      <c r="E1672" s="1">
        <v>86</v>
      </c>
      <c r="F1672" s="1">
        <v>0.76</v>
      </c>
      <c r="G1672" s="1">
        <v>20260324</v>
      </c>
      <c r="H1672" t="b">
        <f t="shared" si="27"/>
        <v>0</v>
      </c>
      <c r="I1672" t="str" cm="1">
        <f t="array" ref="I1672">GET_TICKER_FINAL(C1672)</f>
        <v>SPY</v>
      </c>
      <c r="J1672" s="5" t="s">
        <v>25</v>
      </c>
    </row>
    <row r="1673" spans="1:10">
      <c r="A1673">
        <v>1672</v>
      </c>
      <c r="B1673" s="1" t="s">
        <v>1376</v>
      </c>
      <c r="C1673" s="1" t="s">
        <v>1643</v>
      </c>
      <c r="D1673" s="1">
        <v>84</v>
      </c>
      <c r="E1673" s="1">
        <v>11</v>
      </c>
      <c r="F1673" s="1">
        <v>0.9</v>
      </c>
      <c r="G1673" s="1">
        <v>20260401</v>
      </c>
      <c r="H1673" t="b">
        <f t="shared" si="27"/>
        <v>0</v>
      </c>
      <c r="I1673" t="str" cm="1">
        <f t="array" ref="I1673">GET_TICKER_FINAL(C1673)</f>
        <v>SPY</v>
      </c>
      <c r="J1673" s="5" t="s">
        <v>16</v>
      </c>
    </row>
    <row r="1674" spans="1:10">
      <c r="A1674">
        <v>1673</v>
      </c>
      <c r="B1674" s="1" t="s">
        <v>1376</v>
      </c>
      <c r="C1674" s="1" t="s">
        <v>1644</v>
      </c>
      <c r="D1674" s="1">
        <v>84</v>
      </c>
      <c r="E1674" s="1">
        <v>16</v>
      </c>
      <c r="F1674" s="1">
        <v>0.92</v>
      </c>
      <c r="G1674" s="1">
        <v>20260327</v>
      </c>
      <c r="H1674" t="b">
        <f t="shared" si="27"/>
        <v>0</v>
      </c>
      <c r="I1674" t="str" cm="1">
        <f t="array" ref="I1674">GET_TICKER_FINAL(C1674)</f>
        <v>SPY</v>
      </c>
      <c r="J1674" s="5" t="s">
        <v>16</v>
      </c>
    </row>
    <row r="1675" spans="1:10">
      <c r="A1675">
        <v>1674</v>
      </c>
      <c r="B1675" s="1" t="s">
        <v>1376</v>
      </c>
      <c r="C1675" s="1" t="s">
        <v>1645</v>
      </c>
      <c r="D1675" s="1">
        <v>84</v>
      </c>
      <c r="E1675" s="1">
        <v>44</v>
      </c>
      <c r="F1675" s="1">
        <v>0.89</v>
      </c>
      <c r="G1675" s="1">
        <v>20260324</v>
      </c>
      <c r="H1675" t="b">
        <f t="shared" si="27"/>
        <v>0</v>
      </c>
      <c r="I1675" t="str" cm="1">
        <f t="array" ref="I1675">GET_TICKER_FINAL(C1675)</f>
        <v>SPY</v>
      </c>
      <c r="J1675" s="5" t="s">
        <v>25</v>
      </c>
    </row>
    <row r="1676" spans="1:10">
      <c r="A1676">
        <v>1675</v>
      </c>
      <c r="B1676" s="1" t="s">
        <v>1376</v>
      </c>
      <c r="C1676" s="1" t="s">
        <v>1646</v>
      </c>
      <c r="D1676" s="1">
        <v>83</v>
      </c>
      <c r="E1676" s="1">
        <v>29</v>
      </c>
      <c r="F1676" s="1">
        <v>0.9</v>
      </c>
      <c r="G1676" s="1">
        <v>20260330</v>
      </c>
      <c r="H1676" t="b">
        <f t="shared" si="27"/>
        <v>0</v>
      </c>
      <c r="I1676" t="str" cm="1">
        <f t="array" ref="I1676">GET_TICKER_FINAL(C1676)</f>
        <v/>
      </c>
      <c r="J1676" s="5" t="s">
        <v>25</v>
      </c>
    </row>
    <row r="1677" spans="1:10">
      <c r="A1677">
        <v>1676</v>
      </c>
      <c r="B1677" s="1" t="s">
        <v>1376</v>
      </c>
      <c r="C1677" s="1" t="s">
        <v>1647</v>
      </c>
      <c r="D1677" s="1">
        <v>83</v>
      </c>
      <c r="E1677" s="1">
        <v>27</v>
      </c>
      <c r="F1677" s="1">
        <v>0.88</v>
      </c>
      <c r="G1677" s="1">
        <v>20260324</v>
      </c>
      <c r="H1677" t="b">
        <f t="shared" si="27"/>
        <v>0</v>
      </c>
      <c r="I1677" t="str" cm="1">
        <f t="array" ref="I1677">GET_TICKER_FINAL(C1677)</f>
        <v>SPY</v>
      </c>
      <c r="J1677" s="5" t="s">
        <v>25</v>
      </c>
    </row>
    <row r="1678" spans="1:10">
      <c r="A1678">
        <v>1677</v>
      </c>
      <c r="B1678" s="1" t="s">
        <v>1376</v>
      </c>
      <c r="C1678" s="1" t="s">
        <v>1648</v>
      </c>
      <c r="D1678" s="1">
        <v>83</v>
      </c>
      <c r="E1678" s="1">
        <v>576</v>
      </c>
      <c r="F1678" s="1">
        <v>0.75</v>
      </c>
      <c r="G1678" s="1">
        <v>20260326</v>
      </c>
      <c r="H1678" t="b">
        <f t="shared" si="27"/>
        <v>0</v>
      </c>
      <c r="I1678" t="str" cm="1">
        <f t="array" ref="I1678">GET_TICKER_FINAL(C1678)</f>
        <v/>
      </c>
      <c r="J1678" s="5" t="s">
        <v>1792</v>
      </c>
    </row>
    <row r="1679" spans="1:10">
      <c r="A1679">
        <v>1678</v>
      </c>
      <c r="B1679" s="1" t="s">
        <v>1376</v>
      </c>
      <c r="C1679" s="1" t="s">
        <v>1649</v>
      </c>
      <c r="D1679" s="1">
        <v>82</v>
      </c>
      <c r="E1679" s="1">
        <v>94</v>
      </c>
      <c r="F1679" s="1">
        <v>0.84</v>
      </c>
      <c r="G1679" s="1">
        <v>20260331</v>
      </c>
      <c r="H1679" t="b">
        <f t="shared" si="27"/>
        <v>0</v>
      </c>
      <c r="I1679" t="str" cm="1">
        <f t="array" ref="I1679">GET_TICKER_FINAL(C1679)</f>
        <v/>
      </c>
      <c r="J1679" s="5" t="s">
        <v>16</v>
      </c>
    </row>
    <row r="1680" spans="1:10">
      <c r="A1680">
        <v>1679</v>
      </c>
      <c r="B1680" s="1" t="s">
        <v>1376</v>
      </c>
      <c r="C1680" s="1" t="s">
        <v>1650</v>
      </c>
      <c r="D1680" s="1">
        <v>82</v>
      </c>
      <c r="E1680" s="1">
        <v>13</v>
      </c>
      <c r="F1680" s="1">
        <v>0.89</v>
      </c>
      <c r="G1680" s="1">
        <v>20260401</v>
      </c>
      <c r="H1680" t="b">
        <f t="shared" si="27"/>
        <v>1</v>
      </c>
      <c r="I1680" t="str" cm="1">
        <f t="array" ref="I1680">GET_TICKER_FINAL(C1680)</f>
        <v>SPY</v>
      </c>
      <c r="J1680" s="5" t="s">
        <v>25</v>
      </c>
    </row>
    <row r="1681" spans="1:10">
      <c r="A1681">
        <v>1680</v>
      </c>
      <c r="B1681" s="1" t="s">
        <v>1376</v>
      </c>
      <c r="C1681" s="1" t="s">
        <v>1651</v>
      </c>
      <c r="D1681" s="1">
        <v>81</v>
      </c>
      <c r="E1681" s="1">
        <v>125</v>
      </c>
      <c r="F1681" s="1">
        <v>0.94</v>
      </c>
      <c r="G1681" s="1">
        <v>20260402</v>
      </c>
      <c r="H1681" t="b">
        <f t="shared" si="27"/>
        <v>0</v>
      </c>
      <c r="I1681" t="str" cm="1">
        <f t="array" ref="I1681">GET_TICKER_FINAL(C1681)</f>
        <v/>
      </c>
      <c r="J1681" s="5" t="s">
        <v>16</v>
      </c>
    </row>
    <row r="1682" spans="1:10">
      <c r="A1682">
        <v>1681</v>
      </c>
      <c r="B1682" s="1" t="s">
        <v>1376</v>
      </c>
      <c r="C1682" s="1" t="s">
        <v>1652</v>
      </c>
      <c r="D1682" s="1">
        <v>81</v>
      </c>
      <c r="E1682" s="1">
        <v>68</v>
      </c>
      <c r="F1682" s="1">
        <v>0.85</v>
      </c>
      <c r="G1682" s="1">
        <v>20260326</v>
      </c>
      <c r="H1682" t="b">
        <f t="shared" si="27"/>
        <v>0</v>
      </c>
      <c r="I1682" t="str" cm="1">
        <f t="array" ref="I1682">GET_TICKER_FINAL(C1682)</f>
        <v/>
      </c>
      <c r="J1682" s="5" t="s">
        <v>1792</v>
      </c>
    </row>
    <row r="1683" spans="1:10">
      <c r="A1683">
        <v>1682</v>
      </c>
      <c r="B1683" s="1" t="s">
        <v>1376</v>
      </c>
      <c r="C1683" s="1" t="s">
        <v>1653</v>
      </c>
      <c r="D1683" s="1">
        <v>80</v>
      </c>
      <c r="E1683" s="1">
        <v>35</v>
      </c>
      <c r="F1683" s="1">
        <v>0.83</v>
      </c>
      <c r="G1683" s="1">
        <v>20260323</v>
      </c>
      <c r="H1683" t="b">
        <f t="shared" si="27"/>
        <v>0</v>
      </c>
      <c r="I1683" t="str" cm="1">
        <f t="array" ref="I1683">GET_TICKER_FINAL(C1683)</f>
        <v/>
      </c>
      <c r="J1683" s="5" t="s">
        <v>16</v>
      </c>
    </row>
    <row r="1684" spans="1:10">
      <c r="A1684">
        <v>1683</v>
      </c>
      <c r="B1684" s="1" t="s">
        <v>1376</v>
      </c>
      <c r="C1684" s="1" t="s">
        <v>1654</v>
      </c>
      <c r="D1684" s="1">
        <v>77</v>
      </c>
      <c r="E1684" s="1">
        <v>73</v>
      </c>
      <c r="F1684" s="1">
        <v>0.68</v>
      </c>
      <c r="G1684" s="1">
        <v>20260331</v>
      </c>
      <c r="H1684" t="b">
        <f t="shared" si="27"/>
        <v>0</v>
      </c>
      <c r="I1684" t="str" cm="1">
        <f t="array" ref="I1684">GET_TICKER_FINAL(C1684)</f>
        <v/>
      </c>
      <c r="J1684" s="5" t="s">
        <v>16</v>
      </c>
    </row>
    <row r="1685" spans="1:10">
      <c r="A1685">
        <v>1684</v>
      </c>
      <c r="B1685" s="1" t="s">
        <v>1376</v>
      </c>
      <c r="C1685" s="1" t="s">
        <v>1655</v>
      </c>
      <c r="D1685" s="1">
        <v>77</v>
      </c>
      <c r="E1685" s="1">
        <v>14</v>
      </c>
      <c r="F1685" s="1">
        <v>0.93</v>
      </c>
      <c r="G1685" s="1">
        <v>20260324</v>
      </c>
      <c r="H1685" t="b">
        <f t="shared" si="27"/>
        <v>0</v>
      </c>
      <c r="I1685" t="str" cm="1">
        <f t="array" ref="I1685">GET_TICKER_FINAL(C1685)</f>
        <v/>
      </c>
      <c r="J1685" s="5" t="s">
        <v>1792</v>
      </c>
    </row>
    <row r="1686" spans="1:10">
      <c r="A1686">
        <v>1685</v>
      </c>
      <c r="B1686" s="1" t="s">
        <v>1376</v>
      </c>
      <c r="C1686" s="1" t="s">
        <v>1656</v>
      </c>
      <c r="D1686" s="1">
        <v>75</v>
      </c>
      <c r="E1686" s="1">
        <v>35</v>
      </c>
      <c r="F1686" s="1">
        <v>0.89</v>
      </c>
      <c r="G1686" s="1">
        <v>20260401</v>
      </c>
      <c r="H1686" t="b">
        <f t="shared" si="27"/>
        <v>0</v>
      </c>
      <c r="I1686" t="str" cm="1">
        <f t="array" ref="I1686">GET_TICKER_FINAL(C1686)</f>
        <v>NVDA</v>
      </c>
      <c r="J1686" s="5" t="s">
        <v>25</v>
      </c>
    </row>
    <row r="1687" spans="1:10">
      <c r="A1687">
        <v>1686</v>
      </c>
      <c r="B1687" s="1" t="s">
        <v>1376</v>
      </c>
      <c r="C1687" s="1" t="s">
        <v>1657</v>
      </c>
      <c r="D1687" s="1">
        <v>73</v>
      </c>
      <c r="E1687" s="1">
        <v>55</v>
      </c>
      <c r="F1687" s="1">
        <v>0.83</v>
      </c>
      <c r="G1687" s="1">
        <v>20260326</v>
      </c>
      <c r="H1687" t="b">
        <f t="shared" si="27"/>
        <v>0</v>
      </c>
      <c r="I1687" t="str" cm="1">
        <f t="array" ref="I1687">GET_TICKER_FINAL(C1687)</f>
        <v/>
      </c>
      <c r="J1687" s="5" t="s">
        <v>1792</v>
      </c>
    </row>
    <row r="1688" spans="1:10">
      <c r="A1688">
        <v>1687</v>
      </c>
      <c r="B1688" s="1" t="s">
        <v>1376</v>
      </c>
      <c r="C1688" s="1" t="s">
        <v>1658</v>
      </c>
      <c r="D1688" s="1">
        <v>72</v>
      </c>
      <c r="E1688" s="1">
        <v>20</v>
      </c>
      <c r="F1688" s="1">
        <v>0.88</v>
      </c>
      <c r="G1688" s="1">
        <v>20260320</v>
      </c>
      <c r="H1688" t="b">
        <f t="shared" si="27"/>
        <v>0</v>
      </c>
      <c r="I1688" t="str" cm="1">
        <f t="array" ref="I1688">GET_TICKER_FINAL(C1688)</f>
        <v/>
      </c>
      <c r="J1688" s="5" t="s">
        <v>1792</v>
      </c>
    </row>
    <row r="1689" spans="1:10">
      <c r="A1689">
        <v>1688</v>
      </c>
      <c r="B1689" s="1" t="s">
        <v>1376</v>
      </c>
      <c r="C1689" s="1" t="s">
        <v>1659</v>
      </c>
      <c r="D1689" s="1">
        <v>72</v>
      </c>
      <c r="E1689" s="1">
        <v>34</v>
      </c>
      <c r="F1689" s="1">
        <v>0.82</v>
      </c>
      <c r="G1689" s="1">
        <v>20260326</v>
      </c>
      <c r="H1689" t="b">
        <f t="shared" si="27"/>
        <v>1</v>
      </c>
      <c r="I1689" t="str" cm="1">
        <f t="array" ref="I1689">GET_TICKER_FINAL(C1689)</f>
        <v/>
      </c>
      <c r="J1689" s="5" t="s">
        <v>1792</v>
      </c>
    </row>
    <row r="1690" spans="1:10">
      <c r="A1690">
        <v>1689</v>
      </c>
      <c r="B1690" s="1" t="s">
        <v>1376</v>
      </c>
      <c r="C1690" s="1" t="s">
        <v>1660</v>
      </c>
      <c r="D1690" s="1">
        <v>71</v>
      </c>
      <c r="E1690" s="1">
        <v>52</v>
      </c>
      <c r="F1690" s="1">
        <v>0.82</v>
      </c>
      <c r="G1690" s="1">
        <v>20260331</v>
      </c>
      <c r="H1690" t="b">
        <f t="shared" si="27"/>
        <v>0</v>
      </c>
      <c r="I1690" t="str" cm="1">
        <f t="array" ref="I1690">GET_TICKER_FINAL(C1690)</f>
        <v/>
      </c>
      <c r="J1690" s="5" t="s">
        <v>16</v>
      </c>
    </row>
    <row r="1691" spans="1:10">
      <c r="A1691">
        <v>1690</v>
      </c>
      <c r="B1691" s="1" t="s">
        <v>1376</v>
      </c>
      <c r="C1691" s="1" t="s">
        <v>1661</v>
      </c>
      <c r="D1691" s="1">
        <v>68</v>
      </c>
      <c r="E1691" s="1">
        <v>128</v>
      </c>
      <c r="F1691" s="1">
        <v>0.82</v>
      </c>
      <c r="G1691" s="1">
        <v>20260326</v>
      </c>
      <c r="H1691" t="b">
        <f t="shared" si="27"/>
        <v>1</v>
      </c>
      <c r="I1691" t="str" cm="1">
        <f t="array" ref="I1691">GET_TICKER_FINAL(C1691)</f>
        <v>USO</v>
      </c>
      <c r="J1691" s="5" t="s">
        <v>1792</v>
      </c>
    </row>
    <row r="1692" spans="1:10">
      <c r="A1692">
        <v>1691</v>
      </c>
      <c r="B1692" s="1" t="s">
        <v>1376</v>
      </c>
      <c r="C1692" s="1" t="s">
        <v>1662</v>
      </c>
      <c r="D1692" s="1">
        <v>67</v>
      </c>
      <c r="E1692" s="1">
        <v>22</v>
      </c>
      <c r="F1692" s="1">
        <v>0.86</v>
      </c>
      <c r="G1692" s="1">
        <v>20260324</v>
      </c>
      <c r="H1692" t="b">
        <f t="shared" si="27"/>
        <v>0</v>
      </c>
      <c r="I1692" t="str" cm="1">
        <f t="array" ref="I1692">GET_TICKER_FINAL(C1692)</f>
        <v/>
      </c>
      <c r="J1692" s="5" t="s">
        <v>25</v>
      </c>
    </row>
    <row r="1693" spans="1:10">
      <c r="A1693">
        <v>1692</v>
      </c>
      <c r="B1693" s="1" t="s">
        <v>1376</v>
      </c>
      <c r="C1693" s="1" t="s">
        <v>1663</v>
      </c>
      <c r="D1693" s="1">
        <v>66</v>
      </c>
      <c r="E1693" s="1">
        <v>27</v>
      </c>
      <c r="F1693" s="1">
        <v>0.89</v>
      </c>
      <c r="G1693" s="1">
        <v>20260320</v>
      </c>
      <c r="H1693" t="b">
        <f t="shared" si="27"/>
        <v>0</v>
      </c>
      <c r="I1693" t="str" cm="1">
        <f t="array" ref="I1693">GET_TICKER_FINAL(C1693)</f>
        <v>MU</v>
      </c>
      <c r="J1693" s="5" t="s">
        <v>25</v>
      </c>
    </row>
    <row r="1694" spans="1:10">
      <c r="A1694">
        <v>1693</v>
      </c>
      <c r="B1694" s="1" t="s">
        <v>1376</v>
      </c>
      <c r="C1694" s="3" t="s">
        <v>1664</v>
      </c>
      <c r="D1694" s="1">
        <v>66</v>
      </c>
      <c r="E1694" s="1">
        <v>29</v>
      </c>
      <c r="F1694" s="1">
        <v>0.86</v>
      </c>
      <c r="G1694" s="1">
        <v>20260323</v>
      </c>
      <c r="H1694" t="b">
        <f t="shared" si="27"/>
        <v>0</v>
      </c>
      <c r="I1694" t="str" cm="1">
        <f t="array" ref="I1694">GET_TICKER_FINAL(C1694)</f>
        <v>MU</v>
      </c>
      <c r="J1694" s="5" t="s">
        <v>25</v>
      </c>
    </row>
    <row r="1695" spans="1:10">
      <c r="A1695">
        <v>1694</v>
      </c>
      <c r="B1695" s="1" t="s">
        <v>1376</v>
      </c>
      <c r="C1695" s="1" t="s">
        <v>1665</v>
      </c>
      <c r="D1695" s="1">
        <v>65</v>
      </c>
      <c r="E1695" s="1">
        <v>22</v>
      </c>
      <c r="F1695" s="1">
        <v>0.91</v>
      </c>
      <c r="G1695" s="1">
        <v>20260330</v>
      </c>
      <c r="H1695" t="b">
        <f t="shared" si="27"/>
        <v>0</v>
      </c>
      <c r="I1695" t="str" cm="1">
        <f t="array" ref="I1695">GET_TICKER_FINAL(C1695)</f>
        <v/>
      </c>
      <c r="J1695" s="5" t="s">
        <v>16</v>
      </c>
    </row>
    <row r="1696" spans="1:10">
      <c r="A1696">
        <v>1695</v>
      </c>
      <c r="B1696" s="1" t="s">
        <v>1376</v>
      </c>
      <c r="C1696" s="1" t="s">
        <v>1666</v>
      </c>
      <c r="D1696" s="1">
        <v>65</v>
      </c>
      <c r="E1696" s="1">
        <v>26</v>
      </c>
      <c r="F1696" s="1">
        <v>0.87</v>
      </c>
      <c r="G1696" s="1">
        <v>20260324</v>
      </c>
      <c r="H1696" t="b">
        <f t="shared" si="27"/>
        <v>0</v>
      </c>
      <c r="I1696" t="str" cm="1">
        <f t="array" ref="I1696">GET_TICKER_FINAL(C1696)</f>
        <v/>
      </c>
      <c r="J1696" s="5" t="s">
        <v>16</v>
      </c>
    </row>
    <row r="1697" spans="1:10">
      <c r="A1697">
        <v>1696</v>
      </c>
      <c r="B1697" s="1" t="s">
        <v>1376</v>
      </c>
      <c r="C1697" s="1" t="s">
        <v>1667</v>
      </c>
      <c r="D1697" s="1">
        <v>64</v>
      </c>
      <c r="E1697" s="1">
        <v>15</v>
      </c>
      <c r="F1697" s="1">
        <v>0.88</v>
      </c>
      <c r="G1697" s="1">
        <v>20260327</v>
      </c>
      <c r="H1697" t="b">
        <f t="shared" si="27"/>
        <v>0</v>
      </c>
      <c r="I1697" t="str" cm="1">
        <f t="array" ref="I1697">GET_TICKER_FINAL(C1697)</f>
        <v>SPY</v>
      </c>
      <c r="J1697" s="5" t="s">
        <v>1792</v>
      </c>
    </row>
    <row r="1698" spans="1:10">
      <c r="A1698">
        <v>1697</v>
      </c>
      <c r="B1698" s="1" t="s">
        <v>1376</v>
      </c>
      <c r="C1698" s="1" t="s">
        <v>1668</v>
      </c>
      <c r="D1698" s="1">
        <v>64</v>
      </c>
      <c r="E1698" s="1">
        <v>20</v>
      </c>
      <c r="F1698" s="1">
        <v>0.86</v>
      </c>
      <c r="G1698" s="1">
        <v>20260402</v>
      </c>
      <c r="H1698" t="b">
        <f t="shared" si="27"/>
        <v>0</v>
      </c>
      <c r="I1698" t="str" cm="1">
        <f t="array" ref="I1698">GET_TICKER_FINAL(C1698)</f>
        <v/>
      </c>
      <c r="J1698" s="5" t="s">
        <v>16</v>
      </c>
    </row>
    <row r="1699" spans="1:10">
      <c r="A1699">
        <v>1698</v>
      </c>
      <c r="B1699" s="1" t="s">
        <v>1376</v>
      </c>
      <c r="C1699" s="1" t="s">
        <v>1669</v>
      </c>
      <c r="D1699" s="1">
        <v>63</v>
      </c>
      <c r="E1699" s="1">
        <v>85</v>
      </c>
      <c r="F1699" s="1">
        <v>0.74</v>
      </c>
      <c r="G1699" s="1">
        <v>20260327</v>
      </c>
      <c r="H1699" t="b">
        <f t="shared" si="27"/>
        <v>0</v>
      </c>
      <c r="I1699" t="str" cm="1">
        <f t="array" ref="I1699">GET_TICKER_FINAL(C1699)</f>
        <v>SOFI</v>
      </c>
      <c r="J1699" s="5" t="s">
        <v>25</v>
      </c>
    </row>
    <row r="1700" spans="1:10">
      <c r="A1700">
        <v>1699</v>
      </c>
      <c r="B1700" s="1" t="s">
        <v>1376</v>
      </c>
      <c r="C1700" s="1" t="s">
        <v>1670</v>
      </c>
      <c r="D1700" s="1">
        <v>63</v>
      </c>
      <c r="E1700" s="1">
        <v>36</v>
      </c>
      <c r="F1700" s="1">
        <v>0.88</v>
      </c>
      <c r="G1700" s="1">
        <v>20260402</v>
      </c>
      <c r="H1700" t="b">
        <f t="shared" si="27"/>
        <v>0</v>
      </c>
      <c r="I1700" t="str" cm="1">
        <f t="array" ref="I1700">GET_TICKER_FINAL(C1700)</f>
        <v/>
      </c>
      <c r="J1700" s="5" t="s">
        <v>16</v>
      </c>
    </row>
    <row r="1701" spans="1:10">
      <c r="A1701">
        <v>1700</v>
      </c>
      <c r="B1701" s="1" t="s">
        <v>1376</v>
      </c>
      <c r="C1701" s="1" t="s">
        <v>1671</v>
      </c>
      <c r="D1701" s="1">
        <v>61</v>
      </c>
      <c r="E1701" s="1">
        <v>50</v>
      </c>
      <c r="F1701" s="1">
        <v>0.9</v>
      </c>
      <c r="G1701" s="1">
        <v>20260402</v>
      </c>
      <c r="H1701" t="b">
        <f t="shared" si="27"/>
        <v>1</v>
      </c>
      <c r="I1701" t="str" cm="1">
        <f t="array" ref="I1701">GET_TICKER_FINAL(C1701)</f>
        <v/>
      </c>
      <c r="J1701" s="5" t="s">
        <v>1792</v>
      </c>
    </row>
    <row r="1702" spans="1:10">
      <c r="A1702">
        <v>1701</v>
      </c>
      <c r="B1702" s="1" t="s">
        <v>1376</v>
      </c>
      <c r="C1702" s="1" t="s">
        <v>1672</v>
      </c>
      <c r="D1702" s="1">
        <v>60</v>
      </c>
      <c r="E1702" s="1">
        <v>33</v>
      </c>
      <c r="F1702" s="1">
        <v>0.85</v>
      </c>
      <c r="G1702" s="1">
        <v>20260401</v>
      </c>
      <c r="H1702" t="b">
        <f t="shared" si="27"/>
        <v>0</v>
      </c>
      <c r="I1702" t="str" cm="1">
        <f t="array" ref="I1702">GET_TICKER_FINAL(C1702)</f>
        <v/>
      </c>
      <c r="J1702" s="5" t="s">
        <v>16</v>
      </c>
    </row>
    <row r="1703" spans="1:10">
      <c r="A1703">
        <v>1702</v>
      </c>
      <c r="B1703" s="1" t="s">
        <v>1376</v>
      </c>
      <c r="C1703" s="1" t="s">
        <v>1673</v>
      </c>
      <c r="D1703" s="1">
        <v>59</v>
      </c>
      <c r="E1703" s="1">
        <v>97</v>
      </c>
      <c r="F1703" s="1">
        <v>0.87</v>
      </c>
      <c r="G1703" s="1">
        <v>20260323</v>
      </c>
      <c r="H1703" t="b">
        <f t="shared" si="27"/>
        <v>0</v>
      </c>
      <c r="I1703" t="str" cm="1">
        <f t="array" ref="I1703">GET_TICKER_FINAL(C1703)</f>
        <v/>
      </c>
      <c r="J1703" s="5" t="s">
        <v>16</v>
      </c>
    </row>
    <row r="1704" spans="1:10">
      <c r="A1704">
        <v>1703</v>
      </c>
      <c r="B1704" s="1" t="s">
        <v>1376</v>
      </c>
      <c r="C1704" s="1" t="s">
        <v>1674</v>
      </c>
      <c r="D1704" s="1">
        <v>59</v>
      </c>
      <c r="E1704" s="1">
        <v>27</v>
      </c>
      <c r="F1704" s="1">
        <v>0.84</v>
      </c>
      <c r="G1704" s="1">
        <v>20260402</v>
      </c>
      <c r="H1704" t="b">
        <f t="shared" si="27"/>
        <v>0</v>
      </c>
      <c r="I1704" t="str" cm="1">
        <f t="array" ref="I1704">GET_TICKER_FINAL(C1704)</f>
        <v>SNAP</v>
      </c>
      <c r="J1704" s="5" t="s">
        <v>25</v>
      </c>
    </row>
    <row r="1705" spans="1:10">
      <c r="A1705">
        <v>1704</v>
      </c>
      <c r="B1705" s="1" t="s">
        <v>1376</v>
      </c>
      <c r="C1705" s="1" t="s">
        <v>1675</v>
      </c>
      <c r="D1705" s="1">
        <v>59</v>
      </c>
      <c r="E1705" s="1">
        <v>78</v>
      </c>
      <c r="F1705" s="1">
        <v>0.83</v>
      </c>
      <c r="G1705" s="1">
        <v>20260331</v>
      </c>
      <c r="H1705" t="b">
        <f t="shared" si="27"/>
        <v>0</v>
      </c>
      <c r="I1705" t="str" cm="1">
        <f t="array" ref="I1705">GET_TICKER_FINAL(C1705)</f>
        <v/>
      </c>
      <c r="J1705" s="5" t="s">
        <v>25</v>
      </c>
    </row>
    <row r="1706" spans="1:10">
      <c r="A1706">
        <v>1705</v>
      </c>
      <c r="B1706" s="1" t="s">
        <v>1376</v>
      </c>
      <c r="C1706" s="1" t="s">
        <v>1676</v>
      </c>
      <c r="D1706" s="1">
        <v>58</v>
      </c>
      <c r="E1706" s="1">
        <v>19</v>
      </c>
      <c r="F1706" s="1">
        <v>0.84</v>
      </c>
      <c r="G1706" s="1">
        <v>20260327</v>
      </c>
      <c r="H1706" t="b">
        <f t="shared" si="27"/>
        <v>0</v>
      </c>
      <c r="I1706" t="str" cm="1">
        <f t="array" ref="I1706">GET_TICKER_FINAL(C1706)</f>
        <v>SPY</v>
      </c>
      <c r="J1706" s="5" t="s">
        <v>16</v>
      </c>
    </row>
    <row r="1707" spans="1:10">
      <c r="A1707">
        <v>1706</v>
      </c>
      <c r="B1707" s="1" t="s">
        <v>1376</v>
      </c>
      <c r="C1707" s="1" t="s">
        <v>1677</v>
      </c>
      <c r="D1707" s="1">
        <v>57</v>
      </c>
      <c r="E1707" s="1">
        <v>35</v>
      </c>
      <c r="F1707" s="1">
        <v>0.93</v>
      </c>
      <c r="G1707" s="1">
        <v>20260402</v>
      </c>
      <c r="H1707" t="b">
        <f t="shared" si="27"/>
        <v>0</v>
      </c>
      <c r="I1707" t="str" cm="1">
        <f t="array" ref="I1707">GET_TICKER_FINAL(C1707)</f>
        <v/>
      </c>
      <c r="J1707" s="5" t="s">
        <v>1792</v>
      </c>
    </row>
    <row r="1708" spans="1:10">
      <c r="A1708">
        <v>1707</v>
      </c>
      <c r="B1708" s="1" t="s">
        <v>1376</v>
      </c>
      <c r="C1708" s="1" t="s">
        <v>1678</v>
      </c>
      <c r="D1708" s="1">
        <v>56</v>
      </c>
      <c r="E1708" s="1">
        <v>21</v>
      </c>
      <c r="F1708" s="1">
        <v>0.93</v>
      </c>
      <c r="G1708" s="1">
        <v>20260323</v>
      </c>
      <c r="H1708" t="b">
        <f t="shared" si="27"/>
        <v>0</v>
      </c>
      <c r="I1708" t="str" cm="1">
        <f t="array" ref="I1708">GET_TICKER_FINAL(C1708)</f>
        <v>SPY</v>
      </c>
      <c r="J1708" s="5" t="s">
        <v>25</v>
      </c>
    </row>
    <row r="1709" spans="1:10">
      <c r="A1709">
        <v>1708</v>
      </c>
      <c r="B1709" s="1" t="s">
        <v>1376</v>
      </c>
      <c r="C1709" s="1" t="s">
        <v>1679</v>
      </c>
      <c r="D1709" s="1">
        <v>56</v>
      </c>
      <c r="E1709" s="1">
        <v>28</v>
      </c>
      <c r="F1709" s="1">
        <v>0.82</v>
      </c>
      <c r="G1709" s="1">
        <v>20260330</v>
      </c>
      <c r="H1709" t="b">
        <f t="shared" si="27"/>
        <v>0</v>
      </c>
      <c r="I1709" t="str" cm="1">
        <f t="array" ref="I1709">GET_TICKER_FINAL(C1709)</f>
        <v/>
      </c>
      <c r="J1709" s="5" t="s">
        <v>25</v>
      </c>
    </row>
    <row r="1710" spans="1:10">
      <c r="A1710">
        <v>1709</v>
      </c>
      <c r="B1710" s="1" t="s">
        <v>1376</v>
      </c>
      <c r="C1710" s="1" t="s">
        <v>1680</v>
      </c>
      <c r="D1710" s="1">
        <v>53</v>
      </c>
      <c r="E1710" s="1">
        <v>45</v>
      </c>
      <c r="F1710" s="1">
        <v>0.81</v>
      </c>
      <c r="G1710" s="1">
        <v>20260402</v>
      </c>
      <c r="H1710" t="b">
        <f t="shared" si="27"/>
        <v>0</v>
      </c>
      <c r="I1710" t="str" cm="1">
        <f t="array" ref="I1710">GET_TICKER_FINAL(C1710)</f>
        <v/>
      </c>
      <c r="J1710" s="5" t="s">
        <v>25</v>
      </c>
    </row>
    <row r="1711" spans="1:10">
      <c r="A1711">
        <v>1710</v>
      </c>
      <c r="B1711" s="1" t="s">
        <v>1376</v>
      </c>
      <c r="C1711" s="1" t="s">
        <v>1681</v>
      </c>
      <c r="D1711" s="1">
        <v>53</v>
      </c>
      <c r="E1711" s="1">
        <v>30</v>
      </c>
      <c r="F1711" s="1">
        <v>0.86</v>
      </c>
      <c r="G1711" s="1">
        <v>20260330</v>
      </c>
      <c r="H1711" t="b">
        <f t="shared" si="27"/>
        <v>0</v>
      </c>
      <c r="I1711" t="str" cm="1">
        <f t="array" ref="I1711">GET_TICKER_FINAL(C1711)</f>
        <v/>
      </c>
      <c r="J1711" s="5" t="s">
        <v>25</v>
      </c>
    </row>
    <row r="1712" spans="1:10">
      <c r="A1712">
        <v>1711</v>
      </c>
      <c r="B1712" s="1" t="s">
        <v>1376</v>
      </c>
      <c r="C1712" s="1" t="s">
        <v>1682</v>
      </c>
      <c r="D1712" s="1">
        <v>52</v>
      </c>
      <c r="E1712" s="1">
        <v>14</v>
      </c>
      <c r="F1712" s="1">
        <v>0.74</v>
      </c>
      <c r="G1712" s="1">
        <v>20260326</v>
      </c>
      <c r="H1712" t="b">
        <f t="shared" si="27"/>
        <v>0</v>
      </c>
      <c r="I1712" t="str" cm="1">
        <f t="array" ref="I1712">GET_TICKER_FINAL(C1712)</f>
        <v/>
      </c>
      <c r="J1712" s="5" t="s">
        <v>1792</v>
      </c>
    </row>
    <row r="1713" spans="1:10">
      <c r="A1713">
        <v>1712</v>
      </c>
      <c r="B1713" s="1" t="s">
        <v>1376</v>
      </c>
      <c r="C1713" s="1" t="s">
        <v>1683</v>
      </c>
      <c r="D1713" s="1">
        <v>52</v>
      </c>
      <c r="E1713" s="1">
        <v>59</v>
      </c>
      <c r="F1713" s="1">
        <v>0.84</v>
      </c>
      <c r="G1713" s="1">
        <v>20260327</v>
      </c>
      <c r="H1713" t="b">
        <f t="shared" si="27"/>
        <v>0</v>
      </c>
      <c r="I1713" t="str" cm="1">
        <f t="array" ref="I1713">GET_TICKER_FINAL(C1713)</f>
        <v/>
      </c>
      <c r="J1713" s="5" t="s">
        <v>25</v>
      </c>
    </row>
    <row r="1714" spans="1:10">
      <c r="A1714">
        <v>1713</v>
      </c>
      <c r="B1714" s="1" t="s">
        <v>1376</v>
      </c>
      <c r="C1714" s="1" t="s">
        <v>527</v>
      </c>
      <c r="D1714" s="1">
        <v>50</v>
      </c>
      <c r="E1714" s="1">
        <v>20</v>
      </c>
      <c r="F1714" s="1">
        <v>0.88</v>
      </c>
      <c r="G1714" s="1">
        <v>20260401</v>
      </c>
      <c r="H1714" t="b">
        <f t="shared" si="27"/>
        <v>0</v>
      </c>
      <c r="I1714" t="str" cm="1">
        <f t="array" ref="I1714">GET_TICKER_FINAL(C1714)</f>
        <v/>
      </c>
      <c r="J1714" s="5" t="s">
        <v>1792</v>
      </c>
    </row>
    <row r="1715" spans="1:10">
      <c r="A1715">
        <v>1714</v>
      </c>
      <c r="B1715" s="1" t="s">
        <v>1376</v>
      </c>
      <c r="C1715" s="1" t="s">
        <v>1684</v>
      </c>
      <c r="D1715" s="1">
        <v>49</v>
      </c>
      <c r="E1715" s="1">
        <v>28</v>
      </c>
      <c r="F1715" s="1">
        <v>0.86</v>
      </c>
      <c r="G1715" s="1">
        <v>20260331</v>
      </c>
      <c r="H1715" t="b">
        <f t="shared" si="27"/>
        <v>1</v>
      </c>
      <c r="I1715" t="str" cm="1">
        <f t="array" ref="I1715">GET_TICKER_FINAL(C1715)</f>
        <v/>
      </c>
      <c r="J1715" s="5" t="s">
        <v>1792</v>
      </c>
    </row>
    <row r="1716" spans="1:10">
      <c r="A1716">
        <v>1715</v>
      </c>
      <c r="B1716" s="1" t="s">
        <v>1376</v>
      </c>
      <c r="C1716" s="1" t="s">
        <v>1685</v>
      </c>
      <c r="D1716" s="1">
        <v>48</v>
      </c>
      <c r="E1716" s="1">
        <v>23</v>
      </c>
      <c r="F1716" s="1">
        <v>0.68</v>
      </c>
      <c r="G1716" s="1">
        <v>20260324</v>
      </c>
      <c r="H1716" t="b">
        <f t="shared" si="27"/>
        <v>0</v>
      </c>
      <c r="I1716" t="str" cm="1">
        <f t="array" ref="I1716">GET_TICKER_FINAL(C1716)</f>
        <v/>
      </c>
      <c r="J1716" s="5" t="s">
        <v>1792</v>
      </c>
    </row>
    <row r="1717" spans="1:10">
      <c r="A1717">
        <v>1716</v>
      </c>
      <c r="B1717" s="1" t="s">
        <v>1376</v>
      </c>
      <c r="C1717" s="1" t="s">
        <v>1686</v>
      </c>
      <c r="D1717" s="1">
        <v>48</v>
      </c>
      <c r="E1717" s="1">
        <v>10</v>
      </c>
      <c r="F1717" s="1">
        <v>0.89</v>
      </c>
      <c r="G1717" s="1">
        <v>20260402</v>
      </c>
      <c r="H1717" t="b">
        <f t="shared" si="27"/>
        <v>0</v>
      </c>
      <c r="I1717" t="str" cm="1">
        <f t="array" ref="I1717">GET_TICKER_FINAL(C1717)</f>
        <v/>
      </c>
      <c r="J1717" s="5" t="s">
        <v>1792</v>
      </c>
    </row>
    <row r="1718" spans="1:10">
      <c r="A1718">
        <v>1717</v>
      </c>
      <c r="B1718" s="1" t="s">
        <v>1376</v>
      </c>
      <c r="C1718" s="1" t="s">
        <v>1687</v>
      </c>
      <c r="D1718" s="1">
        <v>48</v>
      </c>
      <c r="E1718" s="1">
        <v>52</v>
      </c>
      <c r="F1718" s="1">
        <v>0.72</v>
      </c>
      <c r="G1718" s="1">
        <v>20260327</v>
      </c>
      <c r="H1718" t="b">
        <f t="shared" si="27"/>
        <v>0</v>
      </c>
      <c r="I1718" t="str" cm="1">
        <f t="array" ref="I1718">GET_TICKER_FINAL(C1718)</f>
        <v/>
      </c>
      <c r="J1718" s="5" t="s">
        <v>25</v>
      </c>
    </row>
    <row r="1719" spans="1:10">
      <c r="A1719">
        <v>1718</v>
      </c>
      <c r="B1719" s="1" t="s">
        <v>1376</v>
      </c>
      <c r="C1719" s="1" t="s">
        <v>1688</v>
      </c>
      <c r="D1719" s="1">
        <v>48</v>
      </c>
      <c r="E1719" s="1">
        <v>58</v>
      </c>
      <c r="F1719" s="1">
        <v>0.79</v>
      </c>
      <c r="G1719" s="1">
        <v>20260331</v>
      </c>
      <c r="H1719" t="b">
        <f t="shared" si="27"/>
        <v>0</v>
      </c>
      <c r="I1719" t="str" cm="1">
        <f t="array" ref="I1719">GET_TICKER_FINAL(C1719)</f>
        <v/>
      </c>
      <c r="J1719" s="5" t="s">
        <v>25</v>
      </c>
    </row>
    <row r="1720" spans="1:10">
      <c r="A1720">
        <v>1719</v>
      </c>
      <c r="B1720" s="1" t="s">
        <v>1376</v>
      </c>
      <c r="C1720" s="1" t="s">
        <v>1689</v>
      </c>
      <c r="D1720" s="1">
        <v>47</v>
      </c>
      <c r="E1720" s="1">
        <v>40</v>
      </c>
      <c r="F1720" s="1">
        <v>0.79</v>
      </c>
      <c r="G1720" s="1">
        <v>20260330</v>
      </c>
      <c r="H1720" t="b">
        <f t="shared" si="27"/>
        <v>0</v>
      </c>
      <c r="I1720" t="str" cm="1">
        <f t="array" ref="I1720">GET_TICKER_FINAL(C1720)</f>
        <v/>
      </c>
      <c r="J1720" s="5" t="s">
        <v>1792</v>
      </c>
    </row>
    <row r="1721" spans="1:10">
      <c r="A1721">
        <v>1720</v>
      </c>
      <c r="B1721" s="1" t="s">
        <v>1376</v>
      </c>
      <c r="C1721" s="1" t="s">
        <v>1690</v>
      </c>
      <c r="D1721" s="1">
        <v>47</v>
      </c>
      <c r="E1721" s="1">
        <v>49</v>
      </c>
      <c r="F1721" s="1">
        <v>0.91</v>
      </c>
      <c r="G1721" s="1">
        <v>20260401</v>
      </c>
      <c r="H1721" t="b">
        <f t="shared" si="27"/>
        <v>0</v>
      </c>
      <c r="I1721" t="str" cm="1">
        <f t="array" ref="I1721">GET_TICKER_FINAL(C1721)</f>
        <v>UBER</v>
      </c>
      <c r="J1721" s="5" t="s">
        <v>16</v>
      </c>
    </row>
    <row r="1722" spans="1:10">
      <c r="A1722">
        <v>1721</v>
      </c>
      <c r="B1722" s="1" t="s">
        <v>1376</v>
      </c>
      <c r="C1722" s="1" t="s">
        <v>1691</v>
      </c>
      <c r="D1722" s="1">
        <v>46</v>
      </c>
      <c r="E1722" s="1">
        <v>7</v>
      </c>
      <c r="F1722" s="1">
        <v>0.87</v>
      </c>
      <c r="G1722" s="1">
        <v>20260323</v>
      </c>
      <c r="H1722" t="b">
        <f t="shared" si="27"/>
        <v>1</v>
      </c>
      <c r="I1722" t="str" cm="1">
        <f t="array" ref="I1722">GET_TICKER_FINAL(C1722)</f>
        <v/>
      </c>
      <c r="J1722" s="5" t="s">
        <v>25</v>
      </c>
    </row>
    <row r="1723" spans="1:10">
      <c r="A1723">
        <v>1722</v>
      </c>
      <c r="B1723" s="1" t="s">
        <v>1376</v>
      </c>
      <c r="C1723" s="1" t="s">
        <v>1692</v>
      </c>
      <c r="D1723" s="1">
        <v>43</v>
      </c>
      <c r="E1723" s="1">
        <v>9</v>
      </c>
      <c r="F1723" s="1">
        <v>0.85</v>
      </c>
      <c r="G1723" s="1">
        <v>20260320</v>
      </c>
      <c r="H1723" t="b">
        <f t="shared" si="27"/>
        <v>0</v>
      </c>
      <c r="I1723" t="str" cm="1">
        <f t="array" ref="I1723">GET_TICKER_FINAL(C1723)</f>
        <v/>
      </c>
      <c r="J1723" s="5" t="s">
        <v>16</v>
      </c>
    </row>
    <row r="1724" spans="1:10">
      <c r="A1724">
        <v>1723</v>
      </c>
      <c r="B1724" s="1" t="s">
        <v>1376</v>
      </c>
      <c r="C1724" s="1" t="s">
        <v>1693</v>
      </c>
      <c r="D1724" s="1">
        <v>42</v>
      </c>
      <c r="E1724" s="1">
        <v>88</v>
      </c>
      <c r="F1724" s="1">
        <v>0.8</v>
      </c>
      <c r="G1724" s="1">
        <v>20260324</v>
      </c>
      <c r="H1724" t="b">
        <f t="shared" si="27"/>
        <v>0</v>
      </c>
      <c r="I1724" t="str" cm="1">
        <f t="array" ref="I1724">GET_TICKER_FINAL(C1724)</f>
        <v>SPY</v>
      </c>
      <c r="J1724" s="5" t="s">
        <v>1792</v>
      </c>
    </row>
    <row r="1725" spans="1:10">
      <c r="A1725">
        <v>1724</v>
      </c>
      <c r="B1725" s="1" t="s">
        <v>1376</v>
      </c>
      <c r="C1725" s="1" t="s">
        <v>1694</v>
      </c>
      <c r="D1725" s="1">
        <v>41</v>
      </c>
      <c r="E1725" s="1">
        <v>57</v>
      </c>
      <c r="F1725" s="1">
        <v>0.83</v>
      </c>
      <c r="G1725" s="1">
        <v>20260331</v>
      </c>
      <c r="H1725" t="b">
        <f t="shared" si="27"/>
        <v>0</v>
      </c>
      <c r="I1725" t="str" cm="1">
        <f t="array" ref="I1725">GET_TICKER_FINAL(C1725)</f>
        <v>AMZN</v>
      </c>
      <c r="J1725" s="5" t="s">
        <v>1792</v>
      </c>
    </row>
    <row r="1726" spans="1:10">
      <c r="A1726">
        <v>1725</v>
      </c>
      <c r="B1726" s="1" t="s">
        <v>1376</v>
      </c>
      <c r="C1726" s="1" t="s">
        <v>1695</v>
      </c>
      <c r="D1726" s="1">
        <v>41</v>
      </c>
      <c r="E1726" s="1">
        <v>75</v>
      </c>
      <c r="F1726" s="1">
        <v>0.79</v>
      </c>
      <c r="G1726" s="1">
        <v>20260323</v>
      </c>
      <c r="H1726" t="b">
        <f t="shared" si="27"/>
        <v>1</v>
      </c>
      <c r="I1726" t="str" cm="1">
        <f t="array" ref="I1726">GET_TICKER_FINAL(C1726)</f>
        <v>HD</v>
      </c>
      <c r="J1726" s="5" t="s">
        <v>16</v>
      </c>
    </row>
    <row r="1727" spans="1:10">
      <c r="A1727">
        <v>1726</v>
      </c>
      <c r="B1727" s="1" t="s">
        <v>1376</v>
      </c>
      <c r="C1727" s="1" t="s">
        <v>1696</v>
      </c>
      <c r="D1727" s="1">
        <v>40</v>
      </c>
      <c r="E1727" s="1">
        <v>14</v>
      </c>
      <c r="F1727" s="1">
        <v>0.9</v>
      </c>
      <c r="G1727" s="1">
        <v>20260326</v>
      </c>
      <c r="H1727" t="b">
        <f t="shared" si="27"/>
        <v>0</v>
      </c>
      <c r="I1727" t="str" cm="1">
        <f t="array" ref="I1727">GET_TICKER_FINAL(C1727)</f>
        <v/>
      </c>
      <c r="J1727" s="5" t="s">
        <v>1792</v>
      </c>
    </row>
    <row r="1728" spans="1:10">
      <c r="A1728">
        <v>1727</v>
      </c>
      <c r="B1728" s="1" t="s">
        <v>1376</v>
      </c>
      <c r="C1728" s="1" t="s">
        <v>1697</v>
      </c>
      <c r="D1728" s="1">
        <v>40</v>
      </c>
      <c r="E1728" s="1">
        <v>13</v>
      </c>
      <c r="F1728" s="1">
        <v>0.89</v>
      </c>
      <c r="G1728" s="1">
        <v>20260330</v>
      </c>
      <c r="H1728" t="b">
        <f t="shared" si="27"/>
        <v>0</v>
      </c>
      <c r="I1728" t="str" cm="1">
        <f t="array" ref="I1728">GET_TICKER_FINAL(C1728)</f>
        <v/>
      </c>
      <c r="J1728" s="5" t="s">
        <v>1792</v>
      </c>
    </row>
    <row r="1729" spans="1:10">
      <c r="A1729">
        <v>1728</v>
      </c>
      <c r="B1729" s="1" t="s">
        <v>1376</v>
      </c>
      <c r="C1729" s="1" t="s">
        <v>1698</v>
      </c>
      <c r="D1729" s="1">
        <v>39</v>
      </c>
      <c r="E1729" s="1">
        <v>17</v>
      </c>
      <c r="F1729" s="1">
        <v>0.86</v>
      </c>
      <c r="G1729" s="1">
        <v>20260402</v>
      </c>
      <c r="H1729" t="b">
        <f t="shared" si="27"/>
        <v>0</v>
      </c>
      <c r="I1729" t="str" cm="1">
        <f t="array" ref="I1729">GET_TICKER_FINAL(C1729)</f>
        <v/>
      </c>
      <c r="J1729" s="5" t="s">
        <v>25</v>
      </c>
    </row>
    <row r="1730" spans="1:10">
      <c r="A1730">
        <v>1729</v>
      </c>
      <c r="B1730" s="1" t="s">
        <v>1376</v>
      </c>
      <c r="C1730" s="1" t="s">
        <v>1699</v>
      </c>
      <c r="D1730" s="1">
        <v>39</v>
      </c>
      <c r="E1730" s="1">
        <v>25</v>
      </c>
      <c r="F1730" s="1">
        <v>0.85</v>
      </c>
      <c r="G1730" s="1">
        <v>20260402</v>
      </c>
      <c r="H1730" t="b">
        <f t="shared" si="27"/>
        <v>0</v>
      </c>
      <c r="I1730" t="str" cm="1">
        <f t="array" ref="I1730">GET_TICKER_FINAL(C1730)</f>
        <v>SPY</v>
      </c>
      <c r="J1730" s="5" t="s">
        <v>25</v>
      </c>
    </row>
    <row r="1731" spans="1:10">
      <c r="A1731">
        <v>1730</v>
      </c>
      <c r="B1731" s="1" t="s">
        <v>1376</v>
      </c>
      <c r="C1731" s="1" t="s">
        <v>1700</v>
      </c>
      <c r="D1731" s="1">
        <v>39</v>
      </c>
      <c r="E1731" s="1">
        <v>32</v>
      </c>
      <c r="F1731" s="1">
        <v>0.9</v>
      </c>
      <c r="G1731" s="1">
        <v>20260330</v>
      </c>
      <c r="H1731" t="b">
        <f t="shared" ref="H1731:H1794" si="28">OR(ISNUMBER(SEARCH("$A",C1731)),ISNUMBER(SEARCH("$B",C1731)),ISNUMBER(SEARCH("$C",C1731)),ISNUMBER(SEARCH("$D",C1731)),ISNUMBER(SEARCH("$E",C1731)),ISNUMBER(SEARCH("$F",C1731)),ISNUMBER(SEARCH("$G",C1731)),ISNUMBER(SEARCH("$H",C1731)),ISNUMBER(SEARCH("$I",C1731)),ISNUMBER(SEARCH("$J",C1731)),ISNUMBER(SEARCH("$K",C1731)),ISNUMBER(SEARCH("$L",C1731)),ISNUMBER(SEARCH("$M",C1731)),ISNUMBER(SEARCH("$N",C1731)),ISNUMBER(SEARCH("$O",C1731)),ISNUMBER(SEARCH("$P",C1731)),ISNUMBER(SEARCH("$Q",C1731)),ISNUMBER(SEARCH("$R",C1731)),ISNUMBER(SEARCH("$S",C1731)),ISNUMBER(SEARCH("$T",C1731)),ISNUMBER(SEARCH("$U",C1731)),ISNUMBER(SEARCH("$V",C1731)),ISNUMBER(SEARCH("$W",C1731)),ISNUMBER(SEARCH("$X",C1731)),ISNUMBER(SEARCH("$Y",C1731)),ISNUMBER(SEARCH("$Z",C1731)))</f>
        <v>0</v>
      </c>
      <c r="I1731" t="str" cm="1">
        <f t="array" ref="I1731">GET_TICKER_FINAL(C1731)</f>
        <v>USO</v>
      </c>
      <c r="J1731" s="5" t="s">
        <v>16</v>
      </c>
    </row>
    <row r="1732" spans="1:10">
      <c r="A1732">
        <v>1731</v>
      </c>
      <c r="B1732" s="1" t="s">
        <v>1376</v>
      </c>
      <c r="C1732" s="1" t="s">
        <v>1701</v>
      </c>
      <c r="D1732" s="1">
        <v>39</v>
      </c>
      <c r="E1732" s="1">
        <v>10</v>
      </c>
      <c r="F1732" s="1">
        <v>0.83</v>
      </c>
      <c r="G1732" s="1">
        <v>20260401</v>
      </c>
      <c r="H1732" t="b">
        <f t="shared" si="28"/>
        <v>0</v>
      </c>
      <c r="I1732" t="str" cm="1">
        <f t="array" ref="I1732">GET_TICKER_FINAL(C1732)</f>
        <v/>
      </c>
      <c r="J1732" s="5" t="s">
        <v>16</v>
      </c>
    </row>
    <row r="1733" spans="1:10">
      <c r="A1733">
        <v>1732</v>
      </c>
      <c r="B1733" s="1" t="s">
        <v>1376</v>
      </c>
      <c r="C1733" s="1" t="s">
        <v>1702</v>
      </c>
      <c r="D1733" s="1">
        <v>39</v>
      </c>
      <c r="E1733" s="1">
        <v>97</v>
      </c>
      <c r="F1733" s="1">
        <v>0.7</v>
      </c>
      <c r="G1733" s="1">
        <v>20260324</v>
      </c>
      <c r="H1733" t="b">
        <f t="shared" si="28"/>
        <v>0</v>
      </c>
      <c r="I1733" t="str" cm="1">
        <f t="array" ref="I1733">GET_TICKER_FINAL(C1733)</f>
        <v>SMCI</v>
      </c>
      <c r="J1733" s="5" t="s">
        <v>25</v>
      </c>
    </row>
    <row r="1734" spans="1:10">
      <c r="A1734">
        <v>1733</v>
      </c>
      <c r="B1734" s="1" t="s">
        <v>1376</v>
      </c>
      <c r="C1734" s="1" t="s">
        <v>1703</v>
      </c>
      <c r="D1734" s="1">
        <v>39</v>
      </c>
      <c r="E1734" s="1">
        <v>40</v>
      </c>
      <c r="F1734" s="1">
        <v>0.82</v>
      </c>
      <c r="G1734" s="1">
        <v>20260327</v>
      </c>
      <c r="H1734" t="b">
        <f t="shared" si="28"/>
        <v>1</v>
      </c>
      <c r="I1734" t="str" cm="1">
        <f t="array" ref="I1734">GET_TICKER_FINAL(C1734)</f>
        <v/>
      </c>
      <c r="J1734" s="5" t="s">
        <v>25</v>
      </c>
    </row>
    <row r="1735" spans="1:10">
      <c r="A1735">
        <v>1734</v>
      </c>
      <c r="B1735" s="1" t="s">
        <v>1376</v>
      </c>
      <c r="C1735" s="1" t="s">
        <v>1704</v>
      </c>
      <c r="D1735" s="1">
        <v>38</v>
      </c>
      <c r="E1735" s="1">
        <v>9</v>
      </c>
      <c r="F1735" s="1">
        <v>0.84</v>
      </c>
      <c r="G1735" s="1">
        <v>20260331</v>
      </c>
      <c r="H1735" t="b">
        <f t="shared" si="28"/>
        <v>0</v>
      </c>
      <c r="I1735" t="str" cm="1">
        <f t="array" ref="I1735">GET_TICKER_FINAL(C1735)</f>
        <v/>
      </c>
      <c r="J1735" s="5" t="s">
        <v>1792</v>
      </c>
    </row>
    <row r="1736" spans="1:10">
      <c r="A1736">
        <v>1735</v>
      </c>
      <c r="B1736" s="1" t="s">
        <v>1376</v>
      </c>
      <c r="C1736" s="1" t="s">
        <v>1705</v>
      </c>
      <c r="D1736" s="1">
        <v>37</v>
      </c>
      <c r="E1736" s="1">
        <v>30</v>
      </c>
      <c r="F1736" s="1">
        <v>0.75</v>
      </c>
      <c r="G1736" s="1">
        <v>20260324</v>
      </c>
      <c r="H1736" t="b">
        <f t="shared" si="28"/>
        <v>1</v>
      </c>
      <c r="I1736" t="str" cm="1">
        <f t="array" ref="I1736">GET_TICKER_FINAL(C1736)</f>
        <v/>
      </c>
      <c r="J1736" s="5" t="s">
        <v>25</v>
      </c>
    </row>
    <row r="1737" spans="1:10">
      <c r="A1737">
        <v>1736</v>
      </c>
      <c r="B1737" s="1" t="s">
        <v>1376</v>
      </c>
      <c r="C1737" s="1" t="s">
        <v>1706</v>
      </c>
      <c r="D1737" s="1">
        <v>37</v>
      </c>
      <c r="E1737" s="1">
        <v>29</v>
      </c>
      <c r="F1737" s="1">
        <v>0.95</v>
      </c>
      <c r="G1737" s="1">
        <v>20260331</v>
      </c>
      <c r="H1737" t="b">
        <f t="shared" si="28"/>
        <v>0</v>
      </c>
      <c r="I1737" t="str" cm="1">
        <f t="array" ref="I1737">GET_TICKER_FINAL(C1737)</f>
        <v/>
      </c>
      <c r="J1737" s="5" t="s">
        <v>16</v>
      </c>
    </row>
    <row r="1738" spans="1:10">
      <c r="A1738">
        <v>1737</v>
      </c>
      <c r="B1738" s="1" t="s">
        <v>1376</v>
      </c>
      <c r="C1738" s="1" t="s">
        <v>1707</v>
      </c>
      <c r="D1738" s="1">
        <v>35</v>
      </c>
      <c r="E1738" s="1">
        <v>11</v>
      </c>
      <c r="F1738" s="1">
        <v>0.91</v>
      </c>
      <c r="G1738" s="1">
        <v>20260402</v>
      </c>
      <c r="H1738" t="b">
        <f t="shared" si="28"/>
        <v>0</v>
      </c>
      <c r="I1738" t="str" cm="1">
        <f t="array" ref="I1738">GET_TICKER_FINAL(C1738)</f>
        <v/>
      </c>
      <c r="J1738" s="5" t="s">
        <v>16</v>
      </c>
    </row>
    <row r="1739" spans="1:10">
      <c r="A1739">
        <v>1738</v>
      </c>
      <c r="B1739" s="1" t="s">
        <v>1376</v>
      </c>
      <c r="C1739" s="1" t="s">
        <v>1708</v>
      </c>
      <c r="D1739" s="1">
        <v>35</v>
      </c>
      <c r="E1739" s="1">
        <v>17</v>
      </c>
      <c r="F1739" s="1">
        <v>0.78</v>
      </c>
      <c r="G1739" s="1">
        <v>20260324</v>
      </c>
      <c r="H1739" t="b">
        <f t="shared" si="28"/>
        <v>0</v>
      </c>
      <c r="I1739" t="str" cm="1">
        <f t="array" ref="I1739">GET_TICKER_FINAL(C1739)</f>
        <v/>
      </c>
      <c r="J1739" s="5" t="s">
        <v>16</v>
      </c>
    </row>
    <row r="1740" spans="1:10">
      <c r="A1740">
        <v>1739</v>
      </c>
      <c r="B1740" s="1" t="s">
        <v>1376</v>
      </c>
      <c r="C1740" s="1" t="s">
        <v>1709</v>
      </c>
      <c r="D1740" s="1">
        <v>35</v>
      </c>
      <c r="E1740" s="1">
        <v>38</v>
      </c>
      <c r="F1740" s="1">
        <v>0.91</v>
      </c>
      <c r="G1740" s="1">
        <v>20260331</v>
      </c>
      <c r="H1740" t="b">
        <f t="shared" si="28"/>
        <v>0</v>
      </c>
      <c r="I1740" t="str" cm="1">
        <f t="array" ref="I1740">GET_TICKER_FINAL(C1740)</f>
        <v/>
      </c>
      <c r="J1740" s="5" t="s">
        <v>28</v>
      </c>
    </row>
    <row r="1741" spans="1:10">
      <c r="A1741">
        <v>1740</v>
      </c>
      <c r="B1741" s="1" t="s">
        <v>1376</v>
      </c>
      <c r="C1741" s="1" t="s">
        <v>1710</v>
      </c>
      <c r="D1741" s="1">
        <v>34</v>
      </c>
      <c r="E1741" s="1">
        <v>18</v>
      </c>
      <c r="F1741" s="1">
        <v>0.81</v>
      </c>
      <c r="G1741" s="1">
        <v>20260323</v>
      </c>
      <c r="H1741" t="b">
        <f t="shared" si="28"/>
        <v>0</v>
      </c>
      <c r="I1741" t="str" cm="1">
        <f t="array" ref="I1741">GET_TICKER_FINAL(C1741)</f>
        <v/>
      </c>
      <c r="J1741" s="5" t="s">
        <v>1792</v>
      </c>
    </row>
    <row r="1742" spans="1:10">
      <c r="A1742">
        <v>1741</v>
      </c>
      <c r="B1742" s="1" t="s">
        <v>1376</v>
      </c>
      <c r="C1742" s="1" t="s">
        <v>1711</v>
      </c>
      <c r="D1742" s="1">
        <v>32</v>
      </c>
      <c r="E1742" s="1">
        <v>57</v>
      </c>
      <c r="F1742" s="1">
        <v>0.79</v>
      </c>
      <c r="G1742" s="1">
        <v>20260402</v>
      </c>
      <c r="H1742" t="b">
        <f t="shared" si="28"/>
        <v>0</v>
      </c>
      <c r="I1742" t="str" cm="1">
        <f t="array" ref="I1742">GET_TICKER_FINAL(C1742)</f>
        <v>SNAP</v>
      </c>
      <c r="J1742" s="5" t="s">
        <v>25</v>
      </c>
    </row>
    <row r="1743" spans="1:10">
      <c r="A1743">
        <v>1742</v>
      </c>
      <c r="B1743" s="1" t="s">
        <v>1376</v>
      </c>
      <c r="C1743" s="1" t="s">
        <v>1712</v>
      </c>
      <c r="D1743" s="1">
        <v>32</v>
      </c>
      <c r="E1743" s="1">
        <v>12</v>
      </c>
      <c r="F1743" s="1">
        <v>0.86</v>
      </c>
      <c r="G1743" s="1">
        <v>20260401</v>
      </c>
      <c r="H1743" t="b">
        <f t="shared" si="28"/>
        <v>0</v>
      </c>
      <c r="I1743" t="str" cm="1">
        <f t="array" ref="I1743">GET_TICKER_FINAL(C1743)</f>
        <v>AMZN</v>
      </c>
      <c r="J1743" s="5" t="s">
        <v>25</v>
      </c>
    </row>
    <row r="1744" spans="1:10">
      <c r="A1744">
        <v>1743</v>
      </c>
      <c r="B1744" s="1" t="s">
        <v>1376</v>
      </c>
      <c r="C1744" s="1" t="s">
        <v>1713</v>
      </c>
      <c r="D1744" s="1">
        <v>32</v>
      </c>
      <c r="E1744" s="1">
        <v>66</v>
      </c>
      <c r="F1744" s="1">
        <v>0.77</v>
      </c>
      <c r="G1744" s="1">
        <v>20260401</v>
      </c>
      <c r="H1744" t="b">
        <f t="shared" si="28"/>
        <v>0</v>
      </c>
      <c r="I1744" t="str" cm="1">
        <f t="array" ref="I1744">GET_TICKER_FINAL(C1744)</f>
        <v/>
      </c>
      <c r="J1744" s="5" t="s">
        <v>16</v>
      </c>
    </row>
    <row r="1745" spans="1:10">
      <c r="A1745">
        <v>1744</v>
      </c>
      <c r="B1745" s="1" t="s">
        <v>1376</v>
      </c>
      <c r="C1745" s="1" t="s">
        <v>1714</v>
      </c>
      <c r="D1745" s="1">
        <v>32</v>
      </c>
      <c r="E1745" s="1">
        <v>5</v>
      </c>
      <c r="F1745" s="1">
        <v>0.91</v>
      </c>
      <c r="G1745" s="1">
        <v>20260323</v>
      </c>
      <c r="H1745" t="b">
        <f t="shared" si="28"/>
        <v>0</v>
      </c>
      <c r="I1745" t="str" cm="1">
        <f t="array" ref="I1745">GET_TICKER_FINAL(C1745)</f>
        <v/>
      </c>
      <c r="J1745" s="5" t="s">
        <v>1792</v>
      </c>
    </row>
    <row r="1746" spans="1:10">
      <c r="A1746">
        <v>1745</v>
      </c>
      <c r="B1746" s="1" t="s">
        <v>1376</v>
      </c>
      <c r="C1746" s="1" t="s">
        <v>1715</v>
      </c>
      <c r="D1746" s="1">
        <v>29</v>
      </c>
      <c r="E1746" s="1">
        <v>13</v>
      </c>
      <c r="F1746" s="1">
        <v>0.82</v>
      </c>
      <c r="G1746" s="1">
        <v>20260320</v>
      </c>
      <c r="H1746" t="b">
        <f t="shared" si="28"/>
        <v>0</v>
      </c>
      <c r="I1746" t="str" cm="1">
        <f t="array" ref="I1746">GET_TICKER_FINAL(C1746)</f>
        <v>SPY</v>
      </c>
      <c r="J1746" s="5" t="s">
        <v>25</v>
      </c>
    </row>
    <row r="1747" spans="1:10">
      <c r="A1747">
        <v>1746</v>
      </c>
      <c r="B1747" s="1" t="s">
        <v>1376</v>
      </c>
      <c r="C1747" s="1" t="s">
        <v>1716</v>
      </c>
      <c r="D1747" s="1">
        <v>29</v>
      </c>
      <c r="E1747" s="1">
        <v>26</v>
      </c>
      <c r="F1747" s="1">
        <v>0.82</v>
      </c>
      <c r="G1747" s="1">
        <v>20260402</v>
      </c>
      <c r="H1747" t="b">
        <f t="shared" si="28"/>
        <v>0</v>
      </c>
      <c r="I1747" t="str" cm="1">
        <f t="array" ref="I1747">GET_TICKER_FINAL(C1747)</f>
        <v/>
      </c>
      <c r="J1747" s="5" t="s">
        <v>25</v>
      </c>
    </row>
    <row r="1748" spans="1:10">
      <c r="A1748">
        <v>1747</v>
      </c>
      <c r="B1748" s="1" t="s">
        <v>1376</v>
      </c>
      <c r="C1748" s="1" t="s">
        <v>1717</v>
      </c>
      <c r="D1748" s="1">
        <v>29</v>
      </c>
      <c r="E1748" s="1">
        <v>90</v>
      </c>
      <c r="F1748" s="1">
        <v>0.68</v>
      </c>
      <c r="G1748" s="1">
        <v>20260330</v>
      </c>
      <c r="H1748" t="b">
        <f t="shared" si="28"/>
        <v>0</v>
      </c>
      <c r="I1748" t="str" cm="1">
        <f t="array" ref="I1748">GET_TICKER_FINAL(C1748)</f>
        <v/>
      </c>
      <c r="J1748" s="5" t="s">
        <v>1792</v>
      </c>
    </row>
    <row r="1749" spans="1:10">
      <c r="A1749">
        <v>1748</v>
      </c>
      <c r="B1749" s="1" t="s">
        <v>1376</v>
      </c>
      <c r="C1749" s="1" t="s">
        <v>1718</v>
      </c>
      <c r="D1749" s="1">
        <v>29</v>
      </c>
      <c r="E1749" s="1">
        <v>40</v>
      </c>
      <c r="F1749" s="1">
        <v>0.83</v>
      </c>
      <c r="G1749" s="1">
        <v>20260402</v>
      </c>
      <c r="H1749" t="b">
        <f t="shared" si="28"/>
        <v>1</v>
      </c>
      <c r="I1749" t="str" cm="1">
        <f t="array" ref="I1749">GET_TICKER_FINAL(C1749)</f>
        <v/>
      </c>
      <c r="J1749" s="5" t="s">
        <v>25</v>
      </c>
    </row>
    <row r="1750" spans="1:10">
      <c r="A1750">
        <v>1749</v>
      </c>
      <c r="B1750" s="1" t="s">
        <v>1376</v>
      </c>
      <c r="C1750" s="1" t="s">
        <v>1719</v>
      </c>
      <c r="D1750" s="1">
        <v>28</v>
      </c>
      <c r="E1750" s="1">
        <v>20</v>
      </c>
      <c r="F1750" s="1">
        <v>0.75</v>
      </c>
      <c r="G1750" s="1">
        <v>20260327</v>
      </c>
      <c r="H1750" t="b">
        <f t="shared" si="28"/>
        <v>0</v>
      </c>
      <c r="I1750" t="str" cm="1">
        <f t="array" ref="I1750">GET_TICKER_FINAL(C1750)</f>
        <v/>
      </c>
      <c r="J1750" s="5" t="s">
        <v>1792</v>
      </c>
    </row>
    <row r="1751" spans="1:10">
      <c r="A1751">
        <v>1750</v>
      </c>
      <c r="B1751" s="1" t="s">
        <v>1376</v>
      </c>
      <c r="C1751" s="1" t="s">
        <v>1720</v>
      </c>
      <c r="D1751" s="1">
        <v>28</v>
      </c>
      <c r="E1751" s="1">
        <v>105</v>
      </c>
      <c r="F1751" s="1">
        <v>0.76</v>
      </c>
      <c r="G1751" s="1">
        <v>20260402</v>
      </c>
      <c r="H1751" t="b">
        <f t="shared" si="28"/>
        <v>0</v>
      </c>
      <c r="I1751" t="str" cm="1">
        <f t="array" ref="I1751">GET_TICKER_FINAL(C1751)</f>
        <v/>
      </c>
      <c r="J1751" s="5" t="s">
        <v>1792</v>
      </c>
    </row>
    <row r="1752" spans="1:10">
      <c r="A1752">
        <v>1751</v>
      </c>
      <c r="B1752" s="1" t="s">
        <v>1376</v>
      </c>
      <c r="C1752" s="1" t="s">
        <v>1721</v>
      </c>
      <c r="D1752" s="1">
        <v>28</v>
      </c>
      <c r="E1752" s="1">
        <v>28</v>
      </c>
      <c r="F1752" s="1">
        <v>0.8</v>
      </c>
      <c r="G1752" s="1">
        <v>20260320</v>
      </c>
      <c r="H1752" t="b">
        <f t="shared" si="28"/>
        <v>0</v>
      </c>
      <c r="I1752" t="str" cm="1">
        <f t="array" ref="I1752">GET_TICKER_FINAL(C1752)</f>
        <v/>
      </c>
      <c r="J1752" s="5" t="s">
        <v>25</v>
      </c>
    </row>
    <row r="1753" spans="1:10">
      <c r="A1753">
        <v>1752</v>
      </c>
      <c r="B1753" s="1" t="s">
        <v>1376</v>
      </c>
      <c r="C1753" s="1" t="s">
        <v>1722</v>
      </c>
      <c r="D1753" s="1">
        <v>28</v>
      </c>
      <c r="E1753" s="1">
        <v>3</v>
      </c>
      <c r="F1753" s="1">
        <v>0.83</v>
      </c>
      <c r="G1753" s="1">
        <v>20260323</v>
      </c>
      <c r="H1753" t="b">
        <f t="shared" si="28"/>
        <v>0</v>
      </c>
      <c r="I1753" t="str" cm="1">
        <f t="array" ref="I1753">GET_TICKER_FINAL(C1753)</f>
        <v/>
      </c>
      <c r="J1753" s="5" t="s">
        <v>1792</v>
      </c>
    </row>
    <row r="1754" spans="1:10">
      <c r="A1754">
        <v>1753</v>
      </c>
      <c r="B1754" s="1" t="s">
        <v>1376</v>
      </c>
      <c r="C1754" s="1" t="s">
        <v>1723</v>
      </c>
      <c r="D1754" s="1">
        <v>26</v>
      </c>
      <c r="E1754" s="1">
        <v>143</v>
      </c>
      <c r="F1754" s="1">
        <v>0.6</v>
      </c>
      <c r="G1754" s="1">
        <v>20260402</v>
      </c>
      <c r="H1754" t="b">
        <f t="shared" si="28"/>
        <v>0</v>
      </c>
      <c r="I1754" t="str" cm="1">
        <f t="array" ref="I1754">GET_TICKER_FINAL(C1754)</f>
        <v/>
      </c>
      <c r="J1754" s="5" t="s">
        <v>16</v>
      </c>
    </row>
    <row r="1755" spans="1:10">
      <c r="A1755">
        <v>1754</v>
      </c>
      <c r="B1755" s="1" t="s">
        <v>1376</v>
      </c>
      <c r="C1755" s="1" t="s">
        <v>1724</v>
      </c>
      <c r="D1755" s="1">
        <v>26</v>
      </c>
      <c r="E1755" s="1">
        <v>10</v>
      </c>
      <c r="F1755" s="1">
        <v>0.79</v>
      </c>
      <c r="G1755" s="1">
        <v>20260331</v>
      </c>
      <c r="H1755" t="b">
        <f t="shared" si="28"/>
        <v>0</v>
      </c>
      <c r="I1755" t="str" cm="1">
        <f t="array" ref="I1755">GET_TICKER_FINAL(C1755)</f>
        <v>SPY</v>
      </c>
      <c r="J1755" s="5" t="s">
        <v>16</v>
      </c>
    </row>
    <row r="1756" spans="1:10">
      <c r="A1756">
        <v>1755</v>
      </c>
      <c r="B1756" s="1" t="s">
        <v>1376</v>
      </c>
      <c r="C1756" s="1" t="s">
        <v>1725</v>
      </c>
      <c r="D1756" s="1">
        <v>26</v>
      </c>
      <c r="E1756" s="1">
        <v>7</v>
      </c>
      <c r="F1756" s="1">
        <v>0.82</v>
      </c>
      <c r="G1756" s="1">
        <v>20260401</v>
      </c>
      <c r="H1756" t="b">
        <f t="shared" si="28"/>
        <v>0</v>
      </c>
      <c r="I1756" t="str" cm="1">
        <f t="array" ref="I1756">GET_TICKER_FINAL(C1756)</f>
        <v/>
      </c>
      <c r="J1756" s="5" t="s">
        <v>1792</v>
      </c>
    </row>
    <row r="1757" spans="1:10">
      <c r="A1757">
        <v>1756</v>
      </c>
      <c r="B1757" s="1" t="s">
        <v>1376</v>
      </c>
      <c r="C1757" s="1" t="s">
        <v>1726</v>
      </c>
      <c r="D1757" s="1">
        <v>25</v>
      </c>
      <c r="E1757" s="1">
        <v>10</v>
      </c>
      <c r="F1757" s="1">
        <v>0.9</v>
      </c>
      <c r="G1757" s="1">
        <v>20260402</v>
      </c>
      <c r="H1757" t="b">
        <f t="shared" si="28"/>
        <v>0</v>
      </c>
      <c r="I1757" t="str" cm="1">
        <f t="array" ref="I1757">GET_TICKER_FINAL(C1757)</f>
        <v/>
      </c>
      <c r="J1757" s="5" t="s">
        <v>25</v>
      </c>
    </row>
    <row r="1758" spans="1:10">
      <c r="A1758">
        <v>1757</v>
      </c>
      <c r="B1758" s="1" t="s">
        <v>1376</v>
      </c>
      <c r="C1758" s="1" t="s">
        <v>1727</v>
      </c>
      <c r="D1758" s="1">
        <v>24</v>
      </c>
      <c r="E1758" s="1">
        <v>9</v>
      </c>
      <c r="F1758" s="1">
        <v>0.84</v>
      </c>
      <c r="G1758" s="1">
        <v>20260402</v>
      </c>
      <c r="H1758" t="b">
        <f t="shared" si="28"/>
        <v>0</v>
      </c>
      <c r="I1758" t="str" cm="1">
        <f t="array" ref="I1758">GET_TICKER_FINAL(C1758)</f>
        <v>META</v>
      </c>
      <c r="J1758" s="5" t="s">
        <v>25</v>
      </c>
    </row>
    <row r="1759" spans="1:10">
      <c r="A1759">
        <v>1758</v>
      </c>
      <c r="B1759" s="1" t="s">
        <v>1376</v>
      </c>
      <c r="C1759" s="1" t="s">
        <v>1728</v>
      </c>
      <c r="D1759" s="1">
        <v>24</v>
      </c>
      <c r="E1759" s="1">
        <v>16</v>
      </c>
      <c r="F1759" s="1">
        <v>0.86</v>
      </c>
      <c r="G1759" s="1">
        <v>20260327</v>
      </c>
      <c r="H1759" t="b">
        <f t="shared" si="28"/>
        <v>0</v>
      </c>
      <c r="I1759" t="str" cm="1">
        <f t="array" ref="I1759">GET_TICKER_FINAL(C1759)</f>
        <v/>
      </c>
      <c r="J1759" s="5" t="s">
        <v>25</v>
      </c>
    </row>
    <row r="1760" spans="1:10">
      <c r="A1760">
        <v>1759</v>
      </c>
      <c r="B1760" s="1" t="s">
        <v>1376</v>
      </c>
      <c r="C1760" s="1" t="s">
        <v>1729</v>
      </c>
      <c r="D1760" s="1">
        <v>24</v>
      </c>
      <c r="E1760" s="1">
        <v>23</v>
      </c>
      <c r="F1760" s="1">
        <v>0.86</v>
      </c>
      <c r="G1760" s="1">
        <v>20260402</v>
      </c>
      <c r="H1760" t="b">
        <f t="shared" si="28"/>
        <v>0</v>
      </c>
      <c r="I1760" t="str" cm="1">
        <f t="array" ref="I1760">GET_TICKER_FINAL(C1760)</f>
        <v>USO</v>
      </c>
      <c r="J1760" s="5" t="s">
        <v>28</v>
      </c>
    </row>
    <row r="1761" spans="1:10">
      <c r="A1761">
        <v>1760</v>
      </c>
      <c r="B1761" s="1" t="s">
        <v>1376</v>
      </c>
      <c r="C1761" s="1" t="s">
        <v>1730</v>
      </c>
      <c r="D1761" s="1">
        <v>23</v>
      </c>
      <c r="E1761" s="1">
        <v>5</v>
      </c>
      <c r="F1761" s="1">
        <v>0.84</v>
      </c>
      <c r="G1761" s="1">
        <v>20260323</v>
      </c>
      <c r="H1761" t="b">
        <f t="shared" si="28"/>
        <v>0</v>
      </c>
      <c r="I1761" t="str" cm="1">
        <f t="array" ref="I1761">GET_TICKER_FINAL(C1761)</f>
        <v/>
      </c>
      <c r="J1761" s="5" t="s">
        <v>1792</v>
      </c>
    </row>
    <row r="1762" spans="1:10">
      <c r="A1762">
        <v>1761</v>
      </c>
      <c r="B1762" s="1" t="s">
        <v>1376</v>
      </c>
      <c r="C1762" s="1" t="s">
        <v>1731</v>
      </c>
      <c r="D1762" s="1">
        <v>23</v>
      </c>
      <c r="E1762" s="1">
        <v>12</v>
      </c>
      <c r="F1762" s="1">
        <v>0.86</v>
      </c>
      <c r="G1762" s="1">
        <v>20260401</v>
      </c>
      <c r="H1762" t="b">
        <f t="shared" si="28"/>
        <v>0</v>
      </c>
      <c r="I1762" t="str" cm="1">
        <f t="array" ref="I1762">GET_TICKER_FINAL(C1762)</f>
        <v/>
      </c>
      <c r="J1762" s="5" t="s">
        <v>25</v>
      </c>
    </row>
    <row r="1763" spans="1:10">
      <c r="A1763">
        <v>1762</v>
      </c>
      <c r="B1763" s="1" t="s">
        <v>1376</v>
      </c>
      <c r="C1763" s="1" t="s">
        <v>1732</v>
      </c>
      <c r="D1763" s="1">
        <v>22</v>
      </c>
      <c r="E1763" s="1">
        <v>2</v>
      </c>
      <c r="F1763" s="1">
        <v>0.89</v>
      </c>
      <c r="G1763" s="1">
        <v>20260401</v>
      </c>
      <c r="H1763" t="b">
        <f t="shared" si="28"/>
        <v>0</v>
      </c>
      <c r="I1763" t="str" cm="1">
        <f t="array" ref="I1763">GET_TICKER_FINAL(C1763)</f>
        <v/>
      </c>
      <c r="J1763" s="5" t="s">
        <v>25</v>
      </c>
    </row>
    <row r="1764" spans="1:10">
      <c r="A1764">
        <v>1763</v>
      </c>
      <c r="B1764" s="1" t="s">
        <v>1376</v>
      </c>
      <c r="C1764" s="1" t="s">
        <v>1733</v>
      </c>
      <c r="D1764" s="1">
        <v>22</v>
      </c>
      <c r="E1764" s="1">
        <v>29</v>
      </c>
      <c r="F1764" s="1">
        <v>0.83</v>
      </c>
      <c r="G1764" s="1">
        <v>20260320</v>
      </c>
      <c r="H1764" t="b">
        <f t="shared" si="28"/>
        <v>0</v>
      </c>
      <c r="I1764" t="str" cm="1">
        <f t="array" ref="I1764">GET_TICKER_FINAL(C1764)</f>
        <v/>
      </c>
      <c r="J1764" s="5" t="s">
        <v>1792</v>
      </c>
    </row>
    <row r="1765" spans="1:10">
      <c r="A1765">
        <v>1764</v>
      </c>
      <c r="B1765" s="1" t="s">
        <v>1376</v>
      </c>
      <c r="C1765" s="1" t="s">
        <v>1734</v>
      </c>
      <c r="D1765" s="1">
        <v>22</v>
      </c>
      <c r="E1765" s="1">
        <v>19</v>
      </c>
      <c r="F1765" s="1">
        <v>0.73</v>
      </c>
      <c r="G1765" s="1">
        <v>20260320</v>
      </c>
      <c r="H1765" t="b">
        <f t="shared" si="28"/>
        <v>1</v>
      </c>
      <c r="I1765" t="str" cm="1">
        <f t="array" ref="I1765">GET_TICKER_FINAL(C1765)</f>
        <v/>
      </c>
      <c r="J1765" s="5" t="s">
        <v>25</v>
      </c>
    </row>
    <row r="1766" spans="1:10">
      <c r="A1766">
        <v>1765</v>
      </c>
      <c r="B1766" s="1" t="s">
        <v>1376</v>
      </c>
      <c r="C1766" s="1" t="s">
        <v>1735</v>
      </c>
      <c r="D1766" s="1">
        <v>21</v>
      </c>
      <c r="E1766" s="1">
        <v>21</v>
      </c>
      <c r="F1766" s="1">
        <v>0.82</v>
      </c>
      <c r="G1766" s="1">
        <v>20260331</v>
      </c>
      <c r="H1766" t="b">
        <f t="shared" si="28"/>
        <v>1</v>
      </c>
      <c r="I1766" t="str" cm="1">
        <f t="array" ref="I1766">GET_TICKER_FINAL(C1766)</f>
        <v/>
      </c>
      <c r="J1766" s="5" t="s">
        <v>25</v>
      </c>
    </row>
    <row r="1767" spans="1:10">
      <c r="A1767">
        <v>1766</v>
      </c>
      <c r="B1767" s="1" t="s">
        <v>1376</v>
      </c>
      <c r="C1767" s="1" t="s">
        <v>1736</v>
      </c>
      <c r="D1767" s="1">
        <v>21</v>
      </c>
      <c r="E1767" s="1">
        <v>2</v>
      </c>
      <c r="F1767" s="1">
        <v>0.86</v>
      </c>
      <c r="G1767" s="1">
        <v>20260401</v>
      </c>
      <c r="H1767" t="b">
        <f t="shared" si="28"/>
        <v>0</v>
      </c>
      <c r="I1767" t="str" cm="1">
        <f t="array" ref="I1767">GET_TICKER_FINAL(C1767)</f>
        <v/>
      </c>
      <c r="J1767" s="5" t="s">
        <v>1792</v>
      </c>
    </row>
    <row r="1768" spans="1:10">
      <c r="A1768">
        <v>1767</v>
      </c>
      <c r="B1768" s="1" t="s">
        <v>1376</v>
      </c>
      <c r="C1768" s="1" t="s">
        <v>1737</v>
      </c>
      <c r="D1768" s="1">
        <v>20</v>
      </c>
      <c r="E1768" s="1">
        <v>17</v>
      </c>
      <c r="F1768" s="1">
        <v>0.95</v>
      </c>
      <c r="G1768" s="1">
        <v>20260331</v>
      </c>
      <c r="H1768" t="b">
        <f t="shared" si="28"/>
        <v>0</v>
      </c>
      <c r="I1768" t="str" cm="1">
        <f t="array" ref="I1768">GET_TICKER_FINAL(C1768)</f>
        <v/>
      </c>
      <c r="J1768" s="5" t="s">
        <v>16</v>
      </c>
    </row>
    <row r="1769" spans="1:10">
      <c r="A1769">
        <v>1768</v>
      </c>
      <c r="B1769" s="1" t="s">
        <v>1376</v>
      </c>
      <c r="C1769" s="1" t="s">
        <v>1738</v>
      </c>
      <c r="D1769" s="1">
        <v>17</v>
      </c>
      <c r="E1769" s="1">
        <v>4</v>
      </c>
      <c r="F1769" s="1">
        <v>0.77</v>
      </c>
      <c r="G1769" s="1">
        <v>20260331</v>
      </c>
      <c r="H1769" t="b">
        <f t="shared" si="28"/>
        <v>0</v>
      </c>
      <c r="I1769" t="str" cm="1">
        <f t="array" ref="I1769">GET_TICKER_FINAL(C1769)</f>
        <v/>
      </c>
      <c r="J1769" s="5" t="s">
        <v>1792</v>
      </c>
    </row>
    <row r="1770" spans="1:10">
      <c r="A1770">
        <v>1769</v>
      </c>
      <c r="B1770" s="1" t="s">
        <v>1376</v>
      </c>
      <c r="C1770" s="1" t="s">
        <v>1739</v>
      </c>
      <c r="D1770" s="1">
        <v>16</v>
      </c>
      <c r="E1770" s="1">
        <v>10</v>
      </c>
      <c r="F1770" s="1">
        <v>0.83</v>
      </c>
      <c r="G1770" s="1">
        <v>20260327</v>
      </c>
      <c r="H1770" t="b">
        <f t="shared" si="28"/>
        <v>0</v>
      </c>
      <c r="I1770" t="str" cm="1">
        <f t="array" ref="I1770">GET_TICKER_FINAL(C1770)</f>
        <v/>
      </c>
      <c r="J1770" s="5" t="s">
        <v>1792</v>
      </c>
    </row>
    <row r="1771" spans="1:10">
      <c r="A1771">
        <v>1770</v>
      </c>
      <c r="B1771" s="1" t="s">
        <v>1376</v>
      </c>
      <c r="C1771" s="1" t="s">
        <v>1740</v>
      </c>
      <c r="D1771" s="1">
        <v>16</v>
      </c>
      <c r="E1771" s="1">
        <v>7</v>
      </c>
      <c r="F1771" s="1">
        <v>0.78</v>
      </c>
      <c r="G1771" s="1">
        <v>20260330</v>
      </c>
      <c r="H1771" t="b">
        <f t="shared" si="28"/>
        <v>0</v>
      </c>
      <c r="I1771" t="str" cm="1">
        <f t="array" ref="I1771">GET_TICKER_FINAL(C1771)</f>
        <v/>
      </c>
      <c r="J1771" s="5" t="s">
        <v>1792</v>
      </c>
    </row>
    <row r="1772" spans="1:10">
      <c r="A1772">
        <v>1771</v>
      </c>
      <c r="B1772" s="1" t="s">
        <v>1376</v>
      </c>
      <c r="C1772" s="1" t="s">
        <v>1741</v>
      </c>
      <c r="D1772" s="1">
        <v>15</v>
      </c>
      <c r="E1772" s="1">
        <v>8</v>
      </c>
      <c r="F1772" s="1">
        <v>0.85</v>
      </c>
      <c r="G1772" s="1">
        <v>20260401</v>
      </c>
      <c r="H1772" t="b">
        <f t="shared" si="28"/>
        <v>0</v>
      </c>
      <c r="I1772" t="str" cm="1">
        <f t="array" ref="I1772">GET_TICKER_FINAL(C1772)</f>
        <v/>
      </c>
      <c r="J1772" s="5" t="s">
        <v>1792</v>
      </c>
    </row>
    <row r="1773" spans="1:10">
      <c r="A1773">
        <v>1772</v>
      </c>
      <c r="B1773" s="1" t="s">
        <v>1376</v>
      </c>
      <c r="C1773" s="1" t="s">
        <v>1742</v>
      </c>
      <c r="D1773" s="1">
        <v>15</v>
      </c>
      <c r="E1773" s="1">
        <v>24</v>
      </c>
      <c r="F1773" s="1">
        <v>0.76</v>
      </c>
      <c r="G1773" s="1">
        <v>20260326</v>
      </c>
      <c r="H1773" t="b">
        <f t="shared" si="28"/>
        <v>1</v>
      </c>
      <c r="I1773" t="str" cm="1">
        <f t="array" ref="I1773">GET_TICKER_FINAL(C1773)</f>
        <v/>
      </c>
      <c r="J1773" s="5" t="s">
        <v>1792</v>
      </c>
    </row>
    <row r="1774" spans="1:10">
      <c r="A1774">
        <v>1773</v>
      </c>
      <c r="B1774" s="1" t="s">
        <v>1376</v>
      </c>
      <c r="C1774" s="1" t="s">
        <v>1743</v>
      </c>
      <c r="D1774" s="1">
        <v>15</v>
      </c>
      <c r="E1774" s="1">
        <v>18</v>
      </c>
      <c r="F1774" s="1">
        <v>0.71</v>
      </c>
      <c r="G1774" s="1">
        <v>20260401</v>
      </c>
      <c r="H1774" t="b">
        <f t="shared" si="28"/>
        <v>0</v>
      </c>
      <c r="I1774" t="str" cm="1">
        <f t="array" ref="I1774">GET_TICKER_FINAL(C1774)</f>
        <v>SPY</v>
      </c>
      <c r="J1774" s="5" t="s">
        <v>16</v>
      </c>
    </row>
    <row r="1775" spans="1:10">
      <c r="A1775">
        <v>1774</v>
      </c>
      <c r="B1775" s="1" t="s">
        <v>1376</v>
      </c>
      <c r="C1775" s="1" t="s">
        <v>1744</v>
      </c>
      <c r="D1775" s="1">
        <v>14</v>
      </c>
      <c r="E1775" s="1">
        <v>30</v>
      </c>
      <c r="F1775" s="1">
        <v>0.75</v>
      </c>
      <c r="G1775" s="1">
        <v>20260330</v>
      </c>
      <c r="H1775" t="b">
        <f t="shared" si="28"/>
        <v>0</v>
      </c>
      <c r="I1775" t="str" cm="1">
        <f t="array" ref="I1775">GET_TICKER_FINAL(C1775)</f>
        <v>SPY</v>
      </c>
      <c r="J1775" s="5" t="s">
        <v>25</v>
      </c>
    </row>
    <row r="1776" spans="1:10">
      <c r="A1776">
        <v>1775</v>
      </c>
      <c r="B1776" s="1" t="s">
        <v>1376</v>
      </c>
      <c r="C1776" s="1" t="s">
        <v>1745</v>
      </c>
      <c r="D1776" s="1">
        <v>12</v>
      </c>
      <c r="E1776" s="1">
        <v>17</v>
      </c>
      <c r="F1776" s="1">
        <v>0.79</v>
      </c>
      <c r="G1776" s="1">
        <v>20260401</v>
      </c>
      <c r="H1776" t="b">
        <f t="shared" si="28"/>
        <v>0</v>
      </c>
      <c r="I1776" t="str" cm="1">
        <f t="array" ref="I1776">GET_TICKER_FINAL(C1776)</f>
        <v/>
      </c>
      <c r="J1776" s="5" t="s">
        <v>1792</v>
      </c>
    </row>
    <row r="1777" spans="1:10">
      <c r="A1777">
        <v>1776</v>
      </c>
      <c r="B1777" s="1" t="s">
        <v>1376</v>
      </c>
      <c r="C1777" s="1" t="s">
        <v>1746</v>
      </c>
      <c r="D1777" s="1">
        <v>10</v>
      </c>
      <c r="E1777" s="1">
        <v>5</v>
      </c>
      <c r="F1777" s="1">
        <v>0.7</v>
      </c>
      <c r="G1777" s="1">
        <v>20260320</v>
      </c>
      <c r="H1777" t="b">
        <f t="shared" si="28"/>
        <v>0</v>
      </c>
      <c r="I1777" t="str" cm="1">
        <f t="array" ref="I1777">GET_TICKER_FINAL(C1777)</f>
        <v/>
      </c>
      <c r="J1777" s="5" t="s">
        <v>25</v>
      </c>
    </row>
    <row r="1778" spans="1:10">
      <c r="A1778">
        <v>1777</v>
      </c>
      <c r="B1778" s="1" t="s">
        <v>1376</v>
      </c>
      <c r="C1778" s="1" t="s">
        <v>1747</v>
      </c>
      <c r="D1778" s="1">
        <v>10</v>
      </c>
      <c r="E1778" s="1">
        <v>37</v>
      </c>
      <c r="F1778" s="1">
        <v>0.54</v>
      </c>
      <c r="G1778" s="1">
        <v>20260326</v>
      </c>
      <c r="H1778" t="b">
        <f t="shared" si="28"/>
        <v>0</v>
      </c>
      <c r="I1778" t="str" cm="1">
        <f t="array" ref="I1778">GET_TICKER_FINAL(C1778)</f>
        <v/>
      </c>
      <c r="J1778" s="5" t="s">
        <v>16</v>
      </c>
    </row>
    <row r="1779" spans="1:10">
      <c r="A1779">
        <v>1778</v>
      </c>
      <c r="B1779" s="1" t="s">
        <v>1376</v>
      </c>
      <c r="C1779" s="1" t="s">
        <v>1748</v>
      </c>
      <c r="D1779" s="1">
        <v>9</v>
      </c>
      <c r="E1779" s="1">
        <v>3</v>
      </c>
      <c r="F1779" s="1">
        <v>0.84</v>
      </c>
      <c r="G1779" s="1">
        <v>20260402</v>
      </c>
      <c r="H1779" t="b">
        <f t="shared" si="28"/>
        <v>0</v>
      </c>
      <c r="I1779" t="str" cm="1">
        <f t="array" ref="I1779">GET_TICKER_FINAL(C1779)</f>
        <v>SPY</v>
      </c>
      <c r="J1779" s="5" t="s">
        <v>1792</v>
      </c>
    </row>
    <row r="1780" spans="1:10">
      <c r="A1780">
        <v>1779</v>
      </c>
      <c r="B1780" s="1" t="s">
        <v>1376</v>
      </c>
      <c r="C1780" s="1" t="s">
        <v>1749</v>
      </c>
      <c r="D1780" s="1">
        <v>7</v>
      </c>
      <c r="E1780" s="1">
        <v>43</v>
      </c>
      <c r="F1780" s="1">
        <v>0.56999999999999995</v>
      </c>
      <c r="G1780" s="1">
        <v>20260331</v>
      </c>
      <c r="H1780" t="b">
        <f t="shared" si="28"/>
        <v>0</v>
      </c>
      <c r="I1780" t="str" cm="1">
        <f t="array" ref="I1780">GET_TICKER_FINAL(C1780)</f>
        <v/>
      </c>
      <c r="J1780" s="5" t="s">
        <v>1792</v>
      </c>
    </row>
    <row r="1781" spans="1:10">
      <c r="A1781">
        <v>1780</v>
      </c>
      <c r="B1781" s="1" t="s">
        <v>1376</v>
      </c>
      <c r="C1781" s="1" t="s">
        <v>1750</v>
      </c>
      <c r="D1781" s="1">
        <v>6</v>
      </c>
      <c r="E1781" s="1">
        <v>23</v>
      </c>
      <c r="F1781" s="1">
        <v>0.68</v>
      </c>
      <c r="G1781" s="1">
        <v>20260401</v>
      </c>
      <c r="H1781" t="b">
        <f t="shared" si="28"/>
        <v>0</v>
      </c>
      <c r="I1781" t="str" cm="1">
        <f t="array" ref="I1781">GET_TICKER_FINAL(C1781)</f>
        <v/>
      </c>
      <c r="J1781" s="5" t="s">
        <v>16</v>
      </c>
    </row>
    <row r="1782" spans="1:10">
      <c r="A1782">
        <v>1781</v>
      </c>
      <c r="B1782" s="1" t="s">
        <v>1376</v>
      </c>
      <c r="C1782" s="1" t="s">
        <v>1751</v>
      </c>
      <c r="D1782" s="1">
        <v>6</v>
      </c>
      <c r="E1782" s="1">
        <v>21</v>
      </c>
      <c r="F1782" s="1">
        <v>0.63</v>
      </c>
      <c r="G1782" s="1">
        <v>20260327</v>
      </c>
      <c r="H1782" t="b">
        <f t="shared" si="28"/>
        <v>0</v>
      </c>
      <c r="I1782" t="str" cm="1">
        <f t="array" ref="I1782">GET_TICKER_FINAL(C1782)</f>
        <v/>
      </c>
      <c r="J1782" s="5" t="s">
        <v>25</v>
      </c>
    </row>
    <row r="1783" spans="1:10">
      <c r="A1783">
        <v>1782</v>
      </c>
      <c r="B1783" s="1" t="s">
        <v>1376</v>
      </c>
      <c r="C1783" s="1" t="s">
        <v>1752</v>
      </c>
      <c r="D1783" s="1">
        <v>5</v>
      </c>
      <c r="E1783" s="1">
        <v>4</v>
      </c>
      <c r="F1783" s="1">
        <v>0.69</v>
      </c>
      <c r="G1783" s="1">
        <v>20260327</v>
      </c>
      <c r="H1783" t="b">
        <f t="shared" si="28"/>
        <v>0</v>
      </c>
      <c r="I1783" t="str" cm="1">
        <f t="array" ref="I1783">GET_TICKER_FINAL(C1783)</f>
        <v/>
      </c>
      <c r="J1783" s="5" t="s">
        <v>25</v>
      </c>
    </row>
    <row r="1784" spans="1:10">
      <c r="A1784">
        <v>1783</v>
      </c>
      <c r="B1784" s="1" t="s">
        <v>1376</v>
      </c>
      <c r="C1784" s="1" t="s">
        <v>1753</v>
      </c>
      <c r="D1784" s="1">
        <v>4</v>
      </c>
      <c r="E1784" s="1">
        <v>6</v>
      </c>
      <c r="F1784" s="1">
        <v>0.75</v>
      </c>
      <c r="G1784" s="1">
        <v>20260402</v>
      </c>
      <c r="H1784" t="b">
        <f t="shared" si="28"/>
        <v>0</v>
      </c>
      <c r="I1784" t="str" cm="1">
        <f t="array" ref="I1784">GET_TICKER_FINAL(C1784)</f>
        <v/>
      </c>
      <c r="J1784" s="5" t="s">
        <v>1792</v>
      </c>
    </row>
    <row r="1785" spans="1:10">
      <c r="A1785">
        <v>1784</v>
      </c>
      <c r="B1785" s="1" t="s">
        <v>1376</v>
      </c>
      <c r="C1785" s="1" t="s">
        <v>1754</v>
      </c>
      <c r="D1785" s="1">
        <v>4</v>
      </c>
      <c r="E1785" s="1">
        <v>2</v>
      </c>
      <c r="F1785" s="1">
        <v>0.69</v>
      </c>
      <c r="G1785" s="1">
        <v>20260330</v>
      </c>
      <c r="H1785" t="b">
        <f t="shared" si="28"/>
        <v>0</v>
      </c>
      <c r="I1785" t="str" cm="1">
        <f t="array" ref="I1785">GET_TICKER_FINAL(C1785)</f>
        <v/>
      </c>
      <c r="J1785" s="5" t="s">
        <v>1792</v>
      </c>
    </row>
    <row r="1786" spans="1:10">
      <c r="A1786">
        <v>1785</v>
      </c>
      <c r="B1786" s="1" t="s">
        <v>1376</v>
      </c>
      <c r="C1786" s="1" t="s">
        <v>1755</v>
      </c>
      <c r="D1786" s="1">
        <v>1</v>
      </c>
      <c r="E1786" s="1">
        <v>1</v>
      </c>
      <c r="F1786" s="1">
        <v>1</v>
      </c>
      <c r="G1786" s="1">
        <v>20260326</v>
      </c>
      <c r="H1786" t="b">
        <f t="shared" si="28"/>
        <v>0</v>
      </c>
      <c r="I1786" t="str" cm="1">
        <f t="array" ref="I1786">GET_TICKER_FINAL(C1786)</f>
        <v/>
      </c>
      <c r="J1786" s="5" t="s">
        <v>16</v>
      </c>
    </row>
    <row r="1787" spans="1:10">
      <c r="A1787">
        <v>1786</v>
      </c>
      <c r="B1787" s="1" t="s">
        <v>1376</v>
      </c>
      <c r="C1787" s="1" t="s">
        <v>1756</v>
      </c>
      <c r="D1787" s="1">
        <v>1</v>
      </c>
      <c r="E1787" s="1">
        <v>8</v>
      </c>
      <c r="F1787" s="1">
        <v>0.56000000000000005</v>
      </c>
      <c r="G1787" s="1">
        <v>20260401</v>
      </c>
      <c r="H1787" t="b">
        <f t="shared" si="28"/>
        <v>0</v>
      </c>
      <c r="I1787" t="str" cm="1">
        <f t="array" ref="I1787">GET_TICKER_FINAL(C1787)</f>
        <v/>
      </c>
      <c r="J1787" s="5" t="s">
        <v>1792</v>
      </c>
    </row>
    <row r="1788" spans="1:10">
      <c r="A1788">
        <v>1787</v>
      </c>
      <c r="B1788" s="1" t="s">
        <v>1376</v>
      </c>
      <c r="C1788" s="1" t="s">
        <v>1757</v>
      </c>
      <c r="D1788" s="1">
        <v>1</v>
      </c>
      <c r="E1788" s="1">
        <v>23</v>
      </c>
      <c r="F1788" s="1">
        <v>0.51</v>
      </c>
      <c r="G1788" s="1">
        <v>20260330</v>
      </c>
      <c r="H1788" t="b">
        <f t="shared" si="28"/>
        <v>0</v>
      </c>
      <c r="I1788" t="str" cm="1">
        <f t="array" ref="I1788">GET_TICKER_FINAL(C1788)</f>
        <v>SOFI</v>
      </c>
      <c r="J1788" s="5" t="s">
        <v>1792</v>
      </c>
    </row>
    <row r="1789" spans="1:10">
      <c r="A1789">
        <v>1788</v>
      </c>
      <c r="B1789" s="1" t="s">
        <v>1376</v>
      </c>
      <c r="C1789" s="1" t="s">
        <v>1758</v>
      </c>
      <c r="D1789" s="1">
        <v>1</v>
      </c>
      <c r="E1789" s="1">
        <v>179</v>
      </c>
      <c r="F1789" s="1">
        <v>0.51</v>
      </c>
      <c r="G1789" s="1">
        <v>20260327</v>
      </c>
      <c r="H1789" t="b">
        <f t="shared" si="28"/>
        <v>0</v>
      </c>
      <c r="I1789" t="str" cm="1">
        <f t="array" ref="I1789">GET_TICKER_FINAL(C1789)</f>
        <v/>
      </c>
      <c r="J1789" s="5" t="s">
        <v>1792</v>
      </c>
    </row>
    <row r="1790" spans="1:10">
      <c r="A1790">
        <v>1789</v>
      </c>
      <c r="B1790" s="1" t="s">
        <v>1376</v>
      </c>
      <c r="C1790" s="1" t="s">
        <v>1759</v>
      </c>
      <c r="D1790" s="1">
        <v>0</v>
      </c>
      <c r="E1790" s="1">
        <v>12</v>
      </c>
      <c r="F1790" s="1">
        <v>0.23</v>
      </c>
      <c r="G1790" s="1">
        <v>20260320</v>
      </c>
      <c r="H1790" t="b">
        <f t="shared" si="28"/>
        <v>0</v>
      </c>
      <c r="I1790" t="str" cm="1">
        <f t="array" ref="I1790">GET_TICKER_FINAL(C1790)</f>
        <v/>
      </c>
      <c r="J1790" s="5" t="s">
        <v>16</v>
      </c>
    </row>
    <row r="1791" spans="1:10">
      <c r="A1791">
        <v>1790</v>
      </c>
      <c r="B1791" s="1" t="s">
        <v>1376</v>
      </c>
      <c r="C1791" s="1" t="s">
        <v>1760</v>
      </c>
      <c r="D1791" s="1">
        <v>0</v>
      </c>
      <c r="E1791" s="1">
        <v>5</v>
      </c>
      <c r="F1791" s="1">
        <v>0.33</v>
      </c>
      <c r="G1791" s="1">
        <v>20260327</v>
      </c>
      <c r="H1791" t="b">
        <f t="shared" si="28"/>
        <v>0</v>
      </c>
      <c r="I1791" t="str" cm="1">
        <f t="array" ref="I1791">GET_TICKER_FINAL(C1791)</f>
        <v>MSFT</v>
      </c>
      <c r="J1791" s="5" t="s">
        <v>16</v>
      </c>
    </row>
    <row r="1792" spans="1:10">
      <c r="A1792">
        <v>1791</v>
      </c>
      <c r="B1792" s="1" t="s">
        <v>1376</v>
      </c>
      <c r="C1792" s="1" t="s">
        <v>1761</v>
      </c>
      <c r="D1792" s="1">
        <v>0</v>
      </c>
      <c r="E1792" s="1">
        <v>150</v>
      </c>
      <c r="F1792" s="1">
        <v>0.28999999999999998</v>
      </c>
      <c r="G1792" s="1">
        <v>20260327</v>
      </c>
      <c r="H1792" t="b">
        <f t="shared" si="28"/>
        <v>0</v>
      </c>
      <c r="I1792" t="str" cm="1">
        <f t="array" ref="I1792">GET_TICKER_FINAL(C1792)</f>
        <v/>
      </c>
      <c r="J1792" s="5" t="s">
        <v>16</v>
      </c>
    </row>
    <row r="1793" spans="1:10">
      <c r="A1793">
        <v>1792</v>
      </c>
      <c r="B1793" s="1" t="s">
        <v>1376</v>
      </c>
      <c r="C1793" s="1" t="s">
        <v>1762</v>
      </c>
      <c r="D1793" s="1">
        <v>0</v>
      </c>
      <c r="E1793" s="1">
        <v>32</v>
      </c>
      <c r="F1793" s="1">
        <v>0.47</v>
      </c>
      <c r="G1793" s="1">
        <v>20260324</v>
      </c>
      <c r="H1793" t="b">
        <f t="shared" si="28"/>
        <v>0</v>
      </c>
      <c r="I1793" t="str" cm="1">
        <f t="array" ref="I1793">GET_TICKER_FINAL(C1793)</f>
        <v/>
      </c>
      <c r="J1793" s="5" t="s">
        <v>16</v>
      </c>
    </row>
    <row r="1794" spans="1:10">
      <c r="A1794">
        <v>1793</v>
      </c>
      <c r="B1794" s="1" t="s">
        <v>1376</v>
      </c>
      <c r="C1794" s="1" t="s">
        <v>1763</v>
      </c>
      <c r="D1794" s="1">
        <v>0</v>
      </c>
      <c r="E1794" s="1">
        <v>32</v>
      </c>
      <c r="F1794" s="1">
        <v>0.42</v>
      </c>
      <c r="G1794" s="1">
        <v>20260401</v>
      </c>
      <c r="H1794" t="b">
        <f t="shared" si="28"/>
        <v>0</v>
      </c>
      <c r="I1794" t="str" cm="1">
        <f t="array" ref="I1794">GET_TICKER_FINAL(C1794)</f>
        <v/>
      </c>
      <c r="J1794" s="5" t="s">
        <v>16</v>
      </c>
    </row>
    <row r="1795" spans="1:10">
      <c r="A1795">
        <v>1794</v>
      </c>
      <c r="B1795" s="1" t="s">
        <v>1376</v>
      </c>
      <c r="C1795" s="1" t="s">
        <v>1764</v>
      </c>
      <c r="D1795" s="1">
        <v>0</v>
      </c>
      <c r="E1795" s="1">
        <v>28</v>
      </c>
      <c r="F1795" s="1">
        <v>0.3</v>
      </c>
      <c r="G1795" s="1">
        <v>20260401</v>
      </c>
      <c r="H1795" t="b">
        <f t="shared" ref="H1795:H1796" si="29">OR(ISNUMBER(SEARCH("$A",C1795)),ISNUMBER(SEARCH("$B",C1795)),ISNUMBER(SEARCH("$C",C1795)),ISNUMBER(SEARCH("$D",C1795)),ISNUMBER(SEARCH("$E",C1795)),ISNUMBER(SEARCH("$F",C1795)),ISNUMBER(SEARCH("$G",C1795)),ISNUMBER(SEARCH("$H",C1795)),ISNUMBER(SEARCH("$I",C1795)),ISNUMBER(SEARCH("$J",C1795)),ISNUMBER(SEARCH("$K",C1795)),ISNUMBER(SEARCH("$L",C1795)),ISNUMBER(SEARCH("$M",C1795)),ISNUMBER(SEARCH("$N",C1795)),ISNUMBER(SEARCH("$O",C1795)),ISNUMBER(SEARCH("$P",C1795)),ISNUMBER(SEARCH("$Q",C1795)),ISNUMBER(SEARCH("$R",C1795)),ISNUMBER(SEARCH("$S",C1795)),ISNUMBER(SEARCH("$T",C1795)),ISNUMBER(SEARCH("$U",C1795)),ISNUMBER(SEARCH("$V",C1795)),ISNUMBER(SEARCH("$W",C1795)),ISNUMBER(SEARCH("$X",C1795)),ISNUMBER(SEARCH("$Y",C1795)),ISNUMBER(SEARCH("$Z",C1795)))</f>
        <v>0</v>
      </c>
      <c r="I1795" t="str" cm="1">
        <f t="array" ref="I1795">GET_TICKER_FINAL(C1795)</f>
        <v/>
      </c>
      <c r="J1795" s="5" t="s">
        <v>1792</v>
      </c>
    </row>
    <row r="1796" spans="1:10">
      <c r="A1796">
        <v>1795</v>
      </c>
      <c r="B1796" s="1" t="s">
        <v>1376</v>
      </c>
      <c r="C1796" s="1" t="s">
        <v>1765</v>
      </c>
      <c r="D1796" s="1">
        <v>0</v>
      </c>
      <c r="E1796" s="1">
        <v>66</v>
      </c>
      <c r="F1796" s="1">
        <v>0.38</v>
      </c>
      <c r="G1796" s="1">
        <v>20260402</v>
      </c>
      <c r="H1796" t="b">
        <f t="shared" si="29"/>
        <v>0</v>
      </c>
      <c r="I1796" t="str" cm="1">
        <f t="array" ref="I1796">GET_TICKER_FINAL(C1796)</f>
        <v/>
      </c>
      <c r="J1796" s="5" t="s">
        <v>25</v>
      </c>
    </row>
  </sheetData>
  <mergeCells count="2">
    <mergeCell ref="P50:Q51"/>
    <mergeCell ref="P4:W4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D1857-0EDE-48AC-BD2D-39F6B2CE5C3B}">
  <sheetPr codeName="Sheet2"/>
  <dimension ref="A1:K1796"/>
  <sheetViews>
    <sheetView workbookViewId="0">
      <selection activeCell="I1" sqref="I1:I1048576"/>
    </sheetView>
  </sheetViews>
  <sheetFormatPr defaultRowHeight="14.4"/>
  <cols>
    <col min="2" max="2" width="11" customWidth="1"/>
    <col min="3" max="3" width="31.5546875" bestFit="1" customWidth="1"/>
    <col min="5" max="5" width="16.33203125" customWidth="1"/>
    <col min="6" max="6" width="13.33203125" customWidth="1"/>
    <col min="7" max="7" width="13.109375" customWidth="1"/>
    <col min="8" max="8" width="17.109375" customWidth="1"/>
    <col min="9" max="9" width="16.44140625" customWidth="1"/>
    <col min="10" max="10" width="14.88671875" customWidth="1"/>
  </cols>
  <sheetData>
    <row r="1" spans="1:10">
      <c r="A1" s="27" t="s">
        <v>0</v>
      </c>
      <c r="B1" s="16" t="s">
        <v>1</v>
      </c>
      <c r="C1" s="16" t="s">
        <v>2</v>
      </c>
      <c r="D1" s="16" t="s">
        <v>3</v>
      </c>
      <c r="E1" s="16" t="s">
        <v>4</v>
      </c>
      <c r="F1" s="16" t="s">
        <v>5</v>
      </c>
      <c r="G1" s="16" t="s">
        <v>6</v>
      </c>
      <c r="H1" s="17" t="s">
        <v>7</v>
      </c>
      <c r="I1" s="18" t="s">
        <v>8</v>
      </c>
      <c r="J1" s="1" t="s">
        <v>9</v>
      </c>
    </row>
    <row r="2" spans="1:10" hidden="1">
      <c r="A2" s="20">
        <v>1</v>
      </c>
      <c r="B2" s="19" t="s">
        <v>12</v>
      </c>
      <c r="C2" s="19" t="s">
        <v>1766</v>
      </c>
      <c r="D2" s="19">
        <v>3787</v>
      </c>
      <c r="E2" s="19">
        <v>339</v>
      </c>
      <c r="F2" s="19">
        <v>0.96</v>
      </c>
      <c r="G2" s="19">
        <v>20260327</v>
      </c>
      <c r="H2" s="20" t="b">
        <f>OR(ISNUMBER(SEARCH("$A",C2)),ISNUMBER(SEARCH("$B",C2)),ISNUMBER(SEARCH("$C",C2)),ISNUMBER(SEARCH("$D",C2)),ISNUMBER(SEARCH("$E",C2)),ISNUMBER(SEARCH("$F",C2)),ISNUMBER(SEARCH("$G",C2)),ISNUMBER(SEARCH("$H",C2)),ISNUMBER(SEARCH("$I",C2)),ISNUMBER(SEARCH("$J",C2)),ISNUMBER(SEARCH("$K",C2)),ISNUMBER(SEARCH("$L",C2)),ISNUMBER(SEARCH("$M",C2)),ISNUMBER(SEARCH("$N",C2)),ISNUMBER(SEARCH("$O",C2)),ISNUMBER(SEARCH("$P",C2)),ISNUMBER(SEARCH("$Q",C2)),ISNUMBER(SEARCH("$R",C2)),ISNUMBER(SEARCH("$S",C2)),ISNUMBER(SEARCH("$T",C2)),ISNUMBER(SEARCH("$U",C2)),ISNUMBER(SEARCH("$V",C2)),ISNUMBER(SEARCH("$W",C2)),ISNUMBER(SEARCH("$X",C2)),ISNUMBER(SEARCH("$Y",C2)),ISNUMBER(SEARCH("$Z",C2)))</f>
        <v>0</v>
      </c>
      <c r="I2" s="21" t="str" cm="1">
        <f t="array" ref="I2">GET_TICKER_FINAL(C2)</f>
        <v/>
      </c>
      <c r="J2" s="5" t="s">
        <v>16</v>
      </c>
    </row>
    <row r="3" spans="1:10" hidden="1">
      <c r="A3" s="23">
        <v>2</v>
      </c>
      <c r="B3" s="22" t="s">
        <v>12</v>
      </c>
      <c r="C3" s="22" t="s">
        <v>15</v>
      </c>
      <c r="D3" s="22">
        <v>1698</v>
      </c>
      <c r="E3" s="22">
        <v>472</v>
      </c>
      <c r="F3" s="22">
        <v>0.91</v>
      </c>
      <c r="G3" s="22">
        <v>20260324</v>
      </c>
      <c r="H3" s="23" t="b">
        <f t="shared" ref="H3:H66" si="0">OR(ISNUMBER(SEARCH("$A",C3)),ISNUMBER(SEARCH("$B",C3)),ISNUMBER(SEARCH("$C",C3)),ISNUMBER(SEARCH("$D",C3)),ISNUMBER(SEARCH("$E",C3)),ISNUMBER(SEARCH("$F",C3)),ISNUMBER(SEARCH("$G",C3)),ISNUMBER(SEARCH("$H",C3)),ISNUMBER(SEARCH("$I",C3)),ISNUMBER(SEARCH("$J",C3)),ISNUMBER(SEARCH("$K",C3)),ISNUMBER(SEARCH("$L",C3)),ISNUMBER(SEARCH("$M",C3)),ISNUMBER(SEARCH("$N",C3)),ISNUMBER(SEARCH("$O",C3)),ISNUMBER(SEARCH("$P",C3)),ISNUMBER(SEARCH("$Q",C3)),ISNUMBER(SEARCH("$R",C3)),ISNUMBER(SEARCH("$S",C3)),ISNUMBER(SEARCH("$T",C3)),ISNUMBER(SEARCH("$U",C3)),ISNUMBER(SEARCH("$V",C3)),ISNUMBER(SEARCH("$W",C3)),ISNUMBER(SEARCH("$X",C3)),ISNUMBER(SEARCH("$Y",C3)),ISNUMBER(SEARCH("$Z",C3)))</f>
        <v>0</v>
      </c>
      <c r="I3" s="24" t="str" cm="1">
        <f t="array" ref="I3">GET_TICKER_FINAL(C3)</f>
        <v/>
      </c>
      <c r="J3" s="5" t="s">
        <v>25</v>
      </c>
    </row>
    <row r="4" spans="1:10" hidden="1">
      <c r="A4" s="20">
        <v>3</v>
      </c>
      <c r="B4" s="19" t="s">
        <v>12</v>
      </c>
      <c r="C4" s="19" t="s">
        <v>18</v>
      </c>
      <c r="D4" s="19">
        <v>950</v>
      </c>
      <c r="E4" s="19">
        <v>378</v>
      </c>
      <c r="F4" s="19">
        <v>0.92</v>
      </c>
      <c r="G4" s="19">
        <v>20260324</v>
      </c>
      <c r="H4" s="20" t="b">
        <f t="shared" si="0"/>
        <v>0</v>
      </c>
      <c r="I4" s="21" t="str" cm="1">
        <f t="array" ref="I4">GET_TICKER_FINAL(C4)</f>
        <v/>
      </c>
      <c r="J4" s="5" t="s">
        <v>16</v>
      </c>
    </row>
    <row r="5" spans="1:10" hidden="1">
      <c r="A5" s="23">
        <v>4</v>
      </c>
      <c r="B5" s="22" t="s">
        <v>12</v>
      </c>
      <c r="C5" s="22" t="s">
        <v>20</v>
      </c>
      <c r="D5" s="22">
        <v>932</v>
      </c>
      <c r="E5" s="22">
        <v>114</v>
      </c>
      <c r="F5" s="22">
        <v>0.98</v>
      </c>
      <c r="G5" s="22">
        <v>20260326</v>
      </c>
      <c r="H5" s="23" t="b">
        <f t="shared" si="0"/>
        <v>0</v>
      </c>
      <c r="I5" s="24" t="str" cm="1">
        <f t="array" ref="I5">GET_TICKER_FINAL(C5)</f>
        <v/>
      </c>
      <c r="J5" s="5" t="s">
        <v>16</v>
      </c>
    </row>
    <row r="6" spans="1:10" hidden="1">
      <c r="A6" s="20">
        <v>5</v>
      </c>
      <c r="B6" s="19" t="s">
        <v>12</v>
      </c>
      <c r="C6" s="19" t="s">
        <v>21</v>
      </c>
      <c r="D6" s="19">
        <v>856</v>
      </c>
      <c r="E6" s="19">
        <v>209</v>
      </c>
      <c r="F6" s="19">
        <v>0.93</v>
      </c>
      <c r="G6" s="19">
        <v>20260402</v>
      </c>
      <c r="H6" s="20" t="b">
        <f t="shared" si="0"/>
        <v>0</v>
      </c>
      <c r="I6" s="21" t="str" cm="1">
        <f t="array" ref="I6">GET_TICKER_FINAL(C6)</f>
        <v/>
      </c>
      <c r="J6" s="5" t="s">
        <v>16</v>
      </c>
    </row>
    <row r="7" spans="1:10" hidden="1">
      <c r="A7" s="23">
        <v>6</v>
      </c>
      <c r="B7" s="22" t="s">
        <v>12</v>
      </c>
      <c r="C7" s="22" t="s">
        <v>22</v>
      </c>
      <c r="D7" s="22">
        <v>763</v>
      </c>
      <c r="E7" s="22">
        <v>448</v>
      </c>
      <c r="F7" s="22">
        <v>0.74</v>
      </c>
      <c r="G7" s="22">
        <v>20260401</v>
      </c>
      <c r="H7" s="23" t="b">
        <f t="shared" si="0"/>
        <v>0</v>
      </c>
      <c r="I7" s="24" t="str" cm="1">
        <f t="array" ref="I7">GET_TICKER_FINAL(C7)</f>
        <v/>
      </c>
      <c r="J7" s="5" t="s">
        <v>1792</v>
      </c>
    </row>
    <row r="8" spans="1:10" hidden="1">
      <c r="A8" s="20">
        <v>7</v>
      </c>
      <c r="B8" s="19" t="s">
        <v>12</v>
      </c>
      <c r="C8" s="19" t="s">
        <v>23</v>
      </c>
      <c r="D8" s="19">
        <v>754</v>
      </c>
      <c r="E8" s="19">
        <v>131</v>
      </c>
      <c r="F8" s="19">
        <v>0.92</v>
      </c>
      <c r="G8" s="19">
        <v>20260327</v>
      </c>
      <c r="H8" s="20" t="b">
        <f t="shared" si="0"/>
        <v>0</v>
      </c>
      <c r="I8" s="21" t="str" cm="1">
        <f t="array" ref="I8">GET_TICKER_FINAL(C8)</f>
        <v/>
      </c>
      <c r="J8" s="5" t="s">
        <v>16</v>
      </c>
    </row>
    <row r="9" spans="1:10" hidden="1">
      <c r="A9" s="23">
        <v>8</v>
      </c>
      <c r="B9" s="22" t="s">
        <v>12</v>
      </c>
      <c r="C9" s="22" t="s">
        <v>24</v>
      </c>
      <c r="D9" s="22">
        <v>703</v>
      </c>
      <c r="E9" s="22">
        <v>109</v>
      </c>
      <c r="F9" s="22">
        <v>0.92</v>
      </c>
      <c r="G9" s="22">
        <v>20260331</v>
      </c>
      <c r="H9" s="23" t="b">
        <f t="shared" si="0"/>
        <v>0</v>
      </c>
      <c r="I9" s="24" t="str" cm="1">
        <f t="array" ref="I9">GET_TICKER_FINAL(C9)</f>
        <v/>
      </c>
      <c r="J9" s="5" t="s">
        <v>1792</v>
      </c>
    </row>
    <row r="10" spans="1:10" hidden="1">
      <c r="A10" s="20">
        <v>9</v>
      </c>
      <c r="B10" s="19" t="s">
        <v>12</v>
      </c>
      <c r="C10" s="19" t="s">
        <v>26</v>
      </c>
      <c r="D10" s="19">
        <v>664</v>
      </c>
      <c r="E10" s="19">
        <v>270</v>
      </c>
      <c r="F10" s="19">
        <v>0.95</v>
      </c>
      <c r="G10" s="19">
        <v>20260330</v>
      </c>
      <c r="H10" s="20" t="b">
        <f t="shared" si="0"/>
        <v>0</v>
      </c>
      <c r="I10" s="21" t="str" cm="1">
        <f t="array" ref="I10">GET_TICKER_FINAL(C10)</f>
        <v/>
      </c>
      <c r="J10" s="5" t="s">
        <v>28</v>
      </c>
    </row>
    <row r="11" spans="1:10" hidden="1">
      <c r="A11" s="23">
        <v>10</v>
      </c>
      <c r="B11" s="22" t="s">
        <v>12</v>
      </c>
      <c r="C11" s="22" t="s">
        <v>27</v>
      </c>
      <c r="D11" s="22">
        <v>587</v>
      </c>
      <c r="E11" s="22">
        <v>169</v>
      </c>
      <c r="F11" s="22">
        <v>0.92</v>
      </c>
      <c r="G11" s="22">
        <v>20260330</v>
      </c>
      <c r="H11" s="23" t="b">
        <f t="shared" si="0"/>
        <v>0</v>
      </c>
      <c r="I11" s="24" t="str" cm="1">
        <f t="array" ref="I11">GET_TICKER_FINAL(C11)</f>
        <v/>
      </c>
      <c r="J11" s="5" t="s">
        <v>28</v>
      </c>
    </row>
    <row r="12" spans="1:10" hidden="1">
      <c r="A12" s="20">
        <v>11</v>
      </c>
      <c r="B12" s="19" t="s">
        <v>12</v>
      </c>
      <c r="C12" s="19" t="s">
        <v>29</v>
      </c>
      <c r="D12" s="19">
        <v>538</v>
      </c>
      <c r="E12" s="19">
        <v>237</v>
      </c>
      <c r="F12" s="19">
        <v>0.86</v>
      </c>
      <c r="G12" s="19">
        <v>20260327</v>
      </c>
      <c r="H12" s="20" t="b">
        <f t="shared" si="0"/>
        <v>0</v>
      </c>
      <c r="I12" s="21" t="str" cm="1">
        <f t="array" ref="I12">GET_TICKER_FINAL(C12)</f>
        <v/>
      </c>
      <c r="J12" s="5" t="s">
        <v>16</v>
      </c>
    </row>
    <row r="13" spans="1:10" hidden="1">
      <c r="A13" s="23">
        <v>12</v>
      </c>
      <c r="B13" s="22" t="s">
        <v>12</v>
      </c>
      <c r="C13" s="22" t="s">
        <v>30</v>
      </c>
      <c r="D13" s="22">
        <v>509</v>
      </c>
      <c r="E13" s="22">
        <v>446</v>
      </c>
      <c r="F13" s="22">
        <v>0.87</v>
      </c>
      <c r="G13" s="22">
        <v>20260323</v>
      </c>
      <c r="H13" s="23" t="b">
        <f t="shared" si="0"/>
        <v>0</v>
      </c>
      <c r="I13" s="24" t="str" cm="1">
        <f t="array" ref="I13">GET_TICKER_FINAL(C13)</f>
        <v/>
      </c>
      <c r="J13" s="5" t="s">
        <v>16</v>
      </c>
    </row>
    <row r="14" spans="1:10" hidden="1">
      <c r="A14" s="20">
        <v>13</v>
      </c>
      <c r="B14" s="19" t="s">
        <v>12</v>
      </c>
      <c r="C14" s="19" t="s">
        <v>31</v>
      </c>
      <c r="D14" s="19">
        <v>498</v>
      </c>
      <c r="E14" s="19">
        <v>132</v>
      </c>
      <c r="F14" s="19">
        <v>0.92</v>
      </c>
      <c r="G14" s="19">
        <v>20260323</v>
      </c>
      <c r="H14" s="20" t="b">
        <f t="shared" si="0"/>
        <v>0</v>
      </c>
      <c r="I14" s="21" t="str" cm="1">
        <f t="array" ref="I14">GET_TICKER_FINAL(C14)</f>
        <v/>
      </c>
      <c r="J14" s="5" t="s">
        <v>16</v>
      </c>
    </row>
    <row r="15" spans="1:10" hidden="1">
      <c r="A15" s="23">
        <v>14</v>
      </c>
      <c r="B15" s="22" t="s">
        <v>12</v>
      </c>
      <c r="C15" s="22" t="s">
        <v>32</v>
      </c>
      <c r="D15" s="22">
        <v>484</v>
      </c>
      <c r="E15" s="22">
        <v>257</v>
      </c>
      <c r="F15" s="22">
        <v>0.92</v>
      </c>
      <c r="G15" s="22">
        <v>20260324</v>
      </c>
      <c r="H15" s="23" t="b">
        <f t="shared" si="0"/>
        <v>0</v>
      </c>
      <c r="I15" s="24" t="str" cm="1">
        <f t="array" ref="I15">GET_TICKER_FINAL(C15)</f>
        <v/>
      </c>
      <c r="J15" s="5" t="s">
        <v>1792</v>
      </c>
    </row>
    <row r="16" spans="1:10" hidden="1">
      <c r="A16" s="20">
        <v>15</v>
      </c>
      <c r="B16" s="19" t="s">
        <v>12</v>
      </c>
      <c r="C16" s="19" t="s">
        <v>33</v>
      </c>
      <c r="D16" s="19">
        <v>454</v>
      </c>
      <c r="E16" s="19">
        <v>497</v>
      </c>
      <c r="F16" s="19">
        <v>0.84</v>
      </c>
      <c r="G16" s="19">
        <v>20260323</v>
      </c>
      <c r="H16" s="20" t="b">
        <f t="shared" si="0"/>
        <v>0</v>
      </c>
      <c r="I16" s="21" t="str" cm="1">
        <f t="array" ref="I16">GET_TICKER_FINAL(C16)</f>
        <v/>
      </c>
      <c r="J16" s="5" t="s">
        <v>1792</v>
      </c>
    </row>
    <row r="17" spans="1:11" hidden="1">
      <c r="A17" s="23">
        <v>16</v>
      </c>
      <c r="B17" s="22" t="s">
        <v>12</v>
      </c>
      <c r="C17" s="22" t="s">
        <v>34</v>
      </c>
      <c r="D17" s="22">
        <v>438</v>
      </c>
      <c r="E17" s="22">
        <v>157</v>
      </c>
      <c r="F17" s="22">
        <v>0.89</v>
      </c>
      <c r="G17" s="22">
        <v>20260402</v>
      </c>
      <c r="H17" s="23" t="b">
        <f t="shared" si="0"/>
        <v>0</v>
      </c>
      <c r="I17" s="24" t="str" cm="1">
        <f t="array" ref="I17">GET_TICKER_FINAL(C17)</f>
        <v/>
      </c>
      <c r="J17" s="5" t="s">
        <v>1792</v>
      </c>
    </row>
    <row r="18" spans="1:11" hidden="1">
      <c r="A18" s="20">
        <v>17</v>
      </c>
      <c r="B18" s="19" t="s">
        <v>12</v>
      </c>
      <c r="C18" s="19" t="s">
        <v>35</v>
      </c>
      <c r="D18" s="19">
        <v>435</v>
      </c>
      <c r="E18" s="19">
        <v>44</v>
      </c>
      <c r="F18" s="19">
        <v>0.97</v>
      </c>
      <c r="G18" s="19">
        <v>20260331</v>
      </c>
      <c r="H18" s="20" t="b">
        <f t="shared" si="0"/>
        <v>0</v>
      </c>
      <c r="I18" s="21" t="str" cm="1">
        <f t="array" ref="I18">GET_TICKER_FINAL(C18)</f>
        <v/>
      </c>
      <c r="J18" s="5" t="s">
        <v>28</v>
      </c>
    </row>
    <row r="19" spans="1:11" hidden="1">
      <c r="A19" s="23">
        <v>18</v>
      </c>
      <c r="B19" s="22" t="s">
        <v>12</v>
      </c>
      <c r="C19" s="22" t="s">
        <v>36</v>
      </c>
      <c r="D19" s="22">
        <v>429</v>
      </c>
      <c r="E19" s="22">
        <v>109</v>
      </c>
      <c r="F19" s="22">
        <v>0.94</v>
      </c>
      <c r="G19" s="22">
        <v>20260331</v>
      </c>
      <c r="H19" s="23" t="b">
        <f t="shared" si="0"/>
        <v>0</v>
      </c>
      <c r="I19" s="24" t="str" cm="1">
        <f t="array" ref="I19">GET_TICKER_FINAL(C19)</f>
        <v/>
      </c>
      <c r="J19" s="5" t="s">
        <v>16</v>
      </c>
    </row>
    <row r="20" spans="1:11" hidden="1">
      <c r="A20" s="20">
        <v>19</v>
      </c>
      <c r="B20" s="19" t="s">
        <v>12</v>
      </c>
      <c r="C20" s="19" t="s">
        <v>37</v>
      </c>
      <c r="D20" s="19">
        <v>424</v>
      </c>
      <c r="E20" s="19">
        <v>192</v>
      </c>
      <c r="F20" s="19">
        <v>0.93</v>
      </c>
      <c r="G20" s="19">
        <v>20260402</v>
      </c>
      <c r="H20" s="20" t="b">
        <f t="shared" si="0"/>
        <v>0</v>
      </c>
      <c r="I20" s="21" t="str" cm="1">
        <f t="array" ref="I20">GET_TICKER_FINAL(C20)</f>
        <v/>
      </c>
      <c r="J20" s="5" t="s">
        <v>16</v>
      </c>
    </row>
    <row r="21" spans="1:11" hidden="1">
      <c r="A21" s="23">
        <v>20</v>
      </c>
      <c r="B21" s="22" t="s">
        <v>12</v>
      </c>
      <c r="C21" s="22" t="s">
        <v>38</v>
      </c>
      <c r="D21" s="22">
        <v>382</v>
      </c>
      <c r="E21" s="22">
        <v>101</v>
      </c>
      <c r="F21" s="22">
        <v>0.88</v>
      </c>
      <c r="G21" s="22">
        <v>20260326</v>
      </c>
      <c r="H21" s="23" t="b">
        <f t="shared" si="0"/>
        <v>0</v>
      </c>
      <c r="I21" s="24" t="str" cm="1">
        <f t="array" ref="I21">GET_TICKER_FINAL(C21)</f>
        <v/>
      </c>
      <c r="J21" s="5" t="s">
        <v>1792</v>
      </c>
    </row>
    <row r="22" spans="1:11" hidden="1">
      <c r="A22" s="20">
        <v>21</v>
      </c>
      <c r="B22" s="19" t="s">
        <v>12</v>
      </c>
      <c r="C22" s="19" t="s">
        <v>39</v>
      </c>
      <c r="D22" s="19">
        <v>376</v>
      </c>
      <c r="E22" s="19">
        <v>130</v>
      </c>
      <c r="F22" s="19">
        <v>0.93</v>
      </c>
      <c r="G22" s="19">
        <v>20260402</v>
      </c>
      <c r="H22" s="20" t="b">
        <f t="shared" si="0"/>
        <v>0</v>
      </c>
      <c r="I22" s="21" t="str" cm="1">
        <f t="array" ref="I22">GET_TICKER_FINAL(C22)</f>
        <v/>
      </c>
      <c r="J22" s="5" t="s">
        <v>25</v>
      </c>
    </row>
    <row r="23" spans="1:11" hidden="1">
      <c r="A23" s="23">
        <v>22</v>
      </c>
      <c r="B23" s="22" t="s">
        <v>12</v>
      </c>
      <c r="C23" s="22" t="s">
        <v>40</v>
      </c>
      <c r="D23" s="22">
        <v>357</v>
      </c>
      <c r="E23" s="22">
        <v>87</v>
      </c>
      <c r="F23" s="22">
        <v>0.95</v>
      </c>
      <c r="G23" s="22">
        <v>20260402</v>
      </c>
      <c r="H23" s="23" t="b">
        <f t="shared" si="0"/>
        <v>0</v>
      </c>
      <c r="I23" s="24" t="str" cm="1">
        <f t="array" ref="I23">GET_TICKER_FINAL(C23)</f>
        <v/>
      </c>
      <c r="J23" s="5" t="s">
        <v>25</v>
      </c>
    </row>
    <row r="24" spans="1:11" hidden="1">
      <c r="A24" s="20">
        <v>23</v>
      </c>
      <c r="B24" s="19" t="s">
        <v>12</v>
      </c>
      <c r="C24" s="19" t="s">
        <v>41</v>
      </c>
      <c r="D24" s="19">
        <v>355</v>
      </c>
      <c r="E24" s="19">
        <v>231</v>
      </c>
      <c r="F24" s="19">
        <v>0.92</v>
      </c>
      <c r="G24" s="19">
        <v>20260320</v>
      </c>
      <c r="H24" s="20" t="b">
        <f t="shared" si="0"/>
        <v>0</v>
      </c>
      <c r="I24" s="21" t="str" cm="1">
        <f t="array" ref="I24">GET_TICKER_FINAL(C24)</f>
        <v/>
      </c>
      <c r="J24" s="5" t="s">
        <v>25</v>
      </c>
    </row>
    <row r="25" spans="1:11" hidden="1">
      <c r="A25" s="23">
        <v>24</v>
      </c>
      <c r="B25" s="22" t="s">
        <v>12</v>
      </c>
      <c r="C25" s="22" t="s">
        <v>42</v>
      </c>
      <c r="D25" s="22">
        <v>355</v>
      </c>
      <c r="E25" s="22">
        <v>506</v>
      </c>
      <c r="F25" s="22">
        <v>0.85</v>
      </c>
      <c r="G25" s="22">
        <v>20260402</v>
      </c>
      <c r="H25" s="23" t="b">
        <f t="shared" si="0"/>
        <v>0</v>
      </c>
      <c r="I25" s="24" t="str" cm="1">
        <f t="array" ref="I25">GET_TICKER_FINAL(C25)</f>
        <v/>
      </c>
      <c r="J25" s="5" t="s">
        <v>1792</v>
      </c>
    </row>
    <row r="26" spans="1:11" hidden="1">
      <c r="A26" s="20">
        <v>25</v>
      </c>
      <c r="B26" s="19" t="s">
        <v>12</v>
      </c>
      <c r="C26" s="19" t="s">
        <v>43</v>
      </c>
      <c r="D26" s="19">
        <v>349</v>
      </c>
      <c r="E26" s="19">
        <v>188</v>
      </c>
      <c r="F26" s="19">
        <v>0.89</v>
      </c>
      <c r="G26" s="19">
        <v>20260402</v>
      </c>
      <c r="H26" s="20" t="b">
        <f t="shared" si="0"/>
        <v>0</v>
      </c>
      <c r="I26" s="21" t="str" cm="1">
        <f t="array" ref="I26">GET_TICKER_FINAL(C26)</f>
        <v/>
      </c>
      <c r="J26" s="5" t="s">
        <v>28</v>
      </c>
    </row>
    <row r="27" spans="1:11" hidden="1">
      <c r="A27" s="23">
        <v>26</v>
      </c>
      <c r="B27" s="22" t="s">
        <v>12</v>
      </c>
      <c r="C27" s="22" t="s">
        <v>44</v>
      </c>
      <c r="D27" s="22">
        <v>348</v>
      </c>
      <c r="E27" s="22">
        <v>34</v>
      </c>
      <c r="F27" s="22">
        <v>0.95</v>
      </c>
      <c r="G27" s="22">
        <v>20260327</v>
      </c>
      <c r="H27" s="23" t="b">
        <f t="shared" si="0"/>
        <v>0</v>
      </c>
      <c r="I27" s="24" t="str" cm="1">
        <f t="array" ref="I27">GET_TICKER_FINAL(C27)</f>
        <v/>
      </c>
      <c r="J27" s="5" t="s">
        <v>28</v>
      </c>
    </row>
    <row r="28" spans="1:11" hidden="1">
      <c r="A28" s="20">
        <v>27</v>
      </c>
      <c r="B28" s="19" t="s">
        <v>12</v>
      </c>
      <c r="C28" s="19" t="s">
        <v>45</v>
      </c>
      <c r="D28" s="19">
        <v>338</v>
      </c>
      <c r="E28" s="19">
        <v>208</v>
      </c>
      <c r="F28" s="19">
        <v>0.88</v>
      </c>
      <c r="G28" s="19">
        <v>20260327</v>
      </c>
      <c r="H28" s="20" t="b">
        <f t="shared" si="0"/>
        <v>0</v>
      </c>
      <c r="I28" s="21" t="str" cm="1">
        <f t="array" ref="I28">GET_TICKER_FINAL(C28)</f>
        <v/>
      </c>
      <c r="J28" s="5" t="s">
        <v>1792</v>
      </c>
    </row>
    <row r="29" spans="1:11" hidden="1">
      <c r="A29" s="23">
        <v>28</v>
      </c>
      <c r="B29" s="22" t="s">
        <v>12</v>
      </c>
      <c r="C29" s="22" t="s">
        <v>46</v>
      </c>
      <c r="D29" s="22">
        <v>279</v>
      </c>
      <c r="E29" s="22">
        <v>56</v>
      </c>
      <c r="F29" s="22">
        <v>0.88</v>
      </c>
      <c r="G29" s="22">
        <v>20260331</v>
      </c>
      <c r="H29" s="23" t="b">
        <f t="shared" si="0"/>
        <v>0</v>
      </c>
      <c r="I29" s="24" t="str" cm="1">
        <f t="array" ref="I29">GET_TICKER_FINAL(C29)</f>
        <v/>
      </c>
      <c r="J29" s="5" t="s">
        <v>16</v>
      </c>
    </row>
    <row r="30" spans="1:11" hidden="1">
      <c r="A30" s="20">
        <v>29</v>
      </c>
      <c r="B30" s="19" t="s">
        <v>12</v>
      </c>
      <c r="C30" s="19" t="s">
        <v>47</v>
      </c>
      <c r="D30" s="19">
        <v>271</v>
      </c>
      <c r="E30" s="19">
        <v>339</v>
      </c>
      <c r="F30" s="19">
        <v>0.91</v>
      </c>
      <c r="G30" s="19">
        <v>20260323</v>
      </c>
      <c r="H30" s="20" t="b">
        <f t="shared" si="0"/>
        <v>0</v>
      </c>
      <c r="I30" s="21" t="str" cm="1">
        <f t="array" ref="I30">GET_TICKER_FINAL(C30)</f>
        <v/>
      </c>
      <c r="J30" s="5" t="s">
        <v>1792</v>
      </c>
    </row>
    <row r="31" spans="1:11" hidden="1">
      <c r="A31" s="23">
        <v>30</v>
      </c>
      <c r="B31" s="22" t="s">
        <v>12</v>
      </c>
      <c r="C31" s="22" t="s">
        <v>48</v>
      </c>
      <c r="D31" s="22">
        <v>268</v>
      </c>
      <c r="E31" s="22">
        <v>153</v>
      </c>
      <c r="F31" s="22">
        <v>0.83</v>
      </c>
      <c r="G31" s="22">
        <v>20260327</v>
      </c>
      <c r="H31" s="23" t="b">
        <f t="shared" si="0"/>
        <v>0</v>
      </c>
      <c r="I31" s="24" t="str" cm="1">
        <f t="array" ref="I31">GET_TICKER_FINAL(C31)</f>
        <v/>
      </c>
      <c r="J31" s="5" t="s">
        <v>16</v>
      </c>
    </row>
    <row r="32" spans="1:11" hidden="1">
      <c r="A32" s="20">
        <v>31</v>
      </c>
      <c r="B32" s="19" t="s">
        <v>12</v>
      </c>
      <c r="C32" s="19" t="s">
        <v>49</v>
      </c>
      <c r="D32" s="19">
        <v>267</v>
      </c>
      <c r="E32" s="19">
        <v>9</v>
      </c>
      <c r="F32" s="19">
        <v>0.93</v>
      </c>
      <c r="G32" s="19">
        <v>20260324</v>
      </c>
      <c r="H32" s="20" t="b">
        <f t="shared" si="0"/>
        <v>0</v>
      </c>
      <c r="I32" s="21" t="str" cm="1">
        <f t="array" ref="I32">GET_TICKER_FINAL(C32)</f>
        <v/>
      </c>
      <c r="J32" s="5" t="s">
        <v>28</v>
      </c>
      <c r="K32" s="9" t="e">
        <f>#REF!/30</f>
        <v>#REF!</v>
      </c>
    </row>
    <row r="33" spans="1:11" hidden="1">
      <c r="A33" s="23">
        <v>32</v>
      </c>
      <c r="B33" s="22" t="s">
        <v>12</v>
      </c>
      <c r="C33" s="22" t="s">
        <v>50</v>
      </c>
      <c r="D33" s="22">
        <v>256</v>
      </c>
      <c r="E33" s="22">
        <v>193</v>
      </c>
      <c r="F33" s="22">
        <v>0.9</v>
      </c>
      <c r="G33" s="22">
        <v>20260402</v>
      </c>
      <c r="H33" s="23" t="b">
        <f t="shared" si="0"/>
        <v>0</v>
      </c>
      <c r="I33" s="24" t="str" cm="1">
        <f t="array" ref="I33">GET_TICKER_FINAL(C33)</f>
        <v/>
      </c>
      <c r="J33" s="5" t="s">
        <v>14</v>
      </c>
      <c r="K33" s="12"/>
    </row>
    <row r="34" spans="1:11">
      <c r="A34" s="20">
        <v>33</v>
      </c>
      <c r="B34" s="19" t="s">
        <v>12</v>
      </c>
      <c r="C34" s="19" t="s">
        <v>51</v>
      </c>
      <c r="D34" s="19">
        <v>226</v>
      </c>
      <c r="E34" s="19">
        <v>405</v>
      </c>
      <c r="F34" s="19">
        <v>0.74</v>
      </c>
      <c r="G34" s="19">
        <v>20260402</v>
      </c>
      <c r="H34" s="20" t="b">
        <f t="shared" si="0"/>
        <v>0</v>
      </c>
      <c r="I34" s="21" t="str" cm="1">
        <f t="array" ref="I34">GET_TICKER_FINAL(C34)</f>
        <v>SPY</v>
      </c>
      <c r="J34" s="5" t="s">
        <v>14</v>
      </c>
    </row>
    <row r="35" spans="1:11" hidden="1">
      <c r="A35" s="23">
        <v>34</v>
      </c>
      <c r="B35" s="22" t="s">
        <v>12</v>
      </c>
      <c r="C35" s="22" t="s">
        <v>52</v>
      </c>
      <c r="D35" s="22">
        <v>219</v>
      </c>
      <c r="E35" s="22">
        <v>541</v>
      </c>
      <c r="F35" s="22">
        <v>0.69</v>
      </c>
      <c r="G35" s="22">
        <v>20260324</v>
      </c>
      <c r="H35" s="23" t="b">
        <f t="shared" si="0"/>
        <v>0</v>
      </c>
      <c r="I35" s="24" t="str" cm="1">
        <f t="array" ref="I35">GET_TICKER_FINAL(C35)</f>
        <v/>
      </c>
      <c r="J35" s="5" t="s">
        <v>16</v>
      </c>
    </row>
    <row r="36" spans="1:11" hidden="1">
      <c r="A36" s="20">
        <v>35</v>
      </c>
      <c r="B36" s="19" t="s">
        <v>12</v>
      </c>
      <c r="C36" s="19" t="s">
        <v>53</v>
      </c>
      <c r="D36" s="19">
        <v>211</v>
      </c>
      <c r="E36" s="19">
        <v>106</v>
      </c>
      <c r="F36" s="19">
        <v>0.93</v>
      </c>
      <c r="G36" s="19">
        <v>20260401</v>
      </c>
      <c r="H36" s="20" t="b">
        <f t="shared" si="0"/>
        <v>0</v>
      </c>
      <c r="I36" s="21" t="str" cm="1">
        <f t="array" ref="I36">GET_TICKER_FINAL(C36)</f>
        <v/>
      </c>
      <c r="J36" s="5" t="s">
        <v>28</v>
      </c>
    </row>
    <row r="37" spans="1:11" hidden="1">
      <c r="A37" s="23">
        <v>36</v>
      </c>
      <c r="B37" s="22" t="s">
        <v>12</v>
      </c>
      <c r="C37" s="22" t="s">
        <v>54</v>
      </c>
      <c r="D37" s="22">
        <v>182</v>
      </c>
      <c r="E37" s="22">
        <v>29</v>
      </c>
      <c r="F37" s="22">
        <v>0.96</v>
      </c>
      <c r="G37" s="22">
        <v>20260327</v>
      </c>
      <c r="H37" s="23" t="b">
        <f t="shared" si="0"/>
        <v>0</v>
      </c>
      <c r="I37" s="24" t="str" cm="1">
        <f t="array" ref="I37">GET_TICKER_FINAL(C37)</f>
        <v/>
      </c>
      <c r="J37" s="5" t="s">
        <v>1792</v>
      </c>
    </row>
    <row r="38" spans="1:11" hidden="1">
      <c r="A38" s="20">
        <v>37</v>
      </c>
      <c r="B38" s="19" t="s">
        <v>12</v>
      </c>
      <c r="C38" s="19" t="s">
        <v>55</v>
      </c>
      <c r="D38" s="19">
        <v>181</v>
      </c>
      <c r="E38" s="19">
        <v>125</v>
      </c>
      <c r="F38" s="19">
        <v>0.89</v>
      </c>
      <c r="G38" s="19">
        <v>20260320</v>
      </c>
      <c r="H38" s="20" t="b">
        <f t="shared" si="0"/>
        <v>0</v>
      </c>
      <c r="I38" s="21" t="str" cm="1">
        <f t="array" ref="I38">GET_TICKER_FINAL(C38)</f>
        <v/>
      </c>
      <c r="J38" s="5" t="s">
        <v>16</v>
      </c>
    </row>
    <row r="39" spans="1:11" hidden="1">
      <c r="A39" s="23">
        <v>38</v>
      </c>
      <c r="B39" s="22" t="s">
        <v>12</v>
      </c>
      <c r="C39" s="22" t="s">
        <v>56</v>
      </c>
      <c r="D39" s="22">
        <v>180</v>
      </c>
      <c r="E39" s="22">
        <v>190</v>
      </c>
      <c r="F39" s="22">
        <v>0.89</v>
      </c>
      <c r="G39" s="22">
        <v>20260331</v>
      </c>
      <c r="H39" s="23" t="b">
        <f t="shared" si="0"/>
        <v>0</v>
      </c>
      <c r="I39" s="24" t="str" cm="1">
        <f t="array" ref="I39">GET_TICKER_FINAL(C39)</f>
        <v/>
      </c>
      <c r="J39" s="5" t="s">
        <v>1792</v>
      </c>
    </row>
    <row r="40" spans="1:11" hidden="1">
      <c r="A40" s="20">
        <v>39</v>
      </c>
      <c r="B40" s="19" t="s">
        <v>12</v>
      </c>
      <c r="C40" s="19" t="s">
        <v>57</v>
      </c>
      <c r="D40" s="19">
        <v>179</v>
      </c>
      <c r="E40" s="19">
        <v>21</v>
      </c>
      <c r="F40" s="19">
        <v>0.94</v>
      </c>
      <c r="G40" s="19">
        <v>20260331</v>
      </c>
      <c r="H40" s="20" t="b">
        <f t="shared" si="0"/>
        <v>0</v>
      </c>
      <c r="I40" s="21" t="str" cm="1">
        <f t="array" ref="I40">GET_TICKER_FINAL(C40)</f>
        <v/>
      </c>
      <c r="J40" s="5" t="s">
        <v>16</v>
      </c>
    </row>
    <row r="41" spans="1:11" hidden="1">
      <c r="A41" s="23">
        <v>40</v>
      </c>
      <c r="B41" s="22" t="s">
        <v>12</v>
      </c>
      <c r="C41" s="22" t="s">
        <v>58</v>
      </c>
      <c r="D41" s="22">
        <v>175</v>
      </c>
      <c r="E41" s="22">
        <v>36</v>
      </c>
      <c r="F41" s="22">
        <v>0.92</v>
      </c>
      <c r="G41" s="22">
        <v>20260402</v>
      </c>
      <c r="H41" s="23" t="b">
        <f t="shared" si="0"/>
        <v>0</v>
      </c>
      <c r="I41" s="24" t="str" cm="1">
        <f t="array" ref="I41">GET_TICKER_FINAL(C41)</f>
        <v/>
      </c>
      <c r="J41" s="5" t="s">
        <v>16</v>
      </c>
    </row>
    <row r="42" spans="1:11" hidden="1">
      <c r="A42" s="20">
        <v>41</v>
      </c>
      <c r="B42" s="19" t="s">
        <v>12</v>
      </c>
      <c r="C42" s="19" t="s">
        <v>59</v>
      </c>
      <c r="D42" s="19">
        <v>172</v>
      </c>
      <c r="E42" s="19">
        <v>136</v>
      </c>
      <c r="F42" s="19">
        <v>0.73</v>
      </c>
      <c r="G42" s="19">
        <v>20260327</v>
      </c>
      <c r="H42" s="20" t="b">
        <f t="shared" si="0"/>
        <v>0</v>
      </c>
      <c r="I42" s="21" t="str" cm="1">
        <f t="array" ref="I42">GET_TICKER_FINAL(C42)</f>
        <v/>
      </c>
      <c r="J42" s="5" t="s">
        <v>25</v>
      </c>
    </row>
    <row r="43" spans="1:11" hidden="1">
      <c r="A43" s="23">
        <v>42</v>
      </c>
      <c r="B43" s="22" t="s">
        <v>12</v>
      </c>
      <c r="C43" s="22" t="s">
        <v>60</v>
      </c>
      <c r="D43" s="22">
        <v>167</v>
      </c>
      <c r="E43" s="22">
        <v>222</v>
      </c>
      <c r="F43" s="22">
        <v>0.8</v>
      </c>
      <c r="G43" s="22">
        <v>20260324</v>
      </c>
      <c r="H43" s="23" t="b">
        <f t="shared" si="0"/>
        <v>0</v>
      </c>
      <c r="I43" s="24" t="str" cm="1">
        <f t="array" ref="I43">GET_TICKER_FINAL(C43)</f>
        <v/>
      </c>
      <c r="J43" s="5" t="s">
        <v>1792</v>
      </c>
    </row>
    <row r="44" spans="1:11" hidden="1">
      <c r="A44" s="20">
        <v>43</v>
      </c>
      <c r="B44" s="19" t="s">
        <v>12</v>
      </c>
      <c r="C44" s="19" t="s">
        <v>61</v>
      </c>
      <c r="D44" s="19">
        <v>156</v>
      </c>
      <c r="E44" s="19">
        <v>40</v>
      </c>
      <c r="F44" s="19">
        <v>0.93</v>
      </c>
      <c r="G44" s="19">
        <v>20260323</v>
      </c>
      <c r="H44" s="20" t="b">
        <f t="shared" si="0"/>
        <v>0</v>
      </c>
      <c r="I44" s="21" t="str" cm="1">
        <f t="array" ref="I44">GET_TICKER_FINAL(C44)</f>
        <v/>
      </c>
      <c r="J44" s="5" t="s">
        <v>1792</v>
      </c>
    </row>
    <row r="45" spans="1:11">
      <c r="A45" s="23">
        <v>44</v>
      </c>
      <c r="B45" s="22" t="s">
        <v>12</v>
      </c>
      <c r="C45" s="22" t="s">
        <v>62</v>
      </c>
      <c r="D45" s="22">
        <v>148</v>
      </c>
      <c r="E45" s="22">
        <v>112</v>
      </c>
      <c r="F45" s="22">
        <v>0.91</v>
      </c>
      <c r="G45" s="22">
        <v>20260402</v>
      </c>
      <c r="H45" s="23" t="b">
        <f t="shared" si="0"/>
        <v>0</v>
      </c>
      <c r="I45" s="24" t="str" cm="1">
        <f t="array" ref="I45">GET_TICKER_FINAL(C45)</f>
        <v>SPY</v>
      </c>
      <c r="J45" s="5" t="s">
        <v>1792</v>
      </c>
    </row>
    <row r="46" spans="1:11">
      <c r="A46" s="20">
        <v>45</v>
      </c>
      <c r="B46" s="19" t="s">
        <v>12</v>
      </c>
      <c r="C46" s="19" t="s">
        <v>63</v>
      </c>
      <c r="D46" s="19">
        <v>140</v>
      </c>
      <c r="E46" s="19">
        <v>27</v>
      </c>
      <c r="F46" s="19">
        <v>0.89</v>
      </c>
      <c r="G46" s="19">
        <v>20260330</v>
      </c>
      <c r="H46" s="20" t="b">
        <f t="shared" si="0"/>
        <v>0</v>
      </c>
      <c r="I46" s="21" t="str" cm="1">
        <f t="array" ref="I46">GET_TICKER_FINAL(C46)</f>
        <v>META</v>
      </c>
      <c r="J46" s="5" t="s">
        <v>16</v>
      </c>
    </row>
    <row r="47" spans="1:11" hidden="1">
      <c r="A47" s="23">
        <v>46</v>
      </c>
      <c r="B47" s="22" t="s">
        <v>12</v>
      </c>
      <c r="C47" s="22" t="s">
        <v>64</v>
      </c>
      <c r="D47" s="22">
        <v>139</v>
      </c>
      <c r="E47" s="22">
        <v>109</v>
      </c>
      <c r="F47" s="22">
        <v>0.83</v>
      </c>
      <c r="G47" s="22">
        <v>20260327</v>
      </c>
      <c r="H47" s="23" t="b">
        <f t="shared" si="0"/>
        <v>0</v>
      </c>
      <c r="I47" s="24" t="str" cm="1">
        <f t="array" ref="I47">GET_TICKER_FINAL(C47)</f>
        <v/>
      </c>
      <c r="J47" s="5" t="s">
        <v>1792</v>
      </c>
    </row>
    <row r="48" spans="1:11" hidden="1">
      <c r="A48" s="20">
        <v>47</v>
      </c>
      <c r="B48" s="19" t="s">
        <v>12</v>
      </c>
      <c r="C48" s="19" t="s">
        <v>65</v>
      </c>
      <c r="D48" s="19">
        <v>138</v>
      </c>
      <c r="E48" s="19">
        <v>34</v>
      </c>
      <c r="F48" s="19">
        <v>0.93</v>
      </c>
      <c r="G48" s="19">
        <v>20260324</v>
      </c>
      <c r="H48" s="20" t="b">
        <f t="shared" si="0"/>
        <v>0</v>
      </c>
      <c r="I48" s="21" t="str" cm="1">
        <f t="array" ref="I48">GET_TICKER_FINAL(C48)</f>
        <v/>
      </c>
      <c r="J48" s="5" t="s">
        <v>16</v>
      </c>
    </row>
    <row r="49" spans="1:10" hidden="1">
      <c r="A49" s="23">
        <v>48</v>
      </c>
      <c r="B49" s="22" t="s">
        <v>12</v>
      </c>
      <c r="C49" s="22" t="s">
        <v>66</v>
      </c>
      <c r="D49" s="22">
        <v>135</v>
      </c>
      <c r="E49" s="22">
        <v>51</v>
      </c>
      <c r="F49" s="22">
        <v>0.88</v>
      </c>
      <c r="G49" s="22">
        <v>20260320</v>
      </c>
      <c r="H49" s="23" t="b">
        <f t="shared" si="0"/>
        <v>0</v>
      </c>
      <c r="I49" s="24" t="str" cm="1">
        <f t="array" ref="I49">GET_TICKER_FINAL(C49)</f>
        <v/>
      </c>
      <c r="J49" s="5" t="s">
        <v>1792</v>
      </c>
    </row>
    <row r="50" spans="1:10" hidden="1">
      <c r="A50" s="20">
        <v>49</v>
      </c>
      <c r="B50" s="19" t="s">
        <v>12</v>
      </c>
      <c r="C50" s="19" t="s">
        <v>67</v>
      </c>
      <c r="D50" s="19">
        <v>122</v>
      </c>
      <c r="E50" s="19">
        <v>108</v>
      </c>
      <c r="F50" s="19">
        <v>0.9</v>
      </c>
      <c r="G50" s="19">
        <v>20260324</v>
      </c>
      <c r="H50" s="20" t="b">
        <f t="shared" si="0"/>
        <v>0</v>
      </c>
      <c r="I50" s="21" t="str" cm="1">
        <f t="array" ref="I50">GET_TICKER_FINAL(C50)</f>
        <v/>
      </c>
      <c r="J50" s="5" t="s">
        <v>1792</v>
      </c>
    </row>
    <row r="51" spans="1:10" hidden="1">
      <c r="A51" s="23">
        <v>50</v>
      </c>
      <c r="B51" s="22" t="s">
        <v>12</v>
      </c>
      <c r="C51" s="22" t="s">
        <v>70</v>
      </c>
      <c r="D51" s="22">
        <v>118</v>
      </c>
      <c r="E51" s="22">
        <v>51</v>
      </c>
      <c r="F51" s="22">
        <v>0.83</v>
      </c>
      <c r="G51" s="22">
        <v>20260401</v>
      </c>
      <c r="H51" s="23" t="b">
        <f t="shared" si="0"/>
        <v>0</v>
      </c>
      <c r="I51" s="24" t="str" cm="1">
        <f t="array" ref="I51">GET_TICKER_FINAL(C51)</f>
        <v/>
      </c>
      <c r="J51" s="5" t="s">
        <v>14</v>
      </c>
    </row>
    <row r="52" spans="1:10">
      <c r="A52" s="20">
        <v>51</v>
      </c>
      <c r="B52" s="19" t="s">
        <v>12</v>
      </c>
      <c r="C52" s="19" t="s">
        <v>71</v>
      </c>
      <c r="D52" s="19">
        <v>109</v>
      </c>
      <c r="E52" s="19">
        <v>27</v>
      </c>
      <c r="F52" s="19">
        <v>0.84</v>
      </c>
      <c r="G52" s="19">
        <v>20260402</v>
      </c>
      <c r="H52" s="20" t="b">
        <f t="shared" si="0"/>
        <v>0</v>
      </c>
      <c r="I52" s="21" t="str" cm="1">
        <f t="array" ref="I52">GET_TICKER_FINAL(C52)</f>
        <v>TSLA</v>
      </c>
      <c r="J52" s="5" t="s">
        <v>16</v>
      </c>
    </row>
    <row r="53" spans="1:10" hidden="1">
      <c r="A53" s="23">
        <v>52</v>
      </c>
      <c r="B53" s="22" t="s">
        <v>12</v>
      </c>
      <c r="C53" s="22" t="s">
        <v>72</v>
      </c>
      <c r="D53" s="22">
        <v>108</v>
      </c>
      <c r="E53" s="22">
        <v>33</v>
      </c>
      <c r="F53" s="22">
        <v>0.8</v>
      </c>
      <c r="G53" s="22">
        <v>20260402</v>
      </c>
      <c r="H53" s="23" t="b">
        <f t="shared" si="0"/>
        <v>0</v>
      </c>
      <c r="I53" s="24" t="str" cm="1">
        <f t="array" ref="I53">GET_TICKER_FINAL(C53)</f>
        <v/>
      </c>
      <c r="J53" s="5" t="s">
        <v>16</v>
      </c>
    </row>
    <row r="54" spans="1:10" hidden="1">
      <c r="A54" s="20">
        <v>53</v>
      </c>
      <c r="B54" s="19" t="s">
        <v>12</v>
      </c>
      <c r="C54" s="19" t="s">
        <v>73</v>
      </c>
      <c r="D54" s="19">
        <v>107</v>
      </c>
      <c r="E54" s="19">
        <v>82</v>
      </c>
      <c r="F54" s="19">
        <v>0.88</v>
      </c>
      <c r="G54" s="19">
        <v>20260326</v>
      </c>
      <c r="H54" s="20" t="b">
        <f t="shared" si="0"/>
        <v>0</v>
      </c>
      <c r="I54" s="21" t="str" cm="1">
        <f t="array" ref="I54">GET_TICKER_FINAL(C54)</f>
        <v/>
      </c>
      <c r="J54" s="5" t="s">
        <v>1792</v>
      </c>
    </row>
    <row r="55" spans="1:10" hidden="1">
      <c r="A55" s="23">
        <v>54</v>
      </c>
      <c r="B55" s="22" t="s">
        <v>12</v>
      </c>
      <c r="C55" s="22" t="s">
        <v>74</v>
      </c>
      <c r="D55" s="22">
        <v>106</v>
      </c>
      <c r="E55" s="22">
        <v>112</v>
      </c>
      <c r="F55" s="22">
        <v>0.82</v>
      </c>
      <c r="G55" s="22">
        <v>20260330</v>
      </c>
      <c r="H55" s="23" t="b">
        <f t="shared" si="0"/>
        <v>0</v>
      </c>
      <c r="I55" s="24" t="str" cm="1">
        <f t="array" ref="I55">GET_TICKER_FINAL(C55)</f>
        <v/>
      </c>
      <c r="J55" s="5" t="s">
        <v>1792</v>
      </c>
    </row>
    <row r="56" spans="1:10">
      <c r="A56" s="20">
        <v>55</v>
      </c>
      <c r="B56" s="19" t="s">
        <v>12</v>
      </c>
      <c r="C56" s="19" t="s">
        <v>75</v>
      </c>
      <c r="D56" s="19">
        <v>103</v>
      </c>
      <c r="E56" s="19">
        <v>184</v>
      </c>
      <c r="F56" s="19">
        <v>0.76</v>
      </c>
      <c r="G56" s="19">
        <v>20260326</v>
      </c>
      <c r="H56" s="20" t="b">
        <f t="shared" si="0"/>
        <v>0</v>
      </c>
      <c r="I56" s="21" t="str" cm="1">
        <f t="array" ref="I56">GET_TICKER_FINAL(C56)</f>
        <v>SPY</v>
      </c>
      <c r="J56" s="5" t="s">
        <v>1792</v>
      </c>
    </row>
    <row r="57" spans="1:10" hidden="1">
      <c r="A57" s="23">
        <v>56</v>
      </c>
      <c r="B57" s="22" t="s">
        <v>12</v>
      </c>
      <c r="C57" s="22" t="s">
        <v>76</v>
      </c>
      <c r="D57" s="22">
        <v>91</v>
      </c>
      <c r="E57" s="22">
        <v>109</v>
      </c>
      <c r="F57" s="22">
        <v>0.69</v>
      </c>
      <c r="G57" s="22">
        <v>20260326</v>
      </c>
      <c r="H57" s="23" t="b">
        <f t="shared" si="0"/>
        <v>0</v>
      </c>
      <c r="I57" s="24" t="str" cm="1">
        <f t="array" ref="I57">GET_TICKER_FINAL(C57)</f>
        <v/>
      </c>
      <c r="J57" s="5" t="s">
        <v>16</v>
      </c>
    </row>
    <row r="58" spans="1:10" hidden="1">
      <c r="A58" s="20">
        <v>57</v>
      </c>
      <c r="B58" s="19" t="s">
        <v>12</v>
      </c>
      <c r="C58" s="19" t="s">
        <v>77</v>
      </c>
      <c r="D58" s="19">
        <v>88</v>
      </c>
      <c r="E58" s="19">
        <v>238</v>
      </c>
      <c r="F58" s="19">
        <v>0.71</v>
      </c>
      <c r="G58" s="19">
        <v>20260331</v>
      </c>
      <c r="H58" s="20" t="b">
        <f t="shared" si="0"/>
        <v>0</v>
      </c>
      <c r="I58" s="21" t="str" cm="1">
        <f t="array" ref="I58">GET_TICKER_FINAL(C58)</f>
        <v/>
      </c>
      <c r="J58" s="5" t="s">
        <v>1792</v>
      </c>
    </row>
    <row r="59" spans="1:10" hidden="1">
      <c r="A59" s="23">
        <v>58</v>
      </c>
      <c r="B59" s="22" t="s">
        <v>12</v>
      </c>
      <c r="C59" s="22" t="s">
        <v>78</v>
      </c>
      <c r="D59" s="22">
        <v>85</v>
      </c>
      <c r="E59" s="22">
        <v>40</v>
      </c>
      <c r="F59" s="22">
        <v>0.96</v>
      </c>
      <c r="G59" s="22">
        <v>20260402</v>
      </c>
      <c r="H59" s="23" t="b">
        <f t="shared" si="0"/>
        <v>0</v>
      </c>
      <c r="I59" s="24" t="str" cm="1">
        <f t="array" ref="I59">GET_TICKER_FINAL(C59)</f>
        <v/>
      </c>
      <c r="J59" s="5" t="s">
        <v>1792</v>
      </c>
    </row>
    <row r="60" spans="1:10" hidden="1">
      <c r="A60" s="20">
        <v>59</v>
      </c>
      <c r="B60" s="19" t="s">
        <v>12</v>
      </c>
      <c r="C60" s="19" t="s">
        <v>79</v>
      </c>
      <c r="D60" s="19">
        <v>83</v>
      </c>
      <c r="E60" s="19">
        <v>47</v>
      </c>
      <c r="F60" s="19">
        <v>0.77</v>
      </c>
      <c r="G60" s="19">
        <v>20260320</v>
      </c>
      <c r="H60" s="20" t="b">
        <f t="shared" si="0"/>
        <v>0</v>
      </c>
      <c r="I60" s="21" t="str" cm="1">
        <f t="array" ref="I60">GET_TICKER_FINAL(C60)</f>
        <v/>
      </c>
      <c r="J60" s="5" t="s">
        <v>1792</v>
      </c>
    </row>
    <row r="61" spans="1:10" hidden="1">
      <c r="A61" s="23">
        <v>60</v>
      </c>
      <c r="B61" s="22" t="s">
        <v>12</v>
      </c>
      <c r="C61" s="22" t="s">
        <v>80</v>
      </c>
      <c r="D61" s="22">
        <v>79</v>
      </c>
      <c r="E61" s="22">
        <v>97</v>
      </c>
      <c r="F61" s="22">
        <v>0.76</v>
      </c>
      <c r="G61" s="22">
        <v>20260327</v>
      </c>
      <c r="H61" s="23" t="b">
        <f t="shared" si="0"/>
        <v>0</v>
      </c>
      <c r="I61" s="24" t="str" cm="1">
        <f t="array" ref="I61">GET_TICKER_FINAL(C61)</f>
        <v/>
      </c>
      <c r="J61" s="5" t="s">
        <v>16</v>
      </c>
    </row>
    <row r="62" spans="1:10" hidden="1">
      <c r="A62" s="20">
        <v>61</v>
      </c>
      <c r="B62" s="19" t="s">
        <v>12</v>
      </c>
      <c r="C62" s="19" t="s">
        <v>81</v>
      </c>
      <c r="D62" s="19">
        <v>76</v>
      </c>
      <c r="E62" s="19">
        <v>121</v>
      </c>
      <c r="F62" s="19">
        <v>0.72</v>
      </c>
      <c r="G62" s="19">
        <v>20260402</v>
      </c>
      <c r="H62" s="20" t="b">
        <f t="shared" si="0"/>
        <v>0</v>
      </c>
      <c r="I62" s="21" t="str" cm="1">
        <f t="array" ref="I62">GET_TICKER_FINAL(C62)</f>
        <v/>
      </c>
      <c r="J62" s="5" t="s">
        <v>16</v>
      </c>
    </row>
    <row r="63" spans="1:10" hidden="1">
      <c r="A63" s="23">
        <v>62</v>
      </c>
      <c r="B63" s="22" t="s">
        <v>12</v>
      </c>
      <c r="C63" s="22" t="s">
        <v>82</v>
      </c>
      <c r="D63" s="22">
        <v>75</v>
      </c>
      <c r="E63" s="22">
        <v>48</v>
      </c>
      <c r="F63" s="22">
        <v>0.9</v>
      </c>
      <c r="G63" s="22">
        <v>20260324</v>
      </c>
      <c r="H63" s="23" t="b">
        <f t="shared" si="0"/>
        <v>0</v>
      </c>
      <c r="I63" s="24" t="str" cm="1">
        <f t="array" ref="I63">GET_TICKER_FINAL(C63)</f>
        <v/>
      </c>
      <c r="J63" s="5" t="s">
        <v>1792</v>
      </c>
    </row>
    <row r="64" spans="1:10">
      <c r="A64" s="20">
        <v>63</v>
      </c>
      <c r="B64" s="19" t="s">
        <v>12</v>
      </c>
      <c r="C64" s="19" t="s">
        <v>83</v>
      </c>
      <c r="D64" s="19">
        <v>66</v>
      </c>
      <c r="E64" s="19">
        <v>26</v>
      </c>
      <c r="F64" s="19">
        <v>0.85</v>
      </c>
      <c r="G64" s="19">
        <v>20260402</v>
      </c>
      <c r="H64" s="20" t="b">
        <f t="shared" si="0"/>
        <v>0</v>
      </c>
      <c r="I64" s="21" t="str" cm="1">
        <f t="array" ref="I64">GET_TICKER_FINAL(C64)</f>
        <v>NVO</v>
      </c>
      <c r="J64" s="5" t="s">
        <v>28</v>
      </c>
    </row>
    <row r="65" spans="1:10" hidden="1">
      <c r="A65" s="23">
        <v>64</v>
      </c>
      <c r="B65" s="22" t="s">
        <v>12</v>
      </c>
      <c r="C65" s="22" t="s">
        <v>84</v>
      </c>
      <c r="D65" s="22">
        <v>66</v>
      </c>
      <c r="E65" s="22">
        <v>47</v>
      </c>
      <c r="F65" s="22">
        <v>0.76</v>
      </c>
      <c r="G65" s="22">
        <v>20260324</v>
      </c>
      <c r="H65" s="23" t="b">
        <f t="shared" si="0"/>
        <v>0</v>
      </c>
      <c r="I65" s="24" t="str" cm="1">
        <f t="array" ref="I65">GET_TICKER_FINAL(C65)</f>
        <v/>
      </c>
      <c r="J65" s="5" t="s">
        <v>28</v>
      </c>
    </row>
    <row r="66" spans="1:10" hidden="1">
      <c r="A66" s="20">
        <v>65</v>
      </c>
      <c r="B66" s="19" t="s">
        <v>12</v>
      </c>
      <c r="C66" s="19" t="s">
        <v>85</v>
      </c>
      <c r="D66" s="19">
        <v>65</v>
      </c>
      <c r="E66" s="19">
        <v>67</v>
      </c>
      <c r="F66" s="19">
        <v>0.8</v>
      </c>
      <c r="G66" s="19">
        <v>20260330</v>
      </c>
      <c r="H66" s="20" t="b">
        <f t="shared" si="0"/>
        <v>0</v>
      </c>
      <c r="I66" s="21" t="str" cm="1">
        <f t="array" ref="I66">GET_TICKER_FINAL(C66)</f>
        <v/>
      </c>
      <c r="J66" s="5" t="s">
        <v>1792</v>
      </c>
    </row>
    <row r="67" spans="1:10" hidden="1">
      <c r="A67" s="23">
        <v>66</v>
      </c>
      <c r="B67" s="22" t="s">
        <v>12</v>
      </c>
      <c r="C67" s="22" t="s">
        <v>86</v>
      </c>
      <c r="D67" s="22">
        <v>61</v>
      </c>
      <c r="E67" s="22">
        <v>73</v>
      </c>
      <c r="F67" s="22">
        <v>0.89</v>
      </c>
      <c r="G67" s="22">
        <v>20260323</v>
      </c>
      <c r="H67" s="23" t="b">
        <f t="shared" ref="H67:H130" si="1">OR(ISNUMBER(SEARCH("$A",C67)),ISNUMBER(SEARCH("$B",C67)),ISNUMBER(SEARCH("$C",C67)),ISNUMBER(SEARCH("$D",C67)),ISNUMBER(SEARCH("$E",C67)),ISNUMBER(SEARCH("$F",C67)),ISNUMBER(SEARCH("$G",C67)),ISNUMBER(SEARCH("$H",C67)),ISNUMBER(SEARCH("$I",C67)),ISNUMBER(SEARCH("$J",C67)),ISNUMBER(SEARCH("$K",C67)),ISNUMBER(SEARCH("$L",C67)),ISNUMBER(SEARCH("$M",C67)),ISNUMBER(SEARCH("$N",C67)),ISNUMBER(SEARCH("$O",C67)),ISNUMBER(SEARCH("$P",C67)),ISNUMBER(SEARCH("$Q",C67)),ISNUMBER(SEARCH("$R",C67)),ISNUMBER(SEARCH("$S",C67)),ISNUMBER(SEARCH("$T",C67)),ISNUMBER(SEARCH("$U",C67)),ISNUMBER(SEARCH("$V",C67)),ISNUMBER(SEARCH("$W",C67)),ISNUMBER(SEARCH("$X",C67)),ISNUMBER(SEARCH("$Y",C67)),ISNUMBER(SEARCH("$Z",C67)))</f>
        <v>0</v>
      </c>
      <c r="I67" s="24" t="str" cm="1">
        <f t="array" ref="I67">GET_TICKER_FINAL(C67)</f>
        <v/>
      </c>
      <c r="J67" s="5" t="s">
        <v>25</v>
      </c>
    </row>
    <row r="68" spans="1:10" hidden="1">
      <c r="A68" s="20">
        <v>67</v>
      </c>
      <c r="B68" s="19" t="s">
        <v>12</v>
      </c>
      <c r="C68" s="19" t="s">
        <v>87</v>
      </c>
      <c r="D68" s="19">
        <v>57</v>
      </c>
      <c r="E68" s="19">
        <v>63</v>
      </c>
      <c r="F68" s="19">
        <v>0.87</v>
      </c>
      <c r="G68" s="19">
        <v>20260330</v>
      </c>
      <c r="H68" s="20" t="b">
        <f t="shared" si="1"/>
        <v>0</v>
      </c>
      <c r="I68" s="21" t="str" cm="1">
        <f t="array" ref="I68">GET_TICKER_FINAL(C68)</f>
        <v/>
      </c>
      <c r="J68" s="5" t="s">
        <v>1792</v>
      </c>
    </row>
    <row r="69" spans="1:10" hidden="1">
      <c r="A69" s="23">
        <v>68</v>
      </c>
      <c r="B69" s="22" t="s">
        <v>12</v>
      </c>
      <c r="C69" s="22" t="s">
        <v>88</v>
      </c>
      <c r="D69" s="22">
        <v>57</v>
      </c>
      <c r="E69" s="22">
        <v>141</v>
      </c>
      <c r="F69" s="22">
        <v>0.69</v>
      </c>
      <c r="G69" s="22">
        <v>20260402</v>
      </c>
      <c r="H69" s="23" t="b">
        <f t="shared" si="1"/>
        <v>0</v>
      </c>
      <c r="I69" s="24" t="str" cm="1">
        <f t="array" ref="I69">GET_TICKER_FINAL(C69)</f>
        <v/>
      </c>
      <c r="J69" s="5" t="s">
        <v>28</v>
      </c>
    </row>
    <row r="70" spans="1:10" hidden="1">
      <c r="A70" s="20">
        <v>69</v>
      </c>
      <c r="B70" s="19" t="s">
        <v>12</v>
      </c>
      <c r="C70" s="19" t="s">
        <v>89</v>
      </c>
      <c r="D70" s="19">
        <v>56</v>
      </c>
      <c r="E70" s="19">
        <v>44</v>
      </c>
      <c r="F70" s="19">
        <v>0.68</v>
      </c>
      <c r="G70" s="19">
        <v>20260331</v>
      </c>
      <c r="H70" s="20" t="b">
        <f t="shared" si="1"/>
        <v>0</v>
      </c>
      <c r="I70" s="21" t="str" cm="1">
        <f t="array" ref="I70">GET_TICKER_FINAL(C70)</f>
        <v/>
      </c>
      <c r="J70" s="5" t="s">
        <v>16</v>
      </c>
    </row>
    <row r="71" spans="1:10" hidden="1">
      <c r="A71" s="23">
        <v>70</v>
      </c>
      <c r="B71" s="22" t="s">
        <v>12</v>
      </c>
      <c r="C71" s="22" t="s">
        <v>90</v>
      </c>
      <c r="D71" s="22">
        <v>54</v>
      </c>
      <c r="E71" s="22">
        <v>111</v>
      </c>
      <c r="F71" s="22">
        <v>0.7</v>
      </c>
      <c r="G71" s="22">
        <v>20260320</v>
      </c>
      <c r="H71" s="23" t="b">
        <f t="shared" si="1"/>
        <v>0</v>
      </c>
      <c r="I71" s="24" t="str" cm="1">
        <f t="array" ref="I71">GET_TICKER_FINAL(C71)</f>
        <v/>
      </c>
      <c r="J71" s="5" t="s">
        <v>1792</v>
      </c>
    </row>
    <row r="72" spans="1:10" hidden="1">
      <c r="A72" s="20">
        <v>71</v>
      </c>
      <c r="B72" s="19" t="s">
        <v>12</v>
      </c>
      <c r="C72" s="19" t="s">
        <v>91</v>
      </c>
      <c r="D72" s="19">
        <v>50</v>
      </c>
      <c r="E72" s="19">
        <v>177</v>
      </c>
      <c r="F72" s="19">
        <v>0.68</v>
      </c>
      <c r="G72" s="19">
        <v>20260323</v>
      </c>
      <c r="H72" s="20" t="b">
        <f t="shared" si="1"/>
        <v>0</v>
      </c>
      <c r="I72" s="21" t="str" cm="1">
        <f t="array" ref="I72">GET_TICKER_FINAL(C72)</f>
        <v/>
      </c>
      <c r="J72" s="5" t="s">
        <v>1792</v>
      </c>
    </row>
    <row r="73" spans="1:10" hidden="1">
      <c r="A73" s="23">
        <v>72</v>
      </c>
      <c r="B73" s="22" t="s">
        <v>12</v>
      </c>
      <c r="C73" s="22" t="s">
        <v>92</v>
      </c>
      <c r="D73" s="22">
        <v>50</v>
      </c>
      <c r="E73" s="22">
        <v>103</v>
      </c>
      <c r="F73" s="22">
        <v>0.76</v>
      </c>
      <c r="G73" s="22">
        <v>20260330</v>
      </c>
      <c r="H73" s="23" t="b">
        <f t="shared" si="1"/>
        <v>0</v>
      </c>
      <c r="I73" s="24" t="str" cm="1">
        <f t="array" ref="I73">GET_TICKER_FINAL(C73)</f>
        <v/>
      </c>
      <c r="J73" s="5" t="s">
        <v>1792</v>
      </c>
    </row>
    <row r="74" spans="1:10" hidden="1">
      <c r="A74" s="20">
        <v>73</v>
      </c>
      <c r="B74" s="19" t="s">
        <v>12</v>
      </c>
      <c r="C74" s="19" t="s">
        <v>93</v>
      </c>
      <c r="D74" s="19">
        <v>46</v>
      </c>
      <c r="E74" s="19">
        <v>19</v>
      </c>
      <c r="F74" s="19">
        <v>0.9</v>
      </c>
      <c r="G74" s="19">
        <v>20260327</v>
      </c>
      <c r="H74" s="20" t="b">
        <f t="shared" si="1"/>
        <v>0</v>
      </c>
      <c r="I74" s="21" t="str" cm="1">
        <f t="array" ref="I74">GET_TICKER_FINAL(C74)</f>
        <v/>
      </c>
      <c r="J74" s="5" t="s">
        <v>1792</v>
      </c>
    </row>
    <row r="75" spans="1:10" hidden="1">
      <c r="A75" s="23">
        <v>74</v>
      </c>
      <c r="B75" s="22" t="s">
        <v>12</v>
      </c>
      <c r="C75" s="22" t="s">
        <v>94</v>
      </c>
      <c r="D75" s="22">
        <v>44</v>
      </c>
      <c r="E75" s="22">
        <v>37</v>
      </c>
      <c r="F75" s="22">
        <v>0.78</v>
      </c>
      <c r="G75" s="22">
        <v>20260402</v>
      </c>
      <c r="H75" s="23" t="b">
        <f t="shared" si="1"/>
        <v>0</v>
      </c>
      <c r="I75" s="24" t="str" cm="1">
        <f t="array" ref="I75">GET_TICKER_FINAL(C75)</f>
        <v/>
      </c>
      <c r="J75" s="5" t="s">
        <v>16</v>
      </c>
    </row>
    <row r="76" spans="1:10" hidden="1">
      <c r="A76" s="20">
        <v>75</v>
      </c>
      <c r="B76" s="19" t="s">
        <v>12</v>
      </c>
      <c r="C76" s="19" t="s">
        <v>95</v>
      </c>
      <c r="D76" s="19">
        <v>44</v>
      </c>
      <c r="E76" s="19">
        <v>94</v>
      </c>
      <c r="F76" s="19">
        <v>0.69</v>
      </c>
      <c r="G76" s="19">
        <v>20260401</v>
      </c>
      <c r="H76" s="20" t="b">
        <f t="shared" si="1"/>
        <v>0</v>
      </c>
      <c r="I76" s="21" t="str" cm="1">
        <f t="array" ref="I76">GET_TICKER_FINAL(C76)</f>
        <v/>
      </c>
      <c r="J76" s="5" t="s">
        <v>28</v>
      </c>
    </row>
    <row r="77" spans="1:10" hidden="1">
      <c r="A77" s="23">
        <v>76</v>
      </c>
      <c r="B77" s="22" t="s">
        <v>12</v>
      </c>
      <c r="C77" s="22" t="s">
        <v>96</v>
      </c>
      <c r="D77" s="22">
        <v>42</v>
      </c>
      <c r="E77" s="22">
        <v>26</v>
      </c>
      <c r="F77" s="22">
        <v>0.78</v>
      </c>
      <c r="G77" s="22">
        <v>20260402</v>
      </c>
      <c r="H77" s="23" t="b">
        <f t="shared" si="1"/>
        <v>0</v>
      </c>
      <c r="I77" s="24" t="str" cm="1">
        <f t="array" ref="I77">GET_TICKER_FINAL(C77)</f>
        <v/>
      </c>
      <c r="J77" s="5" t="s">
        <v>1792</v>
      </c>
    </row>
    <row r="78" spans="1:10" hidden="1">
      <c r="A78" s="20">
        <v>77</v>
      </c>
      <c r="B78" s="19" t="s">
        <v>12</v>
      </c>
      <c r="C78" s="19" t="s">
        <v>97</v>
      </c>
      <c r="D78" s="19">
        <v>41</v>
      </c>
      <c r="E78" s="19">
        <v>52</v>
      </c>
      <c r="F78" s="19">
        <v>0.77</v>
      </c>
      <c r="G78" s="19">
        <v>20260331</v>
      </c>
      <c r="H78" s="20" t="b">
        <f t="shared" si="1"/>
        <v>0</v>
      </c>
      <c r="I78" s="21" t="str" cm="1">
        <f t="array" ref="I78">GET_TICKER_FINAL(C78)</f>
        <v/>
      </c>
      <c r="J78" s="5" t="s">
        <v>16</v>
      </c>
    </row>
    <row r="79" spans="1:10">
      <c r="A79" s="23">
        <v>78</v>
      </c>
      <c r="B79" s="22" t="s">
        <v>12</v>
      </c>
      <c r="C79" s="22" t="s">
        <v>98</v>
      </c>
      <c r="D79" s="22">
        <v>40</v>
      </c>
      <c r="E79" s="22">
        <v>4</v>
      </c>
      <c r="F79" s="22">
        <v>0.84</v>
      </c>
      <c r="G79" s="22">
        <v>20260320</v>
      </c>
      <c r="H79" s="23" t="b">
        <f t="shared" si="1"/>
        <v>0</v>
      </c>
      <c r="I79" s="24" t="str" cm="1">
        <f t="array" ref="I79">GET_TICKER_FINAL(C79)</f>
        <v>OKLO</v>
      </c>
      <c r="J79" s="5" t="s">
        <v>25</v>
      </c>
    </row>
    <row r="80" spans="1:10" hidden="1">
      <c r="A80" s="20">
        <v>79</v>
      </c>
      <c r="B80" s="19" t="s">
        <v>12</v>
      </c>
      <c r="C80" s="19" t="s">
        <v>99</v>
      </c>
      <c r="D80" s="19">
        <v>40</v>
      </c>
      <c r="E80" s="19">
        <v>23</v>
      </c>
      <c r="F80" s="19">
        <v>0.89</v>
      </c>
      <c r="G80" s="19">
        <v>20260330</v>
      </c>
      <c r="H80" s="20" t="b">
        <f t="shared" si="1"/>
        <v>0</v>
      </c>
      <c r="I80" s="21" t="str" cm="1">
        <f t="array" ref="I80">GET_TICKER_FINAL(C80)</f>
        <v/>
      </c>
      <c r="J80" s="5" t="s">
        <v>16</v>
      </c>
    </row>
    <row r="81" spans="1:10" hidden="1">
      <c r="A81" s="23">
        <v>80</v>
      </c>
      <c r="B81" s="22" t="s">
        <v>12</v>
      </c>
      <c r="C81" s="22" t="s">
        <v>100</v>
      </c>
      <c r="D81" s="22">
        <v>39</v>
      </c>
      <c r="E81" s="22">
        <v>12</v>
      </c>
      <c r="F81" s="22">
        <v>0.85</v>
      </c>
      <c r="G81" s="22">
        <v>20260323</v>
      </c>
      <c r="H81" s="23" t="b">
        <f t="shared" si="1"/>
        <v>0</v>
      </c>
      <c r="I81" s="24" t="str" cm="1">
        <f t="array" ref="I81">GET_TICKER_FINAL(C81)</f>
        <v/>
      </c>
      <c r="J81" s="5" t="s">
        <v>16</v>
      </c>
    </row>
    <row r="82" spans="1:10" hidden="1">
      <c r="A82" s="20">
        <v>81</v>
      </c>
      <c r="B82" s="19" t="s">
        <v>12</v>
      </c>
      <c r="C82" s="19" t="s">
        <v>101</v>
      </c>
      <c r="D82" s="19">
        <v>38</v>
      </c>
      <c r="E82" s="19">
        <v>70</v>
      </c>
      <c r="F82" s="19">
        <v>0.84</v>
      </c>
      <c r="G82" s="19">
        <v>20260326</v>
      </c>
      <c r="H82" s="20" t="b">
        <f t="shared" si="1"/>
        <v>0</v>
      </c>
      <c r="I82" s="21" t="str" cm="1">
        <f t="array" ref="I82">GET_TICKER_FINAL(C82)</f>
        <v/>
      </c>
      <c r="J82" s="5" t="s">
        <v>1792</v>
      </c>
    </row>
    <row r="83" spans="1:10" hidden="1">
      <c r="A83" s="23">
        <v>82</v>
      </c>
      <c r="B83" s="22" t="s">
        <v>12</v>
      </c>
      <c r="C83" s="22" t="s">
        <v>102</v>
      </c>
      <c r="D83" s="22">
        <v>37</v>
      </c>
      <c r="E83" s="22">
        <v>14</v>
      </c>
      <c r="F83" s="22">
        <v>0.8</v>
      </c>
      <c r="G83" s="22">
        <v>20260324</v>
      </c>
      <c r="H83" s="23" t="b">
        <f t="shared" si="1"/>
        <v>0</v>
      </c>
      <c r="I83" s="24" t="str" cm="1">
        <f t="array" ref="I83">GET_TICKER_FINAL(C83)</f>
        <v/>
      </c>
      <c r="J83" s="5" t="s">
        <v>16</v>
      </c>
    </row>
    <row r="84" spans="1:10" hidden="1">
      <c r="A84" s="20">
        <v>83</v>
      </c>
      <c r="B84" s="19" t="s">
        <v>12</v>
      </c>
      <c r="C84" s="19" t="s">
        <v>103</v>
      </c>
      <c r="D84" s="19">
        <v>35</v>
      </c>
      <c r="E84" s="19">
        <v>42</v>
      </c>
      <c r="F84" s="19">
        <v>0.93</v>
      </c>
      <c r="G84" s="19">
        <v>20260326</v>
      </c>
      <c r="H84" s="20" t="b">
        <f t="shared" si="1"/>
        <v>0</v>
      </c>
      <c r="I84" s="21" t="str" cm="1">
        <f t="array" ref="I84">GET_TICKER_FINAL(C84)</f>
        <v/>
      </c>
      <c r="J84" s="5" t="s">
        <v>1792</v>
      </c>
    </row>
    <row r="85" spans="1:10" hidden="1">
      <c r="A85" s="23">
        <v>84</v>
      </c>
      <c r="B85" s="22" t="s">
        <v>12</v>
      </c>
      <c r="C85" s="22" t="s">
        <v>104</v>
      </c>
      <c r="D85" s="22">
        <v>35</v>
      </c>
      <c r="E85" s="22">
        <v>103</v>
      </c>
      <c r="F85" s="22">
        <v>0.71</v>
      </c>
      <c r="G85" s="22">
        <v>20260324</v>
      </c>
      <c r="H85" s="23" t="b">
        <f t="shared" si="1"/>
        <v>0</v>
      </c>
      <c r="I85" s="24" t="str" cm="1">
        <f t="array" ref="I85">GET_TICKER_FINAL(C85)</f>
        <v/>
      </c>
      <c r="J85" s="5" t="s">
        <v>1792</v>
      </c>
    </row>
    <row r="86" spans="1:10" hidden="1">
      <c r="A86" s="20">
        <v>85</v>
      </c>
      <c r="B86" s="19" t="s">
        <v>12</v>
      </c>
      <c r="C86" s="19" t="s">
        <v>105</v>
      </c>
      <c r="D86" s="19">
        <v>33</v>
      </c>
      <c r="E86" s="19">
        <v>33</v>
      </c>
      <c r="F86" s="19">
        <v>0.66</v>
      </c>
      <c r="G86" s="19">
        <v>20260324</v>
      </c>
      <c r="H86" s="20" t="b">
        <f t="shared" si="1"/>
        <v>0</v>
      </c>
      <c r="I86" s="21" t="str" cm="1">
        <f t="array" ref="I86">GET_TICKER_FINAL(C86)</f>
        <v/>
      </c>
      <c r="J86" s="5" t="s">
        <v>1792</v>
      </c>
    </row>
    <row r="87" spans="1:10">
      <c r="A87" s="23">
        <v>86</v>
      </c>
      <c r="B87" s="22" t="s">
        <v>12</v>
      </c>
      <c r="C87" s="22" t="s">
        <v>106</v>
      </c>
      <c r="D87" s="22">
        <v>33</v>
      </c>
      <c r="E87" s="22">
        <v>49</v>
      </c>
      <c r="F87" s="22">
        <v>0.75</v>
      </c>
      <c r="G87" s="22">
        <v>20260401</v>
      </c>
      <c r="H87" s="23" t="b">
        <f t="shared" si="1"/>
        <v>0</v>
      </c>
      <c r="I87" s="24" t="str" cm="1">
        <f t="array" ref="I87">GET_TICKER_FINAL(C87)</f>
        <v>META</v>
      </c>
      <c r="J87" s="5" t="s">
        <v>28</v>
      </c>
    </row>
    <row r="88" spans="1:10">
      <c r="A88" s="20">
        <v>87</v>
      </c>
      <c r="B88" s="19" t="s">
        <v>12</v>
      </c>
      <c r="C88" s="19" t="s">
        <v>107</v>
      </c>
      <c r="D88" s="19">
        <v>29</v>
      </c>
      <c r="E88" s="19">
        <v>7</v>
      </c>
      <c r="F88" s="19">
        <v>0.89</v>
      </c>
      <c r="G88" s="19">
        <v>20260330</v>
      </c>
      <c r="H88" s="20" t="b">
        <f t="shared" si="1"/>
        <v>0</v>
      </c>
      <c r="I88" s="21" t="str" cm="1">
        <f t="array" ref="I88">GET_TICKER_FINAL(C88)</f>
        <v>NVDA</v>
      </c>
      <c r="J88" s="5" t="s">
        <v>1792</v>
      </c>
    </row>
    <row r="89" spans="1:10" hidden="1">
      <c r="A89" s="23">
        <v>88</v>
      </c>
      <c r="B89" s="22" t="s">
        <v>12</v>
      </c>
      <c r="C89" s="22" t="s">
        <v>108</v>
      </c>
      <c r="D89" s="22">
        <v>27</v>
      </c>
      <c r="E89" s="22">
        <v>21</v>
      </c>
      <c r="F89" s="22">
        <v>0.83</v>
      </c>
      <c r="G89" s="22">
        <v>20260401</v>
      </c>
      <c r="H89" s="23" t="b">
        <f t="shared" si="1"/>
        <v>0</v>
      </c>
      <c r="I89" s="24" t="str" cm="1">
        <f t="array" ref="I89">GET_TICKER_FINAL(C89)</f>
        <v/>
      </c>
      <c r="J89" s="5" t="s">
        <v>1792</v>
      </c>
    </row>
    <row r="90" spans="1:10" hidden="1">
      <c r="A90" s="20">
        <v>89</v>
      </c>
      <c r="B90" s="19" t="s">
        <v>12</v>
      </c>
      <c r="C90" s="19" t="s">
        <v>109</v>
      </c>
      <c r="D90" s="19">
        <v>27</v>
      </c>
      <c r="E90" s="19">
        <v>46</v>
      </c>
      <c r="F90" s="19">
        <v>0.61</v>
      </c>
      <c r="G90" s="19">
        <v>20260324</v>
      </c>
      <c r="H90" s="20" t="b">
        <f t="shared" si="1"/>
        <v>0</v>
      </c>
      <c r="I90" s="21" t="str" cm="1">
        <f t="array" ref="I90">GET_TICKER_FINAL(C90)</f>
        <v/>
      </c>
      <c r="J90" s="5" t="s">
        <v>1792</v>
      </c>
    </row>
    <row r="91" spans="1:10" hidden="1">
      <c r="A91" s="23">
        <v>90</v>
      </c>
      <c r="B91" s="22" t="s">
        <v>12</v>
      </c>
      <c r="C91" s="22" t="s">
        <v>110</v>
      </c>
      <c r="D91" s="22">
        <v>26</v>
      </c>
      <c r="E91" s="22">
        <v>37</v>
      </c>
      <c r="F91" s="22">
        <v>0.81</v>
      </c>
      <c r="G91" s="22">
        <v>20260330</v>
      </c>
      <c r="H91" s="23" t="b">
        <f t="shared" si="1"/>
        <v>0</v>
      </c>
      <c r="I91" s="24" t="str" cm="1">
        <f t="array" ref="I91">GET_TICKER_FINAL(C91)</f>
        <v/>
      </c>
      <c r="J91" s="5" t="s">
        <v>1792</v>
      </c>
    </row>
    <row r="92" spans="1:10" hidden="1">
      <c r="A92" s="20">
        <v>91</v>
      </c>
      <c r="B92" s="19" t="s">
        <v>12</v>
      </c>
      <c r="C92" s="19" t="s">
        <v>111</v>
      </c>
      <c r="D92" s="19">
        <v>26</v>
      </c>
      <c r="E92" s="19">
        <v>4</v>
      </c>
      <c r="F92" s="19">
        <v>0.86</v>
      </c>
      <c r="G92" s="19">
        <v>20260401</v>
      </c>
      <c r="H92" s="20" t="b">
        <f t="shared" si="1"/>
        <v>0</v>
      </c>
      <c r="I92" s="21" t="str" cm="1">
        <f t="array" ref="I92">GET_TICKER_FINAL(C92)</f>
        <v/>
      </c>
      <c r="J92" s="5" t="s">
        <v>1792</v>
      </c>
    </row>
    <row r="93" spans="1:10" hidden="1">
      <c r="A93" s="23">
        <v>92</v>
      </c>
      <c r="B93" s="22" t="s">
        <v>12</v>
      </c>
      <c r="C93" s="22" t="s">
        <v>112</v>
      </c>
      <c r="D93" s="22">
        <v>25</v>
      </c>
      <c r="E93" s="22">
        <v>47</v>
      </c>
      <c r="F93" s="22">
        <v>0.79</v>
      </c>
      <c r="G93" s="22">
        <v>20260402</v>
      </c>
      <c r="H93" s="23" t="b">
        <f t="shared" si="1"/>
        <v>0</v>
      </c>
      <c r="I93" s="24" t="str" cm="1">
        <f t="array" ref="I93">GET_TICKER_FINAL(C93)</f>
        <v/>
      </c>
      <c r="J93" s="5" t="s">
        <v>1792</v>
      </c>
    </row>
    <row r="94" spans="1:10" hidden="1">
      <c r="A94" s="20">
        <v>93</v>
      </c>
      <c r="B94" s="19" t="s">
        <v>12</v>
      </c>
      <c r="C94" s="19" t="s">
        <v>113</v>
      </c>
      <c r="D94" s="19">
        <v>25</v>
      </c>
      <c r="E94" s="19">
        <v>11</v>
      </c>
      <c r="F94" s="19">
        <v>0.95</v>
      </c>
      <c r="G94" s="19">
        <v>20260402</v>
      </c>
      <c r="H94" s="20" t="b">
        <f t="shared" si="1"/>
        <v>0</v>
      </c>
      <c r="I94" s="21" t="str" cm="1">
        <f t="array" ref="I94">GET_TICKER_FINAL(C94)</f>
        <v/>
      </c>
      <c r="J94" s="5" t="s">
        <v>1792</v>
      </c>
    </row>
    <row r="95" spans="1:10" hidden="1">
      <c r="A95" s="23">
        <v>94</v>
      </c>
      <c r="B95" s="22" t="s">
        <v>12</v>
      </c>
      <c r="C95" s="22" t="s">
        <v>114</v>
      </c>
      <c r="D95" s="22">
        <v>24</v>
      </c>
      <c r="E95" s="22">
        <v>17</v>
      </c>
      <c r="F95" s="22">
        <v>0.76</v>
      </c>
      <c r="G95" s="22">
        <v>20260401</v>
      </c>
      <c r="H95" s="23" t="b">
        <f t="shared" si="1"/>
        <v>0</v>
      </c>
      <c r="I95" s="24" t="str" cm="1">
        <f t="array" ref="I95">GET_TICKER_FINAL(C95)</f>
        <v/>
      </c>
      <c r="J95" s="5" t="s">
        <v>28</v>
      </c>
    </row>
    <row r="96" spans="1:10" hidden="1">
      <c r="A96" s="20">
        <v>95</v>
      </c>
      <c r="B96" s="19" t="s">
        <v>12</v>
      </c>
      <c r="C96" s="19" t="s">
        <v>115</v>
      </c>
      <c r="D96" s="19">
        <v>24</v>
      </c>
      <c r="E96" s="19">
        <v>27</v>
      </c>
      <c r="F96" s="19">
        <v>0.82</v>
      </c>
      <c r="G96" s="19">
        <v>20260330</v>
      </c>
      <c r="H96" s="20" t="b">
        <f t="shared" si="1"/>
        <v>0</v>
      </c>
      <c r="I96" s="21" t="str" cm="1">
        <f t="array" ref="I96">GET_TICKER_FINAL(C96)</f>
        <v/>
      </c>
      <c r="J96" s="5" t="s">
        <v>1792</v>
      </c>
    </row>
    <row r="97" spans="1:10" hidden="1">
      <c r="A97" s="23">
        <v>96</v>
      </c>
      <c r="B97" s="22" t="s">
        <v>12</v>
      </c>
      <c r="C97" s="22" t="s">
        <v>116</v>
      </c>
      <c r="D97" s="22">
        <v>24</v>
      </c>
      <c r="E97" s="22">
        <v>25</v>
      </c>
      <c r="F97" s="22">
        <v>0.87</v>
      </c>
      <c r="G97" s="22">
        <v>20260324</v>
      </c>
      <c r="H97" s="23" t="b">
        <f t="shared" si="1"/>
        <v>0</v>
      </c>
      <c r="I97" s="24" t="str" cm="1">
        <f t="array" ref="I97">GET_TICKER_FINAL(C97)</f>
        <v/>
      </c>
      <c r="J97" s="5" t="s">
        <v>25</v>
      </c>
    </row>
    <row r="98" spans="1:10" hidden="1">
      <c r="A98" s="20">
        <v>97</v>
      </c>
      <c r="B98" s="19" t="s">
        <v>12</v>
      </c>
      <c r="C98" s="19" t="s">
        <v>117</v>
      </c>
      <c r="D98" s="19">
        <v>24</v>
      </c>
      <c r="E98" s="19">
        <v>25</v>
      </c>
      <c r="F98" s="19">
        <v>0.82</v>
      </c>
      <c r="G98" s="19">
        <v>20260323</v>
      </c>
      <c r="H98" s="20" t="b">
        <f t="shared" si="1"/>
        <v>0</v>
      </c>
      <c r="I98" s="21" t="str" cm="1">
        <f t="array" ref="I98">GET_TICKER_FINAL(C98)</f>
        <v/>
      </c>
      <c r="J98" s="5" t="s">
        <v>16</v>
      </c>
    </row>
    <row r="99" spans="1:10" hidden="1">
      <c r="A99" s="23">
        <v>98</v>
      </c>
      <c r="B99" s="22" t="s">
        <v>12</v>
      </c>
      <c r="C99" s="22" t="s">
        <v>118</v>
      </c>
      <c r="D99" s="22">
        <v>23</v>
      </c>
      <c r="E99" s="22">
        <v>13</v>
      </c>
      <c r="F99" s="22">
        <v>0.71</v>
      </c>
      <c r="G99" s="22">
        <v>20260323</v>
      </c>
      <c r="H99" s="23" t="b">
        <f t="shared" si="1"/>
        <v>0</v>
      </c>
      <c r="I99" s="24" t="str" cm="1">
        <f t="array" ref="I99">GET_TICKER_FINAL(C99)</f>
        <v/>
      </c>
      <c r="J99" s="5" t="s">
        <v>1792</v>
      </c>
    </row>
    <row r="100" spans="1:10" hidden="1">
      <c r="A100" s="20">
        <v>99</v>
      </c>
      <c r="B100" s="19" t="s">
        <v>12</v>
      </c>
      <c r="C100" s="19" t="s">
        <v>119</v>
      </c>
      <c r="D100" s="19">
        <v>22</v>
      </c>
      <c r="E100" s="19">
        <v>8</v>
      </c>
      <c r="F100" s="19">
        <v>0.86</v>
      </c>
      <c r="G100" s="19">
        <v>20260323</v>
      </c>
      <c r="H100" s="20" t="b">
        <f t="shared" si="1"/>
        <v>0</v>
      </c>
      <c r="I100" s="21" t="str" cm="1">
        <f t="array" ref="I100">GET_TICKER_FINAL(C100)</f>
        <v/>
      </c>
      <c r="J100" s="5" t="s">
        <v>16</v>
      </c>
    </row>
    <row r="101" spans="1:10" hidden="1">
      <c r="A101" s="23">
        <v>100</v>
      </c>
      <c r="B101" s="22" t="s">
        <v>12</v>
      </c>
      <c r="C101" s="22" t="s">
        <v>120</v>
      </c>
      <c r="D101" s="22">
        <v>22</v>
      </c>
      <c r="E101" s="22">
        <v>6</v>
      </c>
      <c r="F101" s="22">
        <v>0.87</v>
      </c>
      <c r="G101" s="22">
        <v>20260330</v>
      </c>
      <c r="H101" s="23" t="b">
        <f t="shared" si="1"/>
        <v>0</v>
      </c>
      <c r="I101" s="24" t="str" cm="1">
        <f t="array" ref="I101">GET_TICKER_FINAL(C101)</f>
        <v/>
      </c>
      <c r="J101" s="5" t="s">
        <v>1792</v>
      </c>
    </row>
    <row r="102" spans="1:10" hidden="1">
      <c r="A102" s="20">
        <v>101</v>
      </c>
      <c r="B102" s="19" t="s">
        <v>12</v>
      </c>
      <c r="C102" s="19" t="s">
        <v>121</v>
      </c>
      <c r="D102" s="19">
        <v>20</v>
      </c>
      <c r="E102" s="19">
        <v>27</v>
      </c>
      <c r="F102" s="19">
        <v>0.8</v>
      </c>
      <c r="G102" s="19">
        <v>20260402</v>
      </c>
      <c r="H102" s="20" t="b">
        <f t="shared" si="1"/>
        <v>0</v>
      </c>
      <c r="I102" s="21" t="str" cm="1">
        <f t="array" ref="I102">GET_TICKER_FINAL(C102)</f>
        <v/>
      </c>
      <c r="J102" s="5" t="s">
        <v>1792</v>
      </c>
    </row>
    <row r="103" spans="1:10" hidden="1">
      <c r="A103" s="23">
        <v>102</v>
      </c>
      <c r="B103" s="22" t="s">
        <v>12</v>
      </c>
      <c r="C103" s="22" t="s">
        <v>122</v>
      </c>
      <c r="D103" s="22">
        <v>20</v>
      </c>
      <c r="E103" s="22">
        <v>10</v>
      </c>
      <c r="F103" s="22">
        <v>0.72</v>
      </c>
      <c r="G103" s="22">
        <v>20260327</v>
      </c>
      <c r="H103" s="23" t="b">
        <f t="shared" si="1"/>
        <v>0</v>
      </c>
      <c r="I103" s="24" t="str" cm="1">
        <f t="array" ref="I103">GET_TICKER_FINAL(C103)</f>
        <v/>
      </c>
      <c r="J103" s="5" t="s">
        <v>14</v>
      </c>
    </row>
    <row r="104" spans="1:10" hidden="1">
      <c r="A104" s="20">
        <v>103</v>
      </c>
      <c r="B104" s="19" t="s">
        <v>12</v>
      </c>
      <c r="C104" s="19" t="s">
        <v>123</v>
      </c>
      <c r="D104" s="19">
        <v>20</v>
      </c>
      <c r="E104" s="19">
        <v>63</v>
      </c>
      <c r="F104" s="19">
        <v>0.73</v>
      </c>
      <c r="G104" s="19">
        <v>20260327</v>
      </c>
      <c r="H104" s="20" t="b">
        <f t="shared" si="1"/>
        <v>0</v>
      </c>
      <c r="I104" s="21" t="str" cm="1">
        <f t="array" ref="I104">GET_TICKER_FINAL(C104)</f>
        <v/>
      </c>
      <c r="J104" s="5" t="s">
        <v>1792</v>
      </c>
    </row>
    <row r="105" spans="1:10" hidden="1">
      <c r="A105" s="23">
        <v>104</v>
      </c>
      <c r="B105" s="22" t="s">
        <v>12</v>
      </c>
      <c r="C105" s="22" t="s">
        <v>124</v>
      </c>
      <c r="D105" s="22">
        <v>19</v>
      </c>
      <c r="E105" s="22">
        <v>15</v>
      </c>
      <c r="F105" s="22">
        <v>0.76</v>
      </c>
      <c r="G105" s="22">
        <v>20260326</v>
      </c>
      <c r="H105" s="23" t="b">
        <f t="shared" si="1"/>
        <v>0</v>
      </c>
      <c r="I105" s="24" t="str" cm="1">
        <f t="array" ref="I105">GET_TICKER_FINAL(C105)</f>
        <v/>
      </c>
      <c r="J105" s="5" t="s">
        <v>1792</v>
      </c>
    </row>
    <row r="106" spans="1:10" hidden="1">
      <c r="A106" s="20">
        <v>105</v>
      </c>
      <c r="B106" s="19" t="s">
        <v>12</v>
      </c>
      <c r="C106" s="19" t="s">
        <v>125</v>
      </c>
      <c r="D106" s="19">
        <v>19</v>
      </c>
      <c r="E106" s="19">
        <v>9</v>
      </c>
      <c r="F106" s="19">
        <v>0.79</v>
      </c>
      <c r="G106" s="19">
        <v>20260331</v>
      </c>
      <c r="H106" s="20" t="b">
        <f t="shared" si="1"/>
        <v>0</v>
      </c>
      <c r="I106" s="21" t="str" cm="1">
        <f t="array" ref="I106">GET_TICKER_FINAL(C106)</f>
        <v/>
      </c>
      <c r="J106" s="5" t="s">
        <v>1792</v>
      </c>
    </row>
    <row r="107" spans="1:10" hidden="1">
      <c r="A107" s="23">
        <v>106</v>
      </c>
      <c r="B107" s="22" t="s">
        <v>12</v>
      </c>
      <c r="C107" s="22" t="s">
        <v>126</v>
      </c>
      <c r="D107" s="22">
        <v>19</v>
      </c>
      <c r="E107" s="22">
        <v>26</v>
      </c>
      <c r="F107" s="22">
        <v>0.89</v>
      </c>
      <c r="G107" s="22">
        <v>20260331</v>
      </c>
      <c r="H107" s="23" t="b">
        <f t="shared" si="1"/>
        <v>0</v>
      </c>
      <c r="I107" s="24" t="str" cm="1">
        <f t="array" ref="I107">GET_TICKER_FINAL(C107)</f>
        <v/>
      </c>
      <c r="J107" s="5" t="s">
        <v>16</v>
      </c>
    </row>
    <row r="108" spans="1:10" hidden="1">
      <c r="A108" s="20">
        <v>107</v>
      </c>
      <c r="B108" s="19" t="s">
        <v>12</v>
      </c>
      <c r="C108" s="19" t="s">
        <v>127</v>
      </c>
      <c r="D108" s="19">
        <v>18</v>
      </c>
      <c r="E108" s="19">
        <v>25</v>
      </c>
      <c r="F108" s="19">
        <v>0.88</v>
      </c>
      <c r="G108" s="19">
        <v>20260402</v>
      </c>
      <c r="H108" s="20" t="b">
        <f t="shared" si="1"/>
        <v>0</v>
      </c>
      <c r="I108" s="21" t="str" cm="1">
        <f t="array" ref="I108">GET_TICKER_FINAL(C108)</f>
        <v/>
      </c>
      <c r="J108" s="5" t="s">
        <v>1792</v>
      </c>
    </row>
    <row r="109" spans="1:10" hidden="1">
      <c r="A109" s="23">
        <v>108</v>
      </c>
      <c r="B109" s="22" t="s">
        <v>12</v>
      </c>
      <c r="C109" s="22" t="s">
        <v>128</v>
      </c>
      <c r="D109" s="22">
        <v>16</v>
      </c>
      <c r="E109" s="22">
        <v>15</v>
      </c>
      <c r="F109" s="22">
        <v>0.84</v>
      </c>
      <c r="G109" s="22">
        <v>20260330</v>
      </c>
      <c r="H109" s="23" t="b">
        <f t="shared" si="1"/>
        <v>0</v>
      </c>
      <c r="I109" s="24" t="str" cm="1">
        <f t="array" ref="I109">GET_TICKER_FINAL(C109)</f>
        <v/>
      </c>
      <c r="J109" s="5" t="s">
        <v>25</v>
      </c>
    </row>
    <row r="110" spans="1:10" hidden="1">
      <c r="A110" s="20">
        <v>109</v>
      </c>
      <c r="B110" s="19" t="s">
        <v>12</v>
      </c>
      <c r="C110" s="19" t="s">
        <v>129</v>
      </c>
      <c r="D110" s="19">
        <v>16</v>
      </c>
      <c r="E110" s="19">
        <v>36</v>
      </c>
      <c r="F110" s="19">
        <v>0.65</v>
      </c>
      <c r="G110" s="19">
        <v>20260320</v>
      </c>
      <c r="H110" s="20" t="b">
        <f t="shared" si="1"/>
        <v>0</v>
      </c>
      <c r="I110" s="21" t="str" cm="1">
        <f t="array" ref="I110">GET_TICKER_FINAL(C110)</f>
        <v/>
      </c>
      <c r="J110" s="5" t="s">
        <v>1792</v>
      </c>
    </row>
    <row r="111" spans="1:10" hidden="1">
      <c r="A111" s="23">
        <v>110</v>
      </c>
      <c r="B111" s="22" t="s">
        <v>12</v>
      </c>
      <c r="C111" s="22" t="s">
        <v>130</v>
      </c>
      <c r="D111" s="22">
        <v>15</v>
      </c>
      <c r="E111" s="22">
        <v>12</v>
      </c>
      <c r="F111" s="22">
        <v>0.76</v>
      </c>
      <c r="G111" s="22">
        <v>20260331</v>
      </c>
      <c r="H111" s="23" t="b">
        <f t="shared" si="1"/>
        <v>0</v>
      </c>
      <c r="I111" s="24" t="str" cm="1">
        <f t="array" ref="I111">GET_TICKER_FINAL(C111)</f>
        <v/>
      </c>
      <c r="J111" s="5" t="s">
        <v>28</v>
      </c>
    </row>
    <row r="112" spans="1:10" hidden="1">
      <c r="A112" s="20">
        <v>111</v>
      </c>
      <c r="B112" s="19" t="s">
        <v>12</v>
      </c>
      <c r="C112" s="19" t="s">
        <v>131</v>
      </c>
      <c r="D112" s="19">
        <v>14</v>
      </c>
      <c r="E112" s="19">
        <v>16</v>
      </c>
      <c r="F112" s="19">
        <v>0.7</v>
      </c>
      <c r="G112" s="19">
        <v>20260331</v>
      </c>
      <c r="H112" s="20" t="b">
        <f t="shared" si="1"/>
        <v>0</v>
      </c>
      <c r="I112" s="21" t="str" cm="1">
        <f t="array" ref="I112">GET_TICKER_FINAL(C112)</f>
        <v/>
      </c>
      <c r="J112" s="5" t="s">
        <v>25</v>
      </c>
    </row>
    <row r="113" spans="1:10" hidden="1">
      <c r="A113" s="23">
        <v>112</v>
      </c>
      <c r="B113" s="22" t="s">
        <v>12</v>
      </c>
      <c r="C113" s="22" t="s">
        <v>132</v>
      </c>
      <c r="D113" s="22">
        <v>13</v>
      </c>
      <c r="E113" s="22">
        <v>2</v>
      </c>
      <c r="F113" s="22">
        <v>0.85</v>
      </c>
      <c r="G113" s="22">
        <v>20260330</v>
      </c>
      <c r="H113" s="23" t="b">
        <f t="shared" si="1"/>
        <v>0</v>
      </c>
      <c r="I113" s="24" t="str" cm="1">
        <f t="array" ref="I113">GET_TICKER_FINAL(C113)</f>
        <v/>
      </c>
      <c r="J113" s="5" t="s">
        <v>25</v>
      </c>
    </row>
    <row r="114" spans="1:10" hidden="1">
      <c r="A114" s="20">
        <v>113</v>
      </c>
      <c r="B114" s="19" t="s">
        <v>12</v>
      </c>
      <c r="C114" s="19" t="s">
        <v>133</v>
      </c>
      <c r="D114" s="19">
        <v>13</v>
      </c>
      <c r="E114" s="19">
        <v>11</v>
      </c>
      <c r="F114" s="19">
        <v>0.66</v>
      </c>
      <c r="G114" s="19">
        <v>20260401</v>
      </c>
      <c r="H114" s="20" t="b">
        <f t="shared" si="1"/>
        <v>1</v>
      </c>
      <c r="I114" s="21" t="str" cm="1">
        <f t="array" ref="I114">GET_TICKER_FINAL(C114)</f>
        <v/>
      </c>
      <c r="J114" s="5" t="s">
        <v>1792</v>
      </c>
    </row>
    <row r="115" spans="1:10" hidden="1">
      <c r="A115" s="23">
        <v>114</v>
      </c>
      <c r="B115" s="22" t="s">
        <v>12</v>
      </c>
      <c r="C115" s="22" t="s">
        <v>134</v>
      </c>
      <c r="D115" s="22">
        <v>13</v>
      </c>
      <c r="E115" s="22">
        <v>4</v>
      </c>
      <c r="F115" s="22">
        <v>0.84</v>
      </c>
      <c r="G115" s="22">
        <v>20260327</v>
      </c>
      <c r="H115" s="23" t="b">
        <f t="shared" si="1"/>
        <v>0</v>
      </c>
      <c r="I115" s="24" t="str" cm="1">
        <f t="array" ref="I115">GET_TICKER_FINAL(C115)</f>
        <v/>
      </c>
      <c r="J115" s="5" t="s">
        <v>25</v>
      </c>
    </row>
    <row r="116" spans="1:10" hidden="1">
      <c r="A116" s="20">
        <v>115</v>
      </c>
      <c r="B116" s="19" t="s">
        <v>12</v>
      </c>
      <c r="C116" s="19" t="s">
        <v>135</v>
      </c>
      <c r="D116" s="19">
        <v>13</v>
      </c>
      <c r="E116" s="19">
        <v>19</v>
      </c>
      <c r="F116" s="19">
        <v>0.79</v>
      </c>
      <c r="G116" s="19">
        <v>20260402</v>
      </c>
      <c r="H116" s="20" t="b">
        <f t="shared" si="1"/>
        <v>0</v>
      </c>
      <c r="I116" s="21" t="str" cm="1">
        <f t="array" ref="I116">GET_TICKER_FINAL(C116)</f>
        <v/>
      </c>
      <c r="J116" s="5" t="s">
        <v>1792</v>
      </c>
    </row>
    <row r="117" spans="1:10" hidden="1">
      <c r="A117" s="23">
        <v>116</v>
      </c>
      <c r="B117" s="22" t="s">
        <v>12</v>
      </c>
      <c r="C117" s="22" t="s">
        <v>136</v>
      </c>
      <c r="D117" s="22">
        <v>12</v>
      </c>
      <c r="E117" s="22">
        <v>28</v>
      </c>
      <c r="F117" s="22">
        <v>0.62</v>
      </c>
      <c r="G117" s="22">
        <v>20260326</v>
      </c>
      <c r="H117" s="23" t="b">
        <f t="shared" si="1"/>
        <v>0</v>
      </c>
      <c r="I117" s="24" t="str" cm="1">
        <f t="array" ref="I117">GET_TICKER_FINAL(C117)</f>
        <v/>
      </c>
      <c r="J117" s="5" t="s">
        <v>25</v>
      </c>
    </row>
    <row r="118" spans="1:10" hidden="1">
      <c r="A118" s="20">
        <v>117</v>
      </c>
      <c r="B118" s="19" t="s">
        <v>12</v>
      </c>
      <c r="C118" s="19" t="s">
        <v>137</v>
      </c>
      <c r="D118" s="19">
        <v>12</v>
      </c>
      <c r="E118" s="19">
        <v>15</v>
      </c>
      <c r="F118" s="19">
        <v>0.79</v>
      </c>
      <c r="G118" s="19">
        <v>20260401</v>
      </c>
      <c r="H118" s="20" t="b">
        <f t="shared" si="1"/>
        <v>0</v>
      </c>
      <c r="I118" s="21" t="str" cm="1">
        <f t="array" ref="I118">GET_TICKER_FINAL(C118)</f>
        <v/>
      </c>
      <c r="J118" s="5" t="s">
        <v>1792</v>
      </c>
    </row>
    <row r="119" spans="1:10" hidden="1">
      <c r="A119" s="23">
        <v>118</v>
      </c>
      <c r="B119" s="22" t="s">
        <v>12</v>
      </c>
      <c r="C119" s="22" t="s">
        <v>138</v>
      </c>
      <c r="D119" s="22">
        <v>12</v>
      </c>
      <c r="E119" s="22">
        <v>2</v>
      </c>
      <c r="F119" s="22">
        <v>0.89</v>
      </c>
      <c r="G119" s="22">
        <v>20260401</v>
      </c>
      <c r="H119" s="23" t="b">
        <f t="shared" si="1"/>
        <v>0</v>
      </c>
      <c r="I119" s="24" t="str" cm="1">
        <f t="array" ref="I119">GET_TICKER_FINAL(C119)</f>
        <v/>
      </c>
      <c r="J119" s="5" t="s">
        <v>1792</v>
      </c>
    </row>
    <row r="120" spans="1:10" hidden="1">
      <c r="A120" s="20">
        <v>119</v>
      </c>
      <c r="B120" s="19" t="s">
        <v>12</v>
      </c>
      <c r="C120" s="19" t="s">
        <v>139</v>
      </c>
      <c r="D120" s="19">
        <v>12</v>
      </c>
      <c r="E120" s="19">
        <v>39</v>
      </c>
      <c r="F120" s="19">
        <v>0.62</v>
      </c>
      <c r="G120" s="19">
        <v>20260324</v>
      </c>
      <c r="H120" s="20" t="b">
        <f t="shared" si="1"/>
        <v>0</v>
      </c>
      <c r="I120" s="21" t="str" cm="1">
        <f t="array" ref="I120">GET_TICKER_FINAL(C120)</f>
        <v/>
      </c>
      <c r="J120" s="5" t="s">
        <v>1792</v>
      </c>
    </row>
    <row r="121" spans="1:10" hidden="1">
      <c r="A121" s="23">
        <v>120</v>
      </c>
      <c r="B121" s="22" t="s">
        <v>12</v>
      </c>
      <c r="C121" s="22" t="s">
        <v>140</v>
      </c>
      <c r="D121" s="22">
        <v>12</v>
      </c>
      <c r="E121" s="22">
        <v>2</v>
      </c>
      <c r="F121" s="22">
        <v>0.94</v>
      </c>
      <c r="G121" s="22">
        <v>20260330</v>
      </c>
      <c r="H121" s="23" t="b">
        <f t="shared" si="1"/>
        <v>0</v>
      </c>
      <c r="I121" s="24" t="str" cm="1">
        <f t="array" ref="I121">GET_TICKER_FINAL(C121)</f>
        <v/>
      </c>
      <c r="J121" s="5" t="s">
        <v>1792</v>
      </c>
    </row>
    <row r="122" spans="1:10" hidden="1">
      <c r="A122" s="20">
        <v>121</v>
      </c>
      <c r="B122" s="19" t="s">
        <v>12</v>
      </c>
      <c r="C122" s="19" t="s">
        <v>141</v>
      </c>
      <c r="D122" s="19">
        <v>11</v>
      </c>
      <c r="E122" s="19">
        <v>31</v>
      </c>
      <c r="F122" s="19">
        <v>0.66</v>
      </c>
      <c r="G122" s="19">
        <v>20260326</v>
      </c>
      <c r="H122" s="20" t="b">
        <f t="shared" si="1"/>
        <v>0</v>
      </c>
      <c r="I122" s="21" t="str" cm="1">
        <f t="array" ref="I122">GET_TICKER_FINAL(C122)</f>
        <v/>
      </c>
      <c r="J122" s="5" t="s">
        <v>1792</v>
      </c>
    </row>
    <row r="123" spans="1:10" hidden="1">
      <c r="A123" s="23">
        <v>122</v>
      </c>
      <c r="B123" s="22" t="s">
        <v>12</v>
      </c>
      <c r="C123" s="22" t="s">
        <v>142</v>
      </c>
      <c r="D123" s="22">
        <v>11</v>
      </c>
      <c r="E123" s="22">
        <v>9</v>
      </c>
      <c r="F123" s="22">
        <v>0.77</v>
      </c>
      <c r="G123" s="22">
        <v>20260324</v>
      </c>
      <c r="H123" s="23" t="b">
        <f t="shared" si="1"/>
        <v>0</v>
      </c>
      <c r="I123" s="24" t="str" cm="1">
        <f t="array" ref="I123">GET_TICKER_FINAL(C123)</f>
        <v/>
      </c>
      <c r="J123" s="5" t="s">
        <v>25</v>
      </c>
    </row>
    <row r="124" spans="1:10">
      <c r="A124" s="20">
        <v>123</v>
      </c>
      <c r="B124" s="19" t="s">
        <v>12</v>
      </c>
      <c r="C124" s="19" t="s">
        <v>143</v>
      </c>
      <c r="D124" s="19">
        <v>11</v>
      </c>
      <c r="E124" s="19">
        <v>15</v>
      </c>
      <c r="F124" s="19">
        <v>0.66</v>
      </c>
      <c r="G124" s="19">
        <v>20260402</v>
      </c>
      <c r="H124" s="20" t="b">
        <f t="shared" si="1"/>
        <v>0</v>
      </c>
      <c r="I124" s="21" t="str" cm="1">
        <f t="array" ref="I124">GET_TICKER_FINAL(C124)</f>
        <v>AMZN</v>
      </c>
      <c r="J124" s="5" t="s">
        <v>1792</v>
      </c>
    </row>
    <row r="125" spans="1:10" hidden="1">
      <c r="A125" s="23">
        <v>124</v>
      </c>
      <c r="B125" s="22" t="s">
        <v>12</v>
      </c>
      <c r="C125" s="22" t="s">
        <v>144</v>
      </c>
      <c r="D125" s="22">
        <v>11</v>
      </c>
      <c r="E125" s="22">
        <v>30</v>
      </c>
      <c r="F125" s="22">
        <v>0.71</v>
      </c>
      <c r="G125" s="22">
        <v>20260320</v>
      </c>
      <c r="H125" s="23" t="b">
        <f t="shared" si="1"/>
        <v>0</v>
      </c>
      <c r="I125" s="24" t="str" cm="1">
        <f t="array" ref="I125">GET_TICKER_FINAL(C125)</f>
        <v/>
      </c>
      <c r="J125" s="5" t="s">
        <v>16</v>
      </c>
    </row>
    <row r="126" spans="1:10" hidden="1">
      <c r="A126" s="20">
        <v>125</v>
      </c>
      <c r="B126" s="19" t="s">
        <v>12</v>
      </c>
      <c r="C126" s="19" t="s">
        <v>145</v>
      </c>
      <c r="D126" s="19">
        <v>10</v>
      </c>
      <c r="E126" s="19">
        <v>14</v>
      </c>
      <c r="F126" s="19">
        <v>0.81</v>
      </c>
      <c r="G126" s="19">
        <v>20260323</v>
      </c>
      <c r="H126" s="20" t="b">
        <f t="shared" si="1"/>
        <v>0</v>
      </c>
      <c r="I126" s="21" t="str" cm="1">
        <f t="array" ref="I126">GET_TICKER_FINAL(C126)</f>
        <v/>
      </c>
      <c r="J126" s="5" t="s">
        <v>1792</v>
      </c>
    </row>
    <row r="127" spans="1:10" hidden="1">
      <c r="A127" s="23">
        <v>126</v>
      </c>
      <c r="B127" s="22" t="s">
        <v>12</v>
      </c>
      <c r="C127" s="22" t="s">
        <v>146</v>
      </c>
      <c r="D127" s="22">
        <v>10</v>
      </c>
      <c r="E127" s="22">
        <v>1</v>
      </c>
      <c r="F127" s="22">
        <v>1</v>
      </c>
      <c r="G127" s="22">
        <v>20260327</v>
      </c>
      <c r="H127" s="23" t="b">
        <f t="shared" si="1"/>
        <v>0</v>
      </c>
      <c r="I127" s="24" t="str" cm="1">
        <f t="array" ref="I127">GET_TICKER_FINAL(C127)</f>
        <v/>
      </c>
      <c r="J127" s="5" t="s">
        <v>1792</v>
      </c>
    </row>
    <row r="128" spans="1:10" hidden="1">
      <c r="A128" s="20">
        <v>127</v>
      </c>
      <c r="B128" s="19" t="s">
        <v>12</v>
      </c>
      <c r="C128" s="19" t="s">
        <v>147</v>
      </c>
      <c r="D128" s="19">
        <v>10</v>
      </c>
      <c r="E128" s="19">
        <v>13</v>
      </c>
      <c r="F128" s="19">
        <v>0.92</v>
      </c>
      <c r="G128" s="19">
        <v>20260326</v>
      </c>
      <c r="H128" s="20" t="b">
        <f t="shared" si="1"/>
        <v>0</v>
      </c>
      <c r="I128" s="21" t="str" cm="1">
        <f t="array" ref="I128">GET_TICKER_FINAL(C128)</f>
        <v/>
      </c>
      <c r="J128" s="5" t="s">
        <v>1792</v>
      </c>
    </row>
    <row r="129" spans="1:10" hidden="1">
      <c r="A129" s="23">
        <v>128</v>
      </c>
      <c r="B129" s="22" t="s">
        <v>12</v>
      </c>
      <c r="C129" s="22" t="s">
        <v>148</v>
      </c>
      <c r="D129" s="22">
        <v>10</v>
      </c>
      <c r="E129" s="22">
        <v>1</v>
      </c>
      <c r="F129" s="22">
        <v>0.73</v>
      </c>
      <c r="G129" s="22">
        <v>20260326</v>
      </c>
      <c r="H129" s="23" t="b">
        <f t="shared" si="1"/>
        <v>0</v>
      </c>
      <c r="I129" s="24" t="str" cm="1">
        <f t="array" ref="I129">GET_TICKER_FINAL(C129)</f>
        <v/>
      </c>
      <c r="J129" s="5" t="s">
        <v>25</v>
      </c>
    </row>
    <row r="130" spans="1:10" hidden="1">
      <c r="A130" s="20">
        <v>129</v>
      </c>
      <c r="B130" s="19" t="s">
        <v>12</v>
      </c>
      <c r="C130" s="19" t="s">
        <v>149</v>
      </c>
      <c r="D130" s="19">
        <v>10</v>
      </c>
      <c r="E130" s="19">
        <v>5</v>
      </c>
      <c r="F130" s="19">
        <v>0.86</v>
      </c>
      <c r="G130" s="19">
        <v>20260330</v>
      </c>
      <c r="H130" s="20" t="b">
        <f t="shared" si="1"/>
        <v>0</v>
      </c>
      <c r="I130" s="21" t="str" cm="1">
        <f t="array" ref="I130">GET_TICKER_FINAL(C130)</f>
        <v/>
      </c>
      <c r="J130" s="5" t="s">
        <v>1792</v>
      </c>
    </row>
    <row r="131" spans="1:10" hidden="1">
      <c r="A131" s="23">
        <v>130</v>
      </c>
      <c r="B131" s="22" t="s">
        <v>12</v>
      </c>
      <c r="C131" s="22" t="s">
        <v>150</v>
      </c>
      <c r="D131" s="22">
        <v>10</v>
      </c>
      <c r="E131" s="22">
        <v>22</v>
      </c>
      <c r="F131" s="22">
        <v>0.79</v>
      </c>
      <c r="G131" s="22">
        <v>20260330</v>
      </c>
      <c r="H131" s="23" t="b">
        <f t="shared" ref="H131:H194" si="2">OR(ISNUMBER(SEARCH("$A",C131)),ISNUMBER(SEARCH("$B",C131)),ISNUMBER(SEARCH("$C",C131)),ISNUMBER(SEARCH("$D",C131)),ISNUMBER(SEARCH("$E",C131)),ISNUMBER(SEARCH("$F",C131)),ISNUMBER(SEARCH("$G",C131)),ISNUMBER(SEARCH("$H",C131)),ISNUMBER(SEARCH("$I",C131)),ISNUMBER(SEARCH("$J",C131)),ISNUMBER(SEARCH("$K",C131)),ISNUMBER(SEARCH("$L",C131)),ISNUMBER(SEARCH("$M",C131)),ISNUMBER(SEARCH("$N",C131)),ISNUMBER(SEARCH("$O",C131)),ISNUMBER(SEARCH("$P",C131)),ISNUMBER(SEARCH("$Q",C131)),ISNUMBER(SEARCH("$R",C131)),ISNUMBER(SEARCH("$S",C131)),ISNUMBER(SEARCH("$T",C131)),ISNUMBER(SEARCH("$U",C131)),ISNUMBER(SEARCH("$V",C131)),ISNUMBER(SEARCH("$W",C131)),ISNUMBER(SEARCH("$X",C131)),ISNUMBER(SEARCH("$Y",C131)),ISNUMBER(SEARCH("$Z",C131)))</f>
        <v>0</v>
      </c>
      <c r="I131" s="24" t="str" cm="1">
        <f t="array" ref="I131">GET_TICKER_FINAL(C131)</f>
        <v/>
      </c>
      <c r="J131" s="5" t="s">
        <v>1792</v>
      </c>
    </row>
    <row r="132" spans="1:10" hidden="1">
      <c r="A132" s="20">
        <v>131</v>
      </c>
      <c r="B132" s="19" t="s">
        <v>12</v>
      </c>
      <c r="C132" s="19" t="s">
        <v>151</v>
      </c>
      <c r="D132" s="19">
        <v>10</v>
      </c>
      <c r="E132" s="19">
        <v>19</v>
      </c>
      <c r="F132" s="19">
        <v>1</v>
      </c>
      <c r="G132" s="19">
        <v>20260402</v>
      </c>
      <c r="H132" s="20" t="b">
        <f t="shared" si="2"/>
        <v>0</v>
      </c>
      <c r="I132" s="21" t="str" cm="1">
        <f t="array" ref="I132">GET_TICKER_FINAL(C132)</f>
        <v/>
      </c>
      <c r="J132" s="5" t="s">
        <v>1792</v>
      </c>
    </row>
    <row r="133" spans="1:10" hidden="1">
      <c r="A133" s="23">
        <v>132</v>
      </c>
      <c r="B133" s="22" t="s">
        <v>12</v>
      </c>
      <c r="C133" s="22" t="s">
        <v>152</v>
      </c>
      <c r="D133" s="22">
        <v>10</v>
      </c>
      <c r="E133" s="22">
        <v>20</v>
      </c>
      <c r="F133" s="22">
        <v>0.69</v>
      </c>
      <c r="G133" s="22">
        <v>20260330</v>
      </c>
      <c r="H133" s="23" t="b">
        <f t="shared" si="2"/>
        <v>0</v>
      </c>
      <c r="I133" s="24" t="str" cm="1">
        <f t="array" ref="I133">GET_TICKER_FINAL(C133)</f>
        <v/>
      </c>
      <c r="J133" s="5" t="s">
        <v>1792</v>
      </c>
    </row>
    <row r="134" spans="1:10" hidden="1">
      <c r="A134" s="20">
        <v>133</v>
      </c>
      <c r="B134" s="19" t="s">
        <v>12</v>
      </c>
      <c r="C134" s="19" t="s">
        <v>153</v>
      </c>
      <c r="D134" s="19">
        <v>9</v>
      </c>
      <c r="E134" s="19">
        <v>9</v>
      </c>
      <c r="F134" s="19">
        <v>0.81</v>
      </c>
      <c r="G134" s="19">
        <v>20260324</v>
      </c>
      <c r="H134" s="20" t="b">
        <f t="shared" si="2"/>
        <v>0</v>
      </c>
      <c r="I134" s="21" t="str" cm="1">
        <f t="array" ref="I134">GET_TICKER_FINAL(C134)</f>
        <v/>
      </c>
      <c r="J134" s="5" t="s">
        <v>1792</v>
      </c>
    </row>
    <row r="135" spans="1:10" hidden="1">
      <c r="A135" s="23">
        <v>134</v>
      </c>
      <c r="B135" s="22" t="s">
        <v>12</v>
      </c>
      <c r="C135" s="22" t="s">
        <v>154</v>
      </c>
      <c r="D135" s="22">
        <v>9</v>
      </c>
      <c r="E135" s="22">
        <v>36</v>
      </c>
      <c r="F135" s="22">
        <v>0.67</v>
      </c>
      <c r="G135" s="22">
        <v>20260323</v>
      </c>
      <c r="H135" s="23" t="b">
        <f t="shared" si="2"/>
        <v>0</v>
      </c>
      <c r="I135" s="24" t="str" cm="1">
        <f t="array" ref="I135">GET_TICKER_FINAL(C135)</f>
        <v/>
      </c>
      <c r="J135" s="5" t="s">
        <v>1792</v>
      </c>
    </row>
    <row r="136" spans="1:10" hidden="1">
      <c r="A136" s="20">
        <v>135</v>
      </c>
      <c r="B136" s="19" t="s">
        <v>12</v>
      </c>
      <c r="C136" s="19" t="s">
        <v>155</v>
      </c>
      <c r="D136" s="19">
        <v>9</v>
      </c>
      <c r="E136" s="19">
        <v>9</v>
      </c>
      <c r="F136" s="19">
        <v>0.9</v>
      </c>
      <c r="G136" s="19">
        <v>20260323</v>
      </c>
      <c r="H136" s="20" t="b">
        <f t="shared" si="2"/>
        <v>0</v>
      </c>
      <c r="I136" s="21" t="str" cm="1">
        <f t="array" ref="I136">GET_TICKER_FINAL(C136)</f>
        <v/>
      </c>
      <c r="J136" s="5" t="s">
        <v>1792</v>
      </c>
    </row>
    <row r="137" spans="1:10" hidden="1">
      <c r="A137" s="23">
        <v>136</v>
      </c>
      <c r="B137" s="22" t="s">
        <v>12</v>
      </c>
      <c r="C137" s="22" t="s">
        <v>156</v>
      </c>
      <c r="D137" s="22">
        <v>9</v>
      </c>
      <c r="E137" s="22">
        <v>25</v>
      </c>
      <c r="F137" s="22">
        <v>0.57999999999999996</v>
      </c>
      <c r="G137" s="22">
        <v>20260331</v>
      </c>
      <c r="H137" s="23" t="b">
        <f t="shared" si="2"/>
        <v>0</v>
      </c>
      <c r="I137" s="24" t="str" cm="1">
        <f t="array" ref="I137">GET_TICKER_FINAL(C137)</f>
        <v/>
      </c>
      <c r="J137" s="5" t="s">
        <v>1792</v>
      </c>
    </row>
    <row r="138" spans="1:10" hidden="1">
      <c r="A138" s="20">
        <v>137</v>
      </c>
      <c r="B138" s="19" t="s">
        <v>12</v>
      </c>
      <c r="C138" s="19" t="s">
        <v>157</v>
      </c>
      <c r="D138" s="19">
        <v>9</v>
      </c>
      <c r="E138" s="19">
        <v>51</v>
      </c>
      <c r="F138" s="19">
        <v>0.71</v>
      </c>
      <c r="G138" s="19">
        <v>20260323</v>
      </c>
      <c r="H138" s="20" t="b">
        <f t="shared" si="2"/>
        <v>0</v>
      </c>
      <c r="I138" s="21" t="str" cm="1">
        <f t="array" ref="I138">GET_TICKER_FINAL(C138)</f>
        <v/>
      </c>
      <c r="J138" s="5" t="s">
        <v>1792</v>
      </c>
    </row>
    <row r="139" spans="1:10" hidden="1">
      <c r="A139" s="23">
        <v>138</v>
      </c>
      <c r="B139" s="22" t="s">
        <v>12</v>
      </c>
      <c r="C139" s="22" t="s">
        <v>158</v>
      </c>
      <c r="D139" s="22">
        <v>9</v>
      </c>
      <c r="E139" s="22">
        <v>9</v>
      </c>
      <c r="F139" s="22">
        <v>0.71</v>
      </c>
      <c r="G139" s="22">
        <v>20260327</v>
      </c>
      <c r="H139" s="23" t="b">
        <f t="shared" si="2"/>
        <v>0</v>
      </c>
      <c r="I139" s="24" t="str" cm="1">
        <f t="array" ref="I139">GET_TICKER_FINAL(C139)</f>
        <v/>
      </c>
      <c r="J139" s="5" t="s">
        <v>1792</v>
      </c>
    </row>
    <row r="140" spans="1:10" hidden="1">
      <c r="A140" s="20">
        <v>139</v>
      </c>
      <c r="B140" s="19" t="s">
        <v>12</v>
      </c>
      <c r="C140" s="19" t="s">
        <v>159</v>
      </c>
      <c r="D140" s="19">
        <v>9</v>
      </c>
      <c r="E140" s="19">
        <v>15</v>
      </c>
      <c r="F140" s="19">
        <v>0.71</v>
      </c>
      <c r="G140" s="19">
        <v>20260326</v>
      </c>
      <c r="H140" s="20" t="b">
        <f t="shared" si="2"/>
        <v>0</v>
      </c>
      <c r="I140" s="21" t="str" cm="1">
        <f t="array" ref="I140">GET_TICKER_FINAL(C140)</f>
        <v/>
      </c>
      <c r="J140" s="5" t="s">
        <v>1792</v>
      </c>
    </row>
    <row r="141" spans="1:10" hidden="1">
      <c r="A141" s="23">
        <v>140</v>
      </c>
      <c r="B141" s="22" t="s">
        <v>12</v>
      </c>
      <c r="C141" s="22" t="s">
        <v>160</v>
      </c>
      <c r="D141" s="22">
        <v>9</v>
      </c>
      <c r="E141" s="22">
        <v>2</v>
      </c>
      <c r="F141" s="22">
        <v>0.85</v>
      </c>
      <c r="G141" s="22">
        <v>20260327</v>
      </c>
      <c r="H141" s="23" t="b">
        <f t="shared" si="2"/>
        <v>0</v>
      </c>
      <c r="I141" s="24" t="str" cm="1">
        <f t="array" ref="I141">GET_TICKER_FINAL(C141)</f>
        <v/>
      </c>
      <c r="J141" s="5" t="s">
        <v>1792</v>
      </c>
    </row>
    <row r="142" spans="1:10" hidden="1">
      <c r="A142" s="20">
        <v>141</v>
      </c>
      <c r="B142" s="19" t="s">
        <v>12</v>
      </c>
      <c r="C142" s="19" t="s">
        <v>161</v>
      </c>
      <c r="D142" s="19">
        <v>9</v>
      </c>
      <c r="E142" s="19">
        <v>23</v>
      </c>
      <c r="F142" s="19">
        <v>0.73</v>
      </c>
      <c r="G142" s="19">
        <v>20260402</v>
      </c>
      <c r="H142" s="20" t="b">
        <f t="shared" si="2"/>
        <v>0</v>
      </c>
      <c r="I142" s="21" t="str" cm="1">
        <f t="array" ref="I142">GET_TICKER_FINAL(C142)</f>
        <v/>
      </c>
      <c r="J142" s="5" t="s">
        <v>1792</v>
      </c>
    </row>
    <row r="143" spans="1:10" hidden="1">
      <c r="A143" s="23">
        <v>142</v>
      </c>
      <c r="B143" s="22" t="s">
        <v>12</v>
      </c>
      <c r="C143" s="22" t="s">
        <v>162</v>
      </c>
      <c r="D143" s="22">
        <v>8</v>
      </c>
      <c r="E143" s="22">
        <v>12</v>
      </c>
      <c r="F143" s="22">
        <v>0.79</v>
      </c>
      <c r="G143" s="22">
        <v>20260323</v>
      </c>
      <c r="H143" s="23" t="b">
        <f t="shared" si="2"/>
        <v>0</v>
      </c>
      <c r="I143" s="24" t="str" cm="1">
        <f t="array" ref="I143">GET_TICKER_FINAL(C143)</f>
        <v/>
      </c>
      <c r="J143" s="5" t="s">
        <v>1792</v>
      </c>
    </row>
    <row r="144" spans="1:10" hidden="1">
      <c r="A144" s="20">
        <v>143</v>
      </c>
      <c r="B144" s="19" t="s">
        <v>12</v>
      </c>
      <c r="C144" s="19" t="s">
        <v>163</v>
      </c>
      <c r="D144" s="19">
        <v>8</v>
      </c>
      <c r="E144" s="19">
        <v>16</v>
      </c>
      <c r="F144" s="19">
        <v>0.83</v>
      </c>
      <c r="G144" s="19">
        <v>20260402</v>
      </c>
      <c r="H144" s="20" t="b">
        <f t="shared" si="2"/>
        <v>0</v>
      </c>
      <c r="I144" s="21" t="str" cm="1">
        <f t="array" ref="I144">GET_TICKER_FINAL(C144)</f>
        <v/>
      </c>
      <c r="J144" s="5" t="s">
        <v>1792</v>
      </c>
    </row>
    <row r="145" spans="1:10" hidden="1">
      <c r="A145" s="23">
        <v>144</v>
      </c>
      <c r="B145" s="22" t="s">
        <v>12</v>
      </c>
      <c r="C145" s="22" t="s">
        <v>164</v>
      </c>
      <c r="D145" s="22">
        <v>8</v>
      </c>
      <c r="E145" s="22">
        <v>9</v>
      </c>
      <c r="F145" s="22">
        <v>0.7</v>
      </c>
      <c r="G145" s="22">
        <v>20260402</v>
      </c>
      <c r="H145" s="23" t="b">
        <f t="shared" si="2"/>
        <v>0</v>
      </c>
      <c r="I145" s="24" t="str" cm="1">
        <f t="array" ref="I145">GET_TICKER_FINAL(C145)</f>
        <v/>
      </c>
      <c r="J145" s="5" t="s">
        <v>16</v>
      </c>
    </row>
    <row r="146" spans="1:10" hidden="1">
      <c r="A146" s="20">
        <v>145</v>
      </c>
      <c r="B146" s="19" t="s">
        <v>12</v>
      </c>
      <c r="C146" s="19" t="s">
        <v>165</v>
      </c>
      <c r="D146" s="19">
        <v>8</v>
      </c>
      <c r="E146" s="19">
        <v>12</v>
      </c>
      <c r="F146" s="19">
        <v>0.9</v>
      </c>
      <c r="G146" s="19">
        <v>20260327</v>
      </c>
      <c r="H146" s="20" t="b">
        <f t="shared" si="2"/>
        <v>0</v>
      </c>
      <c r="I146" s="21" t="str" cm="1">
        <f t="array" ref="I146">GET_TICKER_FINAL(C146)</f>
        <v/>
      </c>
      <c r="J146" s="5" t="s">
        <v>1792</v>
      </c>
    </row>
    <row r="147" spans="1:10" hidden="1">
      <c r="A147" s="23">
        <v>146</v>
      </c>
      <c r="B147" s="22" t="s">
        <v>12</v>
      </c>
      <c r="C147" s="22" t="s">
        <v>166</v>
      </c>
      <c r="D147" s="22">
        <v>8</v>
      </c>
      <c r="E147" s="22">
        <v>10</v>
      </c>
      <c r="F147" s="22">
        <v>0.91</v>
      </c>
      <c r="G147" s="22">
        <v>20260327</v>
      </c>
      <c r="H147" s="23" t="b">
        <f t="shared" si="2"/>
        <v>0</v>
      </c>
      <c r="I147" s="24" t="str" cm="1">
        <f t="array" ref="I147">GET_TICKER_FINAL(C147)</f>
        <v/>
      </c>
      <c r="J147" s="5" t="s">
        <v>1792</v>
      </c>
    </row>
    <row r="148" spans="1:10" hidden="1">
      <c r="A148" s="20">
        <v>147</v>
      </c>
      <c r="B148" s="19" t="s">
        <v>12</v>
      </c>
      <c r="C148" s="19" t="s">
        <v>167</v>
      </c>
      <c r="D148" s="19">
        <v>8</v>
      </c>
      <c r="E148" s="19">
        <v>6</v>
      </c>
      <c r="F148" s="19">
        <v>1</v>
      </c>
      <c r="G148" s="19">
        <v>20260326</v>
      </c>
      <c r="H148" s="20" t="b">
        <f t="shared" si="2"/>
        <v>0</v>
      </c>
      <c r="I148" s="21" t="str" cm="1">
        <f t="array" ref="I148">GET_TICKER_FINAL(C148)</f>
        <v/>
      </c>
      <c r="J148" s="5" t="s">
        <v>1792</v>
      </c>
    </row>
    <row r="149" spans="1:10" hidden="1">
      <c r="A149" s="23">
        <v>148</v>
      </c>
      <c r="B149" s="22" t="s">
        <v>12</v>
      </c>
      <c r="C149" s="22" t="s">
        <v>168</v>
      </c>
      <c r="D149" s="22">
        <v>8</v>
      </c>
      <c r="E149" s="22">
        <v>9</v>
      </c>
      <c r="F149" s="22">
        <v>0.79</v>
      </c>
      <c r="G149" s="22">
        <v>20260326</v>
      </c>
      <c r="H149" s="23" t="b">
        <f t="shared" si="2"/>
        <v>0</v>
      </c>
      <c r="I149" s="24" t="str" cm="1">
        <f t="array" ref="I149">GET_TICKER_FINAL(C149)</f>
        <v/>
      </c>
      <c r="J149" s="5" t="s">
        <v>1792</v>
      </c>
    </row>
    <row r="150" spans="1:10" hidden="1">
      <c r="A150" s="20">
        <v>149</v>
      </c>
      <c r="B150" s="19" t="s">
        <v>12</v>
      </c>
      <c r="C150" s="19" t="s">
        <v>169</v>
      </c>
      <c r="D150" s="19">
        <v>8</v>
      </c>
      <c r="E150" s="19">
        <v>9</v>
      </c>
      <c r="F150" s="19">
        <v>1</v>
      </c>
      <c r="G150" s="19">
        <v>20260327</v>
      </c>
      <c r="H150" s="20" t="b">
        <f t="shared" si="2"/>
        <v>0</v>
      </c>
      <c r="I150" s="21" t="str" cm="1">
        <f t="array" ref="I150">GET_TICKER_FINAL(C150)</f>
        <v/>
      </c>
      <c r="J150" s="5" t="s">
        <v>1792</v>
      </c>
    </row>
    <row r="151" spans="1:10" hidden="1">
      <c r="A151" s="23">
        <v>150</v>
      </c>
      <c r="B151" s="22" t="s">
        <v>12</v>
      </c>
      <c r="C151" s="22" t="s">
        <v>170</v>
      </c>
      <c r="D151" s="22">
        <v>8</v>
      </c>
      <c r="E151" s="22">
        <v>13</v>
      </c>
      <c r="F151" s="22">
        <v>0.7</v>
      </c>
      <c r="G151" s="22">
        <v>20260320</v>
      </c>
      <c r="H151" s="23" t="b">
        <f t="shared" si="2"/>
        <v>0</v>
      </c>
      <c r="I151" s="24" t="str" cm="1">
        <f t="array" ref="I151">GET_TICKER_FINAL(C151)</f>
        <v/>
      </c>
      <c r="J151" s="5" t="s">
        <v>1792</v>
      </c>
    </row>
    <row r="152" spans="1:10" hidden="1">
      <c r="A152" s="20">
        <v>151</v>
      </c>
      <c r="B152" s="19" t="s">
        <v>12</v>
      </c>
      <c r="C152" s="19" t="s">
        <v>171</v>
      </c>
      <c r="D152" s="19">
        <v>7</v>
      </c>
      <c r="E152" s="19">
        <v>6</v>
      </c>
      <c r="F152" s="19">
        <v>0.72</v>
      </c>
      <c r="G152" s="19">
        <v>20260327</v>
      </c>
      <c r="H152" s="20" t="b">
        <f t="shared" si="2"/>
        <v>0</v>
      </c>
      <c r="I152" s="21" t="str" cm="1">
        <f t="array" ref="I152">GET_TICKER_FINAL(C152)</f>
        <v/>
      </c>
      <c r="J152" s="5" t="s">
        <v>1792</v>
      </c>
    </row>
    <row r="153" spans="1:10" hidden="1">
      <c r="A153" s="23">
        <v>152</v>
      </c>
      <c r="B153" s="22" t="s">
        <v>12</v>
      </c>
      <c r="C153" s="22" t="s">
        <v>172</v>
      </c>
      <c r="D153" s="22">
        <v>7</v>
      </c>
      <c r="E153" s="22">
        <v>11</v>
      </c>
      <c r="F153" s="22">
        <v>0.65</v>
      </c>
      <c r="G153" s="22">
        <v>20260323</v>
      </c>
      <c r="H153" s="23" t="b">
        <f t="shared" si="2"/>
        <v>0</v>
      </c>
      <c r="I153" s="24" t="str" cm="1">
        <f t="array" ref="I153">GET_TICKER_FINAL(C153)</f>
        <v/>
      </c>
      <c r="J153" s="5" t="s">
        <v>1792</v>
      </c>
    </row>
    <row r="154" spans="1:10" hidden="1">
      <c r="A154" s="20">
        <v>153</v>
      </c>
      <c r="B154" s="19" t="s">
        <v>12</v>
      </c>
      <c r="C154" s="19" t="s">
        <v>173</v>
      </c>
      <c r="D154" s="19">
        <v>7</v>
      </c>
      <c r="E154" s="19">
        <v>27</v>
      </c>
      <c r="F154" s="19">
        <v>0.9</v>
      </c>
      <c r="G154" s="19">
        <v>20260327</v>
      </c>
      <c r="H154" s="20" t="b">
        <f t="shared" si="2"/>
        <v>0</v>
      </c>
      <c r="I154" s="21" t="str" cm="1">
        <f t="array" ref="I154">GET_TICKER_FINAL(C154)</f>
        <v/>
      </c>
      <c r="J154" s="5" t="s">
        <v>1792</v>
      </c>
    </row>
    <row r="155" spans="1:10" hidden="1">
      <c r="A155" s="23">
        <v>154</v>
      </c>
      <c r="B155" s="22" t="s">
        <v>12</v>
      </c>
      <c r="C155" s="22" t="s">
        <v>174</v>
      </c>
      <c r="D155" s="22">
        <v>7</v>
      </c>
      <c r="E155" s="22">
        <v>12</v>
      </c>
      <c r="F155" s="22">
        <v>0.65</v>
      </c>
      <c r="G155" s="22">
        <v>20260323</v>
      </c>
      <c r="H155" s="23" t="b">
        <f t="shared" si="2"/>
        <v>0</v>
      </c>
      <c r="I155" s="24" t="str" cm="1">
        <f t="array" ref="I155">GET_TICKER_FINAL(C155)</f>
        <v/>
      </c>
      <c r="J155" s="5" t="s">
        <v>25</v>
      </c>
    </row>
    <row r="156" spans="1:10" hidden="1">
      <c r="A156" s="20">
        <v>155</v>
      </c>
      <c r="B156" s="19" t="s">
        <v>12</v>
      </c>
      <c r="C156" s="19" t="s">
        <v>175</v>
      </c>
      <c r="D156" s="19">
        <v>7</v>
      </c>
      <c r="E156" s="19">
        <v>13</v>
      </c>
      <c r="F156" s="19">
        <v>0.73</v>
      </c>
      <c r="G156" s="19">
        <v>20260324</v>
      </c>
      <c r="H156" s="20" t="b">
        <f t="shared" si="2"/>
        <v>0</v>
      </c>
      <c r="I156" s="21" t="str" cm="1">
        <f t="array" ref="I156">GET_TICKER_FINAL(C156)</f>
        <v/>
      </c>
      <c r="J156" s="5" t="s">
        <v>1792</v>
      </c>
    </row>
    <row r="157" spans="1:10" hidden="1">
      <c r="A157" s="23">
        <v>156</v>
      </c>
      <c r="B157" s="22" t="s">
        <v>12</v>
      </c>
      <c r="C157" s="22" t="s">
        <v>176</v>
      </c>
      <c r="D157" s="22">
        <v>7</v>
      </c>
      <c r="E157" s="22">
        <v>22</v>
      </c>
      <c r="F157" s="22">
        <v>0.77</v>
      </c>
      <c r="G157" s="22">
        <v>20260401</v>
      </c>
      <c r="H157" s="23" t="b">
        <f t="shared" si="2"/>
        <v>0</v>
      </c>
      <c r="I157" s="24" t="str" cm="1">
        <f t="array" ref="I157">GET_TICKER_FINAL(C157)</f>
        <v/>
      </c>
      <c r="J157" s="5" t="s">
        <v>1792</v>
      </c>
    </row>
    <row r="158" spans="1:10" hidden="1">
      <c r="A158" s="20">
        <v>157</v>
      </c>
      <c r="B158" s="19" t="s">
        <v>12</v>
      </c>
      <c r="C158" s="19" t="s">
        <v>177</v>
      </c>
      <c r="D158" s="19">
        <v>7</v>
      </c>
      <c r="E158" s="19">
        <v>31</v>
      </c>
      <c r="F158" s="19">
        <v>0.67</v>
      </c>
      <c r="G158" s="19">
        <v>20260323</v>
      </c>
      <c r="H158" s="20" t="b">
        <f t="shared" si="2"/>
        <v>0</v>
      </c>
      <c r="I158" s="21" t="str" cm="1">
        <f t="array" ref="I158">GET_TICKER_FINAL(C158)</f>
        <v/>
      </c>
      <c r="J158" s="5" t="s">
        <v>1792</v>
      </c>
    </row>
    <row r="159" spans="1:10" hidden="1">
      <c r="A159" s="23">
        <v>158</v>
      </c>
      <c r="B159" s="22" t="s">
        <v>12</v>
      </c>
      <c r="C159" s="22" t="s">
        <v>178</v>
      </c>
      <c r="D159" s="22">
        <v>7</v>
      </c>
      <c r="E159" s="22">
        <v>1</v>
      </c>
      <c r="F159" s="22">
        <v>0.77</v>
      </c>
      <c r="G159" s="22">
        <v>20260326</v>
      </c>
      <c r="H159" s="23" t="b">
        <f t="shared" si="2"/>
        <v>0</v>
      </c>
      <c r="I159" s="24" t="str" cm="1">
        <f t="array" ref="I159">GET_TICKER_FINAL(C159)</f>
        <v/>
      </c>
      <c r="J159" s="5" t="s">
        <v>25</v>
      </c>
    </row>
    <row r="160" spans="1:10" hidden="1">
      <c r="A160" s="20">
        <v>159</v>
      </c>
      <c r="B160" s="19" t="s">
        <v>12</v>
      </c>
      <c r="C160" s="19" t="s">
        <v>179</v>
      </c>
      <c r="D160" s="19">
        <v>7</v>
      </c>
      <c r="E160" s="19">
        <v>14</v>
      </c>
      <c r="F160" s="19">
        <v>0.77</v>
      </c>
      <c r="G160" s="19">
        <v>20260327</v>
      </c>
      <c r="H160" s="20" t="b">
        <f t="shared" si="2"/>
        <v>0</v>
      </c>
      <c r="I160" s="21" t="str" cm="1">
        <f t="array" ref="I160">GET_TICKER_FINAL(C160)</f>
        <v/>
      </c>
      <c r="J160" s="5" t="s">
        <v>1792</v>
      </c>
    </row>
    <row r="161" spans="1:10" hidden="1">
      <c r="A161" s="23">
        <v>160</v>
      </c>
      <c r="B161" s="22" t="s">
        <v>12</v>
      </c>
      <c r="C161" s="22" t="s">
        <v>180</v>
      </c>
      <c r="D161" s="22">
        <v>7</v>
      </c>
      <c r="E161" s="22">
        <v>9</v>
      </c>
      <c r="F161" s="22">
        <v>0.77</v>
      </c>
      <c r="G161" s="22">
        <v>20260331</v>
      </c>
      <c r="H161" s="23" t="b">
        <f t="shared" si="2"/>
        <v>0</v>
      </c>
      <c r="I161" s="24" t="str" cm="1">
        <f t="array" ref="I161">GET_TICKER_FINAL(C161)</f>
        <v/>
      </c>
      <c r="J161" s="5" t="s">
        <v>1792</v>
      </c>
    </row>
    <row r="162" spans="1:10">
      <c r="A162" s="20">
        <v>161</v>
      </c>
      <c r="B162" s="19" t="s">
        <v>12</v>
      </c>
      <c r="C162" s="19" t="s">
        <v>181</v>
      </c>
      <c r="D162" s="19">
        <v>7</v>
      </c>
      <c r="E162" s="19">
        <v>0</v>
      </c>
      <c r="F162" s="19">
        <v>0.74</v>
      </c>
      <c r="G162" s="19">
        <v>20260402</v>
      </c>
      <c r="H162" s="20" t="b">
        <f t="shared" si="2"/>
        <v>0</v>
      </c>
      <c r="I162" s="21" t="str" cm="1">
        <f t="array" ref="I162">GET_TICKER_FINAL(C162)</f>
        <v>NVDA</v>
      </c>
      <c r="J162" s="5" t="s">
        <v>25</v>
      </c>
    </row>
    <row r="163" spans="1:10" hidden="1">
      <c r="A163" s="23">
        <v>162</v>
      </c>
      <c r="B163" s="22" t="s">
        <v>12</v>
      </c>
      <c r="C163" s="22" t="s">
        <v>182</v>
      </c>
      <c r="D163" s="22">
        <v>7</v>
      </c>
      <c r="E163" s="22">
        <v>35</v>
      </c>
      <c r="F163" s="22">
        <v>0.71</v>
      </c>
      <c r="G163" s="22">
        <v>20260330</v>
      </c>
      <c r="H163" s="23" t="b">
        <f t="shared" si="2"/>
        <v>0</v>
      </c>
      <c r="I163" s="24" t="str" cm="1">
        <f t="array" ref="I163">GET_TICKER_FINAL(C163)</f>
        <v/>
      </c>
      <c r="J163" s="5" t="s">
        <v>1792</v>
      </c>
    </row>
    <row r="164" spans="1:10" hidden="1">
      <c r="A164" s="20">
        <v>163</v>
      </c>
      <c r="B164" s="19" t="s">
        <v>12</v>
      </c>
      <c r="C164" s="19" t="s">
        <v>183</v>
      </c>
      <c r="D164" s="19">
        <v>7</v>
      </c>
      <c r="E164" s="19">
        <v>2</v>
      </c>
      <c r="F164" s="19">
        <v>1</v>
      </c>
      <c r="G164" s="19">
        <v>20260401</v>
      </c>
      <c r="H164" s="20" t="b">
        <f t="shared" si="2"/>
        <v>0</v>
      </c>
      <c r="I164" s="21" t="str" cm="1">
        <f t="array" ref="I164">GET_TICKER_FINAL(C164)</f>
        <v/>
      </c>
      <c r="J164" s="5" t="s">
        <v>1792</v>
      </c>
    </row>
    <row r="165" spans="1:10">
      <c r="A165" s="23">
        <v>164</v>
      </c>
      <c r="B165" s="22" t="s">
        <v>12</v>
      </c>
      <c r="C165" s="22" t="s">
        <v>184</v>
      </c>
      <c r="D165" s="22">
        <v>7</v>
      </c>
      <c r="E165" s="22">
        <v>2</v>
      </c>
      <c r="F165" s="22">
        <v>0.89</v>
      </c>
      <c r="G165" s="22">
        <v>20260330</v>
      </c>
      <c r="H165" s="23" t="b">
        <f t="shared" si="2"/>
        <v>0</v>
      </c>
      <c r="I165" s="24" t="str" cm="1">
        <f t="array" ref="I165">GET_TICKER_FINAL(C165)</f>
        <v>NVDA</v>
      </c>
      <c r="J165" s="5" t="s">
        <v>1792</v>
      </c>
    </row>
    <row r="166" spans="1:10" hidden="1">
      <c r="A166" s="20">
        <v>165</v>
      </c>
      <c r="B166" s="19" t="s">
        <v>12</v>
      </c>
      <c r="C166" s="19" t="s">
        <v>185</v>
      </c>
      <c r="D166" s="19">
        <v>6</v>
      </c>
      <c r="E166" s="19">
        <v>8</v>
      </c>
      <c r="F166" s="19">
        <v>0.63</v>
      </c>
      <c r="G166" s="19">
        <v>20260324</v>
      </c>
      <c r="H166" s="20" t="b">
        <f t="shared" si="2"/>
        <v>0</v>
      </c>
      <c r="I166" s="21" t="str" cm="1">
        <f t="array" ref="I166">GET_TICKER_FINAL(C166)</f>
        <v/>
      </c>
      <c r="J166" s="5" t="s">
        <v>25</v>
      </c>
    </row>
    <row r="167" spans="1:10" hidden="1">
      <c r="A167" s="23">
        <v>166</v>
      </c>
      <c r="B167" s="22" t="s">
        <v>12</v>
      </c>
      <c r="C167" s="22" t="s">
        <v>186</v>
      </c>
      <c r="D167" s="22">
        <v>6</v>
      </c>
      <c r="E167" s="22">
        <v>1</v>
      </c>
      <c r="F167" s="22">
        <v>0.8</v>
      </c>
      <c r="G167" s="22">
        <v>20260323</v>
      </c>
      <c r="H167" s="23" t="b">
        <f t="shared" si="2"/>
        <v>0</v>
      </c>
      <c r="I167" s="24" t="str" cm="1">
        <f t="array" ref="I167">GET_TICKER_FINAL(C167)</f>
        <v/>
      </c>
      <c r="J167" s="5" t="s">
        <v>1792</v>
      </c>
    </row>
    <row r="168" spans="1:10" hidden="1">
      <c r="A168" s="20">
        <v>167</v>
      </c>
      <c r="B168" s="19" t="s">
        <v>12</v>
      </c>
      <c r="C168" s="19" t="s">
        <v>187</v>
      </c>
      <c r="D168" s="19">
        <v>6</v>
      </c>
      <c r="E168" s="19">
        <v>2</v>
      </c>
      <c r="F168" s="19">
        <v>0.75</v>
      </c>
      <c r="G168" s="19">
        <v>20260320</v>
      </c>
      <c r="H168" s="20" t="b">
        <f t="shared" si="2"/>
        <v>0</v>
      </c>
      <c r="I168" s="21" t="str" cm="1">
        <f t="array" ref="I168">GET_TICKER_FINAL(C168)</f>
        <v/>
      </c>
      <c r="J168" s="5" t="s">
        <v>1792</v>
      </c>
    </row>
    <row r="169" spans="1:10" hidden="1">
      <c r="A169" s="23">
        <v>168</v>
      </c>
      <c r="B169" s="22" t="s">
        <v>12</v>
      </c>
      <c r="C169" s="22" t="s">
        <v>188</v>
      </c>
      <c r="D169" s="22">
        <v>6</v>
      </c>
      <c r="E169" s="22">
        <v>2</v>
      </c>
      <c r="F169" s="22">
        <v>0.76</v>
      </c>
      <c r="G169" s="22">
        <v>20260330</v>
      </c>
      <c r="H169" s="23" t="b">
        <f t="shared" si="2"/>
        <v>0</v>
      </c>
      <c r="I169" s="24" t="str" cm="1">
        <f t="array" ref="I169">GET_TICKER_FINAL(C169)</f>
        <v/>
      </c>
      <c r="J169" s="5" t="s">
        <v>28</v>
      </c>
    </row>
    <row r="170" spans="1:10" hidden="1">
      <c r="A170" s="20">
        <v>169</v>
      </c>
      <c r="B170" s="19" t="s">
        <v>12</v>
      </c>
      <c r="C170" s="19" t="s">
        <v>189</v>
      </c>
      <c r="D170" s="19">
        <v>6</v>
      </c>
      <c r="E170" s="19">
        <v>6</v>
      </c>
      <c r="F170" s="19">
        <v>0.88</v>
      </c>
      <c r="G170" s="19">
        <v>20260330</v>
      </c>
      <c r="H170" s="20" t="b">
        <f t="shared" si="2"/>
        <v>0</v>
      </c>
      <c r="I170" s="21" t="str" cm="1">
        <f t="array" ref="I170">GET_TICKER_FINAL(C170)</f>
        <v/>
      </c>
      <c r="J170" s="5" t="s">
        <v>1792</v>
      </c>
    </row>
    <row r="171" spans="1:10" hidden="1">
      <c r="A171" s="23">
        <v>170</v>
      </c>
      <c r="B171" s="22" t="s">
        <v>12</v>
      </c>
      <c r="C171" s="22" t="s">
        <v>190</v>
      </c>
      <c r="D171" s="22">
        <v>6</v>
      </c>
      <c r="E171" s="22">
        <v>6</v>
      </c>
      <c r="F171" s="22">
        <v>0.61</v>
      </c>
      <c r="G171" s="22">
        <v>20260327</v>
      </c>
      <c r="H171" s="23" t="b">
        <f t="shared" si="2"/>
        <v>0</v>
      </c>
      <c r="I171" s="24" t="str" cm="1">
        <f t="array" ref="I171">GET_TICKER_FINAL(C171)</f>
        <v/>
      </c>
      <c r="J171" s="5" t="s">
        <v>1792</v>
      </c>
    </row>
    <row r="172" spans="1:10" hidden="1">
      <c r="A172" s="20">
        <v>171</v>
      </c>
      <c r="B172" s="19" t="s">
        <v>12</v>
      </c>
      <c r="C172" s="19" t="s">
        <v>191</v>
      </c>
      <c r="D172" s="19">
        <v>6</v>
      </c>
      <c r="E172" s="19">
        <v>4</v>
      </c>
      <c r="F172" s="19">
        <v>0.87</v>
      </c>
      <c r="G172" s="19">
        <v>20260401</v>
      </c>
      <c r="H172" s="20" t="b">
        <f t="shared" si="2"/>
        <v>0</v>
      </c>
      <c r="I172" s="21" t="str" cm="1">
        <f t="array" ref="I172">GET_TICKER_FINAL(C172)</f>
        <v/>
      </c>
      <c r="J172" s="5" t="s">
        <v>1792</v>
      </c>
    </row>
    <row r="173" spans="1:10" hidden="1">
      <c r="A173" s="23">
        <v>172</v>
      </c>
      <c r="B173" s="22" t="s">
        <v>12</v>
      </c>
      <c r="C173" s="22" t="s">
        <v>192</v>
      </c>
      <c r="D173" s="22">
        <v>6</v>
      </c>
      <c r="E173" s="22">
        <v>7</v>
      </c>
      <c r="F173" s="22">
        <v>0.63</v>
      </c>
      <c r="G173" s="22">
        <v>20260324</v>
      </c>
      <c r="H173" s="23" t="b">
        <f t="shared" si="2"/>
        <v>0</v>
      </c>
      <c r="I173" s="24" t="str" cm="1">
        <f t="array" ref="I173">GET_TICKER_FINAL(C173)</f>
        <v/>
      </c>
      <c r="J173" s="5" t="s">
        <v>1792</v>
      </c>
    </row>
    <row r="174" spans="1:10" hidden="1">
      <c r="A174" s="20">
        <v>173</v>
      </c>
      <c r="B174" s="19" t="s">
        <v>12</v>
      </c>
      <c r="C174" s="19" t="s">
        <v>193</v>
      </c>
      <c r="D174" s="19">
        <v>6</v>
      </c>
      <c r="E174" s="19">
        <v>13</v>
      </c>
      <c r="F174" s="19">
        <v>0.87</v>
      </c>
      <c r="G174" s="19">
        <v>20260330</v>
      </c>
      <c r="H174" s="20" t="b">
        <f t="shared" si="2"/>
        <v>0</v>
      </c>
      <c r="I174" s="21" t="str" cm="1">
        <f t="array" ref="I174">GET_TICKER_FINAL(C174)</f>
        <v/>
      </c>
      <c r="J174" s="5" t="s">
        <v>1792</v>
      </c>
    </row>
    <row r="175" spans="1:10" hidden="1">
      <c r="A175" s="23">
        <v>174</v>
      </c>
      <c r="B175" s="22" t="s">
        <v>12</v>
      </c>
      <c r="C175" s="22" t="s">
        <v>194</v>
      </c>
      <c r="D175" s="22">
        <v>6</v>
      </c>
      <c r="E175" s="22">
        <v>38</v>
      </c>
      <c r="F175" s="22">
        <v>0.61</v>
      </c>
      <c r="G175" s="22">
        <v>20260330</v>
      </c>
      <c r="H175" s="23" t="b">
        <f t="shared" si="2"/>
        <v>0</v>
      </c>
      <c r="I175" s="24" t="str" cm="1">
        <f t="array" ref="I175">GET_TICKER_FINAL(C175)</f>
        <v/>
      </c>
      <c r="J175" s="5" t="s">
        <v>1792</v>
      </c>
    </row>
    <row r="176" spans="1:10">
      <c r="A176" s="20">
        <v>175</v>
      </c>
      <c r="B176" s="19" t="s">
        <v>12</v>
      </c>
      <c r="C176" s="19" t="s">
        <v>195</v>
      </c>
      <c r="D176" s="19">
        <v>6</v>
      </c>
      <c r="E176" s="19">
        <v>10</v>
      </c>
      <c r="F176" s="19">
        <v>0.72</v>
      </c>
      <c r="G176" s="19">
        <v>20260402</v>
      </c>
      <c r="H176" s="20" t="b">
        <f t="shared" si="2"/>
        <v>0</v>
      </c>
      <c r="I176" s="21" t="str" cm="1">
        <f t="array" ref="I176">GET_TICKER_FINAL(C176)</f>
        <v>SPY</v>
      </c>
      <c r="J176" s="5" t="s">
        <v>28</v>
      </c>
    </row>
    <row r="177" spans="1:10" hidden="1">
      <c r="A177" s="23">
        <v>176</v>
      </c>
      <c r="B177" s="22" t="s">
        <v>12</v>
      </c>
      <c r="C177" s="22" t="s">
        <v>196</v>
      </c>
      <c r="D177" s="22">
        <v>5</v>
      </c>
      <c r="E177" s="22">
        <v>12</v>
      </c>
      <c r="F177" s="22">
        <v>0.62</v>
      </c>
      <c r="G177" s="22">
        <v>20260323</v>
      </c>
      <c r="H177" s="23" t="b">
        <f t="shared" si="2"/>
        <v>0</v>
      </c>
      <c r="I177" s="24" t="str" cm="1">
        <f t="array" ref="I177">GET_TICKER_FINAL(C177)</f>
        <v/>
      </c>
      <c r="J177" s="5" t="s">
        <v>1792</v>
      </c>
    </row>
    <row r="178" spans="1:10" hidden="1">
      <c r="A178" s="20">
        <v>177</v>
      </c>
      <c r="B178" s="19" t="s">
        <v>12</v>
      </c>
      <c r="C178" s="19" t="s">
        <v>197</v>
      </c>
      <c r="D178" s="19">
        <v>5</v>
      </c>
      <c r="E178" s="19">
        <v>26</v>
      </c>
      <c r="F178" s="19">
        <v>0.59</v>
      </c>
      <c r="G178" s="19">
        <v>20260331</v>
      </c>
      <c r="H178" s="20" t="b">
        <f t="shared" si="2"/>
        <v>0</v>
      </c>
      <c r="I178" s="21" t="str" cm="1">
        <f t="array" ref="I178">GET_TICKER_FINAL(C178)</f>
        <v/>
      </c>
      <c r="J178" s="5" t="s">
        <v>16</v>
      </c>
    </row>
    <row r="179" spans="1:10" hidden="1">
      <c r="A179" s="23">
        <v>178</v>
      </c>
      <c r="B179" s="22" t="s">
        <v>12</v>
      </c>
      <c r="C179" s="22" t="s">
        <v>198</v>
      </c>
      <c r="D179" s="22">
        <v>5</v>
      </c>
      <c r="E179" s="22">
        <v>10</v>
      </c>
      <c r="F179" s="22">
        <v>0.86</v>
      </c>
      <c r="G179" s="22">
        <v>20260401</v>
      </c>
      <c r="H179" s="23" t="b">
        <f t="shared" si="2"/>
        <v>0</v>
      </c>
      <c r="I179" s="24" t="str" cm="1">
        <f t="array" ref="I179">GET_TICKER_FINAL(C179)</f>
        <v/>
      </c>
      <c r="J179" s="5" t="s">
        <v>28</v>
      </c>
    </row>
    <row r="180" spans="1:10" hidden="1">
      <c r="A180" s="20">
        <v>179</v>
      </c>
      <c r="B180" s="19" t="s">
        <v>12</v>
      </c>
      <c r="C180" s="19" t="s">
        <v>199</v>
      </c>
      <c r="D180" s="19">
        <v>5</v>
      </c>
      <c r="E180" s="19">
        <v>4</v>
      </c>
      <c r="F180" s="19">
        <v>0.73</v>
      </c>
      <c r="G180" s="19">
        <v>20260327</v>
      </c>
      <c r="H180" s="20" t="b">
        <f t="shared" si="2"/>
        <v>0</v>
      </c>
      <c r="I180" s="21" t="str" cm="1">
        <f t="array" ref="I180">GET_TICKER_FINAL(C180)</f>
        <v/>
      </c>
      <c r="J180" s="5" t="s">
        <v>28</v>
      </c>
    </row>
    <row r="181" spans="1:10" hidden="1">
      <c r="A181" s="23">
        <v>180</v>
      </c>
      <c r="B181" s="22" t="s">
        <v>12</v>
      </c>
      <c r="C181" s="22" t="s">
        <v>200</v>
      </c>
      <c r="D181" s="22">
        <v>5</v>
      </c>
      <c r="E181" s="22">
        <v>0</v>
      </c>
      <c r="F181" s="22">
        <v>1</v>
      </c>
      <c r="G181" s="22">
        <v>20260330</v>
      </c>
      <c r="H181" s="23" t="b">
        <f t="shared" si="2"/>
        <v>0</v>
      </c>
      <c r="I181" s="24" t="str" cm="1">
        <f t="array" ref="I181">GET_TICKER_FINAL(C181)</f>
        <v/>
      </c>
      <c r="J181" s="5" t="s">
        <v>1792</v>
      </c>
    </row>
    <row r="182" spans="1:10" hidden="1">
      <c r="A182" s="20">
        <v>181</v>
      </c>
      <c r="B182" s="19" t="s">
        <v>12</v>
      </c>
      <c r="C182" s="19" t="s">
        <v>201</v>
      </c>
      <c r="D182" s="19">
        <v>5</v>
      </c>
      <c r="E182" s="19">
        <v>6</v>
      </c>
      <c r="F182" s="19">
        <v>0.7</v>
      </c>
      <c r="G182" s="19">
        <v>20260401</v>
      </c>
      <c r="H182" s="20" t="b">
        <f t="shared" si="2"/>
        <v>0</v>
      </c>
      <c r="I182" s="21" t="str" cm="1">
        <f t="array" ref="I182">GET_TICKER_FINAL(C182)</f>
        <v/>
      </c>
      <c r="J182" s="5" t="s">
        <v>1792</v>
      </c>
    </row>
    <row r="183" spans="1:10" hidden="1">
      <c r="A183" s="23">
        <v>182</v>
      </c>
      <c r="B183" s="22" t="s">
        <v>12</v>
      </c>
      <c r="C183" s="22" t="s">
        <v>202</v>
      </c>
      <c r="D183" s="22">
        <v>5</v>
      </c>
      <c r="E183" s="22">
        <v>5</v>
      </c>
      <c r="F183" s="22">
        <v>0.66</v>
      </c>
      <c r="G183" s="22">
        <v>20260326</v>
      </c>
      <c r="H183" s="23" t="b">
        <f t="shared" si="2"/>
        <v>0</v>
      </c>
      <c r="I183" s="24" t="str" cm="1">
        <f t="array" ref="I183">GET_TICKER_FINAL(C183)</f>
        <v/>
      </c>
      <c r="J183" s="5" t="s">
        <v>1792</v>
      </c>
    </row>
    <row r="184" spans="1:10" hidden="1">
      <c r="A184" s="20">
        <v>183</v>
      </c>
      <c r="B184" s="19" t="s">
        <v>12</v>
      </c>
      <c r="C184" s="19" t="s">
        <v>203</v>
      </c>
      <c r="D184" s="19">
        <v>5</v>
      </c>
      <c r="E184" s="19">
        <v>3</v>
      </c>
      <c r="F184" s="19">
        <v>0.73</v>
      </c>
      <c r="G184" s="19">
        <v>20260326</v>
      </c>
      <c r="H184" s="20" t="b">
        <f t="shared" si="2"/>
        <v>0</v>
      </c>
      <c r="I184" s="21" t="str" cm="1">
        <f t="array" ref="I184">GET_TICKER_FINAL(C184)</f>
        <v/>
      </c>
      <c r="J184" s="5" t="s">
        <v>16</v>
      </c>
    </row>
    <row r="185" spans="1:10" hidden="1">
      <c r="A185" s="23">
        <v>184</v>
      </c>
      <c r="B185" s="22" t="s">
        <v>12</v>
      </c>
      <c r="C185" s="22" t="s">
        <v>204</v>
      </c>
      <c r="D185" s="22">
        <v>5</v>
      </c>
      <c r="E185" s="22">
        <v>0</v>
      </c>
      <c r="F185" s="22">
        <v>0.69</v>
      </c>
      <c r="G185" s="22">
        <v>20260323</v>
      </c>
      <c r="H185" s="23" t="b">
        <f t="shared" si="2"/>
        <v>0</v>
      </c>
      <c r="I185" s="24" t="str" cm="1">
        <f t="array" ref="I185">GET_TICKER_FINAL(C185)</f>
        <v/>
      </c>
      <c r="J185" s="5" t="s">
        <v>25</v>
      </c>
    </row>
    <row r="186" spans="1:10" hidden="1">
      <c r="A186" s="20">
        <v>185</v>
      </c>
      <c r="B186" s="19" t="s">
        <v>12</v>
      </c>
      <c r="C186" s="19" t="s">
        <v>205</v>
      </c>
      <c r="D186" s="19">
        <v>5</v>
      </c>
      <c r="E186" s="19">
        <v>12</v>
      </c>
      <c r="F186" s="19">
        <v>0.61</v>
      </c>
      <c r="G186" s="19">
        <v>20260330</v>
      </c>
      <c r="H186" s="20" t="b">
        <f t="shared" si="2"/>
        <v>0</v>
      </c>
      <c r="I186" s="21" t="str" cm="1">
        <f t="array" ref="I186">GET_TICKER_FINAL(C186)</f>
        <v/>
      </c>
      <c r="J186" s="5" t="s">
        <v>1792</v>
      </c>
    </row>
    <row r="187" spans="1:10" hidden="1">
      <c r="A187" s="23">
        <v>186</v>
      </c>
      <c r="B187" s="22" t="s">
        <v>12</v>
      </c>
      <c r="C187" s="22" t="s">
        <v>206</v>
      </c>
      <c r="D187" s="22">
        <v>5</v>
      </c>
      <c r="E187" s="22">
        <v>0</v>
      </c>
      <c r="F187" s="22">
        <v>0.69</v>
      </c>
      <c r="G187" s="22">
        <v>20260324</v>
      </c>
      <c r="H187" s="23" t="b">
        <f t="shared" si="2"/>
        <v>1</v>
      </c>
      <c r="I187" s="24" t="str" cm="1">
        <f t="array" ref="I187">GET_TICKER_FINAL(C187)</f>
        <v/>
      </c>
      <c r="J187" s="5" t="s">
        <v>25</v>
      </c>
    </row>
    <row r="188" spans="1:10" hidden="1">
      <c r="A188" s="20">
        <v>187</v>
      </c>
      <c r="B188" s="19" t="s">
        <v>12</v>
      </c>
      <c r="C188" s="19" t="s">
        <v>207</v>
      </c>
      <c r="D188" s="19">
        <v>5</v>
      </c>
      <c r="E188" s="19">
        <v>3</v>
      </c>
      <c r="F188" s="19">
        <v>0.78</v>
      </c>
      <c r="G188" s="19">
        <v>20260324</v>
      </c>
      <c r="H188" s="20" t="b">
        <f t="shared" si="2"/>
        <v>0</v>
      </c>
      <c r="I188" s="21" t="str" cm="1">
        <f t="array" ref="I188">GET_TICKER_FINAL(C188)</f>
        <v/>
      </c>
      <c r="J188" s="5" t="s">
        <v>1792</v>
      </c>
    </row>
    <row r="189" spans="1:10">
      <c r="A189" s="23">
        <v>188</v>
      </c>
      <c r="B189" s="22" t="s">
        <v>12</v>
      </c>
      <c r="C189" s="22" t="s">
        <v>208</v>
      </c>
      <c r="D189" s="22">
        <v>5</v>
      </c>
      <c r="E189" s="22">
        <v>7</v>
      </c>
      <c r="F189" s="22">
        <v>0.67</v>
      </c>
      <c r="G189" s="22">
        <v>20260402</v>
      </c>
      <c r="H189" s="23" t="b">
        <f t="shared" si="2"/>
        <v>0</v>
      </c>
      <c r="I189" s="24" t="str" cm="1">
        <f t="array" ref="I189">GET_TICKER_FINAL(C189)</f>
        <v>SPY</v>
      </c>
      <c r="J189" s="5" t="s">
        <v>1792</v>
      </c>
    </row>
    <row r="190" spans="1:10" hidden="1">
      <c r="A190" s="20">
        <v>189</v>
      </c>
      <c r="B190" s="19" t="s">
        <v>12</v>
      </c>
      <c r="C190" s="19" t="s">
        <v>209</v>
      </c>
      <c r="D190" s="19">
        <v>5</v>
      </c>
      <c r="E190" s="19">
        <v>4</v>
      </c>
      <c r="F190" s="19">
        <v>0.78</v>
      </c>
      <c r="G190" s="19">
        <v>20260327</v>
      </c>
      <c r="H190" s="20" t="b">
        <f t="shared" si="2"/>
        <v>0</v>
      </c>
      <c r="I190" s="21" t="str" cm="1">
        <f t="array" ref="I190">GET_TICKER_FINAL(C190)</f>
        <v/>
      </c>
      <c r="J190" s="5" t="s">
        <v>1792</v>
      </c>
    </row>
    <row r="191" spans="1:10" hidden="1">
      <c r="A191" s="23">
        <v>190</v>
      </c>
      <c r="B191" s="22" t="s">
        <v>12</v>
      </c>
      <c r="C191" s="22" t="s">
        <v>210</v>
      </c>
      <c r="D191" s="22">
        <v>5</v>
      </c>
      <c r="E191" s="22">
        <v>47</v>
      </c>
      <c r="F191" s="22">
        <v>0.78</v>
      </c>
      <c r="G191" s="22">
        <v>20260330</v>
      </c>
      <c r="H191" s="23" t="b">
        <f t="shared" si="2"/>
        <v>0</v>
      </c>
      <c r="I191" s="24" t="str" cm="1">
        <f t="array" ref="I191">GET_TICKER_FINAL(C191)</f>
        <v/>
      </c>
      <c r="J191" s="5" t="s">
        <v>1792</v>
      </c>
    </row>
    <row r="192" spans="1:10" hidden="1">
      <c r="A192" s="20">
        <v>191</v>
      </c>
      <c r="B192" s="19" t="s">
        <v>12</v>
      </c>
      <c r="C192" s="19" t="s">
        <v>211</v>
      </c>
      <c r="D192" s="19">
        <v>5</v>
      </c>
      <c r="E192" s="19">
        <v>13</v>
      </c>
      <c r="F192" s="19">
        <v>1</v>
      </c>
      <c r="G192" s="19">
        <v>20260402</v>
      </c>
      <c r="H192" s="20" t="b">
        <f t="shared" si="2"/>
        <v>0</v>
      </c>
      <c r="I192" s="21" t="str" cm="1">
        <f t="array" ref="I192">GET_TICKER_FINAL(C192)</f>
        <v/>
      </c>
      <c r="J192" s="5" t="s">
        <v>1792</v>
      </c>
    </row>
    <row r="193" spans="1:10" hidden="1">
      <c r="A193" s="23">
        <v>192</v>
      </c>
      <c r="B193" s="22" t="s">
        <v>12</v>
      </c>
      <c r="C193" s="22" t="s">
        <v>212</v>
      </c>
      <c r="D193" s="22">
        <v>5</v>
      </c>
      <c r="E193" s="22">
        <v>16</v>
      </c>
      <c r="F193" s="22">
        <v>0.78</v>
      </c>
      <c r="G193" s="22">
        <v>20260327</v>
      </c>
      <c r="H193" s="23" t="b">
        <f t="shared" si="2"/>
        <v>0</v>
      </c>
      <c r="I193" s="24" t="str" cm="1">
        <f t="array" ref="I193">GET_TICKER_FINAL(C193)</f>
        <v/>
      </c>
      <c r="J193" s="5" t="s">
        <v>1792</v>
      </c>
    </row>
    <row r="194" spans="1:10" hidden="1">
      <c r="A194" s="20">
        <v>193</v>
      </c>
      <c r="B194" s="19" t="s">
        <v>12</v>
      </c>
      <c r="C194" s="19" t="s">
        <v>213</v>
      </c>
      <c r="D194" s="19">
        <v>5</v>
      </c>
      <c r="E194" s="19">
        <v>3</v>
      </c>
      <c r="F194" s="19">
        <v>0.67</v>
      </c>
      <c r="G194" s="19">
        <v>20260330</v>
      </c>
      <c r="H194" s="20" t="b">
        <f t="shared" si="2"/>
        <v>0</v>
      </c>
      <c r="I194" s="21" t="str" cm="1">
        <f t="array" ref="I194">GET_TICKER_FINAL(C194)</f>
        <v/>
      </c>
      <c r="J194" s="5" t="s">
        <v>25</v>
      </c>
    </row>
    <row r="195" spans="1:10" hidden="1">
      <c r="A195" s="23">
        <v>194</v>
      </c>
      <c r="B195" s="22" t="s">
        <v>12</v>
      </c>
      <c r="C195" s="22" t="s">
        <v>214</v>
      </c>
      <c r="D195" s="22">
        <v>5</v>
      </c>
      <c r="E195" s="22">
        <v>2</v>
      </c>
      <c r="F195" s="22">
        <v>0.86</v>
      </c>
      <c r="G195" s="22">
        <v>20260330</v>
      </c>
      <c r="H195" s="23" t="b">
        <f t="shared" ref="H195:H258" si="3">OR(ISNUMBER(SEARCH("$A",C195)),ISNUMBER(SEARCH("$B",C195)),ISNUMBER(SEARCH("$C",C195)),ISNUMBER(SEARCH("$D",C195)),ISNUMBER(SEARCH("$E",C195)),ISNUMBER(SEARCH("$F",C195)),ISNUMBER(SEARCH("$G",C195)),ISNUMBER(SEARCH("$H",C195)),ISNUMBER(SEARCH("$I",C195)),ISNUMBER(SEARCH("$J",C195)),ISNUMBER(SEARCH("$K",C195)),ISNUMBER(SEARCH("$L",C195)),ISNUMBER(SEARCH("$M",C195)),ISNUMBER(SEARCH("$N",C195)),ISNUMBER(SEARCH("$O",C195)),ISNUMBER(SEARCH("$P",C195)),ISNUMBER(SEARCH("$Q",C195)),ISNUMBER(SEARCH("$R",C195)),ISNUMBER(SEARCH("$S",C195)),ISNUMBER(SEARCH("$T",C195)),ISNUMBER(SEARCH("$U",C195)),ISNUMBER(SEARCH("$V",C195)),ISNUMBER(SEARCH("$W",C195)),ISNUMBER(SEARCH("$X",C195)),ISNUMBER(SEARCH("$Y",C195)),ISNUMBER(SEARCH("$Z",C195)))</f>
        <v>0</v>
      </c>
      <c r="I195" s="24" t="str" cm="1">
        <f t="array" ref="I195">GET_TICKER_FINAL(C195)</f>
        <v/>
      </c>
      <c r="J195" s="5" t="s">
        <v>1792</v>
      </c>
    </row>
    <row r="196" spans="1:10" hidden="1">
      <c r="A196" s="20">
        <v>195</v>
      </c>
      <c r="B196" s="19" t="s">
        <v>12</v>
      </c>
      <c r="C196" s="19" t="s">
        <v>215</v>
      </c>
      <c r="D196" s="19">
        <v>4</v>
      </c>
      <c r="E196" s="19">
        <v>0</v>
      </c>
      <c r="F196" s="19">
        <v>1</v>
      </c>
      <c r="G196" s="19">
        <v>20260401</v>
      </c>
      <c r="H196" s="20" t="b">
        <f t="shared" si="3"/>
        <v>0</v>
      </c>
      <c r="I196" s="21" t="str" cm="1">
        <f t="array" ref="I196">GET_TICKER_FINAL(C196)</f>
        <v/>
      </c>
      <c r="J196" s="5" t="s">
        <v>1792</v>
      </c>
    </row>
    <row r="197" spans="1:10" hidden="1">
      <c r="A197" s="23">
        <v>196</v>
      </c>
      <c r="B197" s="22" t="s">
        <v>12</v>
      </c>
      <c r="C197" s="22" t="s">
        <v>216</v>
      </c>
      <c r="D197" s="22">
        <v>4</v>
      </c>
      <c r="E197" s="22">
        <v>39</v>
      </c>
      <c r="F197" s="22">
        <v>0.56999999999999995</v>
      </c>
      <c r="G197" s="22">
        <v>20260402</v>
      </c>
      <c r="H197" s="23" t="b">
        <f t="shared" si="3"/>
        <v>0</v>
      </c>
      <c r="I197" s="24" t="str" cm="1">
        <f t="array" ref="I197">GET_TICKER_FINAL(C197)</f>
        <v/>
      </c>
      <c r="J197" s="5" t="s">
        <v>1792</v>
      </c>
    </row>
    <row r="198" spans="1:10" hidden="1">
      <c r="A198" s="20">
        <v>197</v>
      </c>
      <c r="B198" s="19" t="s">
        <v>12</v>
      </c>
      <c r="C198" s="19" t="s">
        <v>217</v>
      </c>
      <c r="D198" s="19">
        <v>4</v>
      </c>
      <c r="E198" s="19">
        <v>4</v>
      </c>
      <c r="F198" s="19">
        <v>0.65</v>
      </c>
      <c r="G198" s="19">
        <v>20260402</v>
      </c>
      <c r="H198" s="20" t="b">
        <f t="shared" si="3"/>
        <v>0</v>
      </c>
      <c r="I198" s="21" t="str" cm="1">
        <f t="array" ref="I198">GET_TICKER_FINAL(C198)</f>
        <v/>
      </c>
      <c r="J198" s="5" t="s">
        <v>1792</v>
      </c>
    </row>
    <row r="199" spans="1:10" hidden="1">
      <c r="A199" s="23">
        <v>198</v>
      </c>
      <c r="B199" s="22" t="s">
        <v>12</v>
      </c>
      <c r="C199" s="22" t="s">
        <v>218</v>
      </c>
      <c r="D199" s="22">
        <v>4</v>
      </c>
      <c r="E199" s="22">
        <v>15</v>
      </c>
      <c r="F199" s="22">
        <v>1</v>
      </c>
      <c r="G199" s="22">
        <v>20260323</v>
      </c>
      <c r="H199" s="23" t="b">
        <f t="shared" si="3"/>
        <v>0</v>
      </c>
      <c r="I199" s="24" t="str" cm="1">
        <f t="array" ref="I199">GET_TICKER_FINAL(C199)</f>
        <v/>
      </c>
      <c r="J199" s="5" t="s">
        <v>1792</v>
      </c>
    </row>
    <row r="200" spans="1:10" hidden="1">
      <c r="A200" s="20">
        <v>199</v>
      </c>
      <c r="B200" s="19" t="s">
        <v>12</v>
      </c>
      <c r="C200" s="19" t="s">
        <v>219</v>
      </c>
      <c r="D200" s="19">
        <v>4</v>
      </c>
      <c r="E200" s="19">
        <v>11</v>
      </c>
      <c r="F200" s="19">
        <v>0.76</v>
      </c>
      <c r="G200" s="19">
        <v>20260402</v>
      </c>
      <c r="H200" s="20" t="b">
        <f t="shared" si="3"/>
        <v>0</v>
      </c>
      <c r="I200" s="21" t="str" cm="1">
        <f t="array" ref="I200">GET_TICKER_FINAL(C200)</f>
        <v/>
      </c>
      <c r="J200" s="5" t="s">
        <v>1792</v>
      </c>
    </row>
    <row r="201" spans="1:10" hidden="1">
      <c r="A201" s="23">
        <v>200</v>
      </c>
      <c r="B201" s="22" t="s">
        <v>12</v>
      </c>
      <c r="C201" s="22" t="s">
        <v>220</v>
      </c>
      <c r="D201" s="22">
        <v>4</v>
      </c>
      <c r="E201" s="22">
        <v>9</v>
      </c>
      <c r="F201" s="22">
        <v>0.6</v>
      </c>
      <c r="G201" s="22">
        <v>20260320</v>
      </c>
      <c r="H201" s="23" t="b">
        <f t="shared" si="3"/>
        <v>0</v>
      </c>
      <c r="I201" s="24" t="str" cm="1">
        <f t="array" ref="I201">GET_TICKER_FINAL(C201)</f>
        <v/>
      </c>
      <c r="J201" s="5" t="s">
        <v>1792</v>
      </c>
    </row>
    <row r="202" spans="1:10" hidden="1">
      <c r="A202" s="20">
        <v>201</v>
      </c>
      <c r="B202" s="19" t="s">
        <v>12</v>
      </c>
      <c r="C202" s="19" t="s">
        <v>221</v>
      </c>
      <c r="D202" s="19">
        <v>4</v>
      </c>
      <c r="E202" s="19">
        <v>15</v>
      </c>
      <c r="F202" s="19">
        <v>1</v>
      </c>
      <c r="G202" s="19">
        <v>20260331</v>
      </c>
      <c r="H202" s="20" t="b">
        <f t="shared" si="3"/>
        <v>0</v>
      </c>
      <c r="I202" s="21" t="str" cm="1">
        <f t="array" ref="I202">GET_TICKER_FINAL(C202)</f>
        <v/>
      </c>
      <c r="J202" s="5" t="s">
        <v>1792</v>
      </c>
    </row>
    <row r="203" spans="1:10" hidden="1">
      <c r="A203" s="23">
        <v>202</v>
      </c>
      <c r="B203" s="22" t="s">
        <v>12</v>
      </c>
      <c r="C203" s="22" t="s">
        <v>222</v>
      </c>
      <c r="D203" s="22">
        <v>4</v>
      </c>
      <c r="E203" s="22">
        <v>2</v>
      </c>
      <c r="F203" s="22">
        <v>0.84</v>
      </c>
      <c r="G203" s="22">
        <v>20260330</v>
      </c>
      <c r="H203" s="23" t="b">
        <f t="shared" si="3"/>
        <v>0</v>
      </c>
      <c r="I203" s="24" t="str" cm="1">
        <f t="array" ref="I203">GET_TICKER_FINAL(C203)</f>
        <v/>
      </c>
      <c r="J203" s="5" t="s">
        <v>1792</v>
      </c>
    </row>
    <row r="204" spans="1:10" hidden="1">
      <c r="A204" s="20">
        <v>203</v>
      </c>
      <c r="B204" s="19" t="s">
        <v>12</v>
      </c>
      <c r="C204" s="19" t="s">
        <v>223</v>
      </c>
      <c r="D204" s="19">
        <v>4</v>
      </c>
      <c r="E204" s="19">
        <v>8</v>
      </c>
      <c r="F204" s="19">
        <v>1</v>
      </c>
      <c r="G204" s="19">
        <v>20260320</v>
      </c>
      <c r="H204" s="20" t="b">
        <f t="shared" si="3"/>
        <v>0</v>
      </c>
      <c r="I204" s="21" t="str" cm="1">
        <f t="array" ref="I204">GET_TICKER_FINAL(C204)</f>
        <v/>
      </c>
      <c r="J204" s="5" t="s">
        <v>1792</v>
      </c>
    </row>
    <row r="205" spans="1:10" hidden="1">
      <c r="A205" s="23">
        <v>204</v>
      </c>
      <c r="B205" s="22" t="s">
        <v>12</v>
      </c>
      <c r="C205" s="22" t="s">
        <v>224</v>
      </c>
      <c r="D205" s="22">
        <v>4</v>
      </c>
      <c r="E205" s="22">
        <v>5</v>
      </c>
      <c r="F205" s="22">
        <v>0.84</v>
      </c>
      <c r="G205" s="22">
        <v>20260330</v>
      </c>
      <c r="H205" s="23" t="b">
        <f t="shared" si="3"/>
        <v>0</v>
      </c>
      <c r="I205" s="24" t="str" cm="1">
        <f t="array" ref="I205">GET_TICKER_FINAL(C205)</f>
        <v/>
      </c>
      <c r="J205" s="5" t="s">
        <v>1792</v>
      </c>
    </row>
    <row r="206" spans="1:10" hidden="1">
      <c r="A206" s="20">
        <v>205</v>
      </c>
      <c r="B206" s="19" t="s">
        <v>12</v>
      </c>
      <c r="C206" s="19" t="s">
        <v>225</v>
      </c>
      <c r="D206" s="19">
        <v>4</v>
      </c>
      <c r="E206" s="19">
        <v>3</v>
      </c>
      <c r="F206" s="19">
        <v>0.75</v>
      </c>
      <c r="G206" s="19">
        <v>20260323</v>
      </c>
      <c r="H206" s="20" t="b">
        <f t="shared" si="3"/>
        <v>0</v>
      </c>
      <c r="I206" s="21" t="str" cm="1">
        <f t="array" ref="I206">GET_TICKER_FINAL(C206)</f>
        <v/>
      </c>
      <c r="J206" s="5" t="s">
        <v>1792</v>
      </c>
    </row>
    <row r="207" spans="1:10" hidden="1">
      <c r="A207" s="23">
        <v>206</v>
      </c>
      <c r="B207" s="22" t="s">
        <v>12</v>
      </c>
      <c r="C207" s="22" t="s">
        <v>226</v>
      </c>
      <c r="D207" s="22">
        <v>4</v>
      </c>
      <c r="E207" s="22">
        <v>34</v>
      </c>
      <c r="F207" s="22">
        <v>0.54</v>
      </c>
      <c r="G207" s="22">
        <v>20260402</v>
      </c>
      <c r="H207" s="23" t="b">
        <f t="shared" si="3"/>
        <v>0</v>
      </c>
      <c r="I207" s="24" t="str" cm="1">
        <f t="array" ref="I207">GET_TICKER_FINAL(C207)</f>
        <v/>
      </c>
      <c r="J207" s="5" t="s">
        <v>1792</v>
      </c>
    </row>
    <row r="208" spans="1:10" hidden="1">
      <c r="A208" s="20">
        <v>207</v>
      </c>
      <c r="B208" s="19" t="s">
        <v>12</v>
      </c>
      <c r="C208" s="19" t="s">
        <v>227</v>
      </c>
      <c r="D208" s="19">
        <v>4</v>
      </c>
      <c r="E208" s="19">
        <v>13</v>
      </c>
      <c r="F208" s="19">
        <v>0.67</v>
      </c>
      <c r="G208" s="19">
        <v>20260327</v>
      </c>
      <c r="H208" s="20" t="b">
        <f t="shared" si="3"/>
        <v>0</v>
      </c>
      <c r="I208" s="21" t="str" cm="1">
        <f t="array" ref="I208">GET_TICKER_FINAL(C208)</f>
        <v/>
      </c>
      <c r="J208" s="5" t="s">
        <v>25</v>
      </c>
    </row>
    <row r="209" spans="1:10" hidden="1">
      <c r="A209" s="23">
        <v>208</v>
      </c>
      <c r="B209" s="22" t="s">
        <v>12</v>
      </c>
      <c r="C209" s="22" t="s">
        <v>228</v>
      </c>
      <c r="D209" s="22">
        <v>4</v>
      </c>
      <c r="E209" s="22">
        <v>2</v>
      </c>
      <c r="F209" s="22">
        <v>0.83</v>
      </c>
      <c r="G209" s="22">
        <v>20260401</v>
      </c>
      <c r="H209" s="23" t="b">
        <f t="shared" si="3"/>
        <v>0</v>
      </c>
      <c r="I209" s="24" t="str" cm="1">
        <f t="array" ref="I209">GET_TICKER_FINAL(C209)</f>
        <v/>
      </c>
      <c r="J209" s="5" t="s">
        <v>1792</v>
      </c>
    </row>
    <row r="210" spans="1:10" hidden="1">
      <c r="A210" s="20">
        <v>209</v>
      </c>
      <c r="B210" s="19" t="s">
        <v>12</v>
      </c>
      <c r="C210" s="19" t="s">
        <v>229</v>
      </c>
      <c r="D210" s="19">
        <v>4</v>
      </c>
      <c r="E210" s="19">
        <v>19</v>
      </c>
      <c r="F210" s="19">
        <v>0.6</v>
      </c>
      <c r="G210" s="19">
        <v>20260401</v>
      </c>
      <c r="H210" s="20" t="b">
        <f t="shared" si="3"/>
        <v>0</v>
      </c>
      <c r="I210" s="21" t="str" cm="1">
        <f t="array" ref="I210">GET_TICKER_FINAL(C210)</f>
        <v/>
      </c>
      <c r="J210" s="5" t="s">
        <v>25</v>
      </c>
    </row>
    <row r="211" spans="1:10" hidden="1">
      <c r="A211" s="23">
        <v>210</v>
      </c>
      <c r="B211" s="22" t="s">
        <v>12</v>
      </c>
      <c r="C211" s="22" t="s">
        <v>230</v>
      </c>
      <c r="D211" s="22">
        <v>4</v>
      </c>
      <c r="E211" s="22">
        <v>7</v>
      </c>
      <c r="F211" s="22">
        <v>0.56999999999999995</v>
      </c>
      <c r="G211" s="22">
        <v>20260320</v>
      </c>
      <c r="H211" s="23" t="b">
        <f t="shared" si="3"/>
        <v>0</v>
      </c>
      <c r="I211" s="24" t="str" cm="1">
        <f t="array" ref="I211">GET_TICKER_FINAL(C211)</f>
        <v/>
      </c>
      <c r="J211" s="5" t="s">
        <v>1792</v>
      </c>
    </row>
    <row r="212" spans="1:10">
      <c r="A212" s="20">
        <v>211</v>
      </c>
      <c r="B212" s="19" t="s">
        <v>12</v>
      </c>
      <c r="C212" s="19" t="s">
        <v>231</v>
      </c>
      <c r="D212" s="19">
        <v>4</v>
      </c>
      <c r="E212" s="19">
        <v>19</v>
      </c>
      <c r="F212" s="19">
        <v>0.57999999999999996</v>
      </c>
      <c r="G212" s="19">
        <v>20260327</v>
      </c>
      <c r="H212" s="20" t="b">
        <f t="shared" si="3"/>
        <v>1</v>
      </c>
      <c r="I212" s="21" t="str" cm="1">
        <f t="array" ref="I212">GET_TICKER_FINAL(C212)</f>
        <v>MSFT</v>
      </c>
      <c r="J212" s="5" t="s">
        <v>25</v>
      </c>
    </row>
    <row r="213" spans="1:10" hidden="1">
      <c r="A213" s="23">
        <v>212</v>
      </c>
      <c r="B213" s="22" t="s">
        <v>12</v>
      </c>
      <c r="C213" s="22" t="s">
        <v>232</v>
      </c>
      <c r="D213" s="22">
        <v>4</v>
      </c>
      <c r="E213" s="22">
        <v>0</v>
      </c>
      <c r="F213" s="22">
        <v>0.63</v>
      </c>
      <c r="G213" s="22">
        <v>20260323</v>
      </c>
      <c r="H213" s="23" t="b">
        <f t="shared" si="3"/>
        <v>0</v>
      </c>
      <c r="I213" s="24" t="str" cm="1">
        <f t="array" ref="I213">GET_TICKER_FINAL(C213)</f>
        <v/>
      </c>
      <c r="J213" s="5" t="s">
        <v>1792</v>
      </c>
    </row>
    <row r="214" spans="1:10" hidden="1">
      <c r="A214" s="20">
        <v>213</v>
      </c>
      <c r="B214" s="19" t="s">
        <v>12</v>
      </c>
      <c r="C214" s="19" t="s">
        <v>233</v>
      </c>
      <c r="D214" s="19">
        <v>4</v>
      </c>
      <c r="E214" s="19">
        <v>3</v>
      </c>
      <c r="F214" s="19">
        <v>0.83</v>
      </c>
      <c r="G214" s="19">
        <v>20260323</v>
      </c>
      <c r="H214" s="20" t="b">
        <f t="shared" si="3"/>
        <v>0</v>
      </c>
      <c r="I214" s="21" t="str" cm="1">
        <f t="array" ref="I214">GET_TICKER_FINAL(C214)</f>
        <v/>
      </c>
      <c r="J214" s="5" t="s">
        <v>1792</v>
      </c>
    </row>
    <row r="215" spans="1:10" hidden="1">
      <c r="A215" s="23">
        <v>214</v>
      </c>
      <c r="B215" s="22" t="s">
        <v>12</v>
      </c>
      <c r="C215" s="22" t="s">
        <v>234</v>
      </c>
      <c r="D215" s="22">
        <v>4</v>
      </c>
      <c r="E215" s="22">
        <v>9</v>
      </c>
      <c r="F215" s="22">
        <v>0.75</v>
      </c>
      <c r="G215" s="22">
        <v>20260324</v>
      </c>
      <c r="H215" s="23" t="b">
        <f t="shared" si="3"/>
        <v>0</v>
      </c>
      <c r="I215" s="24" t="str" cm="1">
        <f t="array" ref="I215">GET_TICKER_FINAL(C215)</f>
        <v/>
      </c>
      <c r="J215" s="5" t="s">
        <v>1792</v>
      </c>
    </row>
    <row r="216" spans="1:10" hidden="1">
      <c r="A216" s="20">
        <v>215</v>
      </c>
      <c r="B216" s="19" t="s">
        <v>12</v>
      </c>
      <c r="C216" s="19" t="s">
        <v>235</v>
      </c>
      <c r="D216" s="19">
        <v>4</v>
      </c>
      <c r="E216" s="19">
        <v>16</v>
      </c>
      <c r="F216" s="19">
        <v>1</v>
      </c>
      <c r="G216" s="19">
        <v>20260326</v>
      </c>
      <c r="H216" s="20" t="b">
        <f t="shared" si="3"/>
        <v>0</v>
      </c>
      <c r="I216" s="21" t="str" cm="1">
        <f t="array" ref="I216">GET_TICKER_FINAL(C216)</f>
        <v/>
      </c>
      <c r="J216" s="5" t="s">
        <v>1792</v>
      </c>
    </row>
    <row r="217" spans="1:10" hidden="1">
      <c r="A217" s="23">
        <v>216</v>
      </c>
      <c r="B217" s="22" t="s">
        <v>12</v>
      </c>
      <c r="C217" s="22" t="s">
        <v>236</v>
      </c>
      <c r="D217" s="22">
        <v>4</v>
      </c>
      <c r="E217" s="22">
        <v>10</v>
      </c>
      <c r="F217" s="22">
        <v>0.67</v>
      </c>
      <c r="G217" s="22">
        <v>20260401</v>
      </c>
      <c r="H217" s="23" t="b">
        <f t="shared" si="3"/>
        <v>0</v>
      </c>
      <c r="I217" s="24" t="str" cm="1">
        <f t="array" ref="I217">GET_TICKER_FINAL(C217)</f>
        <v/>
      </c>
      <c r="J217" s="5" t="s">
        <v>1792</v>
      </c>
    </row>
    <row r="218" spans="1:10" hidden="1">
      <c r="A218" s="20">
        <v>217</v>
      </c>
      <c r="B218" s="19" t="s">
        <v>12</v>
      </c>
      <c r="C218" s="19" t="s">
        <v>237</v>
      </c>
      <c r="D218" s="19">
        <v>4</v>
      </c>
      <c r="E218" s="19">
        <v>16</v>
      </c>
      <c r="F218" s="19">
        <v>0.75</v>
      </c>
      <c r="G218" s="19">
        <v>20260331</v>
      </c>
      <c r="H218" s="20" t="b">
        <f t="shared" si="3"/>
        <v>0</v>
      </c>
      <c r="I218" s="21" t="str" cm="1">
        <f t="array" ref="I218">GET_TICKER_FINAL(C218)</f>
        <v/>
      </c>
      <c r="J218" s="5" t="s">
        <v>1792</v>
      </c>
    </row>
    <row r="219" spans="1:10" hidden="1">
      <c r="A219" s="23">
        <v>218</v>
      </c>
      <c r="B219" s="22" t="s">
        <v>12</v>
      </c>
      <c r="C219" s="22" t="s">
        <v>238</v>
      </c>
      <c r="D219" s="22">
        <v>4</v>
      </c>
      <c r="E219" s="22">
        <v>6</v>
      </c>
      <c r="F219" s="22">
        <v>0.65</v>
      </c>
      <c r="G219" s="22">
        <v>20260401</v>
      </c>
      <c r="H219" s="23" t="b">
        <f t="shared" si="3"/>
        <v>0</v>
      </c>
      <c r="I219" s="24" t="str" cm="1">
        <f t="array" ref="I219">GET_TICKER_FINAL(C219)</f>
        <v/>
      </c>
      <c r="J219" s="5" t="s">
        <v>14</v>
      </c>
    </row>
    <row r="220" spans="1:10" hidden="1">
      <c r="A220" s="20">
        <v>219</v>
      </c>
      <c r="B220" s="19" t="s">
        <v>12</v>
      </c>
      <c r="C220" s="19" t="s">
        <v>239</v>
      </c>
      <c r="D220" s="19">
        <v>4</v>
      </c>
      <c r="E220" s="19">
        <v>0</v>
      </c>
      <c r="F220" s="19">
        <v>0.83</v>
      </c>
      <c r="G220" s="19">
        <v>20260320</v>
      </c>
      <c r="H220" s="20" t="b">
        <f t="shared" si="3"/>
        <v>0</v>
      </c>
      <c r="I220" s="21" t="str" cm="1">
        <f t="array" ref="I220">GET_TICKER_FINAL(C220)</f>
        <v/>
      </c>
      <c r="J220" s="5" t="s">
        <v>16</v>
      </c>
    </row>
    <row r="221" spans="1:10">
      <c r="A221" s="23">
        <v>220</v>
      </c>
      <c r="B221" s="22" t="s">
        <v>12</v>
      </c>
      <c r="C221" s="22" t="s">
        <v>240</v>
      </c>
      <c r="D221" s="22">
        <v>3</v>
      </c>
      <c r="E221" s="22">
        <v>5</v>
      </c>
      <c r="F221" s="22">
        <v>0.57999999999999996</v>
      </c>
      <c r="G221" s="22">
        <v>20260323</v>
      </c>
      <c r="H221" s="23" t="b">
        <f t="shared" si="3"/>
        <v>0</v>
      </c>
      <c r="I221" s="24" t="str" cm="1">
        <f t="array" ref="I221">GET_TICKER_FINAL(C221)</f>
        <v>RKLB</v>
      </c>
      <c r="J221" s="5" t="s">
        <v>1792</v>
      </c>
    </row>
    <row r="222" spans="1:10" hidden="1">
      <c r="A222" s="20">
        <v>221</v>
      </c>
      <c r="B222" s="19" t="s">
        <v>12</v>
      </c>
      <c r="C222" s="19" t="s">
        <v>241</v>
      </c>
      <c r="D222" s="19">
        <v>3</v>
      </c>
      <c r="E222" s="19">
        <v>8</v>
      </c>
      <c r="F222" s="19">
        <v>1</v>
      </c>
      <c r="G222" s="19">
        <v>20260401</v>
      </c>
      <c r="H222" s="20" t="b">
        <f t="shared" si="3"/>
        <v>0</v>
      </c>
      <c r="I222" s="21" t="str" cm="1">
        <f t="array" ref="I222">GET_TICKER_FINAL(C222)</f>
        <v/>
      </c>
      <c r="J222" s="5" t="s">
        <v>25</v>
      </c>
    </row>
    <row r="223" spans="1:10" hidden="1">
      <c r="A223" s="23">
        <v>222</v>
      </c>
      <c r="B223" s="22" t="s">
        <v>12</v>
      </c>
      <c r="C223" s="22" t="s">
        <v>242</v>
      </c>
      <c r="D223" s="22">
        <v>3</v>
      </c>
      <c r="E223" s="22">
        <v>2</v>
      </c>
      <c r="F223" s="22">
        <v>0.81</v>
      </c>
      <c r="G223" s="22">
        <v>20260330</v>
      </c>
      <c r="H223" s="23" t="b">
        <f t="shared" si="3"/>
        <v>0</v>
      </c>
      <c r="I223" s="24" t="str" cm="1">
        <f t="array" ref="I223">GET_TICKER_FINAL(C223)</f>
        <v/>
      </c>
      <c r="J223" s="5" t="s">
        <v>1792</v>
      </c>
    </row>
    <row r="224" spans="1:10" hidden="1">
      <c r="A224" s="20">
        <v>223</v>
      </c>
      <c r="B224" s="19" t="s">
        <v>12</v>
      </c>
      <c r="C224" s="19" t="s">
        <v>243</v>
      </c>
      <c r="D224" s="19">
        <v>3</v>
      </c>
      <c r="E224" s="19">
        <v>23</v>
      </c>
      <c r="F224" s="19">
        <v>0.64</v>
      </c>
      <c r="G224" s="19">
        <v>20260330</v>
      </c>
      <c r="H224" s="20" t="b">
        <f t="shared" si="3"/>
        <v>0</v>
      </c>
      <c r="I224" s="21" t="str" cm="1">
        <f t="array" ref="I224">GET_TICKER_FINAL(C224)</f>
        <v/>
      </c>
      <c r="J224" s="5" t="s">
        <v>1792</v>
      </c>
    </row>
    <row r="225" spans="1:10" hidden="1">
      <c r="A225" s="23">
        <v>224</v>
      </c>
      <c r="B225" s="22" t="s">
        <v>12</v>
      </c>
      <c r="C225" s="22" t="s">
        <v>244</v>
      </c>
      <c r="D225" s="22">
        <v>3</v>
      </c>
      <c r="E225" s="22">
        <v>7</v>
      </c>
      <c r="F225" s="22">
        <v>0.71</v>
      </c>
      <c r="G225" s="22">
        <v>20260326</v>
      </c>
      <c r="H225" s="23" t="b">
        <f t="shared" si="3"/>
        <v>0</v>
      </c>
      <c r="I225" s="24" t="str" cm="1">
        <f t="array" ref="I225">GET_TICKER_FINAL(C225)</f>
        <v/>
      </c>
      <c r="J225" s="5" t="s">
        <v>28</v>
      </c>
    </row>
    <row r="226" spans="1:10" hidden="1">
      <c r="A226" s="20">
        <v>225</v>
      </c>
      <c r="B226" s="19" t="s">
        <v>12</v>
      </c>
      <c r="C226" s="19" t="s">
        <v>245</v>
      </c>
      <c r="D226" s="19">
        <v>3</v>
      </c>
      <c r="E226" s="19">
        <v>0</v>
      </c>
      <c r="F226" s="19">
        <v>0.67</v>
      </c>
      <c r="G226" s="19">
        <v>20260401</v>
      </c>
      <c r="H226" s="20" t="b">
        <f t="shared" si="3"/>
        <v>0</v>
      </c>
      <c r="I226" s="21" t="str" cm="1">
        <f t="array" ref="I226">GET_TICKER_FINAL(C226)</f>
        <v/>
      </c>
      <c r="J226" s="5" t="s">
        <v>1792</v>
      </c>
    </row>
    <row r="227" spans="1:10" hidden="1">
      <c r="A227" s="23">
        <v>226</v>
      </c>
      <c r="B227" s="22" t="s">
        <v>12</v>
      </c>
      <c r="C227" s="22" t="s">
        <v>246</v>
      </c>
      <c r="D227" s="22">
        <v>3</v>
      </c>
      <c r="E227" s="22">
        <v>4</v>
      </c>
      <c r="F227" s="22">
        <v>0.61</v>
      </c>
      <c r="G227" s="22">
        <v>20260324</v>
      </c>
      <c r="H227" s="23" t="b">
        <f t="shared" si="3"/>
        <v>0</v>
      </c>
      <c r="I227" s="24" t="str" cm="1">
        <f t="array" ref="I227">GET_TICKER_FINAL(C227)</f>
        <v/>
      </c>
      <c r="J227" s="5" t="s">
        <v>1792</v>
      </c>
    </row>
    <row r="228" spans="1:10" hidden="1">
      <c r="A228" s="20">
        <v>227</v>
      </c>
      <c r="B228" s="19" t="s">
        <v>12</v>
      </c>
      <c r="C228" s="19" t="s">
        <v>247</v>
      </c>
      <c r="D228" s="19">
        <v>3</v>
      </c>
      <c r="E228" s="19">
        <v>1</v>
      </c>
      <c r="F228" s="19">
        <v>1</v>
      </c>
      <c r="G228" s="19">
        <v>20260324</v>
      </c>
      <c r="H228" s="20" t="b">
        <f t="shared" si="3"/>
        <v>0</v>
      </c>
      <c r="I228" s="21" t="str" cm="1">
        <f t="array" ref="I228">GET_TICKER_FINAL(C228)</f>
        <v/>
      </c>
      <c r="J228" s="5" t="s">
        <v>14</v>
      </c>
    </row>
    <row r="229" spans="1:10" hidden="1">
      <c r="A229" s="23">
        <v>228</v>
      </c>
      <c r="B229" s="22" t="s">
        <v>12</v>
      </c>
      <c r="C229" s="22" t="s">
        <v>248</v>
      </c>
      <c r="D229" s="22">
        <v>3</v>
      </c>
      <c r="E229" s="22">
        <v>5</v>
      </c>
      <c r="F229" s="22">
        <v>0.61</v>
      </c>
      <c r="G229" s="22">
        <v>20260401</v>
      </c>
      <c r="H229" s="23" t="b">
        <f t="shared" si="3"/>
        <v>0</v>
      </c>
      <c r="I229" s="24" t="str" cm="1">
        <f t="array" ref="I229">GET_TICKER_FINAL(C229)</f>
        <v/>
      </c>
      <c r="J229" s="5" t="s">
        <v>1792</v>
      </c>
    </row>
    <row r="230" spans="1:10" hidden="1">
      <c r="A230" s="20">
        <v>229</v>
      </c>
      <c r="B230" s="19" t="s">
        <v>12</v>
      </c>
      <c r="C230" s="19" t="s">
        <v>249</v>
      </c>
      <c r="D230" s="19">
        <v>3</v>
      </c>
      <c r="E230" s="19">
        <v>44</v>
      </c>
      <c r="F230" s="19">
        <v>0.55000000000000004</v>
      </c>
      <c r="G230" s="19">
        <v>20260326</v>
      </c>
      <c r="H230" s="20" t="b">
        <f t="shared" si="3"/>
        <v>0</v>
      </c>
      <c r="I230" s="21" t="str" cm="1">
        <f t="array" ref="I230">GET_TICKER_FINAL(C230)</f>
        <v/>
      </c>
      <c r="J230" s="5" t="s">
        <v>16</v>
      </c>
    </row>
    <row r="231" spans="1:10" hidden="1">
      <c r="A231" s="23">
        <v>230</v>
      </c>
      <c r="B231" s="22" t="s">
        <v>12</v>
      </c>
      <c r="C231" s="22" t="s">
        <v>250</v>
      </c>
      <c r="D231" s="22">
        <v>3</v>
      </c>
      <c r="E231" s="22">
        <v>10</v>
      </c>
      <c r="F231" s="22">
        <v>0.67</v>
      </c>
      <c r="G231" s="22">
        <v>20260327</v>
      </c>
      <c r="H231" s="23" t="b">
        <f t="shared" si="3"/>
        <v>0</v>
      </c>
      <c r="I231" s="24" t="str" cm="1">
        <f t="array" ref="I231">GET_TICKER_FINAL(C231)</f>
        <v/>
      </c>
      <c r="J231" s="5" t="s">
        <v>14</v>
      </c>
    </row>
    <row r="232" spans="1:10" hidden="1">
      <c r="A232" s="20">
        <v>231</v>
      </c>
      <c r="B232" s="19" t="s">
        <v>12</v>
      </c>
      <c r="C232" s="19" t="s">
        <v>251</v>
      </c>
      <c r="D232" s="19">
        <v>3</v>
      </c>
      <c r="E232" s="19">
        <v>3</v>
      </c>
      <c r="F232" s="19">
        <v>0.68</v>
      </c>
      <c r="G232" s="19">
        <v>20260402</v>
      </c>
      <c r="H232" s="20" t="b">
        <f t="shared" si="3"/>
        <v>0</v>
      </c>
      <c r="I232" s="21" t="str" cm="1">
        <f t="array" ref="I232">GET_TICKER_FINAL(C232)</f>
        <v/>
      </c>
      <c r="J232" s="5" t="s">
        <v>1792</v>
      </c>
    </row>
    <row r="233" spans="1:10" hidden="1">
      <c r="A233" s="23">
        <v>232</v>
      </c>
      <c r="B233" s="22" t="s">
        <v>12</v>
      </c>
      <c r="C233" s="22" t="s">
        <v>252</v>
      </c>
      <c r="D233" s="22">
        <v>3</v>
      </c>
      <c r="E233" s="22">
        <v>3</v>
      </c>
      <c r="F233" s="22">
        <v>1</v>
      </c>
      <c r="G233" s="22">
        <v>20260402</v>
      </c>
      <c r="H233" s="23" t="b">
        <f t="shared" si="3"/>
        <v>1</v>
      </c>
      <c r="I233" s="24" t="str" cm="1">
        <f t="array" ref="I233">GET_TICKER_FINAL(C233)</f>
        <v/>
      </c>
      <c r="J233" s="5" t="s">
        <v>1792</v>
      </c>
    </row>
    <row r="234" spans="1:10" hidden="1">
      <c r="A234" s="20">
        <v>233</v>
      </c>
      <c r="B234" s="19" t="s">
        <v>12</v>
      </c>
      <c r="C234" s="19" t="s">
        <v>253</v>
      </c>
      <c r="D234" s="19">
        <v>3</v>
      </c>
      <c r="E234" s="19">
        <v>2</v>
      </c>
      <c r="F234" s="19">
        <v>1</v>
      </c>
      <c r="G234" s="19">
        <v>20260402</v>
      </c>
      <c r="H234" s="20" t="b">
        <f t="shared" si="3"/>
        <v>0</v>
      </c>
      <c r="I234" s="21" t="str" cm="1">
        <f t="array" ref="I234">GET_TICKER_FINAL(C234)</f>
        <v/>
      </c>
      <c r="J234" s="5" t="s">
        <v>25</v>
      </c>
    </row>
    <row r="235" spans="1:10" hidden="1">
      <c r="A235" s="23">
        <v>234</v>
      </c>
      <c r="B235" s="22" t="s">
        <v>12</v>
      </c>
      <c r="C235" s="22" t="s">
        <v>254</v>
      </c>
      <c r="D235" s="22">
        <v>2</v>
      </c>
      <c r="E235" s="22">
        <v>0</v>
      </c>
      <c r="F235" s="22">
        <v>0.63</v>
      </c>
      <c r="G235" s="22">
        <v>20260401</v>
      </c>
      <c r="H235" s="23" t="b">
        <f t="shared" si="3"/>
        <v>0</v>
      </c>
      <c r="I235" s="24" t="str" cm="1">
        <f t="array" ref="I235">GET_TICKER_FINAL(C235)</f>
        <v/>
      </c>
      <c r="J235" s="5" t="s">
        <v>1792</v>
      </c>
    </row>
    <row r="236" spans="1:10" hidden="1">
      <c r="A236" s="20">
        <v>235</v>
      </c>
      <c r="B236" s="19" t="s">
        <v>12</v>
      </c>
      <c r="C236" s="19" t="s">
        <v>255</v>
      </c>
      <c r="D236" s="19">
        <v>2</v>
      </c>
      <c r="E236" s="19">
        <v>1</v>
      </c>
      <c r="F236" s="19">
        <v>1</v>
      </c>
      <c r="G236" s="19">
        <v>20260401</v>
      </c>
      <c r="H236" s="20" t="b">
        <f t="shared" si="3"/>
        <v>0</v>
      </c>
      <c r="I236" s="21" t="str" cm="1">
        <f t="array" ref="I236">GET_TICKER_FINAL(C236)</f>
        <v/>
      </c>
      <c r="J236" s="5" t="s">
        <v>1792</v>
      </c>
    </row>
    <row r="237" spans="1:10" hidden="1">
      <c r="A237" s="23">
        <v>236</v>
      </c>
      <c r="B237" s="22" t="s">
        <v>12</v>
      </c>
      <c r="C237" s="22" t="s">
        <v>256</v>
      </c>
      <c r="D237" s="22">
        <v>2</v>
      </c>
      <c r="E237" s="22">
        <v>3</v>
      </c>
      <c r="F237" s="22">
        <v>0.67</v>
      </c>
      <c r="G237" s="22">
        <v>20260327</v>
      </c>
      <c r="H237" s="23" t="b">
        <f t="shared" si="3"/>
        <v>0</v>
      </c>
      <c r="I237" s="24" t="str" cm="1">
        <f t="array" ref="I237">GET_TICKER_FINAL(C237)</f>
        <v/>
      </c>
      <c r="J237" s="5" t="s">
        <v>1792</v>
      </c>
    </row>
    <row r="238" spans="1:10" hidden="1">
      <c r="A238" s="20">
        <v>237</v>
      </c>
      <c r="B238" s="19" t="s">
        <v>12</v>
      </c>
      <c r="C238" s="19" t="s">
        <v>257</v>
      </c>
      <c r="D238" s="19">
        <v>2</v>
      </c>
      <c r="E238" s="19">
        <v>9</v>
      </c>
      <c r="F238" s="19">
        <v>0.57999999999999996</v>
      </c>
      <c r="G238" s="19">
        <v>20260323</v>
      </c>
      <c r="H238" s="20" t="b">
        <f t="shared" si="3"/>
        <v>0</v>
      </c>
      <c r="I238" s="21" t="str" cm="1">
        <f t="array" ref="I238">GET_TICKER_FINAL(C238)</f>
        <v/>
      </c>
      <c r="J238" s="5" t="s">
        <v>1792</v>
      </c>
    </row>
    <row r="239" spans="1:10" hidden="1">
      <c r="A239" s="23">
        <v>238</v>
      </c>
      <c r="B239" s="22" t="s">
        <v>12</v>
      </c>
      <c r="C239" s="22" t="s">
        <v>258</v>
      </c>
      <c r="D239" s="22">
        <v>2</v>
      </c>
      <c r="E239" s="22">
        <v>6</v>
      </c>
      <c r="F239" s="22">
        <v>0.56000000000000005</v>
      </c>
      <c r="G239" s="22">
        <v>20260323</v>
      </c>
      <c r="H239" s="23" t="b">
        <f t="shared" si="3"/>
        <v>0</v>
      </c>
      <c r="I239" s="24" t="str" cm="1">
        <f t="array" ref="I239">GET_TICKER_FINAL(C239)</f>
        <v/>
      </c>
      <c r="J239" s="5" t="s">
        <v>1792</v>
      </c>
    </row>
    <row r="240" spans="1:10" hidden="1">
      <c r="A240" s="20">
        <v>239</v>
      </c>
      <c r="B240" s="19" t="s">
        <v>12</v>
      </c>
      <c r="C240" s="19" t="s">
        <v>259</v>
      </c>
      <c r="D240" s="19">
        <v>2</v>
      </c>
      <c r="E240" s="19">
        <v>10</v>
      </c>
      <c r="F240" s="19">
        <v>0.67</v>
      </c>
      <c r="G240" s="19">
        <v>20260327</v>
      </c>
      <c r="H240" s="20" t="b">
        <f t="shared" si="3"/>
        <v>0</v>
      </c>
      <c r="I240" s="21" t="str" cm="1">
        <f t="array" ref="I240">GET_TICKER_FINAL(C240)</f>
        <v/>
      </c>
      <c r="J240" s="5" t="s">
        <v>1792</v>
      </c>
    </row>
    <row r="241" spans="1:10">
      <c r="A241" s="23">
        <v>240</v>
      </c>
      <c r="B241" s="22" t="s">
        <v>12</v>
      </c>
      <c r="C241" s="22" t="s">
        <v>260</v>
      </c>
      <c r="D241" s="22">
        <v>2</v>
      </c>
      <c r="E241" s="22">
        <v>8</v>
      </c>
      <c r="F241" s="22">
        <v>0.67</v>
      </c>
      <c r="G241" s="22">
        <v>20260401</v>
      </c>
      <c r="H241" s="23" t="b">
        <f t="shared" si="3"/>
        <v>0</v>
      </c>
      <c r="I241" s="24" t="str" cm="1">
        <f t="array" ref="I241">GET_TICKER_FINAL(C241)</f>
        <v>META</v>
      </c>
      <c r="J241" s="5" t="s">
        <v>28</v>
      </c>
    </row>
    <row r="242" spans="1:10" hidden="1">
      <c r="A242" s="20">
        <v>241</v>
      </c>
      <c r="B242" s="19" t="s">
        <v>12</v>
      </c>
      <c r="C242" s="19" t="s">
        <v>261</v>
      </c>
      <c r="D242" s="19">
        <v>2</v>
      </c>
      <c r="E242" s="19">
        <v>11</v>
      </c>
      <c r="F242" s="19">
        <v>0.67</v>
      </c>
      <c r="G242" s="19">
        <v>20260323</v>
      </c>
      <c r="H242" s="20" t="b">
        <f t="shared" si="3"/>
        <v>0</v>
      </c>
      <c r="I242" s="21" t="str" cm="1">
        <f t="array" ref="I242">GET_TICKER_FINAL(C242)</f>
        <v/>
      </c>
      <c r="J242" s="5" t="s">
        <v>1792</v>
      </c>
    </row>
    <row r="243" spans="1:10" hidden="1">
      <c r="A243" s="23">
        <v>242</v>
      </c>
      <c r="B243" s="22" t="s">
        <v>12</v>
      </c>
      <c r="C243" s="22" t="s">
        <v>262</v>
      </c>
      <c r="D243" s="22">
        <v>2</v>
      </c>
      <c r="E243" s="22">
        <v>0</v>
      </c>
      <c r="F243" s="22">
        <v>0.75</v>
      </c>
      <c r="G243" s="22">
        <v>20260401</v>
      </c>
      <c r="H243" s="23" t="b">
        <f t="shared" si="3"/>
        <v>0</v>
      </c>
      <c r="I243" s="24" t="str" cm="1">
        <f t="array" ref="I243">GET_TICKER_FINAL(C243)</f>
        <v/>
      </c>
      <c r="J243" s="5" t="s">
        <v>1792</v>
      </c>
    </row>
    <row r="244" spans="1:10">
      <c r="A244" s="20">
        <v>243</v>
      </c>
      <c r="B244" s="19" t="s">
        <v>12</v>
      </c>
      <c r="C244" s="19" t="s">
        <v>263</v>
      </c>
      <c r="D244" s="19">
        <v>2</v>
      </c>
      <c r="E244" s="19">
        <v>1</v>
      </c>
      <c r="F244" s="19">
        <v>0.63</v>
      </c>
      <c r="G244" s="19">
        <v>20260401</v>
      </c>
      <c r="H244" s="20" t="b">
        <f t="shared" si="3"/>
        <v>0</v>
      </c>
      <c r="I244" s="21" t="str" cm="1">
        <f t="array" ref="I244">GET_TICKER_FINAL(C244)</f>
        <v>SPY</v>
      </c>
      <c r="J244" s="5" t="s">
        <v>1792</v>
      </c>
    </row>
    <row r="245" spans="1:10" hidden="1">
      <c r="A245" s="23">
        <v>244</v>
      </c>
      <c r="B245" s="22" t="s">
        <v>12</v>
      </c>
      <c r="C245" s="22" t="s">
        <v>264</v>
      </c>
      <c r="D245" s="22">
        <v>2</v>
      </c>
      <c r="E245" s="22">
        <v>2</v>
      </c>
      <c r="F245" s="22">
        <v>0.67</v>
      </c>
      <c r="G245" s="22">
        <v>20260330</v>
      </c>
      <c r="H245" s="23" t="b">
        <f t="shared" si="3"/>
        <v>0</v>
      </c>
      <c r="I245" s="24" t="str" cm="1">
        <f t="array" ref="I245">GET_TICKER_FINAL(C245)</f>
        <v/>
      </c>
      <c r="J245" s="5" t="s">
        <v>1792</v>
      </c>
    </row>
    <row r="246" spans="1:10" hidden="1">
      <c r="A246" s="20">
        <v>245</v>
      </c>
      <c r="B246" s="19" t="s">
        <v>12</v>
      </c>
      <c r="C246" s="19" t="s">
        <v>265</v>
      </c>
      <c r="D246" s="19">
        <v>2</v>
      </c>
      <c r="E246" s="19">
        <v>3</v>
      </c>
      <c r="F246" s="19">
        <v>0.76</v>
      </c>
      <c r="G246" s="19">
        <v>20260330</v>
      </c>
      <c r="H246" s="20" t="b">
        <f t="shared" si="3"/>
        <v>0</v>
      </c>
      <c r="I246" s="21" t="str" cm="1">
        <f t="array" ref="I246">GET_TICKER_FINAL(C246)</f>
        <v/>
      </c>
      <c r="J246" s="5" t="s">
        <v>1792</v>
      </c>
    </row>
    <row r="247" spans="1:10" hidden="1">
      <c r="A247" s="23">
        <v>246</v>
      </c>
      <c r="B247" s="22" t="s">
        <v>12</v>
      </c>
      <c r="C247" s="22" t="s">
        <v>266</v>
      </c>
      <c r="D247" s="22">
        <v>2</v>
      </c>
      <c r="E247" s="22">
        <v>8</v>
      </c>
      <c r="F247" s="22">
        <v>0.67</v>
      </c>
      <c r="G247" s="22">
        <v>20260401</v>
      </c>
      <c r="H247" s="23" t="b">
        <f t="shared" si="3"/>
        <v>0</v>
      </c>
      <c r="I247" s="24" t="str" cm="1">
        <f t="array" ref="I247">GET_TICKER_FINAL(C247)</f>
        <v/>
      </c>
      <c r="J247" s="5" t="s">
        <v>1792</v>
      </c>
    </row>
    <row r="248" spans="1:10" hidden="1">
      <c r="A248" s="20">
        <v>247</v>
      </c>
      <c r="B248" s="19" t="s">
        <v>12</v>
      </c>
      <c r="C248" s="19" t="s">
        <v>267</v>
      </c>
      <c r="D248" s="19">
        <v>1</v>
      </c>
      <c r="E248" s="19">
        <v>5</v>
      </c>
      <c r="F248" s="19">
        <v>0.6</v>
      </c>
      <c r="G248" s="19">
        <v>20260323</v>
      </c>
      <c r="H248" s="20" t="b">
        <f t="shared" si="3"/>
        <v>0</v>
      </c>
      <c r="I248" s="21" t="str" cm="1">
        <f t="array" ref="I248">GET_TICKER_FINAL(C248)</f>
        <v/>
      </c>
      <c r="J248" s="5" t="s">
        <v>1792</v>
      </c>
    </row>
    <row r="249" spans="1:10" hidden="1">
      <c r="A249" s="23">
        <v>248</v>
      </c>
      <c r="B249" s="22" t="s">
        <v>12</v>
      </c>
      <c r="C249" s="22" t="s">
        <v>268</v>
      </c>
      <c r="D249" s="22">
        <v>1</v>
      </c>
      <c r="E249" s="22">
        <v>5</v>
      </c>
      <c r="F249" s="22">
        <v>0.56999999999999995</v>
      </c>
      <c r="G249" s="22">
        <v>20260320</v>
      </c>
      <c r="H249" s="23" t="b">
        <f t="shared" si="3"/>
        <v>0</v>
      </c>
      <c r="I249" s="24" t="str" cm="1">
        <f t="array" ref="I249">GET_TICKER_FINAL(C249)</f>
        <v/>
      </c>
      <c r="J249" s="5" t="s">
        <v>1792</v>
      </c>
    </row>
    <row r="250" spans="1:10" hidden="1">
      <c r="A250" s="20">
        <v>249</v>
      </c>
      <c r="B250" s="19" t="s">
        <v>12</v>
      </c>
      <c r="C250" s="19" t="s">
        <v>269</v>
      </c>
      <c r="D250" s="19">
        <v>1</v>
      </c>
      <c r="E250" s="19">
        <v>2</v>
      </c>
      <c r="F250" s="19">
        <v>0.6</v>
      </c>
      <c r="G250" s="19">
        <v>20260320</v>
      </c>
      <c r="H250" s="20" t="b">
        <f t="shared" si="3"/>
        <v>0</v>
      </c>
      <c r="I250" s="21" t="str" cm="1">
        <f t="array" ref="I250">GET_TICKER_FINAL(C250)</f>
        <v/>
      </c>
      <c r="J250" s="5" t="s">
        <v>1792</v>
      </c>
    </row>
    <row r="251" spans="1:10" hidden="1">
      <c r="A251" s="23">
        <v>250</v>
      </c>
      <c r="B251" s="22" t="s">
        <v>12</v>
      </c>
      <c r="C251" s="22" t="s">
        <v>270</v>
      </c>
      <c r="D251" s="22">
        <v>1</v>
      </c>
      <c r="E251" s="22">
        <v>6</v>
      </c>
      <c r="F251" s="22">
        <v>0.56999999999999995</v>
      </c>
      <c r="G251" s="22">
        <v>20260401</v>
      </c>
      <c r="H251" s="23" t="b">
        <f t="shared" si="3"/>
        <v>0</v>
      </c>
      <c r="I251" s="24" t="str" cm="1">
        <f t="array" ref="I251">GET_TICKER_FINAL(C251)</f>
        <v/>
      </c>
      <c r="J251" s="5" t="s">
        <v>1792</v>
      </c>
    </row>
    <row r="252" spans="1:10" hidden="1">
      <c r="A252" s="20">
        <v>251</v>
      </c>
      <c r="B252" s="19" t="s">
        <v>12</v>
      </c>
      <c r="C252" s="19" t="s">
        <v>271</v>
      </c>
      <c r="D252" s="19">
        <v>1</v>
      </c>
      <c r="E252" s="19">
        <v>4</v>
      </c>
      <c r="F252" s="19">
        <v>0.67</v>
      </c>
      <c r="G252" s="19">
        <v>20260320</v>
      </c>
      <c r="H252" s="20" t="b">
        <f t="shared" si="3"/>
        <v>0</v>
      </c>
      <c r="I252" s="21" t="str" cm="1">
        <f t="array" ref="I252">GET_TICKER_FINAL(C252)</f>
        <v/>
      </c>
      <c r="J252" s="5" t="s">
        <v>1792</v>
      </c>
    </row>
    <row r="253" spans="1:10" hidden="1">
      <c r="A253" s="23">
        <v>252</v>
      </c>
      <c r="B253" s="22" t="s">
        <v>12</v>
      </c>
      <c r="C253" s="22" t="s">
        <v>272</v>
      </c>
      <c r="D253" s="22">
        <v>1</v>
      </c>
      <c r="E253" s="22">
        <v>1</v>
      </c>
      <c r="F253" s="22">
        <v>1</v>
      </c>
      <c r="G253" s="22">
        <v>20260401</v>
      </c>
      <c r="H253" s="23" t="b">
        <f t="shared" si="3"/>
        <v>0</v>
      </c>
      <c r="I253" s="24" t="str" cm="1">
        <f t="array" ref="I253">GET_TICKER_FINAL(C253)</f>
        <v/>
      </c>
      <c r="J253" s="5" t="s">
        <v>25</v>
      </c>
    </row>
    <row r="254" spans="1:10" hidden="1">
      <c r="A254" s="20">
        <v>253</v>
      </c>
      <c r="B254" s="19" t="s">
        <v>12</v>
      </c>
      <c r="C254" s="19" t="s">
        <v>273</v>
      </c>
      <c r="D254" s="19">
        <v>1</v>
      </c>
      <c r="E254" s="19">
        <v>1</v>
      </c>
      <c r="F254" s="19">
        <v>1</v>
      </c>
      <c r="G254" s="19">
        <v>20260402</v>
      </c>
      <c r="H254" s="20" t="b">
        <f t="shared" si="3"/>
        <v>0</v>
      </c>
      <c r="I254" s="21" t="str" cm="1">
        <f t="array" ref="I254">GET_TICKER_FINAL(C254)</f>
        <v/>
      </c>
      <c r="J254" s="5" t="s">
        <v>1792</v>
      </c>
    </row>
    <row r="255" spans="1:10" hidden="1">
      <c r="A255" s="23">
        <v>254</v>
      </c>
      <c r="B255" s="22" t="s">
        <v>12</v>
      </c>
      <c r="C255" s="22" t="s">
        <v>274</v>
      </c>
      <c r="D255" s="22">
        <v>1</v>
      </c>
      <c r="E255" s="22">
        <v>6</v>
      </c>
      <c r="F255" s="22">
        <v>0.6</v>
      </c>
      <c r="G255" s="22">
        <v>20260320</v>
      </c>
      <c r="H255" s="23" t="b">
        <f t="shared" si="3"/>
        <v>0</v>
      </c>
      <c r="I255" s="24" t="str" cm="1">
        <f t="array" ref="I255">GET_TICKER_FINAL(C255)</f>
        <v/>
      </c>
      <c r="J255" s="5" t="s">
        <v>1792</v>
      </c>
    </row>
    <row r="256" spans="1:10" hidden="1">
      <c r="A256" s="20">
        <v>255</v>
      </c>
      <c r="B256" s="19" t="s">
        <v>12</v>
      </c>
      <c r="C256" s="19" t="s">
        <v>275</v>
      </c>
      <c r="D256" s="19">
        <v>1</v>
      </c>
      <c r="E256" s="19">
        <v>8</v>
      </c>
      <c r="F256" s="19">
        <v>0.56000000000000005</v>
      </c>
      <c r="G256" s="19">
        <v>20260402</v>
      </c>
      <c r="H256" s="20" t="b">
        <f t="shared" si="3"/>
        <v>0</v>
      </c>
      <c r="I256" s="21" t="str" cm="1">
        <f t="array" ref="I256">GET_TICKER_FINAL(C256)</f>
        <v/>
      </c>
      <c r="J256" s="5" t="s">
        <v>1792</v>
      </c>
    </row>
    <row r="257" spans="1:10" hidden="1">
      <c r="A257" s="23">
        <v>256</v>
      </c>
      <c r="B257" s="22" t="s">
        <v>12</v>
      </c>
      <c r="C257" s="22" t="s">
        <v>276</v>
      </c>
      <c r="D257" s="22">
        <v>1</v>
      </c>
      <c r="E257" s="22">
        <v>2</v>
      </c>
      <c r="F257" s="22">
        <v>0.67</v>
      </c>
      <c r="G257" s="22">
        <v>20260401</v>
      </c>
      <c r="H257" s="23" t="b">
        <f t="shared" si="3"/>
        <v>0</v>
      </c>
      <c r="I257" s="24" t="str" cm="1">
        <f t="array" ref="I257">GET_TICKER_FINAL(C257)</f>
        <v/>
      </c>
      <c r="J257" s="5" t="s">
        <v>1792</v>
      </c>
    </row>
    <row r="258" spans="1:10" hidden="1">
      <c r="A258" s="20">
        <v>257</v>
      </c>
      <c r="B258" s="19" t="s">
        <v>12</v>
      </c>
      <c r="C258" s="19" t="s">
        <v>277</v>
      </c>
      <c r="D258" s="19">
        <v>1</v>
      </c>
      <c r="E258" s="19">
        <v>3</v>
      </c>
      <c r="F258" s="19">
        <v>0.54</v>
      </c>
      <c r="G258" s="19">
        <v>20260327</v>
      </c>
      <c r="H258" s="20" t="b">
        <f t="shared" si="3"/>
        <v>0</v>
      </c>
      <c r="I258" s="21" t="str" cm="1">
        <f t="array" ref="I258">GET_TICKER_FINAL(C258)</f>
        <v/>
      </c>
      <c r="J258" s="5" t="s">
        <v>1792</v>
      </c>
    </row>
    <row r="259" spans="1:10" hidden="1">
      <c r="A259" s="23">
        <v>258</v>
      </c>
      <c r="B259" s="22" t="s">
        <v>12</v>
      </c>
      <c r="C259" s="22" t="s">
        <v>278</v>
      </c>
      <c r="D259" s="22">
        <v>1</v>
      </c>
      <c r="E259" s="22">
        <v>128</v>
      </c>
      <c r="F259" s="22">
        <v>0.5</v>
      </c>
      <c r="G259" s="22">
        <v>20260326</v>
      </c>
      <c r="H259" s="23" t="b">
        <f t="shared" ref="H259:H322" si="4">OR(ISNUMBER(SEARCH("$A",C259)),ISNUMBER(SEARCH("$B",C259)),ISNUMBER(SEARCH("$C",C259)),ISNUMBER(SEARCH("$D",C259)),ISNUMBER(SEARCH("$E",C259)),ISNUMBER(SEARCH("$F",C259)),ISNUMBER(SEARCH("$G",C259)),ISNUMBER(SEARCH("$H",C259)),ISNUMBER(SEARCH("$I",C259)),ISNUMBER(SEARCH("$J",C259)),ISNUMBER(SEARCH("$K",C259)),ISNUMBER(SEARCH("$L",C259)),ISNUMBER(SEARCH("$M",C259)),ISNUMBER(SEARCH("$N",C259)),ISNUMBER(SEARCH("$O",C259)),ISNUMBER(SEARCH("$P",C259)),ISNUMBER(SEARCH("$Q",C259)),ISNUMBER(SEARCH("$R",C259)),ISNUMBER(SEARCH("$S",C259)),ISNUMBER(SEARCH("$T",C259)),ISNUMBER(SEARCH("$U",C259)),ISNUMBER(SEARCH("$V",C259)),ISNUMBER(SEARCH("$W",C259)),ISNUMBER(SEARCH("$X",C259)),ISNUMBER(SEARCH("$Y",C259)),ISNUMBER(SEARCH("$Z",C259)))</f>
        <v>0</v>
      </c>
      <c r="I259" s="24" t="str" cm="1">
        <f t="array" ref="I259">GET_TICKER_FINAL(C259)</f>
        <v/>
      </c>
      <c r="J259" s="5" t="s">
        <v>16</v>
      </c>
    </row>
    <row r="260" spans="1:10" hidden="1">
      <c r="A260" s="20">
        <v>259</v>
      </c>
      <c r="B260" s="19" t="s">
        <v>12</v>
      </c>
      <c r="C260" s="19" t="s">
        <v>279</v>
      </c>
      <c r="D260" s="19">
        <v>1</v>
      </c>
      <c r="E260" s="19">
        <v>0</v>
      </c>
      <c r="F260" s="19">
        <v>0.67</v>
      </c>
      <c r="G260" s="19">
        <v>20260324</v>
      </c>
      <c r="H260" s="20" t="b">
        <f t="shared" si="4"/>
        <v>0</v>
      </c>
      <c r="I260" s="21" t="str" cm="1">
        <f t="array" ref="I260">GET_TICKER_FINAL(C260)</f>
        <v/>
      </c>
      <c r="J260" s="5" t="s">
        <v>1792</v>
      </c>
    </row>
    <row r="261" spans="1:10" hidden="1">
      <c r="A261" s="23">
        <v>260</v>
      </c>
      <c r="B261" s="22" t="s">
        <v>12</v>
      </c>
      <c r="C261" s="22" t="s">
        <v>280</v>
      </c>
      <c r="D261" s="22">
        <v>1</v>
      </c>
      <c r="E261" s="22">
        <v>0</v>
      </c>
      <c r="F261" s="22">
        <v>1</v>
      </c>
      <c r="G261" s="22">
        <v>20260331</v>
      </c>
      <c r="H261" s="23" t="b">
        <f t="shared" si="4"/>
        <v>0</v>
      </c>
      <c r="I261" s="24" t="str" cm="1">
        <f t="array" ref="I261">GET_TICKER_FINAL(C261)</f>
        <v/>
      </c>
      <c r="J261" s="5" t="s">
        <v>16</v>
      </c>
    </row>
    <row r="262" spans="1:10" hidden="1">
      <c r="A262" s="20">
        <v>261</v>
      </c>
      <c r="B262" s="19" t="s">
        <v>12</v>
      </c>
      <c r="C262" s="19" t="s">
        <v>281</v>
      </c>
      <c r="D262" s="19">
        <v>1</v>
      </c>
      <c r="E262" s="19">
        <v>0</v>
      </c>
      <c r="F262" s="19">
        <v>0.6</v>
      </c>
      <c r="G262" s="19">
        <v>20260324</v>
      </c>
      <c r="H262" s="20" t="b">
        <f t="shared" si="4"/>
        <v>1</v>
      </c>
      <c r="I262" s="21" t="str" cm="1">
        <f t="array" ref="I262">GET_TICKER_FINAL(C262)</f>
        <v/>
      </c>
      <c r="J262" s="5" t="s">
        <v>1792</v>
      </c>
    </row>
    <row r="263" spans="1:10" hidden="1">
      <c r="A263" s="23">
        <v>262</v>
      </c>
      <c r="B263" s="22" t="s">
        <v>12</v>
      </c>
      <c r="C263" s="22" t="s">
        <v>282</v>
      </c>
      <c r="D263" s="22">
        <v>1</v>
      </c>
      <c r="E263" s="22">
        <v>10</v>
      </c>
      <c r="F263" s="22">
        <v>0.53</v>
      </c>
      <c r="G263" s="22">
        <v>20260331</v>
      </c>
      <c r="H263" s="23" t="b">
        <f t="shared" si="4"/>
        <v>0</v>
      </c>
      <c r="I263" s="24" t="str" cm="1">
        <f t="array" ref="I263">GET_TICKER_FINAL(C263)</f>
        <v/>
      </c>
      <c r="J263" s="5" t="s">
        <v>1792</v>
      </c>
    </row>
    <row r="264" spans="1:10" hidden="1">
      <c r="A264" s="20">
        <v>263</v>
      </c>
      <c r="B264" s="19" t="s">
        <v>12</v>
      </c>
      <c r="C264" s="19" t="s">
        <v>283</v>
      </c>
      <c r="D264" s="19">
        <v>1</v>
      </c>
      <c r="E264" s="19">
        <v>24</v>
      </c>
      <c r="F264" s="19">
        <v>0.52</v>
      </c>
      <c r="G264" s="19">
        <v>20260323</v>
      </c>
      <c r="H264" s="20" t="b">
        <f t="shared" si="4"/>
        <v>0</v>
      </c>
      <c r="I264" s="21" t="str" cm="1">
        <f t="array" ref="I264">GET_TICKER_FINAL(C264)</f>
        <v/>
      </c>
      <c r="J264" s="5" t="s">
        <v>16</v>
      </c>
    </row>
    <row r="265" spans="1:10" hidden="1">
      <c r="A265" s="23">
        <v>264</v>
      </c>
      <c r="B265" s="22" t="s">
        <v>12</v>
      </c>
      <c r="C265" s="22" t="s">
        <v>284</v>
      </c>
      <c r="D265" s="22">
        <v>1</v>
      </c>
      <c r="E265" s="22">
        <v>1</v>
      </c>
      <c r="F265" s="22">
        <v>0.6</v>
      </c>
      <c r="G265" s="22">
        <v>20260330</v>
      </c>
      <c r="H265" s="23" t="b">
        <f t="shared" si="4"/>
        <v>0</v>
      </c>
      <c r="I265" s="24" t="str" cm="1">
        <f t="array" ref="I265">GET_TICKER_FINAL(C265)</f>
        <v/>
      </c>
      <c r="J265" s="5" t="s">
        <v>1792</v>
      </c>
    </row>
    <row r="266" spans="1:10" hidden="1">
      <c r="A266" s="20">
        <v>265</v>
      </c>
      <c r="B266" s="19" t="s">
        <v>12</v>
      </c>
      <c r="C266" s="19" t="s">
        <v>285</v>
      </c>
      <c r="D266" s="19">
        <v>0</v>
      </c>
      <c r="E266" s="19">
        <v>3</v>
      </c>
      <c r="F266" s="19">
        <v>0.5</v>
      </c>
      <c r="G266" s="19">
        <v>20260320</v>
      </c>
      <c r="H266" s="20" t="b">
        <f t="shared" si="4"/>
        <v>0</v>
      </c>
      <c r="I266" s="21" t="str" cm="1">
        <f t="array" ref="I266">GET_TICKER_FINAL(C266)</f>
        <v/>
      </c>
      <c r="J266" s="5" t="s">
        <v>16</v>
      </c>
    </row>
    <row r="267" spans="1:10">
      <c r="A267" s="23">
        <v>266</v>
      </c>
      <c r="B267" s="22" t="s">
        <v>12</v>
      </c>
      <c r="C267" s="22" t="s">
        <v>286</v>
      </c>
      <c r="D267" s="22">
        <v>0</v>
      </c>
      <c r="E267" s="22">
        <v>25</v>
      </c>
      <c r="F267" s="22">
        <v>0.34</v>
      </c>
      <c r="G267" s="22">
        <v>20260320</v>
      </c>
      <c r="H267" s="23" t="b">
        <f t="shared" si="4"/>
        <v>0</v>
      </c>
      <c r="I267" s="24" t="str" cm="1">
        <f t="array" ref="I267">GET_TICKER_FINAL(C267)</f>
        <v>AAPL</v>
      </c>
      <c r="J267" s="5" t="s">
        <v>16</v>
      </c>
    </row>
    <row r="268" spans="1:10" hidden="1">
      <c r="A268" s="20">
        <v>267</v>
      </c>
      <c r="B268" s="19" t="s">
        <v>12</v>
      </c>
      <c r="C268" s="19" t="s">
        <v>287</v>
      </c>
      <c r="D268" s="19">
        <v>0</v>
      </c>
      <c r="E268" s="19">
        <v>5</v>
      </c>
      <c r="F268" s="19">
        <v>0.42</v>
      </c>
      <c r="G268" s="19">
        <v>20260326</v>
      </c>
      <c r="H268" s="20" t="b">
        <f t="shared" si="4"/>
        <v>0</v>
      </c>
      <c r="I268" s="21" t="str" cm="1">
        <f t="array" ref="I268">GET_TICKER_FINAL(C268)</f>
        <v/>
      </c>
      <c r="J268" s="5" t="s">
        <v>1792</v>
      </c>
    </row>
    <row r="269" spans="1:10" hidden="1">
      <c r="A269" s="23">
        <v>268</v>
      </c>
      <c r="B269" s="22" t="s">
        <v>12</v>
      </c>
      <c r="C269" s="22" t="s">
        <v>288</v>
      </c>
      <c r="D269" s="22">
        <v>0</v>
      </c>
      <c r="E269" s="22">
        <v>34</v>
      </c>
      <c r="F269" s="22">
        <v>0.31</v>
      </c>
      <c r="G269" s="22">
        <v>20260402</v>
      </c>
      <c r="H269" s="23" t="b">
        <f t="shared" si="4"/>
        <v>0</v>
      </c>
      <c r="I269" s="24" t="str" cm="1">
        <f t="array" ref="I269">GET_TICKER_FINAL(C269)</f>
        <v/>
      </c>
      <c r="J269" s="5" t="s">
        <v>16</v>
      </c>
    </row>
    <row r="270" spans="1:10" hidden="1">
      <c r="A270" s="20">
        <v>269</v>
      </c>
      <c r="B270" s="19" t="s">
        <v>12</v>
      </c>
      <c r="C270" s="19" t="s">
        <v>289</v>
      </c>
      <c r="D270" s="19">
        <v>0</v>
      </c>
      <c r="E270" s="19">
        <v>2</v>
      </c>
      <c r="F270" s="19">
        <v>0.28999999999999998</v>
      </c>
      <c r="G270" s="19">
        <v>20260320</v>
      </c>
      <c r="H270" s="20" t="b">
        <f t="shared" si="4"/>
        <v>0</v>
      </c>
      <c r="I270" s="21" t="str" cm="1">
        <f t="array" ref="I270">GET_TICKER_FINAL(C270)</f>
        <v/>
      </c>
      <c r="J270" s="5" t="s">
        <v>1792</v>
      </c>
    </row>
    <row r="271" spans="1:10" hidden="1">
      <c r="A271" s="23">
        <v>270</v>
      </c>
      <c r="B271" s="22" t="s">
        <v>12</v>
      </c>
      <c r="C271" s="22" t="s">
        <v>290</v>
      </c>
      <c r="D271" s="22">
        <v>0</v>
      </c>
      <c r="E271" s="22">
        <v>16</v>
      </c>
      <c r="F271" s="22">
        <v>0.33</v>
      </c>
      <c r="G271" s="22">
        <v>20260402</v>
      </c>
      <c r="H271" s="23" t="b">
        <f t="shared" si="4"/>
        <v>0</v>
      </c>
      <c r="I271" s="24" t="str" cm="1">
        <f t="array" ref="I271">GET_TICKER_FINAL(C271)</f>
        <v/>
      </c>
      <c r="J271" s="5" t="s">
        <v>1792</v>
      </c>
    </row>
    <row r="272" spans="1:10">
      <c r="A272" s="20">
        <v>271</v>
      </c>
      <c r="B272" s="19" t="s">
        <v>12</v>
      </c>
      <c r="C272" s="19" t="s">
        <v>291</v>
      </c>
      <c r="D272" s="19">
        <v>0</v>
      </c>
      <c r="E272" s="19">
        <v>14</v>
      </c>
      <c r="F272" s="19">
        <v>0.25</v>
      </c>
      <c r="G272" s="19">
        <v>20260320</v>
      </c>
      <c r="H272" s="20" t="b">
        <f t="shared" si="4"/>
        <v>0</v>
      </c>
      <c r="I272" s="21" t="str" cm="1">
        <f t="array" ref="I272">GET_TICKER_FINAL(C272)</f>
        <v>NVDA</v>
      </c>
      <c r="J272" s="5" t="s">
        <v>25</v>
      </c>
    </row>
    <row r="273" spans="1:10" hidden="1">
      <c r="A273" s="23">
        <v>272</v>
      </c>
      <c r="B273" s="22" t="s">
        <v>12</v>
      </c>
      <c r="C273" s="22" t="s">
        <v>292</v>
      </c>
      <c r="D273" s="22">
        <v>0</v>
      </c>
      <c r="E273" s="22">
        <v>35</v>
      </c>
      <c r="F273" s="22">
        <v>0.36</v>
      </c>
      <c r="G273" s="22">
        <v>20260402</v>
      </c>
      <c r="H273" s="23" t="b">
        <f t="shared" si="4"/>
        <v>0</v>
      </c>
      <c r="I273" s="24" t="str" cm="1">
        <f t="array" ref="I273">GET_TICKER_FINAL(C273)</f>
        <v/>
      </c>
      <c r="J273" s="5" t="s">
        <v>1792</v>
      </c>
    </row>
    <row r="274" spans="1:10">
      <c r="A274" s="20">
        <v>273</v>
      </c>
      <c r="B274" s="19" t="s">
        <v>12</v>
      </c>
      <c r="C274" s="19" t="s">
        <v>293</v>
      </c>
      <c r="D274" s="19">
        <v>0</v>
      </c>
      <c r="E274" s="19">
        <v>10</v>
      </c>
      <c r="F274" s="19">
        <v>0.35</v>
      </c>
      <c r="G274" s="19">
        <v>20260402</v>
      </c>
      <c r="H274" s="20" t="b">
        <f t="shared" si="4"/>
        <v>0</v>
      </c>
      <c r="I274" s="21" t="str" cm="1">
        <f t="array" ref="I274">GET_TICKER_FINAL(C274)</f>
        <v>SPY</v>
      </c>
      <c r="J274" s="5" t="s">
        <v>1792</v>
      </c>
    </row>
    <row r="275" spans="1:10" hidden="1">
      <c r="A275" s="23">
        <v>274</v>
      </c>
      <c r="B275" s="22" t="s">
        <v>12</v>
      </c>
      <c r="C275" s="22" t="s">
        <v>294</v>
      </c>
      <c r="D275" s="22">
        <v>0</v>
      </c>
      <c r="E275" s="22">
        <v>67</v>
      </c>
      <c r="F275" s="22">
        <v>0.4</v>
      </c>
      <c r="G275" s="22">
        <v>20260330</v>
      </c>
      <c r="H275" s="23" t="b">
        <f t="shared" si="4"/>
        <v>0</v>
      </c>
      <c r="I275" s="24" t="str" cm="1">
        <f t="array" ref="I275">GET_TICKER_FINAL(C275)</f>
        <v/>
      </c>
      <c r="J275" s="5" t="s">
        <v>16</v>
      </c>
    </row>
    <row r="276" spans="1:10" hidden="1">
      <c r="A276" s="20">
        <v>275</v>
      </c>
      <c r="B276" s="19" t="s">
        <v>12</v>
      </c>
      <c r="C276" s="19" t="s">
        <v>295</v>
      </c>
      <c r="D276" s="19">
        <v>0</v>
      </c>
      <c r="E276" s="19">
        <v>12</v>
      </c>
      <c r="F276" s="19">
        <v>0.43</v>
      </c>
      <c r="G276" s="19">
        <v>20260320</v>
      </c>
      <c r="H276" s="20" t="b">
        <f t="shared" si="4"/>
        <v>0</v>
      </c>
      <c r="I276" s="21" t="str" cm="1">
        <f t="array" ref="I276">GET_TICKER_FINAL(C276)</f>
        <v/>
      </c>
      <c r="J276" s="5" t="s">
        <v>28</v>
      </c>
    </row>
    <row r="277" spans="1:10" hidden="1">
      <c r="A277" s="23">
        <v>276</v>
      </c>
      <c r="B277" s="22" t="s">
        <v>12</v>
      </c>
      <c r="C277" s="22" t="s">
        <v>296</v>
      </c>
      <c r="D277" s="22">
        <v>0</v>
      </c>
      <c r="E277" s="22">
        <v>47</v>
      </c>
      <c r="F277" s="22">
        <v>0.5</v>
      </c>
      <c r="G277" s="22">
        <v>20260330</v>
      </c>
      <c r="H277" s="23" t="b">
        <f t="shared" si="4"/>
        <v>0</v>
      </c>
      <c r="I277" s="24" t="str" cm="1">
        <f t="array" ref="I277">GET_TICKER_FINAL(C277)</f>
        <v/>
      </c>
      <c r="J277" s="5" t="s">
        <v>25</v>
      </c>
    </row>
    <row r="278" spans="1:10" hidden="1">
      <c r="A278" s="20">
        <v>277</v>
      </c>
      <c r="B278" s="19" t="s">
        <v>12</v>
      </c>
      <c r="C278" s="19" t="s">
        <v>297</v>
      </c>
      <c r="D278" s="19">
        <v>0</v>
      </c>
      <c r="E278" s="19">
        <v>31</v>
      </c>
      <c r="F278" s="19">
        <v>0.43</v>
      </c>
      <c r="G278" s="19">
        <v>20260326</v>
      </c>
      <c r="H278" s="20" t="b">
        <f t="shared" si="4"/>
        <v>0</v>
      </c>
      <c r="I278" s="21" t="str" cm="1">
        <f t="array" ref="I278">GET_TICKER_FINAL(C278)</f>
        <v/>
      </c>
      <c r="J278" s="5" t="s">
        <v>16</v>
      </c>
    </row>
    <row r="279" spans="1:10" hidden="1">
      <c r="A279" s="23">
        <v>278</v>
      </c>
      <c r="B279" s="22" t="s">
        <v>12</v>
      </c>
      <c r="C279" s="22" t="s">
        <v>298</v>
      </c>
      <c r="D279" s="22">
        <v>0</v>
      </c>
      <c r="E279" s="22">
        <v>23</v>
      </c>
      <c r="F279" s="22">
        <v>0.17</v>
      </c>
      <c r="G279" s="22">
        <v>20260320</v>
      </c>
      <c r="H279" s="23" t="b">
        <f t="shared" si="4"/>
        <v>0</v>
      </c>
      <c r="I279" s="24" t="str" cm="1">
        <f t="array" ref="I279">GET_TICKER_FINAL(C279)</f>
        <v/>
      </c>
      <c r="J279" s="5" t="s">
        <v>25</v>
      </c>
    </row>
    <row r="280" spans="1:10" hidden="1">
      <c r="A280" s="20">
        <v>279</v>
      </c>
      <c r="B280" s="19" t="s">
        <v>12</v>
      </c>
      <c r="C280" s="19" t="s">
        <v>299</v>
      </c>
      <c r="D280" s="19">
        <v>0</v>
      </c>
      <c r="E280" s="19">
        <v>34</v>
      </c>
      <c r="F280" s="19">
        <v>0.24</v>
      </c>
      <c r="G280" s="19">
        <v>20260330</v>
      </c>
      <c r="H280" s="20" t="b">
        <f t="shared" si="4"/>
        <v>0</v>
      </c>
      <c r="I280" s="21" t="str" cm="1">
        <f t="array" ref="I280">GET_TICKER_FINAL(C280)</f>
        <v/>
      </c>
      <c r="J280" s="5" t="s">
        <v>25</v>
      </c>
    </row>
    <row r="281" spans="1:10" hidden="1">
      <c r="A281" s="23">
        <v>280</v>
      </c>
      <c r="B281" s="22" t="s">
        <v>12</v>
      </c>
      <c r="C281" s="22" t="s">
        <v>300</v>
      </c>
      <c r="D281" s="22">
        <v>0</v>
      </c>
      <c r="E281" s="22">
        <v>66</v>
      </c>
      <c r="F281" s="22">
        <v>0.36</v>
      </c>
      <c r="G281" s="22">
        <v>20260330</v>
      </c>
      <c r="H281" s="23" t="b">
        <f t="shared" si="4"/>
        <v>0</v>
      </c>
      <c r="I281" s="24" t="str" cm="1">
        <f t="array" ref="I281">GET_TICKER_FINAL(C281)</f>
        <v/>
      </c>
      <c r="J281" s="5" t="s">
        <v>16</v>
      </c>
    </row>
    <row r="282" spans="1:10" hidden="1">
      <c r="A282" s="20">
        <v>281</v>
      </c>
      <c r="B282" s="19" t="s">
        <v>12</v>
      </c>
      <c r="C282" s="19" t="s">
        <v>301</v>
      </c>
      <c r="D282" s="19">
        <v>0</v>
      </c>
      <c r="E282" s="19">
        <v>6</v>
      </c>
      <c r="F282" s="19">
        <v>0.15</v>
      </c>
      <c r="G282" s="19">
        <v>20260402</v>
      </c>
      <c r="H282" s="20" t="b">
        <f t="shared" si="4"/>
        <v>0</v>
      </c>
      <c r="I282" s="21" t="str" cm="1">
        <f t="array" ref="I282">GET_TICKER_FINAL(C282)</f>
        <v/>
      </c>
      <c r="J282" s="5" t="s">
        <v>1792</v>
      </c>
    </row>
    <row r="283" spans="1:10" hidden="1">
      <c r="A283" s="23">
        <v>282</v>
      </c>
      <c r="B283" s="22" t="s">
        <v>12</v>
      </c>
      <c r="C283" s="22" t="s">
        <v>302</v>
      </c>
      <c r="D283" s="22">
        <v>0</v>
      </c>
      <c r="E283" s="22">
        <v>3</v>
      </c>
      <c r="F283" s="22">
        <v>0.25</v>
      </c>
      <c r="G283" s="22">
        <v>20260320</v>
      </c>
      <c r="H283" s="23" t="b">
        <f t="shared" si="4"/>
        <v>0</v>
      </c>
      <c r="I283" s="24" t="str" cm="1">
        <f t="array" ref="I283">GET_TICKER_FINAL(C283)</f>
        <v/>
      </c>
      <c r="J283" s="5" t="s">
        <v>1792</v>
      </c>
    </row>
    <row r="284" spans="1:10" hidden="1">
      <c r="A284" s="20">
        <v>283</v>
      </c>
      <c r="B284" s="19" t="s">
        <v>12</v>
      </c>
      <c r="C284" s="19" t="s">
        <v>303</v>
      </c>
      <c r="D284" s="19">
        <v>0</v>
      </c>
      <c r="E284" s="19">
        <v>16</v>
      </c>
      <c r="F284" s="19">
        <v>0.33</v>
      </c>
      <c r="G284" s="19">
        <v>20260320</v>
      </c>
      <c r="H284" s="20" t="b">
        <f t="shared" si="4"/>
        <v>0</v>
      </c>
      <c r="I284" s="21" t="str" cm="1">
        <f t="array" ref="I284">GET_TICKER_FINAL(C284)</f>
        <v/>
      </c>
      <c r="J284" s="5" t="s">
        <v>1792</v>
      </c>
    </row>
    <row r="285" spans="1:10" hidden="1">
      <c r="A285" s="23">
        <v>284</v>
      </c>
      <c r="B285" s="22" t="s">
        <v>12</v>
      </c>
      <c r="C285" s="22" t="s">
        <v>304</v>
      </c>
      <c r="D285" s="22">
        <v>0</v>
      </c>
      <c r="E285" s="22">
        <v>1</v>
      </c>
      <c r="F285" s="22">
        <v>0.4</v>
      </c>
      <c r="G285" s="22">
        <v>20260402</v>
      </c>
      <c r="H285" s="23" t="b">
        <f t="shared" si="4"/>
        <v>0</v>
      </c>
      <c r="I285" s="24" t="str" cm="1">
        <f t="array" ref="I285">GET_TICKER_FINAL(C285)</f>
        <v/>
      </c>
      <c r="J285" s="5" t="s">
        <v>1792</v>
      </c>
    </row>
    <row r="286" spans="1:10" hidden="1">
      <c r="A286" s="20">
        <v>285</v>
      </c>
      <c r="B286" s="19" t="s">
        <v>12</v>
      </c>
      <c r="C286" s="19" t="s">
        <v>305</v>
      </c>
      <c r="D286" s="19">
        <v>0</v>
      </c>
      <c r="E286" s="19">
        <v>49</v>
      </c>
      <c r="F286" s="19">
        <v>0.28999999999999998</v>
      </c>
      <c r="G286" s="19">
        <v>20260402</v>
      </c>
      <c r="H286" s="20" t="b">
        <f t="shared" si="4"/>
        <v>0</v>
      </c>
      <c r="I286" s="21" t="str" cm="1">
        <f t="array" ref="I286">GET_TICKER_FINAL(C286)</f>
        <v/>
      </c>
      <c r="J286" s="5" t="s">
        <v>25</v>
      </c>
    </row>
    <row r="287" spans="1:10" hidden="1">
      <c r="A287" s="23">
        <v>286</v>
      </c>
      <c r="B287" s="22" t="s">
        <v>12</v>
      </c>
      <c r="C287" s="22" t="s">
        <v>306</v>
      </c>
      <c r="D287" s="22">
        <v>0</v>
      </c>
      <c r="E287" s="22">
        <v>5</v>
      </c>
      <c r="F287" s="22">
        <v>0.32</v>
      </c>
      <c r="G287" s="22">
        <v>20260326</v>
      </c>
      <c r="H287" s="23" t="b">
        <f t="shared" si="4"/>
        <v>0</v>
      </c>
      <c r="I287" s="24" t="str" cm="1">
        <f t="array" ref="I287">GET_TICKER_FINAL(C287)</f>
        <v/>
      </c>
      <c r="J287" s="5" t="s">
        <v>1792</v>
      </c>
    </row>
    <row r="288" spans="1:10" hidden="1">
      <c r="A288" s="20">
        <v>287</v>
      </c>
      <c r="B288" s="19" t="s">
        <v>12</v>
      </c>
      <c r="C288" s="19" t="s">
        <v>307</v>
      </c>
      <c r="D288" s="19">
        <v>0</v>
      </c>
      <c r="E288" s="19">
        <v>8</v>
      </c>
      <c r="F288" s="19">
        <v>0.33</v>
      </c>
      <c r="G288" s="19">
        <v>20260320</v>
      </c>
      <c r="H288" s="20" t="b">
        <f t="shared" si="4"/>
        <v>0</v>
      </c>
      <c r="I288" s="21" t="str" cm="1">
        <f t="array" ref="I288">GET_TICKER_FINAL(C288)</f>
        <v/>
      </c>
      <c r="J288" s="5" t="s">
        <v>1792</v>
      </c>
    </row>
    <row r="289" spans="1:10" hidden="1">
      <c r="A289" s="23">
        <v>288</v>
      </c>
      <c r="B289" s="22" t="s">
        <v>12</v>
      </c>
      <c r="C289" s="22" t="s">
        <v>308</v>
      </c>
      <c r="D289" s="22">
        <v>0</v>
      </c>
      <c r="E289" s="22">
        <v>29</v>
      </c>
      <c r="F289" s="22">
        <v>0.22</v>
      </c>
      <c r="G289" s="22">
        <v>20260402</v>
      </c>
      <c r="H289" s="23" t="b">
        <f t="shared" si="4"/>
        <v>0</v>
      </c>
      <c r="I289" s="24" t="str" cm="1">
        <f t="array" ref="I289">GET_TICKER_FINAL(C289)</f>
        <v/>
      </c>
      <c r="J289" s="5" t="s">
        <v>25</v>
      </c>
    </row>
    <row r="290" spans="1:10" hidden="1">
      <c r="A290" s="20">
        <v>289</v>
      </c>
      <c r="B290" s="19" t="s">
        <v>12</v>
      </c>
      <c r="C290" s="19" t="s">
        <v>309</v>
      </c>
      <c r="D290" s="19">
        <v>0</v>
      </c>
      <c r="E290" s="19">
        <v>8</v>
      </c>
      <c r="F290" s="19">
        <v>0.21</v>
      </c>
      <c r="G290" s="19">
        <v>20260326</v>
      </c>
      <c r="H290" s="20" t="b">
        <f t="shared" si="4"/>
        <v>0</v>
      </c>
      <c r="I290" s="21" t="str" cm="1">
        <f t="array" ref="I290">GET_TICKER_FINAL(C290)</f>
        <v/>
      </c>
      <c r="J290" s="5" t="s">
        <v>16</v>
      </c>
    </row>
    <row r="291" spans="1:10" hidden="1">
      <c r="A291" s="23">
        <v>290</v>
      </c>
      <c r="B291" s="22" t="s">
        <v>12</v>
      </c>
      <c r="C291" s="22" t="s">
        <v>310</v>
      </c>
      <c r="D291" s="22">
        <v>0</v>
      </c>
      <c r="E291" s="22">
        <v>40</v>
      </c>
      <c r="F291" s="22">
        <v>0.45</v>
      </c>
      <c r="G291" s="22">
        <v>20260326</v>
      </c>
      <c r="H291" s="23" t="b">
        <f t="shared" si="4"/>
        <v>0</v>
      </c>
      <c r="I291" s="24" t="str" cm="1">
        <f t="array" ref="I291">GET_TICKER_FINAL(C291)</f>
        <v/>
      </c>
      <c r="J291" s="5" t="s">
        <v>1792</v>
      </c>
    </row>
    <row r="292" spans="1:10" hidden="1">
      <c r="A292" s="20">
        <v>291</v>
      </c>
      <c r="B292" s="19" t="s">
        <v>12</v>
      </c>
      <c r="C292" s="19" t="s">
        <v>311</v>
      </c>
      <c r="D292" s="19">
        <v>0</v>
      </c>
      <c r="E292" s="19">
        <v>21</v>
      </c>
      <c r="F292" s="19">
        <v>0.41</v>
      </c>
      <c r="G292" s="19">
        <v>20260402</v>
      </c>
      <c r="H292" s="20" t="b">
        <f t="shared" si="4"/>
        <v>0</v>
      </c>
      <c r="I292" s="21" t="str" cm="1">
        <f t="array" ref="I292">GET_TICKER_FINAL(C292)</f>
        <v/>
      </c>
      <c r="J292" s="5" t="s">
        <v>1792</v>
      </c>
    </row>
    <row r="293" spans="1:10" hidden="1">
      <c r="A293" s="23">
        <v>292</v>
      </c>
      <c r="B293" s="22" t="s">
        <v>12</v>
      </c>
      <c r="C293" s="22" t="s">
        <v>312</v>
      </c>
      <c r="D293" s="22">
        <v>0</v>
      </c>
      <c r="E293" s="22">
        <v>8</v>
      </c>
      <c r="F293" s="22">
        <v>0.44</v>
      </c>
      <c r="G293" s="22">
        <v>20260326</v>
      </c>
      <c r="H293" s="23" t="b">
        <f t="shared" si="4"/>
        <v>0</v>
      </c>
      <c r="I293" s="24" t="str" cm="1">
        <f t="array" ref="I293">GET_TICKER_FINAL(C293)</f>
        <v/>
      </c>
      <c r="J293" s="5" t="s">
        <v>1792</v>
      </c>
    </row>
    <row r="294" spans="1:10" hidden="1">
      <c r="A294" s="20">
        <v>293</v>
      </c>
      <c r="B294" s="19" t="s">
        <v>12</v>
      </c>
      <c r="C294" s="19" t="s">
        <v>313</v>
      </c>
      <c r="D294" s="19">
        <v>0</v>
      </c>
      <c r="E294" s="19">
        <v>7</v>
      </c>
      <c r="F294" s="19">
        <v>0.25</v>
      </c>
      <c r="G294" s="19">
        <v>20260402</v>
      </c>
      <c r="H294" s="20" t="b">
        <f t="shared" si="4"/>
        <v>0</v>
      </c>
      <c r="I294" s="21" t="str" cm="1">
        <f t="array" ref="I294">GET_TICKER_FINAL(C294)</f>
        <v/>
      </c>
      <c r="J294" s="5" t="s">
        <v>1792</v>
      </c>
    </row>
    <row r="295" spans="1:10">
      <c r="A295" s="23">
        <v>294</v>
      </c>
      <c r="B295" s="22" t="s">
        <v>12</v>
      </c>
      <c r="C295" s="22" t="s">
        <v>314</v>
      </c>
      <c r="D295" s="22">
        <v>0</v>
      </c>
      <c r="E295" s="22">
        <v>12</v>
      </c>
      <c r="F295" s="22">
        <v>0.5</v>
      </c>
      <c r="G295" s="22">
        <v>20260402</v>
      </c>
      <c r="H295" s="23" t="b">
        <f t="shared" si="4"/>
        <v>0</v>
      </c>
      <c r="I295" s="24" t="str" cm="1">
        <f t="array" ref="I295">GET_TICKER_FINAL(C295)</f>
        <v>MU</v>
      </c>
      <c r="J295" s="5" t="s">
        <v>1792</v>
      </c>
    </row>
    <row r="296" spans="1:10">
      <c r="A296" s="20">
        <v>295</v>
      </c>
      <c r="B296" s="19" t="s">
        <v>12</v>
      </c>
      <c r="C296" s="19" t="s">
        <v>315</v>
      </c>
      <c r="D296" s="19">
        <v>0</v>
      </c>
      <c r="E296" s="19">
        <v>5</v>
      </c>
      <c r="F296" s="19">
        <v>0.33</v>
      </c>
      <c r="G296" s="19">
        <v>20260402</v>
      </c>
      <c r="H296" s="20" t="b">
        <f t="shared" si="4"/>
        <v>1</v>
      </c>
      <c r="I296" s="21" t="str" cm="1">
        <f t="array" ref="I296">GET_TICKER_FINAL(C296)</f>
        <v>NVDA</v>
      </c>
      <c r="J296" s="5" t="s">
        <v>1792</v>
      </c>
    </row>
    <row r="297" spans="1:10" hidden="1">
      <c r="A297" s="23">
        <v>296</v>
      </c>
      <c r="B297" s="22" t="s">
        <v>12</v>
      </c>
      <c r="C297" s="22" t="s">
        <v>316</v>
      </c>
      <c r="D297" s="22">
        <v>0</v>
      </c>
      <c r="E297" s="22">
        <v>17</v>
      </c>
      <c r="F297" s="22">
        <v>0.35</v>
      </c>
      <c r="G297" s="22">
        <v>20260402</v>
      </c>
      <c r="H297" s="23" t="b">
        <f t="shared" si="4"/>
        <v>0</v>
      </c>
      <c r="I297" s="24" t="str" cm="1">
        <f t="array" ref="I297">GET_TICKER_FINAL(C297)</f>
        <v/>
      </c>
      <c r="J297" s="5" t="s">
        <v>16</v>
      </c>
    </row>
    <row r="298" spans="1:10" hidden="1">
      <c r="A298" s="20">
        <v>297</v>
      </c>
      <c r="B298" s="19" t="s">
        <v>12</v>
      </c>
      <c r="C298" s="19" t="s">
        <v>317</v>
      </c>
      <c r="D298" s="19">
        <v>0</v>
      </c>
      <c r="E298" s="19">
        <v>15</v>
      </c>
      <c r="F298" s="19">
        <v>0.27</v>
      </c>
      <c r="G298" s="19">
        <v>20260326</v>
      </c>
      <c r="H298" s="20" t="b">
        <f t="shared" si="4"/>
        <v>0</v>
      </c>
      <c r="I298" s="21" t="str" cm="1">
        <f t="array" ref="I298">GET_TICKER_FINAL(C298)</f>
        <v/>
      </c>
      <c r="J298" s="5" t="s">
        <v>1792</v>
      </c>
    </row>
    <row r="299" spans="1:10" hidden="1">
      <c r="A299" s="23">
        <v>298</v>
      </c>
      <c r="B299" s="22" t="s">
        <v>12</v>
      </c>
      <c r="C299" s="22" t="s">
        <v>318</v>
      </c>
      <c r="D299" s="22">
        <v>0</v>
      </c>
      <c r="E299" s="22">
        <v>69</v>
      </c>
      <c r="F299" s="22">
        <v>0.45</v>
      </c>
      <c r="G299" s="22">
        <v>20260320</v>
      </c>
      <c r="H299" s="23" t="b">
        <f t="shared" si="4"/>
        <v>0</v>
      </c>
      <c r="I299" s="24" t="str" cm="1">
        <f t="array" ref="I299">GET_TICKER_FINAL(C299)</f>
        <v/>
      </c>
      <c r="J299" s="5" t="s">
        <v>1792</v>
      </c>
    </row>
    <row r="300" spans="1:10" hidden="1">
      <c r="A300" s="20">
        <v>299</v>
      </c>
      <c r="B300" s="19" t="s">
        <v>12</v>
      </c>
      <c r="C300" s="19" t="s">
        <v>319</v>
      </c>
      <c r="D300" s="19">
        <v>0</v>
      </c>
      <c r="E300" s="19">
        <v>31</v>
      </c>
      <c r="F300" s="19">
        <v>0.35</v>
      </c>
      <c r="G300" s="19">
        <v>20260326</v>
      </c>
      <c r="H300" s="20" t="b">
        <f t="shared" si="4"/>
        <v>0</v>
      </c>
      <c r="I300" s="21" t="str" cm="1">
        <f t="array" ref="I300">GET_TICKER_FINAL(C300)</f>
        <v/>
      </c>
      <c r="J300" s="5" t="s">
        <v>1792</v>
      </c>
    </row>
    <row r="301" spans="1:10" hidden="1">
      <c r="A301" s="23">
        <v>300</v>
      </c>
      <c r="B301" s="22" t="s">
        <v>12</v>
      </c>
      <c r="C301" s="22" t="s">
        <v>320</v>
      </c>
      <c r="D301" s="22">
        <v>0</v>
      </c>
      <c r="E301" s="22">
        <v>7</v>
      </c>
      <c r="F301" s="22">
        <v>0.2</v>
      </c>
      <c r="G301" s="22">
        <v>20260326</v>
      </c>
      <c r="H301" s="23" t="b">
        <f t="shared" si="4"/>
        <v>0</v>
      </c>
      <c r="I301" s="24" t="str" cm="1">
        <f t="array" ref="I301">GET_TICKER_FINAL(C301)</f>
        <v/>
      </c>
      <c r="J301" s="5" t="s">
        <v>1792</v>
      </c>
    </row>
    <row r="302" spans="1:10" hidden="1">
      <c r="A302" s="20">
        <v>301</v>
      </c>
      <c r="B302" s="19" t="s">
        <v>12</v>
      </c>
      <c r="C302" s="19" t="s">
        <v>321</v>
      </c>
      <c r="D302" s="19">
        <v>0</v>
      </c>
      <c r="E302" s="19">
        <v>6</v>
      </c>
      <c r="F302" s="19">
        <v>0.42</v>
      </c>
      <c r="G302" s="19">
        <v>20260402</v>
      </c>
      <c r="H302" s="20" t="b">
        <f t="shared" si="4"/>
        <v>0</v>
      </c>
      <c r="I302" s="21" t="str" cm="1">
        <f t="array" ref="I302">GET_TICKER_FINAL(C302)</f>
        <v/>
      </c>
      <c r="J302" s="5" t="s">
        <v>25</v>
      </c>
    </row>
    <row r="303" spans="1:10" hidden="1">
      <c r="A303" s="23">
        <v>302</v>
      </c>
      <c r="B303" s="22" t="s">
        <v>12</v>
      </c>
      <c r="C303" s="22" t="s">
        <v>322</v>
      </c>
      <c r="D303" s="22">
        <v>0</v>
      </c>
      <c r="E303" s="22">
        <v>10</v>
      </c>
      <c r="F303" s="22">
        <v>0.22</v>
      </c>
      <c r="G303" s="22">
        <v>20260320</v>
      </c>
      <c r="H303" s="23" t="b">
        <f t="shared" si="4"/>
        <v>0</v>
      </c>
      <c r="I303" s="24" t="str" cm="1">
        <f t="array" ref="I303">GET_TICKER_FINAL(C303)</f>
        <v/>
      </c>
      <c r="J303" s="5" t="s">
        <v>1792</v>
      </c>
    </row>
    <row r="304" spans="1:10" hidden="1">
      <c r="A304" s="20">
        <v>303</v>
      </c>
      <c r="B304" s="19" t="s">
        <v>12</v>
      </c>
      <c r="C304" s="19" t="s">
        <v>323</v>
      </c>
      <c r="D304" s="19">
        <v>0</v>
      </c>
      <c r="E304" s="19">
        <v>22</v>
      </c>
      <c r="F304" s="19">
        <v>0.49</v>
      </c>
      <c r="G304" s="19">
        <v>20260402</v>
      </c>
      <c r="H304" s="20" t="b">
        <f t="shared" si="4"/>
        <v>0</v>
      </c>
      <c r="I304" s="21" t="str" cm="1">
        <f t="array" ref="I304">GET_TICKER_FINAL(C304)</f>
        <v/>
      </c>
      <c r="J304" s="5" t="s">
        <v>1792</v>
      </c>
    </row>
    <row r="305" spans="1:10" hidden="1">
      <c r="A305" s="23">
        <v>304</v>
      </c>
      <c r="B305" s="22" t="s">
        <v>12</v>
      </c>
      <c r="C305" s="22" t="s">
        <v>324</v>
      </c>
      <c r="D305" s="22">
        <v>0</v>
      </c>
      <c r="E305" s="22">
        <v>31</v>
      </c>
      <c r="F305" s="22">
        <v>0.47</v>
      </c>
      <c r="G305" s="22">
        <v>20260402</v>
      </c>
      <c r="H305" s="23" t="b">
        <f t="shared" si="4"/>
        <v>0</v>
      </c>
      <c r="I305" s="24" t="str" cm="1">
        <f t="array" ref="I305">GET_TICKER_FINAL(C305)</f>
        <v/>
      </c>
      <c r="J305" s="5" t="s">
        <v>16</v>
      </c>
    </row>
    <row r="306" spans="1:10" hidden="1">
      <c r="A306" s="20">
        <v>305</v>
      </c>
      <c r="B306" s="19" t="s">
        <v>12</v>
      </c>
      <c r="C306" s="19" t="s">
        <v>325</v>
      </c>
      <c r="D306" s="19">
        <v>0</v>
      </c>
      <c r="E306" s="19">
        <v>3</v>
      </c>
      <c r="F306" s="19">
        <v>0.35</v>
      </c>
      <c r="G306" s="19">
        <v>20260326</v>
      </c>
      <c r="H306" s="20" t="b">
        <f t="shared" si="4"/>
        <v>0</v>
      </c>
      <c r="I306" s="21" t="str" cm="1">
        <f t="array" ref="I306">GET_TICKER_FINAL(C306)</f>
        <v/>
      </c>
      <c r="J306" s="5" t="s">
        <v>1792</v>
      </c>
    </row>
    <row r="307" spans="1:10" hidden="1">
      <c r="A307" s="23">
        <v>306</v>
      </c>
      <c r="B307" s="22" t="s">
        <v>12</v>
      </c>
      <c r="C307" s="22" t="s">
        <v>326</v>
      </c>
      <c r="D307" s="22">
        <v>0</v>
      </c>
      <c r="E307" s="22">
        <v>30</v>
      </c>
      <c r="F307" s="22">
        <v>0.42</v>
      </c>
      <c r="G307" s="22">
        <v>20260326</v>
      </c>
      <c r="H307" s="23" t="b">
        <f t="shared" si="4"/>
        <v>0</v>
      </c>
      <c r="I307" s="24" t="str" cm="1">
        <f t="array" ref="I307">GET_TICKER_FINAL(C307)</f>
        <v/>
      </c>
      <c r="J307" s="5" t="s">
        <v>1792</v>
      </c>
    </row>
    <row r="308" spans="1:10" hidden="1">
      <c r="A308" s="20">
        <v>307</v>
      </c>
      <c r="B308" s="19" t="s">
        <v>12</v>
      </c>
      <c r="C308" s="19" t="s">
        <v>327</v>
      </c>
      <c r="D308" s="19">
        <v>0</v>
      </c>
      <c r="E308" s="19">
        <v>63</v>
      </c>
      <c r="F308" s="19">
        <v>0.44</v>
      </c>
      <c r="G308" s="19">
        <v>20260402</v>
      </c>
      <c r="H308" s="20" t="b">
        <f t="shared" si="4"/>
        <v>0</v>
      </c>
      <c r="I308" s="21" t="str" cm="1">
        <f t="array" ref="I308">GET_TICKER_FINAL(C308)</f>
        <v/>
      </c>
      <c r="J308" s="5" t="s">
        <v>1792</v>
      </c>
    </row>
    <row r="309" spans="1:10" hidden="1">
      <c r="A309" s="23">
        <v>308</v>
      </c>
      <c r="B309" s="22" t="s">
        <v>12</v>
      </c>
      <c r="C309" s="22" t="s">
        <v>328</v>
      </c>
      <c r="D309" s="22">
        <v>0</v>
      </c>
      <c r="E309" s="22">
        <v>18</v>
      </c>
      <c r="F309" s="22">
        <v>0.36</v>
      </c>
      <c r="G309" s="22">
        <v>20260320</v>
      </c>
      <c r="H309" s="23" t="b">
        <f t="shared" si="4"/>
        <v>0</v>
      </c>
      <c r="I309" s="24" t="str" cm="1">
        <f t="array" ref="I309">GET_TICKER_FINAL(C309)</f>
        <v/>
      </c>
      <c r="J309" s="5" t="s">
        <v>1792</v>
      </c>
    </row>
    <row r="310" spans="1:10" hidden="1">
      <c r="A310" s="20">
        <v>309</v>
      </c>
      <c r="B310" s="19" t="s">
        <v>12</v>
      </c>
      <c r="C310" s="19" t="s">
        <v>329</v>
      </c>
      <c r="D310" s="19">
        <v>0</v>
      </c>
      <c r="E310" s="19">
        <v>12</v>
      </c>
      <c r="F310" s="19">
        <v>0.33</v>
      </c>
      <c r="G310" s="19">
        <v>20260320</v>
      </c>
      <c r="H310" s="20" t="b">
        <f t="shared" si="4"/>
        <v>0</v>
      </c>
      <c r="I310" s="21" t="str" cm="1">
        <f t="array" ref="I310">GET_TICKER_FINAL(C310)</f>
        <v/>
      </c>
      <c r="J310" s="5" t="s">
        <v>16</v>
      </c>
    </row>
    <row r="311" spans="1:10" hidden="1">
      <c r="A311" s="23">
        <v>310</v>
      </c>
      <c r="B311" s="22" t="s">
        <v>12</v>
      </c>
      <c r="C311" s="22" t="s">
        <v>330</v>
      </c>
      <c r="D311" s="22">
        <v>0</v>
      </c>
      <c r="E311" s="22">
        <v>5</v>
      </c>
      <c r="F311" s="22">
        <v>0.25</v>
      </c>
      <c r="G311" s="22">
        <v>20260326</v>
      </c>
      <c r="H311" s="23" t="b">
        <f t="shared" si="4"/>
        <v>0</v>
      </c>
      <c r="I311" s="24" t="str" cm="1">
        <f t="array" ref="I311">GET_TICKER_FINAL(C311)</f>
        <v/>
      </c>
      <c r="J311" s="5" t="s">
        <v>28</v>
      </c>
    </row>
    <row r="312" spans="1:10" hidden="1">
      <c r="A312" s="20">
        <v>311</v>
      </c>
      <c r="B312" s="19" t="s">
        <v>12</v>
      </c>
      <c r="C312" s="19" t="s">
        <v>331</v>
      </c>
      <c r="D312" s="19">
        <v>0</v>
      </c>
      <c r="E312" s="19">
        <v>4</v>
      </c>
      <c r="F312" s="19">
        <v>0.2</v>
      </c>
      <c r="G312" s="19">
        <v>20260402</v>
      </c>
      <c r="H312" s="20" t="b">
        <f t="shared" si="4"/>
        <v>0</v>
      </c>
      <c r="I312" s="21" t="str" cm="1">
        <f t="array" ref="I312">GET_TICKER_FINAL(C312)</f>
        <v/>
      </c>
      <c r="J312" s="5" t="s">
        <v>1792</v>
      </c>
    </row>
    <row r="313" spans="1:10" hidden="1">
      <c r="A313" s="23">
        <v>312</v>
      </c>
      <c r="B313" s="22" t="s">
        <v>12</v>
      </c>
      <c r="C313" s="22" t="s">
        <v>332</v>
      </c>
      <c r="D313" s="22">
        <v>0</v>
      </c>
      <c r="E313" s="22">
        <v>24</v>
      </c>
      <c r="F313" s="22">
        <v>0.41</v>
      </c>
      <c r="G313" s="22">
        <v>20260330</v>
      </c>
      <c r="H313" s="23" t="b">
        <f t="shared" si="4"/>
        <v>0</v>
      </c>
      <c r="I313" s="24" t="str" cm="1">
        <f t="array" ref="I313">GET_TICKER_FINAL(C313)</f>
        <v/>
      </c>
      <c r="J313" s="5" t="s">
        <v>1792</v>
      </c>
    </row>
    <row r="314" spans="1:10" hidden="1">
      <c r="A314" s="20">
        <v>313</v>
      </c>
      <c r="B314" s="19" t="s">
        <v>12</v>
      </c>
      <c r="C314" s="19" t="s">
        <v>333</v>
      </c>
      <c r="D314" s="19">
        <v>0</v>
      </c>
      <c r="E314" s="19">
        <v>22</v>
      </c>
      <c r="F314" s="19">
        <v>0.42</v>
      </c>
      <c r="G314" s="19">
        <v>20260330</v>
      </c>
      <c r="H314" s="20" t="b">
        <f t="shared" si="4"/>
        <v>0</v>
      </c>
      <c r="I314" s="21" t="str" cm="1">
        <f t="array" ref="I314">GET_TICKER_FINAL(C314)</f>
        <v/>
      </c>
      <c r="J314" s="5" t="s">
        <v>25</v>
      </c>
    </row>
    <row r="315" spans="1:10" hidden="1">
      <c r="A315" s="23">
        <v>314</v>
      </c>
      <c r="B315" s="22" t="s">
        <v>12</v>
      </c>
      <c r="C315" s="22" t="s">
        <v>334</v>
      </c>
      <c r="D315" s="22">
        <v>0</v>
      </c>
      <c r="E315" s="22">
        <v>27</v>
      </c>
      <c r="F315" s="22">
        <v>0.11</v>
      </c>
      <c r="G315" s="22">
        <v>20260330</v>
      </c>
      <c r="H315" s="23" t="b">
        <f t="shared" si="4"/>
        <v>0</v>
      </c>
      <c r="I315" s="24" t="str" cm="1">
        <f t="array" ref="I315">GET_TICKER_FINAL(C315)</f>
        <v/>
      </c>
      <c r="J315" s="5" t="s">
        <v>16</v>
      </c>
    </row>
    <row r="316" spans="1:10" hidden="1">
      <c r="A316" s="20">
        <v>315</v>
      </c>
      <c r="B316" s="19" t="s">
        <v>12</v>
      </c>
      <c r="C316" s="19" t="s">
        <v>335</v>
      </c>
      <c r="D316" s="19">
        <v>0</v>
      </c>
      <c r="E316" s="19">
        <v>5</v>
      </c>
      <c r="F316" s="19">
        <v>0.31</v>
      </c>
      <c r="G316" s="19">
        <v>20260320</v>
      </c>
      <c r="H316" s="20" t="b">
        <f t="shared" si="4"/>
        <v>0</v>
      </c>
      <c r="I316" s="21" t="str" cm="1">
        <f t="array" ref="I316">GET_TICKER_FINAL(C316)</f>
        <v/>
      </c>
      <c r="J316" s="5" t="s">
        <v>1792</v>
      </c>
    </row>
    <row r="317" spans="1:10" hidden="1">
      <c r="A317" s="23">
        <v>316</v>
      </c>
      <c r="B317" s="22" t="s">
        <v>12</v>
      </c>
      <c r="C317" s="22" t="s">
        <v>336</v>
      </c>
      <c r="D317" s="22">
        <v>0</v>
      </c>
      <c r="E317" s="22">
        <v>141</v>
      </c>
      <c r="F317" s="22">
        <v>0.42</v>
      </c>
      <c r="G317" s="22">
        <v>20260330</v>
      </c>
      <c r="H317" s="23" t="b">
        <f t="shared" si="4"/>
        <v>0</v>
      </c>
      <c r="I317" s="24" t="str" cm="1">
        <f t="array" ref="I317">GET_TICKER_FINAL(C317)</f>
        <v/>
      </c>
      <c r="J317" s="5" t="s">
        <v>1792</v>
      </c>
    </row>
    <row r="318" spans="1:10" hidden="1">
      <c r="A318" s="20">
        <v>317</v>
      </c>
      <c r="B318" s="19" t="s">
        <v>12</v>
      </c>
      <c r="C318" s="19" t="s">
        <v>337</v>
      </c>
      <c r="D318" s="19">
        <v>0</v>
      </c>
      <c r="E318" s="19">
        <v>4</v>
      </c>
      <c r="F318" s="19">
        <v>0.5</v>
      </c>
      <c r="G318" s="19">
        <v>20260320</v>
      </c>
      <c r="H318" s="20" t="b">
        <f t="shared" si="4"/>
        <v>0</v>
      </c>
      <c r="I318" s="21" t="str" cm="1">
        <f t="array" ref="I318">GET_TICKER_FINAL(C318)</f>
        <v/>
      </c>
      <c r="J318" s="5" t="s">
        <v>25</v>
      </c>
    </row>
    <row r="319" spans="1:10" hidden="1">
      <c r="A319" s="23">
        <v>318</v>
      </c>
      <c r="B319" s="22" t="s">
        <v>12</v>
      </c>
      <c r="C319" s="22" t="s">
        <v>338</v>
      </c>
      <c r="D319" s="22">
        <v>0</v>
      </c>
      <c r="E319" s="22">
        <v>67</v>
      </c>
      <c r="F319" s="22">
        <v>0.37</v>
      </c>
      <c r="G319" s="22">
        <v>20260330</v>
      </c>
      <c r="H319" s="23" t="b">
        <f t="shared" si="4"/>
        <v>0</v>
      </c>
      <c r="I319" s="24" t="str" cm="1">
        <f t="array" ref="I319">GET_TICKER_FINAL(C319)</f>
        <v/>
      </c>
      <c r="J319" s="5" t="s">
        <v>16</v>
      </c>
    </row>
    <row r="320" spans="1:10" hidden="1">
      <c r="A320" s="20">
        <v>319</v>
      </c>
      <c r="B320" s="19" t="s">
        <v>12</v>
      </c>
      <c r="C320" s="19" t="s">
        <v>339</v>
      </c>
      <c r="D320" s="19">
        <v>0</v>
      </c>
      <c r="E320" s="19">
        <v>31</v>
      </c>
      <c r="F320" s="19">
        <v>0.31</v>
      </c>
      <c r="G320" s="19">
        <v>20260330</v>
      </c>
      <c r="H320" s="20" t="b">
        <f t="shared" si="4"/>
        <v>0</v>
      </c>
      <c r="I320" s="21" t="str" cm="1">
        <f t="array" ref="I320">GET_TICKER_FINAL(C320)</f>
        <v/>
      </c>
      <c r="J320" s="5" t="s">
        <v>16</v>
      </c>
    </row>
    <row r="321" spans="1:10" hidden="1">
      <c r="A321" s="23">
        <v>320</v>
      </c>
      <c r="B321" s="22" t="s">
        <v>12</v>
      </c>
      <c r="C321" s="22" t="s">
        <v>340</v>
      </c>
      <c r="D321" s="22">
        <v>0</v>
      </c>
      <c r="E321" s="22">
        <v>14</v>
      </c>
      <c r="F321" s="22">
        <v>0.27</v>
      </c>
      <c r="G321" s="22">
        <v>20260330</v>
      </c>
      <c r="H321" s="23" t="b">
        <f t="shared" si="4"/>
        <v>0</v>
      </c>
      <c r="I321" s="24" t="str" cm="1">
        <f t="array" ref="I321">GET_TICKER_FINAL(C321)</f>
        <v/>
      </c>
      <c r="J321" s="5" t="s">
        <v>25</v>
      </c>
    </row>
    <row r="322" spans="1:10" hidden="1">
      <c r="A322" s="20">
        <v>321</v>
      </c>
      <c r="B322" s="19" t="s">
        <v>12</v>
      </c>
      <c r="C322" s="19" t="s">
        <v>341</v>
      </c>
      <c r="D322" s="19">
        <v>0</v>
      </c>
      <c r="E322" s="19">
        <v>13</v>
      </c>
      <c r="F322" s="19">
        <v>0.34</v>
      </c>
      <c r="G322" s="19">
        <v>20260330</v>
      </c>
      <c r="H322" s="20" t="b">
        <f t="shared" si="4"/>
        <v>0</v>
      </c>
      <c r="I322" s="21" t="str" cm="1">
        <f t="array" ref="I322">GET_TICKER_FINAL(C322)</f>
        <v/>
      </c>
      <c r="J322" s="5" t="s">
        <v>1792</v>
      </c>
    </row>
    <row r="323" spans="1:10" hidden="1">
      <c r="A323" s="23">
        <v>322</v>
      </c>
      <c r="B323" s="22" t="s">
        <v>12</v>
      </c>
      <c r="C323" s="22" t="s">
        <v>342</v>
      </c>
      <c r="D323" s="22">
        <v>0</v>
      </c>
      <c r="E323" s="22">
        <v>10</v>
      </c>
      <c r="F323" s="22">
        <v>0.38</v>
      </c>
      <c r="G323" s="22">
        <v>20260326</v>
      </c>
      <c r="H323" s="23" t="b">
        <f t="shared" ref="H323:H386" si="5">OR(ISNUMBER(SEARCH("$A",C323)),ISNUMBER(SEARCH("$B",C323)),ISNUMBER(SEARCH("$C",C323)),ISNUMBER(SEARCH("$D",C323)),ISNUMBER(SEARCH("$E",C323)),ISNUMBER(SEARCH("$F",C323)),ISNUMBER(SEARCH("$G",C323)),ISNUMBER(SEARCH("$H",C323)),ISNUMBER(SEARCH("$I",C323)),ISNUMBER(SEARCH("$J",C323)),ISNUMBER(SEARCH("$K",C323)),ISNUMBER(SEARCH("$L",C323)),ISNUMBER(SEARCH("$M",C323)),ISNUMBER(SEARCH("$N",C323)),ISNUMBER(SEARCH("$O",C323)),ISNUMBER(SEARCH("$P",C323)),ISNUMBER(SEARCH("$Q",C323)),ISNUMBER(SEARCH("$R",C323)),ISNUMBER(SEARCH("$S",C323)),ISNUMBER(SEARCH("$T",C323)),ISNUMBER(SEARCH("$U",C323)),ISNUMBER(SEARCH("$V",C323)),ISNUMBER(SEARCH("$W",C323)),ISNUMBER(SEARCH("$X",C323)),ISNUMBER(SEARCH("$Y",C323)),ISNUMBER(SEARCH("$Z",C323)))</f>
        <v>0</v>
      </c>
      <c r="I323" s="24" t="str" cm="1">
        <f t="array" ref="I323">GET_TICKER_FINAL(C323)</f>
        <v/>
      </c>
      <c r="J323" s="5" t="s">
        <v>16</v>
      </c>
    </row>
    <row r="324" spans="1:10" hidden="1">
      <c r="A324" s="20">
        <v>323</v>
      </c>
      <c r="B324" s="19" t="s">
        <v>12</v>
      </c>
      <c r="C324" s="19" t="s">
        <v>343</v>
      </c>
      <c r="D324" s="19">
        <v>0</v>
      </c>
      <c r="E324" s="19">
        <v>9</v>
      </c>
      <c r="F324" s="19">
        <v>0.33</v>
      </c>
      <c r="G324" s="19">
        <v>20260326</v>
      </c>
      <c r="H324" s="20" t="b">
        <f t="shared" si="5"/>
        <v>0</v>
      </c>
      <c r="I324" s="21" t="str" cm="1">
        <f t="array" ref="I324">GET_TICKER_FINAL(C324)</f>
        <v/>
      </c>
      <c r="J324" s="5" t="s">
        <v>16</v>
      </c>
    </row>
    <row r="325" spans="1:10" hidden="1">
      <c r="A325" s="23">
        <v>324</v>
      </c>
      <c r="B325" s="22" t="s">
        <v>12</v>
      </c>
      <c r="C325" s="22" t="s">
        <v>344</v>
      </c>
      <c r="D325" s="22">
        <v>0</v>
      </c>
      <c r="E325" s="22">
        <v>30</v>
      </c>
      <c r="F325" s="22">
        <v>0.34</v>
      </c>
      <c r="G325" s="22">
        <v>20260320</v>
      </c>
      <c r="H325" s="23" t="b">
        <f t="shared" si="5"/>
        <v>0</v>
      </c>
      <c r="I325" s="24" t="str" cm="1">
        <f t="array" ref="I325">GET_TICKER_FINAL(C325)</f>
        <v/>
      </c>
      <c r="J325" s="5" t="s">
        <v>25</v>
      </c>
    </row>
    <row r="326" spans="1:10">
      <c r="A326" s="20">
        <v>325</v>
      </c>
      <c r="B326" s="19" t="s">
        <v>12</v>
      </c>
      <c r="C326" s="19" t="s">
        <v>345</v>
      </c>
      <c r="D326" s="19">
        <v>0</v>
      </c>
      <c r="E326" s="19">
        <v>42</v>
      </c>
      <c r="F326" s="19">
        <v>0.5</v>
      </c>
      <c r="G326" s="19">
        <v>20260330</v>
      </c>
      <c r="H326" s="20" t="b">
        <f t="shared" si="5"/>
        <v>0</v>
      </c>
      <c r="I326" s="21" t="str" cm="1">
        <f t="array" ref="I326">GET_TICKER_FINAL(C326)</f>
        <v>MU</v>
      </c>
      <c r="J326" s="5" t="s">
        <v>1792</v>
      </c>
    </row>
    <row r="327" spans="1:10">
      <c r="A327" s="23">
        <v>326</v>
      </c>
      <c r="B327" s="22" t="s">
        <v>12</v>
      </c>
      <c r="C327" s="22" t="s">
        <v>346</v>
      </c>
      <c r="D327" s="22">
        <v>0</v>
      </c>
      <c r="E327" s="22">
        <v>51</v>
      </c>
      <c r="F327" s="22">
        <v>0.39</v>
      </c>
      <c r="G327" s="22">
        <v>20260330</v>
      </c>
      <c r="H327" s="23" t="b">
        <f t="shared" si="5"/>
        <v>0</v>
      </c>
      <c r="I327" s="24" t="str" cm="1">
        <f t="array" ref="I327">GET_TICKER_FINAL(C327)</f>
        <v>COST</v>
      </c>
      <c r="J327" s="5" t="s">
        <v>1792</v>
      </c>
    </row>
    <row r="328" spans="1:10" hidden="1">
      <c r="A328" s="20">
        <v>327</v>
      </c>
      <c r="B328" s="19" t="s">
        <v>12</v>
      </c>
      <c r="C328" s="19" t="s">
        <v>347</v>
      </c>
      <c r="D328" s="19">
        <v>0</v>
      </c>
      <c r="E328" s="19">
        <v>8</v>
      </c>
      <c r="F328" s="19">
        <v>0.31</v>
      </c>
      <c r="G328" s="19">
        <v>20260320</v>
      </c>
      <c r="H328" s="20" t="b">
        <f t="shared" si="5"/>
        <v>0</v>
      </c>
      <c r="I328" s="21" t="str" cm="1">
        <f t="array" ref="I328">GET_TICKER_FINAL(C328)</f>
        <v/>
      </c>
      <c r="J328" s="5" t="s">
        <v>1792</v>
      </c>
    </row>
    <row r="329" spans="1:10" hidden="1">
      <c r="A329" s="23">
        <v>328</v>
      </c>
      <c r="B329" s="22" t="s">
        <v>12</v>
      </c>
      <c r="C329" s="22" t="s">
        <v>348</v>
      </c>
      <c r="D329" s="22">
        <v>0</v>
      </c>
      <c r="E329" s="22">
        <v>62</v>
      </c>
      <c r="F329" s="22">
        <v>0.39</v>
      </c>
      <c r="G329" s="22">
        <v>20260330</v>
      </c>
      <c r="H329" s="23" t="b">
        <f t="shared" si="5"/>
        <v>0</v>
      </c>
      <c r="I329" s="24" t="str" cm="1">
        <f t="array" ref="I329">GET_TICKER_FINAL(C329)</f>
        <v/>
      </c>
      <c r="J329" s="5" t="s">
        <v>1792</v>
      </c>
    </row>
    <row r="330" spans="1:10" hidden="1">
      <c r="A330" s="20">
        <v>329</v>
      </c>
      <c r="B330" s="19" t="s">
        <v>12</v>
      </c>
      <c r="C330" s="19" t="s">
        <v>349</v>
      </c>
      <c r="D330" s="19">
        <v>0</v>
      </c>
      <c r="E330" s="19">
        <v>9</v>
      </c>
      <c r="F330" s="19">
        <v>0.28999999999999998</v>
      </c>
      <c r="G330" s="19">
        <v>20260320</v>
      </c>
      <c r="H330" s="20" t="b">
        <f t="shared" si="5"/>
        <v>0</v>
      </c>
      <c r="I330" s="21" t="str" cm="1">
        <f t="array" ref="I330">GET_TICKER_FINAL(C330)</f>
        <v/>
      </c>
      <c r="J330" s="5" t="s">
        <v>1792</v>
      </c>
    </row>
    <row r="331" spans="1:10" hidden="1">
      <c r="A331" s="23">
        <v>330</v>
      </c>
      <c r="B331" s="22" t="s">
        <v>12</v>
      </c>
      <c r="C331" s="22" t="s">
        <v>350</v>
      </c>
      <c r="D331" s="22">
        <v>0</v>
      </c>
      <c r="E331" s="22">
        <v>13</v>
      </c>
      <c r="F331" s="22">
        <v>0.38</v>
      </c>
      <c r="G331" s="22">
        <v>20260320</v>
      </c>
      <c r="H331" s="23" t="b">
        <f t="shared" si="5"/>
        <v>0</v>
      </c>
      <c r="I331" s="24" t="str" cm="1">
        <f t="array" ref="I331">GET_TICKER_FINAL(C331)</f>
        <v/>
      </c>
      <c r="J331" s="5" t="s">
        <v>1792</v>
      </c>
    </row>
    <row r="332" spans="1:10" hidden="1">
      <c r="A332" s="20">
        <v>331</v>
      </c>
      <c r="B332" s="19" t="s">
        <v>12</v>
      </c>
      <c r="C332" s="19" t="s">
        <v>351</v>
      </c>
      <c r="D332" s="19">
        <v>0</v>
      </c>
      <c r="E332" s="19">
        <v>18</v>
      </c>
      <c r="F332" s="19">
        <v>0.48</v>
      </c>
      <c r="G332" s="19">
        <v>20260326</v>
      </c>
      <c r="H332" s="20" t="b">
        <f t="shared" si="5"/>
        <v>0</v>
      </c>
      <c r="I332" s="21" t="str" cm="1">
        <f t="array" ref="I332">GET_TICKER_FINAL(C332)</f>
        <v/>
      </c>
      <c r="J332" s="5" t="s">
        <v>16</v>
      </c>
    </row>
    <row r="333" spans="1:10" hidden="1">
      <c r="A333" s="23">
        <v>332</v>
      </c>
      <c r="B333" s="22" t="s">
        <v>12</v>
      </c>
      <c r="C333" s="22" t="s">
        <v>352</v>
      </c>
      <c r="D333" s="22">
        <v>0</v>
      </c>
      <c r="E333" s="22">
        <v>7</v>
      </c>
      <c r="F333" s="22">
        <v>0.27</v>
      </c>
      <c r="G333" s="22">
        <v>20260320</v>
      </c>
      <c r="H333" s="23" t="b">
        <f t="shared" si="5"/>
        <v>0</v>
      </c>
      <c r="I333" s="24" t="str" cm="1">
        <f t="array" ref="I333">GET_TICKER_FINAL(C333)</f>
        <v/>
      </c>
      <c r="J333" s="5" t="s">
        <v>16</v>
      </c>
    </row>
    <row r="334" spans="1:10" hidden="1">
      <c r="A334" s="20">
        <v>333</v>
      </c>
      <c r="B334" s="19" t="s">
        <v>12</v>
      </c>
      <c r="C334" s="19" t="s">
        <v>353</v>
      </c>
      <c r="D334" s="19">
        <v>0</v>
      </c>
      <c r="E334" s="19">
        <v>2</v>
      </c>
      <c r="F334" s="19">
        <v>0.4</v>
      </c>
      <c r="G334" s="19">
        <v>20260330</v>
      </c>
      <c r="H334" s="20" t="b">
        <f t="shared" si="5"/>
        <v>0</v>
      </c>
      <c r="I334" s="21" t="str" cm="1">
        <f t="array" ref="I334">GET_TICKER_FINAL(C334)</f>
        <v/>
      </c>
      <c r="J334" s="5" t="s">
        <v>1792</v>
      </c>
    </row>
    <row r="335" spans="1:10" hidden="1">
      <c r="A335" s="23">
        <v>334</v>
      </c>
      <c r="B335" s="22" t="s">
        <v>12</v>
      </c>
      <c r="C335" s="22" t="s">
        <v>354</v>
      </c>
      <c r="D335" s="22">
        <v>0</v>
      </c>
      <c r="E335" s="22">
        <v>16</v>
      </c>
      <c r="F335" s="22">
        <v>0.19</v>
      </c>
      <c r="G335" s="22">
        <v>20260320</v>
      </c>
      <c r="H335" s="23" t="b">
        <f t="shared" si="5"/>
        <v>0</v>
      </c>
      <c r="I335" s="24" t="str" cm="1">
        <f t="array" ref="I335">GET_TICKER_FINAL(C335)</f>
        <v/>
      </c>
      <c r="J335" s="5" t="s">
        <v>1792</v>
      </c>
    </row>
    <row r="336" spans="1:10" hidden="1">
      <c r="A336" s="20">
        <v>335</v>
      </c>
      <c r="B336" s="19" t="s">
        <v>12</v>
      </c>
      <c r="C336" s="19" t="s">
        <v>355</v>
      </c>
      <c r="D336" s="19">
        <v>0</v>
      </c>
      <c r="E336" s="19">
        <v>0</v>
      </c>
      <c r="F336" s="19">
        <v>0.27</v>
      </c>
      <c r="G336" s="19">
        <v>20260330</v>
      </c>
      <c r="H336" s="20" t="b">
        <f t="shared" si="5"/>
        <v>0</v>
      </c>
      <c r="I336" s="21" t="str" cm="1">
        <f t="array" ref="I336">GET_TICKER_FINAL(C336)</f>
        <v/>
      </c>
      <c r="J336" s="5" t="s">
        <v>28</v>
      </c>
    </row>
    <row r="337" spans="1:10" hidden="1">
      <c r="A337" s="23">
        <v>336</v>
      </c>
      <c r="B337" s="22" t="s">
        <v>12</v>
      </c>
      <c r="C337" s="22" t="s">
        <v>356</v>
      </c>
      <c r="D337" s="22">
        <v>0</v>
      </c>
      <c r="E337" s="22">
        <v>10</v>
      </c>
      <c r="F337" s="22">
        <v>0.47</v>
      </c>
      <c r="G337" s="22">
        <v>20260320</v>
      </c>
      <c r="H337" s="23" t="b">
        <f t="shared" si="5"/>
        <v>0</v>
      </c>
      <c r="I337" s="24" t="str" cm="1">
        <f t="array" ref="I337">GET_TICKER_FINAL(C337)</f>
        <v/>
      </c>
      <c r="J337" s="5" t="s">
        <v>25</v>
      </c>
    </row>
    <row r="338" spans="1:10" hidden="1">
      <c r="A338" s="20">
        <v>337</v>
      </c>
      <c r="B338" s="19" t="s">
        <v>12</v>
      </c>
      <c r="C338" s="19" t="s">
        <v>357</v>
      </c>
      <c r="D338" s="19">
        <v>0</v>
      </c>
      <c r="E338" s="19">
        <v>43</v>
      </c>
      <c r="F338" s="19">
        <v>0.38</v>
      </c>
      <c r="G338" s="19">
        <v>20260320</v>
      </c>
      <c r="H338" s="20" t="b">
        <f t="shared" si="5"/>
        <v>0</v>
      </c>
      <c r="I338" s="21" t="str" cm="1">
        <f t="array" ref="I338">GET_TICKER_FINAL(C338)</f>
        <v/>
      </c>
      <c r="J338" s="5" t="s">
        <v>1792</v>
      </c>
    </row>
    <row r="339" spans="1:10" hidden="1">
      <c r="A339" s="23">
        <v>338</v>
      </c>
      <c r="B339" s="22" t="s">
        <v>12</v>
      </c>
      <c r="C339" s="22" t="s">
        <v>358</v>
      </c>
      <c r="D339" s="22">
        <v>0</v>
      </c>
      <c r="E339" s="22">
        <v>16</v>
      </c>
      <c r="F339" s="22">
        <v>0.38</v>
      </c>
      <c r="G339" s="22">
        <v>20260330</v>
      </c>
      <c r="H339" s="23" t="b">
        <f t="shared" si="5"/>
        <v>0</v>
      </c>
      <c r="I339" s="24" t="str" cm="1">
        <f t="array" ref="I339">GET_TICKER_FINAL(C339)</f>
        <v/>
      </c>
      <c r="J339" s="5" t="s">
        <v>1792</v>
      </c>
    </row>
    <row r="340" spans="1:10" hidden="1">
      <c r="A340" s="20">
        <v>339</v>
      </c>
      <c r="B340" s="19" t="s">
        <v>12</v>
      </c>
      <c r="C340" s="19" t="s">
        <v>359</v>
      </c>
      <c r="D340" s="19">
        <v>0</v>
      </c>
      <c r="E340" s="19">
        <v>6</v>
      </c>
      <c r="F340" s="19">
        <v>0.25</v>
      </c>
      <c r="G340" s="19">
        <v>20260330</v>
      </c>
      <c r="H340" s="20" t="b">
        <f t="shared" si="5"/>
        <v>0</v>
      </c>
      <c r="I340" s="21" t="str" cm="1">
        <f t="array" ref="I340">GET_TICKER_FINAL(C340)</f>
        <v/>
      </c>
      <c r="J340" s="5" t="s">
        <v>16</v>
      </c>
    </row>
    <row r="341" spans="1:10" hidden="1">
      <c r="A341" s="23">
        <v>340</v>
      </c>
      <c r="B341" s="22" t="s">
        <v>12</v>
      </c>
      <c r="C341" s="22" t="s">
        <v>360</v>
      </c>
      <c r="D341" s="22">
        <v>0</v>
      </c>
      <c r="E341" s="22">
        <v>11</v>
      </c>
      <c r="F341" s="22">
        <v>0.23</v>
      </c>
      <c r="G341" s="22">
        <v>20260320</v>
      </c>
      <c r="H341" s="23" t="b">
        <f t="shared" si="5"/>
        <v>0</v>
      </c>
      <c r="I341" s="24" t="str" cm="1">
        <f t="array" ref="I341">GET_TICKER_FINAL(C341)</f>
        <v/>
      </c>
      <c r="J341" s="5" t="s">
        <v>25</v>
      </c>
    </row>
    <row r="342" spans="1:10" hidden="1">
      <c r="A342" s="20">
        <v>341</v>
      </c>
      <c r="B342" s="19" t="s">
        <v>12</v>
      </c>
      <c r="C342" s="19" t="s">
        <v>361</v>
      </c>
      <c r="D342" s="19">
        <v>0</v>
      </c>
      <c r="E342" s="19">
        <v>14</v>
      </c>
      <c r="F342" s="19">
        <v>0.41</v>
      </c>
      <c r="G342" s="19">
        <v>20260326</v>
      </c>
      <c r="H342" s="20" t="b">
        <f t="shared" si="5"/>
        <v>0</v>
      </c>
      <c r="I342" s="21" t="str" cm="1">
        <f t="array" ref="I342">GET_TICKER_FINAL(C342)</f>
        <v/>
      </c>
      <c r="J342" s="5" t="s">
        <v>1792</v>
      </c>
    </row>
    <row r="343" spans="1:10" hidden="1">
      <c r="A343" s="23">
        <v>342</v>
      </c>
      <c r="B343" s="22" t="s">
        <v>12</v>
      </c>
      <c r="C343" s="22" t="s">
        <v>362</v>
      </c>
      <c r="D343" s="22">
        <v>0</v>
      </c>
      <c r="E343" s="22">
        <v>25</v>
      </c>
      <c r="F343" s="22">
        <v>0.44</v>
      </c>
      <c r="G343" s="22">
        <v>20260326</v>
      </c>
      <c r="H343" s="23" t="b">
        <f t="shared" si="5"/>
        <v>0</v>
      </c>
      <c r="I343" s="24" t="str" cm="1">
        <f t="array" ref="I343">GET_TICKER_FINAL(C343)</f>
        <v/>
      </c>
      <c r="J343" s="5" t="s">
        <v>16</v>
      </c>
    </row>
    <row r="344" spans="1:10" hidden="1">
      <c r="A344" s="20">
        <v>343</v>
      </c>
      <c r="B344" s="19" t="s">
        <v>12</v>
      </c>
      <c r="C344" s="19" t="s">
        <v>363</v>
      </c>
      <c r="D344" s="19">
        <v>0</v>
      </c>
      <c r="E344" s="19">
        <v>20</v>
      </c>
      <c r="F344" s="19">
        <v>0.38</v>
      </c>
      <c r="G344" s="19">
        <v>20260320</v>
      </c>
      <c r="H344" s="20" t="b">
        <f t="shared" si="5"/>
        <v>0</v>
      </c>
      <c r="I344" s="21" t="str" cm="1">
        <f t="array" ref="I344">GET_TICKER_FINAL(C344)</f>
        <v/>
      </c>
      <c r="J344" s="5" t="s">
        <v>28</v>
      </c>
    </row>
    <row r="345" spans="1:10" hidden="1">
      <c r="A345" s="23">
        <v>344</v>
      </c>
      <c r="B345" s="22" t="s">
        <v>12</v>
      </c>
      <c r="C345" s="22" t="s">
        <v>364</v>
      </c>
      <c r="D345" s="22">
        <v>0</v>
      </c>
      <c r="E345" s="22">
        <v>25</v>
      </c>
      <c r="F345" s="22">
        <v>0.35</v>
      </c>
      <c r="G345" s="22">
        <v>20260330</v>
      </c>
      <c r="H345" s="23" t="b">
        <f t="shared" si="5"/>
        <v>0</v>
      </c>
      <c r="I345" s="24" t="str" cm="1">
        <f t="array" ref="I345">GET_TICKER_FINAL(C345)</f>
        <v/>
      </c>
      <c r="J345" s="5" t="s">
        <v>1792</v>
      </c>
    </row>
    <row r="346" spans="1:10" hidden="1">
      <c r="A346" s="20">
        <v>345</v>
      </c>
      <c r="B346" s="19" t="s">
        <v>12</v>
      </c>
      <c r="C346" s="19" t="s">
        <v>365</v>
      </c>
      <c r="D346" s="19">
        <v>0</v>
      </c>
      <c r="E346" s="19">
        <v>26</v>
      </c>
      <c r="F346" s="19">
        <v>0.5</v>
      </c>
      <c r="G346" s="19">
        <v>20260402</v>
      </c>
      <c r="H346" s="20" t="b">
        <f t="shared" si="5"/>
        <v>0</v>
      </c>
      <c r="I346" s="21" t="str" cm="1">
        <f t="array" ref="I346">GET_TICKER_FINAL(C346)</f>
        <v/>
      </c>
      <c r="J346" s="5" t="s">
        <v>16</v>
      </c>
    </row>
    <row r="347" spans="1:10" hidden="1">
      <c r="A347" s="23">
        <v>346</v>
      </c>
      <c r="B347" s="22" t="s">
        <v>12</v>
      </c>
      <c r="C347" s="22" t="s">
        <v>366</v>
      </c>
      <c r="D347" s="22">
        <v>0</v>
      </c>
      <c r="E347" s="22">
        <v>8</v>
      </c>
      <c r="F347" s="22">
        <v>0.18</v>
      </c>
      <c r="G347" s="22">
        <v>20260320</v>
      </c>
      <c r="H347" s="23" t="b">
        <f t="shared" si="5"/>
        <v>0</v>
      </c>
      <c r="I347" s="24" t="str" cm="1">
        <f t="array" ref="I347">GET_TICKER_FINAL(C347)</f>
        <v/>
      </c>
      <c r="J347" s="5" t="s">
        <v>28</v>
      </c>
    </row>
    <row r="348" spans="1:10" hidden="1">
      <c r="A348" s="20">
        <v>347</v>
      </c>
      <c r="B348" s="19" t="s">
        <v>12</v>
      </c>
      <c r="C348" s="19" t="s">
        <v>367</v>
      </c>
      <c r="D348" s="19">
        <v>0</v>
      </c>
      <c r="E348" s="19">
        <v>43</v>
      </c>
      <c r="F348" s="19">
        <v>0.44</v>
      </c>
      <c r="G348" s="19">
        <v>20260326</v>
      </c>
      <c r="H348" s="20" t="b">
        <f t="shared" si="5"/>
        <v>0</v>
      </c>
      <c r="I348" s="21" t="str" cm="1">
        <f t="array" ref="I348">GET_TICKER_FINAL(C348)</f>
        <v/>
      </c>
      <c r="J348" s="5" t="s">
        <v>16</v>
      </c>
    </row>
    <row r="349" spans="1:10" hidden="1">
      <c r="A349" s="23">
        <v>348</v>
      </c>
      <c r="B349" s="22" t="s">
        <v>12</v>
      </c>
      <c r="C349" s="22" t="s">
        <v>368</v>
      </c>
      <c r="D349" s="22">
        <v>0</v>
      </c>
      <c r="E349" s="22">
        <v>23</v>
      </c>
      <c r="F349" s="22">
        <v>0.18</v>
      </c>
      <c r="G349" s="22">
        <v>20260320</v>
      </c>
      <c r="H349" s="23" t="b">
        <f t="shared" si="5"/>
        <v>0</v>
      </c>
      <c r="I349" s="24" t="str" cm="1">
        <f t="array" ref="I349">GET_TICKER_FINAL(C349)</f>
        <v/>
      </c>
      <c r="J349" s="5" t="s">
        <v>1792</v>
      </c>
    </row>
    <row r="350" spans="1:10" hidden="1">
      <c r="A350" s="20">
        <v>349</v>
      </c>
      <c r="B350" s="19" t="s">
        <v>12</v>
      </c>
      <c r="C350" s="19" t="s">
        <v>369</v>
      </c>
      <c r="D350" s="19">
        <v>0</v>
      </c>
      <c r="E350" s="19">
        <v>22</v>
      </c>
      <c r="F350" s="19">
        <v>0.44</v>
      </c>
      <c r="G350" s="19">
        <v>20260330</v>
      </c>
      <c r="H350" s="20" t="b">
        <f t="shared" si="5"/>
        <v>0</v>
      </c>
      <c r="I350" s="21" t="str" cm="1">
        <f t="array" ref="I350">GET_TICKER_FINAL(C350)</f>
        <v/>
      </c>
      <c r="J350" s="5" t="s">
        <v>16</v>
      </c>
    </row>
    <row r="351" spans="1:10" hidden="1">
      <c r="A351" s="23">
        <v>350</v>
      </c>
      <c r="B351" s="22" t="s">
        <v>12</v>
      </c>
      <c r="C351" s="22" t="s">
        <v>370</v>
      </c>
      <c r="D351" s="22">
        <v>0</v>
      </c>
      <c r="E351" s="22">
        <v>19</v>
      </c>
      <c r="F351" s="22">
        <v>0.41</v>
      </c>
      <c r="G351" s="22">
        <v>20260402</v>
      </c>
      <c r="H351" s="23" t="b">
        <f t="shared" si="5"/>
        <v>0</v>
      </c>
      <c r="I351" s="24" t="str" cm="1">
        <f t="array" ref="I351">GET_TICKER_FINAL(C351)</f>
        <v/>
      </c>
      <c r="J351" s="5" t="s">
        <v>1792</v>
      </c>
    </row>
    <row r="352" spans="1:10" hidden="1">
      <c r="A352" s="20">
        <v>351</v>
      </c>
      <c r="B352" s="19" t="s">
        <v>12</v>
      </c>
      <c r="C352" s="19" t="s">
        <v>371</v>
      </c>
      <c r="D352" s="19">
        <v>0</v>
      </c>
      <c r="E352" s="19">
        <v>0</v>
      </c>
      <c r="F352" s="19">
        <v>0.45</v>
      </c>
      <c r="G352" s="19">
        <v>20260320</v>
      </c>
      <c r="H352" s="20" t="b">
        <f t="shared" si="5"/>
        <v>0</v>
      </c>
      <c r="I352" s="21" t="str" cm="1">
        <f t="array" ref="I352">GET_TICKER_FINAL(C352)</f>
        <v/>
      </c>
      <c r="J352" s="5" t="s">
        <v>25</v>
      </c>
    </row>
    <row r="353" spans="1:10">
      <c r="A353" s="23">
        <v>352</v>
      </c>
      <c r="B353" s="22" t="s">
        <v>12</v>
      </c>
      <c r="C353" s="22" t="s">
        <v>372</v>
      </c>
      <c r="D353" s="22">
        <v>0</v>
      </c>
      <c r="E353" s="22">
        <v>24</v>
      </c>
      <c r="F353" s="22">
        <v>0.41</v>
      </c>
      <c r="G353" s="22">
        <v>20260330</v>
      </c>
      <c r="H353" s="23" t="b">
        <f t="shared" si="5"/>
        <v>0</v>
      </c>
      <c r="I353" s="24" t="str" cm="1">
        <f t="array" ref="I353">GET_TICKER_FINAL(C353)</f>
        <v>COST</v>
      </c>
      <c r="J353" s="5" t="s">
        <v>1792</v>
      </c>
    </row>
    <row r="354" spans="1:10" hidden="1">
      <c r="A354" s="20">
        <v>353</v>
      </c>
      <c r="B354" s="19" t="s">
        <v>12</v>
      </c>
      <c r="C354" s="19" t="s">
        <v>373</v>
      </c>
      <c r="D354" s="19">
        <v>0</v>
      </c>
      <c r="E354" s="19">
        <v>36</v>
      </c>
      <c r="F354" s="19">
        <v>0.36</v>
      </c>
      <c r="G354" s="19">
        <v>20260330</v>
      </c>
      <c r="H354" s="20" t="b">
        <f t="shared" si="5"/>
        <v>0</v>
      </c>
      <c r="I354" s="21" t="str" cm="1">
        <f t="array" ref="I354">GET_TICKER_FINAL(C354)</f>
        <v/>
      </c>
      <c r="J354" s="5" t="s">
        <v>1792</v>
      </c>
    </row>
    <row r="355" spans="1:10" hidden="1">
      <c r="A355" s="23">
        <v>354</v>
      </c>
      <c r="B355" s="22" t="s">
        <v>12</v>
      </c>
      <c r="C355" s="22" t="s">
        <v>374</v>
      </c>
      <c r="D355" s="22">
        <v>0</v>
      </c>
      <c r="E355" s="22">
        <v>11</v>
      </c>
      <c r="F355" s="22">
        <v>0.41</v>
      </c>
      <c r="G355" s="22">
        <v>20260326</v>
      </c>
      <c r="H355" s="23" t="b">
        <f t="shared" si="5"/>
        <v>0</v>
      </c>
      <c r="I355" s="24" t="str" cm="1">
        <f t="array" ref="I355">GET_TICKER_FINAL(C355)</f>
        <v/>
      </c>
      <c r="J355" s="5" t="s">
        <v>1792</v>
      </c>
    </row>
    <row r="356" spans="1:10" hidden="1">
      <c r="A356" s="20">
        <v>355</v>
      </c>
      <c r="B356" s="19" t="s">
        <v>12</v>
      </c>
      <c r="C356" s="19" t="s">
        <v>375</v>
      </c>
      <c r="D356" s="19">
        <v>0</v>
      </c>
      <c r="E356" s="19">
        <v>20</v>
      </c>
      <c r="F356" s="19">
        <v>0.35</v>
      </c>
      <c r="G356" s="19">
        <v>20260326</v>
      </c>
      <c r="H356" s="20" t="b">
        <f t="shared" si="5"/>
        <v>0</v>
      </c>
      <c r="I356" s="21" t="str" cm="1">
        <f t="array" ref="I356">GET_TICKER_FINAL(C356)</f>
        <v/>
      </c>
      <c r="J356" s="5" t="s">
        <v>25</v>
      </c>
    </row>
    <row r="357" spans="1:10" hidden="1">
      <c r="A357" s="23">
        <v>356</v>
      </c>
      <c r="B357" s="22" t="s">
        <v>12</v>
      </c>
      <c r="C357" s="22" t="s">
        <v>376</v>
      </c>
      <c r="D357" s="22">
        <v>0</v>
      </c>
      <c r="E357" s="22">
        <v>1</v>
      </c>
      <c r="F357" s="22">
        <v>0.5</v>
      </c>
      <c r="G357" s="22">
        <v>20260330</v>
      </c>
      <c r="H357" s="23" t="b">
        <f t="shared" si="5"/>
        <v>0</v>
      </c>
      <c r="I357" s="24" t="str" cm="1">
        <f t="array" ref="I357">GET_TICKER_FINAL(C357)</f>
        <v/>
      </c>
      <c r="J357" s="5" t="s">
        <v>16</v>
      </c>
    </row>
    <row r="358" spans="1:10" hidden="1">
      <c r="A358" s="20">
        <v>357</v>
      </c>
      <c r="B358" s="19" t="s">
        <v>12</v>
      </c>
      <c r="C358" s="19" t="s">
        <v>377</v>
      </c>
      <c r="D358" s="19">
        <v>0</v>
      </c>
      <c r="E358" s="19">
        <v>14</v>
      </c>
      <c r="F358" s="19">
        <v>0.42</v>
      </c>
      <c r="G358" s="19">
        <v>20260320</v>
      </c>
      <c r="H358" s="20" t="b">
        <f t="shared" si="5"/>
        <v>0</v>
      </c>
      <c r="I358" s="21" t="str" cm="1">
        <f t="array" ref="I358">GET_TICKER_FINAL(C358)</f>
        <v/>
      </c>
      <c r="J358" s="5" t="s">
        <v>28</v>
      </c>
    </row>
    <row r="359" spans="1:10" hidden="1">
      <c r="A359" s="23">
        <v>358</v>
      </c>
      <c r="B359" s="22" t="s">
        <v>12</v>
      </c>
      <c r="C359" s="22" t="s">
        <v>378</v>
      </c>
      <c r="D359" s="22">
        <v>0</v>
      </c>
      <c r="E359" s="22">
        <v>17</v>
      </c>
      <c r="F359" s="22">
        <v>0.31</v>
      </c>
      <c r="G359" s="22">
        <v>20260320</v>
      </c>
      <c r="H359" s="23" t="b">
        <f t="shared" si="5"/>
        <v>0</v>
      </c>
      <c r="I359" s="24" t="str" cm="1">
        <f t="array" ref="I359">GET_TICKER_FINAL(C359)</f>
        <v/>
      </c>
      <c r="J359" s="5" t="s">
        <v>1792</v>
      </c>
    </row>
    <row r="360" spans="1:10" hidden="1">
      <c r="A360" s="20">
        <v>359</v>
      </c>
      <c r="B360" s="19" t="s">
        <v>12</v>
      </c>
      <c r="C360" s="19" t="s">
        <v>379</v>
      </c>
      <c r="D360" s="19">
        <v>0</v>
      </c>
      <c r="E360" s="19">
        <v>22</v>
      </c>
      <c r="F360" s="19">
        <v>0.32</v>
      </c>
      <c r="G360" s="19">
        <v>20260330</v>
      </c>
      <c r="H360" s="20" t="b">
        <f t="shared" si="5"/>
        <v>0</v>
      </c>
      <c r="I360" s="21" t="str" cm="1">
        <f t="array" ref="I360">GET_TICKER_FINAL(C360)</f>
        <v/>
      </c>
      <c r="J360" s="5" t="s">
        <v>16</v>
      </c>
    </row>
    <row r="361" spans="1:10" hidden="1">
      <c r="A361" s="23">
        <v>360</v>
      </c>
      <c r="B361" s="22" t="s">
        <v>12</v>
      </c>
      <c r="C361" s="22" t="s">
        <v>380</v>
      </c>
      <c r="D361" s="22">
        <v>0</v>
      </c>
      <c r="E361" s="22">
        <v>24</v>
      </c>
      <c r="F361" s="22">
        <v>0.15</v>
      </c>
      <c r="G361" s="22">
        <v>20260320</v>
      </c>
      <c r="H361" s="23" t="b">
        <f t="shared" si="5"/>
        <v>0</v>
      </c>
      <c r="I361" s="24" t="str" cm="1">
        <f t="array" ref="I361">GET_TICKER_FINAL(C361)</f>
        <v/>
      </c>
      <c r="J361" s="5" t="s">
        <v>16</v>
      </c>
    </row>
    <row r="362" spans="1:10" hidden="1">
      <c r="A362" s="20">
        <v>361</v>
      </c>
      <c r="B362" s="19" t="s">
        <v>12</v>
      </c>
      <c r="C362" s="19" t="s">
        <v>381</v>
      </c>
      <c r="D362" s="19">
        <v>0</v>
      </c>
      <c r="E362" s="19">
        <v>13</v>
      </c>
      <c r="F362" s="19">
        <v>0.32</v>
      </c>
      <c r="G362" s="19">
        <v>20260402</v>
      </c>
      <c r="H362" s="20" t="b">
        <f t="shared" si="5"/>
        <v>0</v>
      </c>
      <c r="I362" s="21" t="str" cm="1">
        <f t="array" ref="I362">GET_TICKER_FINAL(C362)</f>
        <v/>
      </c>
      <c r="J362" s="5" t="s">
        <v>1792</v>
      </c>
    </row>
    <row r="363" spans="1:10">
      <c r="A363" s="23">
        <v>362</v>
      </c>
      <c r="B363" s="22" t="s">
        <v>12</v>
      </c>
      <c r="C363" s="22" t="s">
        <v>382</v>
      </c>
      <c r="D363" s="22">
        <v>0</v>
      </c>
      <c r="E363" s="22">
        <v>2</v>
      </c>
      <c r="F363" s="22">
        <v>0.2</v>
      </c>
      <c r="G363" s="22">
        <v>20260320</v>
      </c>
      <c r="H363" s="23" t="b">
        <f t="shared" si="5"/>
        <v>0</v>
      </c>
      <c r="I363" s="24" t="str" cm="1">
        <f t="array" ref="I363">GET_TICKER_FINAL(C363)</f>
        <v>COST</v>
      </c>
      <c r="J363" s="5" t="s">
        <v>1792</v>
      </c>
    </row>
    <row r="364" spans="1:10" hidden="1">
      <c r="A364" s="20">
        <v>363</v>
      </c>
      <c r="B364" s="19" t="s">
        <v>12</v>
      </c>
      <c r="C364" s="19" t="s">
        <v>383</v>
      </c>
      <c r="D364" s="19">
        <v>0</v>
      </c>
      <c r="E364" s="19">
        <v>10</v>
      </c>
      <c r="F364" s="19">
        <v>0.35</v>
      </c>
      <c r="G364" s="19">
        <v>20260320</v>
      </c>
      <c r="H364" s="20" t="b">
        <f t="shared" si="5"/>
        <v>0</v>
      </c>
      <c r="I364" s="21" t="str" cm="1">
        <f t="array" ref="I364">GET_TICKER_FINAL(C364)</f>
        <v/>
      </c>
      <c r="J364" s="5" t="s">
        <v>1792</v>
      </c>
    </row>
    <row r="365" spans="1:10" hidden="1">
      <c r="A365" s="23">
        <v>364</v>
      </c>
      <c r="B365" s="22" t="s">
        <v>12</v>
      </c>
      <c r="C365" s="22" t="s">
        <v>384</v>
      </c>
      <c r="D365" s="22">
        <v>0</v>
      </c>
      <c r="E365" s="22">
        <v>41</v>
      </c>
      <c r="F365" s="22">
        <v>0.38</v>
      </c>
      <c r="G365" s="22">
        <v>20260320</v>
      </c>
      <c r="H365" s="23" t="b">
        <f t="shared" si="5"/>
        <v>0</v>
      </c>
      <c r="I365" s="24" t="str" cm="1">
        <f t="array" ref="I365">GET_TICKER_FINAL(C365)</f>
        <v/>
      </c>
      <c r="J365" s="5" t="s">
        <v>1792</v>
      </c>
    </row>
    <row r="366" spans="1:10" hidden="1">
      <c r="A366" s="20">
        <v>365</v>
      </c>
      <c r="B366" s="19" t="s">
        <v>12</v>
      </c>
      <c r="C366" s="19" t="s">
        <v>385</v>
      </c>
      <c r="D366" s="19">
        <v>0</v>
      </c>
      <c r="E366" s="19">
        <v>0</v>
      </c>
      <c r="F366" s="19">
        <v>0.5</v>
      </c>
      <c r="G366" s="19">
        <v>20260330</v>
      </c>
      <c r="H366" s="20" t="b">
        <f t="shared" si="5"/>
        <v>0</v>
      </c>
      <c r="I366" s="21" t="str" cm="1">
        <f t="array" ref="I366">GET_TICKER_FINAL(C366)</f>
        <v/>
      </c>
      <c r="J366" s="5" t="s">
        <v>1792</v>
      </c>
    </row>
    <row r="367" spans="1:10" hidden="1">
      <c r="A367" s="23">
        <v>366</v>
      </c>
      <c r="B367" s="22" t="s">
        <v>12</v>
      </c>
      <c r="C367" s="22" t="s">
        <v>386</v>
      </c>
      <c r="D367" s="22">
        <v>0</v>
      </c>
      <c r="E367" s="22">
        <v>5</v>
      </c>
      <c r="F367" s="22">
        <v>0.27</v>
      </c>
      <c r="G367" s="22">
        <v>20260326</v>
      </c>
      <c r="H367" s="23" t="b">
        <f t="shared" si="5"/>
        <v>0</v>
      </c>
      <c r="I367" s="24" t="str" cm="1">
        <f t="array" ref="I367">GET_TICKER_FINAL(C367)</f>
        <v/>
      </c>
      <c r="J367" s="5" t="s">
        <v>1792</v>
      </c>
    </row>
    <row r="368" spans="1:10" hidden="1">
      <c r="A368" s="20">
        <v>367</v>
      </c>
      <c r="B368" s="19" t="s">
        <v>12</v>
      </c>
      <c r="C368" s="19" t="s">
        <v>387</v>
      </c>
      <c r="D368" s="19">
        <v>0</v>
      </c>
      <c r="E368" s="19">
        <v>14</v>
      </c>
      <c r="F368" s="19">
        <v>0.46</v>
      </c>
      <c r="G368" s="19">
        <v>20260326</v>
      </c>
      <c r="H368" s="20" t="b">
        <f t="shared" si="5"/>
        <v>0</v>
      </c>
      <c r="I368" s="21" t="str" cm="1">
        <f t="array" ref="I368">GET_TICKER_FINAL(C368)</f>
        <v/>
      </c>
      <c r="J368" s="5" t="s">
        <v>16</v>
      </c>
    </row>
    <row r="369" spans="1:10" hidden="1">
      <c r="A369" s="23">
        <v>368</v>
      </c>
      <c r="B369" s="22" t="s">
        <v>12</v>
      </c>
      <c r="C369" s="22" t="s">
        <v>388</v>
      </c>
      <c r="D369" s="22">
        <v>0</v>
      </c>
      <c r="E369" s="22">
        <v>5</v>
      </c>
      <c r="F369" s="22">
        <v>0.5</v>
      </c>
      <c r="G369" s="22">
        <v>20260320</v>
      </c>
      <c r="H369" s="23" t="b">
        <f t="shared" si="5"/>
        <v>0</v>
      </c>
      <c r="I369" s="24" t="str" cm="1">
        <f t="array" ref="I369">GET_TICKER_FINAL(C369)</f>
        <v/>
      </c>
      <c r="J369" s="5" t="s">
        <v>1792</v>
      </c>
    </row>
    <row r="370" spans="1:10" hidden="1">
      <c r="A370" s="20">
        <v>369</v>
      </c>
      <c r="B370" s="19" t="s">
        <v>12</v>
      </c>
      <c r="C370" s="19" t="s">
        <v>389</v>
      </c>
      <c r="D370" s="19">
        <v>0</v>
      </c>
      <c r="E370" s="19">
        <v>5</v>
      </c>
      <c r="F370" s="19">
        <v>0.33</v>
      </c>
      <c r="G370" s="19">
        <v>20260327</v>
      </c>
      <c r="H370" s="20" t="b">
        <f t="shared" si="5"/>
        <v>0</v>
      </c>
      <c r="I370" s="21" t="str" cm="1">
        <f t="array" ref="I370">GET_TICKER_FINAL(C370)</f>
        <v/>
      </c>
      <c r="J370" s="5" t="s">
        <v>1792</v>
      </c>
    </row>
    <row r="371" spans="1:10" hidden="1">
      <c r="A371" s="23">
        <v>370</v>
      </c>
      <c r="B371" s="22" t="s">
        <v>12</v>
      </c>
      <c r="C371" s="22" t="s">
        <v>390</v>
      </c>
      <c r="D371" s="22">
        <v>0</v>
      </c>
      <c r="E371" s="22">
        <v>44</v>
      </c>
      <c r="F371" s="22">
        <v>0.28999999999999998</v>
      </c>
      <c r="G371" s="22">
        <v>20260327</v>
      </c>
      <c r="H371" s="23" t="b">
        <f t="shared" si="5"/>
        <v>0</v>
      </c>
      <c r="I371" s="24" t="str" cm="1">
        <f t="array" ref="I371">GET_TICKER_FINAL(C371)</f>
        <v/>
      </c>
      <c r="J371" s="5" t="s">
        <v>28</v>
      </c>
    </row>
    <row r="372" spans="1:10" hidden="1">
      <c r="A372" s="20">
        <v>371</v>
      </c>
      <c r="B372" s="19" t="s">
        <v>12</v>
      </c>
      <c r="C372" s="19" t="s">
        <v>391</v>
      </c>
      <c r="D372" s="19">
        <v>0</v>
      </c>
      <c r="E372" s="19">
        <v>51</v>
      </c>
      <c r="F372" s="19">
        <v>0.38</v>
      </c>
      <c r="G372" s="19">
        <v>20260327</v>
      </c>
      <c r="H372" s="20" t="b">
        <f t="shared" si="5"/>
        <v>0</v>
      </c>
      <c r="I372" s="21" t="str" cm="1">
        <f t="array" ref="I372">GET_TICKER_FINAL(C372)</f>
        <v/>
      </c>
      <c r="J372" s="5" t="s">
        <v>1792</v>
      </c>
    </row>
    <row r="373" spans="1:10" hidden="1">
      <c r="A373" s="23">
        <v>372</v>
      </c>
      <c r="B373" s="22" t="s">
        <v>12</v>
      </c>
      <c r="C373" s="22" t="s">
        <v>392</v>
      </c>
      <c r="D373" s="22">
        <v>0</v>
      </c>
      <c r="E373" s="22">
        <v>57</v>
      </c>
      <c r="F373" s="22">
        <v>0.34</v>
      </c>
      <c r="G373" s="22">
        <v>20260327</v>
      </c>
      <c r="H373" s="23" t="b">
        <f t="shared" si="5"/>
        <v>0</v>
      </c>
      <c r="I373" s="24" t="str" cm="1">
        <f t="array" ref="I373">GET_TICKER_FINAL(C373)</f>
        <v/>
      </c>
      <c r="J373" s="5" t="s">
        <v>1792</v>
      </c>
    </row>
    <row r="374" spans="1:10" hidden="1">
      <c r="A374" s="20">
        <v>373</v>
      </c>
      <c r="B374" s="19" t="s">
        <v>12</v>
      </c>
      <c r="C374" s="19" t="s">
        <v>393</v>
      </c>
      <c r="D374" s="19">
        <v>0</v>
      </c>
      <c r="E374" s="19">
        <v>19</v>
      </c>
      <c r="F374" s="19">
        <v>0.25</v>
      </c>
      <c r="G374" s="19">
        <v>20260402</v>
      </c>
      <c r="H374" s="20" t="b">
        <f t="shared" si="5"/>
        <v>0</v>
      </c>
      <c r="I374" s="21" t="str" cm="1">
        <f t="array" ref="I374">GET_TICKER_FINAL(C374)</f>
        <v/>
      </c>
      <c r="J374" s="5" t="s">
        <v>16</v>
      </c>
    </row>
    <row r="375" spans="1:10" hidden="1">
      <c r="A375" s="23">
        <v>374</v>
      </c>
      <c r="B375" s="22" t="s">
        <v>12</v>
      </c>
      <c r="C375" s="22" t="s">
        <v>394</v>
      </c>
      <c r="D375" s="22">
        <v>0</v>
      </c>
      <c r="E375" s="22">
        <v>2</v>
      </c>
      <c r="F375" s="22">
        <v>0.45</v>
      </c>
      <c r="G375" s="22">
        <v>20260326</v>
      </c>
      <c r="H375" s="23" t="b">
        <f t="shared" si="5"/>
        <v>0</v>
      </c>
      <c r="I375" s="24" t="str" cm="1">
        <f t="array" ref="I375">GET_TICKER_FINAL(C375)</f>
        <v/>
      </c>
      <c r="J375" s="5" t="s">
        <v>16</v>
      </c>
    </row>
    <row r="376" spans="1:10" hidden="1">
      <c r="A376" s="20">
        <v>375</v>
      </c>
      <c r="B376" s="19" t="s">
        <v>12</v>
      </c>
      <c r="C376" s="19" t="s">
        <v>395</v>
      </c>
      <c r="D376" s="19">
        <v>0</v>
      </c>
      <c r="E376" s="19">
        <v>36</v>
      </c>
      <c r="F376" s="19">
        <v>0.36</v>
      </c>
      <c r="G376" s="19">
        <v>20260402</v>
      </c>
      <c r="H376" s="20" t="b">
        <f t="shared" si="5"/>
        <v>0</v>
      </c>
      <c r="I376" s="21" t="str" cm="1">
        <f t="array" ref="I376">GET_TICKER_FINAL(C376)</f>
        <v/>
      </c>
      <c r="J376" s="5" t="s">
        <v>16</v>
      </c>
    </row>
    <row r="377" spans="1:10" hidden="1">
      <c r="A377" s="23">
        <v>376</v>
      </c>
      <c r="B377" s="22" t="s">
        <v>12</v>
      </c>
      <c r="C377" s="22" t="s">
        <v>396</v>
      </c>
      <c r="D377" s="22">
        <v>0</v>
      </c>
      <c r="E377" s="22">
        <v>39</v>
      </c>
      <c r="F377" s="22">
        <v>0.35</v>
      </c>
      <c r="G377" s="22">
        <v>20260402</v>
      </c>
      <c r="H377" s="23" t="b">
        <f t="shared" si="5"/>
        <v>0</v>
      </c>
      <c r="I377" s="24" t="str" cm="1">
        <f t="array" ref="I377">GET_TICKER_FINAL(C377)</f>
        <v/>
      </c>
      <c r="J377" s="5" t="s">
        <v>1792</v>
      </c>
    </row>
    <row r="378" spans="1:10" hidden="1">
      <c r="A378" s="20">
        <v>377</v>
      </c>
      <c r="B378" s="19" t="s">
        <v>12</v>
      </c>
      <c r="C378" s="19" t="s">
        <v>397</v>
      </c>
      <c r="D378" s="19">
        <v>0</v>
      </c>
      <c r="E378" s="19">
        <v>5</v>
      </c>
      <c r="F378" s="19">
        <v>0.19</v>
      </c>
      <c r="G378" s="19">
        <v>20260402</v>
      </c>
      <c r="H378" s="20" t="b">
        <f t="shared" si="5"/>
        <v>0</v>
      </c>
      <c r="I378" s="21" t="str" cm="1">
        <f t="array" ref="I378">GET_TICKER_FINAL(C378)</f>
        <v/>
      </c>
      <c r="J378" s="5" t="s">
        <v>1792</v>
      </c>
    </row>
    <row r="379" spans="1:10" hidden="1">
      <c r="A379" s="23">
        <v>378</v>
      </c>
      <c r="B379" s="22" t="s">
        <v>12</v>
      </c>
      <c r="C379" s="22" t="s">
        <v>398</v>
      </c>
      <c r="D379" s="22">
        <v>0</v>
      </c>
      <c r="E379" s="22">
        <v>6</v>
      </c>
      <c r="F379" s="22">
        <v>0.38</v>
      </c>
      <c r="G379" s="22">
        <v>20260320</v>
      </c>
      <c r="H379" s="23" t="b">
        <f t="shared" si="5"/>
        <v>0</v>
      </c>
      <c r="I379" s="24" t="str" cm="1">
        <f t="array" ref="I379">GET_TICKER_FINAL(C379)</f>
        <v/>
      </c>
      <c r="J379" s="5" t="s">
        <v>1792</v>
      </c>
    </row>
    <row r="380" spans="1:10" hidden="1">
      <c r="A380" s="20">
        <v>379</v>
      </c>
      <c r="B380" s="19" t="s">
        <v>12</v>
      </c>
      <c r="C380" s="19" t="s">
        <v>399</v>
      </c>
      <c r="D380" s="19">
        <v>0</v>
      </c>
      <c r="E380" s="19">
        <v>5</v>
      </c>
      <c r="F380" s="19">
        <v>0.5</v>
      </c>
      <c r="G380" s="19">
        <v>20260326</v>
      </c>
      <c r="H380" s="20" t="b">
        <f t="shared" si="5"/>
        <v>0</v>
      </c>
      <c r="I380" s="21" t="str" cm="1">
        <f t="array" ref="I380">GET_TICKER_FINAL(C380)</f>
        <v/>
      </c>
      <c r="J380" s="5" t="s">
        <v>25</v>
      </c>
    </row>
    <row r="381" spans="1:10" hidden="1">
      <c r="A381" s="23">
        <v>380</v>
      </c>
      <c r="B381" s="22" t="s">
        <v>12</v>
      </c>
      <c r="C381" s="22" t="s">
        <v>400</v>
      </c>
      <c r="D381" s="22">
        <v>0</v>
      </c>
      <c r="E381" s="22">
        <v>16</v>
      </c>
      <c r="F381" s="22">
        <v>0.28999999999999998</v>
      </c>
      <c r="G381" s="22">
        <v>20260326</v>
      </c>
      <c r="H381" s="23" t="b">
        <f t="shared" si="5"/>
        <v>0</v>
      </c>
      <c r="I381" s="24" t="str" cm="1">
        <f t="array" ref="I381">GET_TICKER_FINAL(C381)</f>
        <v/>
      </c>
      <c r="J381" s="5" t="s">
        <v>1792</v>
      </c>
    </row>
    <row r="382" spans="1:10" hidden="1">
      <c r="A382" s="20">
        <v>381</v>
      </c>
      <c r="B382" s="19" t="s">
        <v>12</v>
      </c>
      <c r="C382" s="19" t="s">
        <v>401</v>
      </c>
      <c r="D382" s="19">
        <v>0</v>
      </c>
      <c r="E382" s="19">
        <v>16</v>
      </c>
      <c r="F382" s="19">
        <v>0.22</v>
      </c>
      <c r="G382" s="19">
        <v>20260326</v>
      </c>
      <c r="H382" s="20" t="b">
        <f t="shared" si="5"/>
        <v>0</v>
      </c>
      <c r="I382" s="21" t="str" cm="1">
        <f t="array" ref="I382">GET_TICKER_FINAL(C382)</f>
        <v/>
      </c>
      <c r="J382" s="5" t="s">
        <v>25</v>
      </c>
    </row>
    <row r="383" spans="1:10" hidden="1">
      <c r="A383" s="23">
        <v>382</v>
      </c>
      <c r="B383" s="22" t="s">
        <v>12</v>
      </c>
      <c r="C383" s="22" t="s">
        <v>402</v>
      </c>
      <c r="D383" s="22">
        <v>0</v>
      </c>
      <c r="E383" s="22">
        <v>68</v>
      </c>
      <c r="F383" s="22">
        <v>0.38</v>
      </c>
      <c r="G383" s="22">
        <v>20260326</v>
      </c>
      <c r="H383" s="23" t="b">
        <f t="shared" si="5"/>
        <v>0</v>
      </c>
      <c r="I383" s="24" t="str" cm="1">
        <f t="array" ref="I383">GET_TICKER_FINAL(C383)</f>
        <v/>
      </c>
      <c r="J383" s="5" t="s">
        <v>1792</v>
      </c>
    </row>
    <row r="384" spans="1:10" hidden="1">
      <c r="A384" s="20">
        <v>383</v>
      </c>
      <c r="B384" s="19" t="s">
        <v>12</v>
      </c>
      <c r="C384" s="19" t="s">
        <v>403</v>
      </c>
      <c r="D384" s="19">
        <v>0</v>
      </c>
      <c r="E384" s="19">
        <v>7</v>
      </c>
      <c r="F384" s="19">
        <v>0.19</v>
      </c>
      <c r="G384" s="19">
        <v>20260401</v>
      </c>
      <c r="H384" s="20" t="b">
        <f t="shared" si="5"/>
        <v>0</v>
      </c>
      <c r="I384" s="21" t="str" cm="1">
        <f t="array" ref="I384">GET_TICKER_FINAL(C384)</f>
        <v/>
      </c>
      <c r="J384" s="5" t="s">
        <v>1792</v>
      </c>
    </row>
    <row r="385" spans="1:10">
      <c r="A385" s="23">
        <v>384</v>
      </c>
      <c r="B385" s="22" t="s">
        <v>12</v>
      </c>
      <c r="C385" s="22" t="s">
        <v>404</v>
      </c>
      <c r="D385" s="22">
        <v>0</v>
      </c>
      <c r="E385" s="22">
        <v>6</v>
      </c>
      <c r="F385" s="22">
        <v>0.33</v>
      </c>
      <c r="G385" s="22">
        <v>20260401</v>
      </c>
      <c r="H385" s="23" t="b">
        <f t="shared" si="5"/>
        <v>0</v>
      </c>
      <c r="I385" s="24" t="str" cm="1">
        <f t="array" ref="I385">GET_TICKER_FINAL(C385)</f>
        <v>GOOGL</v>
      </c>
      <c r="J385" s="5" t="s">
        <v>1792</v>
      </c>
    </row>
    <row r="386" spans="1:10">
      <c r="A386" s="20">
        <v>385</v>
      </c>
      <c r="B386" s="19" t="s">
        <v>12</v>
      </c>
      <c r="C386" s="19" t="s">
        <v>405</v>
      </c>
      <c r="D386" s="19">
        <v>0</v>
      </c>
      <c r="E386" s="19">
        <v>14</v>
      </c>
      <c r="F386" s="19">
        <v>0.48</v>
      </c>
      <c r="G386" s="19">
        <v>20260324</v>
      </c>
      <c r="H386" s="20" t="b">
        <f t="shared" si="5"/>
        <v>0</v>
      </c>
      <c r="I386" s="21" t="str" cm="1">
        <f t="array" ref="I386">GET_TICKER_FINAL(C386)</f>
        <v>COST</v>
      </c>
      <c r="J386" s="5" t="s">
        <v>1792</v>
      </c>
    </row>
    <row r="387" spans="1:10" hidden="1">
      <c r="A387" s="23">
        <v>386</v>
      </c>
      <c r="B387" s="22" t="s">
        <v>12</v>
      </c>
      <c r="C387" s="22" t="s">
        <v>406</v>
      </c>
      <c r="D387" s="22">
        <v>0</v>
      </c>
      <c r="E387" s="22">
        <v>10</v>
      </c>
      <c r="F387" s="22">
        <v>0.33</v>
      </c>
      <c r="G387" s="22">
        <v>20260324</v>
      </c>
      <c r="H387" s="23" t="b">
        <f t="shared" ref="H387:H450" si="6">OR(ISNUMBER(SEARCH("$A",C387)),ISNUMBER(SEARCH("$B",C387)),ISNUMBER(SEARCH("$C",C387)),ISNUMBER(SEARCH("$D",C387)),ISNUMBER(SEARCH("$E",C387)),ISNUMBER(SEARCH("$F",C387)),ISNUMBER(SEARCH("$G",C387)),ISNUMBER(SEARCH("$H",C387)),ISNUMBER(SEARCH("$I",C387)),ISNUMBER(SEARCH("$J",C387)),ISNUMBER(SEARCH("$K",C387)),ISNUMBER(SEARCH("$L",C387)),ISNUMBER(SEARCH("$M",C387)),ISNUMBER(SEARCH("$N",C387)),ISNUMBER(SEARCH("$O",C387)),ISNUMBER(SEARCH("$P",C387)),ISNUMBER(SEARCH("$Q",C387)),ISNUMBER(SEARCH("$R",C387)),ISNUMBER(SEARCH("$S",C387)),ISNUMBER(SEARCH("$T",C387)),ISNUMBER(SEARCH("$U",C387)),ISNUMBER(SEARCH("$V",C387)),ISNUMBER(SEARCH("$W",C387)),ISNUMBER(SEARCH("$X",C387)),ISNUMBER(SEARCH("$Y",C387)),ISNUMBER(SEARCH("$Z",C387)))</f>
        <v>0</v>
      </c>
      <c r="I387" s="24" t="str" cm="1">
        <f t="array" ref="I387">GET_TICKER_FINAL(C387)</f>
        <v/>
      </c>
      <c r="J387" s="5" t="s">
        <v>16</v>
      </c>
    </row>
    <row r="388" spans="1:10" hidden="1">
      <c r="A388" s="20">
        <v>387</v>
      </c>
      <c r="B388" s="19" t="s">
        <v>12</v>
      </c>
      <c r="C388" s="19" t="s">
        <v>407</v>
      </c>
      <c r="D388" s="19">
        <v>0</v>
      </c>
      <c r="E388" s="19">
        <v>18</v>
      </c>
      <c r="F388" s="19">
        <v>0.22</v>
      </c>
      <c r="G388" s="19">
        <v>20260331</v>
      </c>
      <c r="H388" s="20" t="b">
        <f t="shared" si="6"/>
        <v>0</v>
      </c>
      <c r="I388" s="21" t="str" cm="1">
        <f t="array" ref="I388">GET_TICKER_FINAL(C388)</f>
        <v/>
      </c>
      <c r="J388" s="5" t="s">
        <v>1792</v>
      </c>
    </row>
    <row r="389" spans="1:10" hidden="1">
      <c r="A389" s="23">
        <v>388</v>
      </c>
      <c r="B389" s="22" t="s">
        <v>12</v>
      </c>
      <c r="C389" s="22" t="s">
        <v>408</v>
      </c>
      <c r="D389" s="22">
        <v>0</v>
      </c>
      <c r="E389" s="22">
        <v>6</v>
      </c>
      <c r="F389" s="22">
        <v>7.0000000000000007E-2</v>
      </c>
      <c r="G389" s="22">
        <v>20260324</v>
      </c>
      <c r="H389" s="23" t="b">
        <f t="shared" si="6"/>
        <v>0</v>
      </c>
      <c r="I389" s="24" t="str" cm="1">
        <f t="array" ref="I389">GET_TICKER_FINAL(C389)</f>
        <v/>
      </c>
      <c r="J389" s="5" t="s">
        <v>1792</v>
      </c>
    </row>
    <row r="390" spans="1:10" hidden="1">
      <c r="A390" s="20">
        <v>389</v>
      </c>
      <c r="B390" s="19" t="s">
        <v>409</v>
      </c>
      <c r="C390" s="19" t="s">
        <v>410</v>
      </c>
      <c r="D390" s="19">
        <v>466</v>
      </c>
      <c r="E390" s="19">
        <v>53</v>
      </c>
      <c r="F390" s="19">
        <v>0.96</v>
      </c>
      <c r="G390" s="19">
        <v>20260331</v>
      </c>
      <c r="H390" s="20" t="b">
        <f t="shared" si="6"/>
        <v>0</v>
      </c>
      <c r="I390" s="21" t="str" cm="1">
        <f t="array" ref="I390">GET_TICKER_FINAL(C390)</f>
        <v/>
      </c>
      <c r="J390" s="5" t="s">
        <v>16</v>
      </c>
    </row>
    <row r="391" spans="1:10" hidden="1">
      <c r="A391" s="23">
        <v>390</v>
      </c>
      <c r="B391" s="22" t="s">
        <v>409</v>
      </c>
      <c r="C391" s="22" t="s">
        <v>411</v>
      </c>
      <c r="D391" s="22">
        <v>438</v>
      </c>
      <c r="E391" s="22">
        <v>72</v>
      </c>
      <c r="F391" s="22">
        <v>0.95</v>
      </c>
      <c r="G391" s="22">
        <v>20260324</v>
      </c>
      <c r="H391" s="23" t="b">
        <f t="shared" si="6"/>
        <v>0</v>
      </c>
      <c r="I391" s="24" t="str" cm="1">
        <f t="array" ref="I391">GET_TICKER_FINAL(C391)</f>
        <v/>
      </c>
      <c r="J391" s="5" t="s">
        <v>25</v>
      </c>
    </row>
    <row r="392" spans="1:10" hidden="1">
      <c r="A392" s="20">
        <v>391</v>
      </c>
      <c r="B392" s="19" t="s">
        <v>409</v>
      </c>
      <c r="C392" s="19" t="s">
        <v>412</v>
      </c>
      <c r="D392" s="19">
        <v>369</v>
      </c>
      <c r="E392" s="19">
        <v>182</v>
      </c>
      <c r="F392" s="19">
        <v>0.78</v>
      </c>
      <c r="G392" s="19">
        <v>20260331</v>
      </c>
      <c r="H392" s="20" t="b">
        <f t="shared" si="6"/>
        <v>0</v>
      </c>
      <c r="I392" s="21" t="str" cm="1">
        <f t="array" ref="I392">GET_TICKER_FINAL(C392)</f>
        <v/>
      </c>
      <c r="J392" s="5" t="s">
        <v>1792</v>
      </c>
    </row>
    <row r="393" spans="1:10">
      <c r="A393" s="23">
        <v>392</v>
      </c>
      <c r="B393" s="22" t="s">
        <v>409</v>
      </c>
      <c r="C393" s="22" t="s">
        <v>413</v>
      </c>
      <c r="D393" s="22">
        <v>265</v>
      </c>
      <c r="E393" s="22">
        <v>127</v>
      </c>
      <c r="F393" s="22">
        <v>0.9</v>
      </c>
      <c r="G393" s="22">
        <v>20260402</v>
      </c>
      <c r="H393" s="23" t="b">
        <f t="shared" si="6"/>
        <v>0</v>
      </c>
      <c r="I393" s="24" t="str" cm="1">
        <f t="array" ref="I393">GET_TICKER_FINAL(C393)</f>
        <v>MSFT</v>
      </c>
      <c r="J393" s="5" t="s">
        <v>25</v>
      </c>
    </row>
    <row r="394" spans="1:10" hidden="1">
      <c r="A394" s="20">
        <v>393</v>
      </c>
      <c r="B394" s="19" t="s">
        <v>409</v>
      </c>
      <c r="C394" s="19" t="s">
        <v>414</v>
      </c>
      <c r="D394" s="19">
        <v>195</v>
      </c>
      <c r="E394" s="19">
        <v>79</v>
      </c>
      <c r="F394" s="19">
        <v>0.9</v>
      </c>
      <c r="G394" s="19">
        <v>20260402</v>
      </c>
      <c r="H394" s="20" t="b">
        <f t="shared" si="6"/>
        <v>0</v>
      </c>
      <c r="I394" s="21" t="str" cm="1">
        <f t="array" ref="I394">GET_TICKER_FINAL(C394)</f>
        <v/>
      </c>
      <c r="J394" s="5" t="s">
        <v>1792</v>
      </c>
    </row>
    <row r="395" spans="1:10" hidden="1">
      <c r="A395" s="23">
        <v>394</v>
      </c>
      <c r="B395" s="22" t="s">
        <v>409</v>
      </c>
      <c r="C395" s="22" t="s">
        <v>415</v>
      </c>
      <c r="D395" s="22">
        <v>154</v>
      </c>
      <c r="E395" s="22">
        <v>115</v>
      </c>
      <c r="F395" s="22">
        <v>0.88</v>
      </c>
      <c r="G395" s="22">
        <v>20260326</v>
      </c>
      <c r="H395" s="23" t="b">
        <f t="shared" si="6"/>
        <v>0</v>
      </c>
      <c r="I395" s="24" t="str" cm="1">
        <f t="array" ref="I395">GET_TICKER_FINAL(C395)</f>
        <v/>
      </c>
      <c r="J395" s="5" t="s">
        <v>1792</v>
      </c>
    </row>
    <row r="396" spans="1:10" hidden="1">
      <c r="A396" s="20">
        <v>395</v>
      </c>
      <c r="B396" s="19" t="s">
        <v>409</v>
      </c>
      <c r="C396" s="19" t="s">
        <v>416</v>
      </c>
      <c r="D396" s="19">
        <v>144</v>
      </c>
      <c r="E396" s="19">
        <v>193</v>
      </c>
      <c r="F396" s="19">
        <v>0.86</v>
      </c>
      <c r="G396" s="19">
        <v>20260330</v>
      </c>
      <c r="H396" s="20" t="b">
        <f t="shared" si="6"/>
        <v>0</v>
      </c>
      <c r="I396" s="21" t="str" cm="1">
        <f t="array" ref="I396">GET_TICKER_FINAL(C396)</f>
        <v/>
      </c>
      <c r="J396" s="5" t="s">
        <v>1792</v>
      </c>
    </row>
    <row r="397" spans="1:10">
      <c r="A397" s="23">
        <v>396</v>
      </c>
      <c r="B397" s="22" t="s">
        <v>409</v>
      </c>
      <c r="C397" s="22" t="s">
        <v>417</v>
      </c>
      <c r="D397" s="22">
        <v>136</v>
      </c>
      <c r="E397" s="22">
        <v>82</v>
      </c>
      <c r="F397" s="22">
        <v>0.94</v>
      </c>
      <c r="G397" s="22">
        <v>20260323</v>
      </c>
      <c r="H397" s="23" t="b">
        <f t="shared" si="6"/>
        <v>0</v>
      </c>
      <c r="I397" s="24" t="str" cm="1">
        <f t="array" ref="I397">GET_TICKER_FINAL(C397)</f>
        <v>SPY</v>
      </c>
      <c r="J397" s="5" t="s">
        <v>1792</v>
      </c>
    </row>
    <row r="398" spans="1:10" hidden="1">
      <c r="A398" s="20">
        <v>397</v>
      </c>
      <c r="B398" s="19" t="s">
        <v>409</v>
      </c>
      <c r="C398" s="19" t="s">
        <v>418</v>
      </c>
      <c r="D398" s="19">
        <v>134</v>
      </c>
      <c r="E398" s="19">
        <v>107</v>
      </c>
      <c r="F398" s="19">
        <v>0.92</v>
      </c>
      <c r="G398" s="19">
        <v>20260401</v>
      </c>
      <c r="H398" s="20" t="b">
        <f t="shared" si="6"/>
        <v>0</v>
      </c>
      <c r="I398" s="21" t="str" cm="1">
        <f t="array" ref="I398">GET_TICKER_FINAL(C398)</f>
        <v/>
      </c>
      <c r="J398" s="5" t="s">
        <v>16</v>
      </c>
    </row>
    <row r="399" spans="1:10" hidden="1">
      <c r="A399" s="23">
        <v>398</v>
      </c>
      <c r="B399" s="22" t="s">
        <v>409</v>
      </c>
      <c r="C399" s="22" t="s">
        <v>419</v>
      </c>
      <c r="D399" s="22">
        <v>121</v>
      </c>
      <c r="E399" s="22">
        <v>141</v>
      </c>
      <c r="F399" s="22">
        <v>0.86</v>
      </c>
      <c r="G399" s="22">
        <v>20260323</v>
      </c>
      <c r="H399" s="23" t="b">
        <f t="shared" si="6"/>
        <v>0</v>
      </c>
      <c r="I399" s="24" t="str" cm="1">
        <f t="array" ref="I399">GET_TICKER_FINAL(C399)</f>
        <v/>
      </c>
      <c r="J399" s="5" t="s">
        <v>16</v>
      </c>
    </row>
    <row r="400" spans="1:10" hidden="1">
      <c r="A400" s="20">
        <v>399</v>
      </c>
      <c r="B400" s="19" t="s">
        <v>409</v>
      </c>
      <c r="C400" s="19" t="s">
        <v>420</v>
      </c>
      <c r="D400" s="19">
        <v>112</v>
      </c>
      <c r="E400" s="19">
        <v>89</v>
      </c>
      <c r="F400" s="19">
        <v>0.84</v>
      </c>
      <c r="G400" s="19">
        <v>20260327</v>
      </c>
      <c r="H400" s="20" t="b">
        <f t="shared" si="6"/>
        <v>0</v>
      </c>
      <c r="I400" s="21" t="str" cm="1">
        <f t="array" ref="I400">GET_TICKER_FINAL(C400)</f>
        <v/>
      </c>
      <c r="J400" s="5" t="s">
        <v>16</v>
      </c>
    </row>
    <row r="401" spans="1:10" hidden="1">
      <c r="A401" s="23">
        <v>400</v>
      </c>
      <c r="B401" s="22" t="s">
        <v>409</v>
      </c>
      <c r="C401" s="22" t="s">
        <v>421</v>
      </c>
      <c r="D401" s="22">
        <v>107</v>
      </c>
      <c r="E401" s="22">
        <v>118</v>
      </c>
      <c r="F401" s="22">
        <v>0.91</v>
      </c>
      <c r="G401" s="22">
        <v>20260402</v>
      </c>
      <c r="H401" s="23" t="b">
        <f t="shared" si="6"/>
        <v>0</v>
      </c>
      <c r="I401" s="24" t="str" cm="1">
        <f t="array" ref="I401">GET_TICKER_FINAL(C401)</f>
        <v/>
      </c>
      <c r="J401" s="5" t="s">
        <v>1792</v>
      </c>
    </row>
    <row r="402" spans="1:10" hidden="1">
      <c r="A402" s="20">
        <v>401</v>
      </c>
      <c r="B402" s="19" t="s">
        <v>409</v>
      </c>
      <c r="C402" s="19" t="s">
        <v>422</v>
      </c>
      <c r="D402" s="19">
        <v>89</v>
      </c>
      <c r="E402" s="19">
        <v>145</v>
      </c>
      <c r="F402" s="19">
        <v>0.87</v>
      </c>
      <c r="G402" s="19">
        <v>20260320</v>
      </c>
      <c r="H402" s="20" t="b">
        <f t="shared" si="6"/>
        <v>0</v>
      </c>
      <c r="I402" s="21" t="str" cm="1">
        <f t="array" ref="I402">GET_TICKER_FINAL(C402)</f>
        <v/>
      </c>
      <c r="J402" s="5" t="s">
        <v>1792</v>
      </c>
    </row>
    <row r="403" spans="1:10" hidden="1">
      <c r="A403" s="23">
        <v>402</v>
      </c>
      <c r="B403" s="22" t="s">
        <v>409</v>
      </c>
      <c r="C403" s="22" t="s">
        <v>423</v>
      </c>
      <c r="D403" s="22">
        <v>64</v>
      </c>
      <c r="E403" s="22">
        <v>81</v>
      </c>
      <c r="F403" s="22">
        <v>0.81</v>
      </c>
      <c r="G403" s="22">
        <v>20260323</v>
      </c>
      <c r="H403" s="23" t="b">
        <f t="shared" si="6"/>
        <v>0</v>
      </c>
      <c r="I403" s="24" t="str" cm="1">
        <f t="array" ref="I403">GET_TICKER_FINAL(C403)</f>
        <v/>
      </c>
      <c r="J403" s="5" t="s">
        <v>1792</v>
      </c>
    </row>
    <row r="404" spans="1:10" hidden="1">
      <c r="A404" s="20">
        <v>403</v>
      </c>
      <c r="B404" s="19" t="s">
        <v>409</v>
      </c>
      <c r="C404" s="19" t="s">
        <v>424</v>
      </c>
      <c r="D404" s="19">
        <v>62</v>
      </c>
      <c r="E404" s="19">
        <v>53</v>
      </c>
      <c r="F404" s="19">
        <v>0.93</v>
      </c>
      <c r="G404" s="19">
        <v>20260326</v>
      </c>
      <c r="H404" s="20" t="b">
        <f t="shared" si="6"/>
        <v>0</v>
      </c>
      <c r="I404" s="21" t="str" cm="1">
        <f t="array" ref="I404">GET_TICKER_FINAL(C404)</f>
        <v/>
      </c>
      <c r="J404" s="5" t="s">
        <v>1792</v>
      </c>
    </row>
    <row r="405" spans="1:10" hidden="1">
      <c r="A405" s="23">
        <v>404</v>
      </c>
      <c r="B405" s="22" t="s">
        <v>409</v>
      </c>
      <c r="C405" s="22" t="s">
        <v>425</v>
      </c>
      <c r="D405" s="22">
        <v>61</v>
      </c>
      <c r="E405" s="22">
        <v>70</v>
      </c>
      <c r="F405" s="22">
        <v>0.96</v>
      </c>
      <c r="G405" s="22">
        <v>20260402</v>
      </c>
      <c r="H405" s="23" t="b">
        <f t="shared" si="6"/>
        <v>0</v>
      </c>
      <c r="I405" s="24" t="str" cm="1">
        <f t="array" ref="I405">GET_TICKER_FINAL(C405)</f>
        <v/>
      </c>
      <c r="J405" s="5" t="s">
        <v>1792</v>
      </c>
    </row>
    <row r="406" spans="1:10">
      <c r="A406" s="20">
        <v>405</v>
      </c>
      <c r="B406" s="19" t="s">
        <v>409</v>
      </c>
      <c r="C406" s="19" t="s">
        <v>426</v>
      </c>
      <c r="D406" s="19">
        <v>53</v>
      </c>
      <c r="E406" s="19">
        <v>55</v>
      </c>
      <c r="F406" s="19">
        <v>0.9</v>
      </c>
      <c r="G406" s="19">
        <v>20260331</v>
      </c>
      <c r="H406" s="20" t="b">
        <f t="shared" si="6"/>
        <v>0</v>
      </c>
      <c r="I406" s="21" t="str" cm="1">
        <f t="array" ref="I406">GET_TICKER_FINAL(C406)</f>
        <v>MSFT</v>
      </c>
      <c r="J406" s="5" t="s">
        <v>1792</v>
      </c>
    </row>
    <row r="407" spans="1:10" hidden="1">
      <c r="A407" s="23">
        <v>406</v>
      </c>
      <c r="B407" s="22" t="s">
        <v>409</v>
      </c>
      <c r="C407" s="22" t="s">
        <v>427</v>
      </c>
      <c r="D407" s="22">
        <v>52</v>
      </c>
      <c r="E407" s="22">
        <v>25</v>
      </c>
      <c r="F407" s="22">
        <v>0.89</v>
      </c>
      <c r="G407" s="22">
        <v>20260401</v>
      </c>
      <c r="H407" s="23" t="b">
        <f t="shared" si="6"/>
        <v>0</v>
      </c>
      <c r="I407" s="24" t="str" cm="1">
        <f t="array" ref="I407">GET_TICKER_FINAL(C407)</f>
        <v/>
      </c>
      <c r="J407" s="5" t="s">
        <v>1792</v>
      </c>
    </row>
    <row r="408" spans="1:10" hidden="1">
      <c r="A408" s="20">
        <v>407</v>
      </c>
      <c r="B408" s="19" t="s">
        <v>409</v>
      </c>
      <c r="C408" s="19" t="s">
        <v>428</v>
      </c>
      <c r="D408" s="19">
        <v>50</v>
      </c>
      <c r="E408" s="19">
        <v>61</v>
      </c>
      <c r="F408" s="19">
        <v>0.79</v>
      </c>
      <c r="G408" s="19">
        <v>20260320</v>
      </c>
      <c r="H408" s="20" t="b">
        <f t="shared" si="6"/>
        <v>0</v>
      </c>
      <c r="I408" s="21" t="str" cm="1">
        <f t="array" ref="I408">GET_TICKER_FINAL(C408)</f>
        <v/>
      </c>
      <c r="J408" s="5" t="s">
        <v>16</v>
      </c>
    </row>
    <row r="409" spans="1:10" hidden="1">
      <c r="A409" s="23">
        <v>408</v>
      </c>
      <c r="B409" s="22" t="s">
        <v>409</v>
      </c>
      <c r="C409" s="22" t="s">
        <v>429</v>
      </c>
      <c r="D409" s="22">
        <v>48</v>
      </c>
      <c r="E409" s="22">
        <v>81</v>
      </c>
      <c r="F409" s="22">
        <v>0.8</v>
      </c>
      <c r="G409" s="22">
        <v>20260327</v>
      </c>
      <c r="H409" s="23" t="b">
        <f t="shared" si="6"/>
        <v>0</v>
      </c>
      <c r="I409" s="24" t="str" cm="1">
        <f t="array" ref="I409">GET_TICKER_FINAL(C409)</f>
        <v/>
      </c>
      <c r="J409" s="5" t="s">
        <v>16</v>
      </c>
    </row>
    <row r="410" spans="1:10" hidden="1">
      <c r="A410" s="20">
        <v>409</v>
      </c>
      <c r="B410" s="19" t="s">
        <v>409</v>
      </c>
      <c r="C410" s="19" t="s">
        <v>430</v>
      </c>
      <c r="D410" s="19">
        <v>46</v>
      </c>
      <c r="E410" s="19">
        <v>51</v>
      </c>
      <c r="F410" s="19">
        <v>0.9</v>
      </c>
      <c r="G410" s="19">
        <v>20260324</v>
      </c>
      <c r="H410" s="20" t="b">
        <f t="shared" si="6"/>
        <v>0</v>
      </c>
      <c r="I410" s="21" t="str" cm="1">
        <f t="array" ref="I410">GET_TICKER_FINAL(C410)</f>
        <v/>
      </c>
      <c r="J410" s="5" t="s">
        <v>16</v>
      </c>
    </row>
    <row r="411" spans="1:10" hidden="1">
      <c r="A411" s="23">
        <v>410</v>
      </c>
      <c r="B411" s="22" t="s">
        <v>409</v>
      </c>
      <c r="C411" s="22" t="s">
        <v>431</v>
      </c>
      <c r="D411" s="22">
        <v>43</v>
      </c>
      <c r="E411" s="22">
        <v>126</v>
      </c>
      <c r="F411" s="22">
        <v>0.81</v>
      </c>
      <c r="G411" s="22">
        <v>20260331</v>
      </c>
      <c r="H411" s="23" t="b">
        <f t="shared" si="6"/>
        <v>0</v>
      </c>
      <c r="I411" s="24" t="str" cm="1">
        <f t="array" ref="I411">GET_TICKER_FINAL(C411)</f>
        <v/>
      </c>
      <c r="J411" s="5" t="s">
        <v>1792</v>
      </c>
    </row>
    <row r="412" spans="1:10">
      <c r="A412" s="20">
        <v>411</v>
      </c>
      <c r="B412" s="19" t="s">
        <v>409</v>
      </c>
      <c r="C412" s="19" t="s">
        <v>432</v>
      </c>
      <c r="D412" s="19">
        <v>42</v>
      </c>
      <c r="E412" s="19">
        <v>51</v>
      </c>
      <c r="F412" s="19">
        <v>0.77</v>
      </c>
      <c r="G412" s="19">
        <v>20260326</v>
      </c>
      <c r="H412" s="20" t="b">
        <f t="shared" si="6"/>
        <v>0</v>
      </c>
      <c r="I412" s="21" t="str" cm="1">
        <f t="array" ref="I412">GET_TICKER_FINAL(C412)</f>
        <v>NVDA</v>
      </c>
      <c r="J412" s="5" t="s">
        <v>16</v>
      </c>
    </row>
    <row r="413" spans="1:10" hidden="1">
      <c r="A413" s="23">
        <v>412</v>
      </c>
      <c r="B413" s="22" t="s">
        <v>409</v>
      </c>
      <c r="C413" s="22" t="s">
        <v>433</v>
      </c>
      <c r="D413" s="22">
        <v>42</v>
      </c>
      <c r="E413" s="22">
        <v>37</v>
      </c>
      <c r="F413" s="22">
        <v>0.86</v>
      </c>
      <c r="G413" s="22">
        <v>20260402</v>
      </c>
      <c r="H413" s="23" t="b">
        <f t="shared" si="6"/>
        <v>0</v>
      </c>
      <c r="I413" s="24" t="str" cm="1">
        <f t="array" ref="I413">GET_TICKER_FINAL(C413)</f>
        <v/>
      </c>
      <c r="J413" s="5" t="s">
        <v>16</v>
      </c>
    </row>
    <row r="414" spans="1:10" hidden="1">
      <c r="A414" s="20">
        <v>413</v>
      </c>
      <c r="B414" s="19" t="s">
        <v>409</v>
      </c>
      <c r="C414" s="19" t="s">
        <v>434</v>
      </c>
      <c r="D414" s="19">
        <v>41</v>
      </c>
      <c r="E414" s="19">
        <v>35</v>
      </c>
      <c r="F414" s="19">
        <v>0.81</v>
      </c>
      <c r="G414" s="19">
        <v>20260323</v>
      </c>
      <c r="H414" s="20" t="b">
        <f t="shared" si="6"/>
        <v>0</v>
      </c>
      <c r="I414" s="21" t="str" cm="1">
        <f t="array" ref="I414">GET_TICKER_FINAL(C414)</f>
        <v/>
      </c>
      <c r="J414" s="5" t="s">
        <v>1792</v>
      </c>
    </row>
    <row r="415" spans="1:10" hidden="1">
      <c r="A415" s="23">
        <v>414</v>
      </c>
      <c r="B415" s="22" t="s">
        <v>409</v>
      </c>
      <c r="C415" s="22" t="s">
        <v>435</v>
      </c>
      <c r="D415" s="22">
        <v>41</v>
      </c>
      <c r="E415" s="22">
        <v>72</v>
      </c>
      <c r="F415" s="22">
        <v>0.81</v>
      </c>
      <c r="G415" s="22">
        <v>20260330</v>
      </c>
      <c r="H415" s="23" t="b">
        <f t="shared" si="6"/>
        <v>0</v>
      </c>
      <c r="I415" s="24" t="str" cm="1">
        <f t="array" ref="I415">GET_TICKER_FINAL(C415)</f>
        <v/>
      </c>
      <c r="J415" s="5" t="s">
        <v>1792</v>
      </c>
    </row>
    <row r="416" spans="1:10" hidden="1">
      <c r="A416" s="20">
        <v>415</v>
      </c>
      <c r="B416" s="19" t="s">
        <v>409</v>
      </c>
      <c r="C416" s="19" t="s">
        <v>436</v>
      </c>
      <c r="D416" s="19">
        <v>39</v>
      </c>
      <c r="E416" s="19">
        <v>65</v>
      </c>
      <c r="F416" s="19">
        <v>0.85</v>
      </c>
      <c r="G416" s="19">
        <v>20260401</v>
      </c>
      <c r="H416" s="20" t="b">
        <f t="shared" si="6"/>
        <v>0</v>
      </c>
      <c r="I416" s="21" t="str" cm="1">
        <f t="array" ref="I416">GET_TICKER_FINAL(C416)</f>
        <v/>
      </c>
      <c r="J416" s="5" t="s">
        <v>1792</v>
      </c>
    </row>
    <row r="417" spans="1:10" hidden="1">
      <c r="A417" s="23">
        <v>416</v>
      </c>
      <c r="B417" s="22" t="s">
        <v>409</v>
      </c>
      <c r="C417" s="22" t="s">
        <v>437</v>
      </c>
      <c r="D417" s="22">
        <v>38</v>
      </c>
      <c r="E417" s="22">
        <v>55</v>
      </c>
      <c r="F417" s="22">
        <v>0.86</v>
      </c>
      <c r="G417" s="22">
        <v>20260324</v>
      </c>
      <c r="H417" s="23" t="b">
        <f t="shared" si="6"/>
        <v>0</v>
      </c>
      <c r="I417" s="24" t="str" cm="1">
        <f t="array" ref="I417">GET_TICKER_FINAL(C417)</f>
        <v/>
      </c>
      <c r="J417" s="5" t="s">
        <v>1792</v>
      </c>
    </row>
    <row r="418" spans="1:10" hidden="1">
      <c r="A418" s="20">
        <v>417</v>
      </c>
      <c r="B418" s="19" t="s">
        <v>409</v>
      </c>
      <c r="C418" s="19" t="s">
        <v>438</v>
      </c>
      <c r="D418" s="19">
        <v>35</v>
      </c>
      <c r="E418" s="19">
        <v>29</v>
      </c>
      <c r="F418" s="19">
        <v>0.8</v>
      </c>
      <c r="G418" s="19">
        <v>20260402</v>
      </c>
      <c r="H418" s="20" t="b">
        <f t="shared" si="6"/>
        <v>0</v>
      </c>
      <c r="I418" s="21" t="str" cm="1">
        <f t="array" ref="I418">GET_TICKER_FINAL(C418)</f>
        <v/>
      </c>
      <c r="J418" s="5" t="s">
        <v>1792</v>
      </c>
    </row>
    <row r="419" spans="1:10" hidden="1">
      <c r="A419" s="23">
        <v>418</v>
      </c>
      <c r="B419" s="22" t="s">
        <v>409</v>
      </c>
      <c r="C419" s="22" t="s">
        <v>439</v>
      </c>
      <c r="D419" s="22">
        <v>35</v>
      </c>
      <c r="E419" s="22">
        <v>42</v>
      </c>
      <c r="F419" s="22">
        <v>0.83</v>
      </c>
      <c r="G419" s="22">
        <v>20260323</v>
      </c>
      <c r="H419" s="23" t="b">
        <f t="shared" si="6"/>
        <v>0</v>
      </c>
      <c r="I419" s="24" t="str" cm="1">
        <f t="array" ref="I419">GET_TICKER_FINAL(C419)</f>
        <v/>
      </c>
      <c r="J419" s="5" t="s">
        <v>1792</v>
      </c>
    </row>
    <row r="420" spans="1:10" hidden="1">
      <c r="A420" s="20">
        <v>419</v>
      </c>
      <c r="B420" s="19" t="s">
        <v>409</v>
      </c>
      <c r="C420" s="19" t="s">
        <v>440</v>
      </c>
      <c r="D420" s="19">
        <v>32</v>
      </c>
      <c r="E420" s="19">
        <v>20</v>
      </c>
      <c r="F420" s="19">
        <v>0.87</v>
      </c>
      <c r="G420" s="19">
        <v>20260401</v>
      </c>
      <c r="H420" s="20" t="b">
        <f t="shared" si="6"/>
        <v>0</v>
      </c>
      <c r="I420" s="21" t="str" cm="1">
        <f t="array" ref="I420">GET_TICKER_FINAL(C420)</f>
        <v/>
      </c>
      <c r="J420" s="5" t="s">
        <v>1792</v>
      </c>
    </row>
    <row r="421" spans="1:10" hidden="1">
      <c r="A421" s="23">
        <v>420</v>
      </c>
      <c r="B421" s="22" t="s">
        <v>409</v>
      </c>
      <c r="C421" s="22" t="s">
        <v>441</v>
      </c>
      <c r="D421" s="22">
        <v>29</v>
      </c>
      <c r="E421" s="22">
        <v>26</v>
      </c>
      <c r="F421" s="22">
        <v>0.87</v>
      </c>
      <c r="G421" s="22">
        <v>20260320</v>
      </c>
      <c r="H421" s="23" t="b">
        <f t="shared" si="6"/>
        <v>0</v>
      </c>
      <c r="I421" s="24" t="str" cm="1">
        <f t="array" ref="I421">GET_TICKER_FINAL(C421)</f>
        <v/>
      </c>
      <c r="J421" s="5" t="s">
        <v>16</v>
      </c>
    </row>
    <row r="422" spans="1:10">
      <c r="A422" s="20">
        <v>421</v>
      </c>
      <c r="B422" s="19" t="s">
        <v>409</v>
      </c>
      <c r="C422" s="19" t="s">
        <v>442</v>
      </c>
      <c r="D422" s="19">
        <v>29</v>
      </c>
      <c r="E422" s="19">
        <v>44</v>
      </c>
      <c r="F422" s="19">
        <v>0.85</v>
      </c>
      <c r="G422" s="19">
        <v>20260402</v>
      </c>
      <c r="H422" s="20" t="b">
        <f t="shared" si="6"/>
        <v>0</v>
      </c>
      <c r="I422" s="21" t="str" cm="1">
        <f t="array" ref="I422">GET_TICKER_FINAL(C422)</f>
        <v>COST</v>
      </c>
      <c r="J422" s="5" t="s">
        <v>1792</v>
      </c>
    </row>
    <row r="423" spans="1:10" hidden="1">
      <c r="A423" s="23">
        <v>422</v>
      </c>
      <c r="B423" s="22" t="s">
        <v>409</v>
      </c>
      <c r="C423" s="22" t="s">
        <v>443</v>
      </c>
      <c r="D423" s="22">
        <v>27</v>
      </c>
      <c r="E423" s="22">
        <v>40</v>
      </c>
      <c r="F423" s="22">
        <v>0.83</v>
      </c>
      <c r="G423" s="22">
        <v>20260327</v>
      </c>
      <c r="H423" s="23" t="b">
        <f t="shared" si="6"/>
        <v>0</v>
      </c>
      <c r="I423" s="24" t="str" cm="1">
        <f t="array" ref="I423">GET_TICKER_FINAL(C423)</f>
        <v/>
      </c>
      <c r="J423" s="5" t="s">
        <v>1792</v>
      </c>
    </row>
    <row r="424" spans="1:10" hidden="1">
      <c r="A424" s="20">
        <v>423</v>
      </c>
      <c r="B424" s="19" t="s">
        <v>409</v>
      </c>
      <c r="C424" s="19" t="s">
        <v>444</v>
      </c>
      <c r="D424" s="19">
        <v>26</v>
      </c>
      <c r="E424" s="19">
        <v>42</v>
      </c>
      <c r="F424" s="19">
        <v>0.82</v>
      </c>
      <c r="G424" s="19">
        <v>20260330</v>
      </c>
      <c r="H424" s="20" t="b">
        <f t="shared" si="6"/>
        <v>0</v>
      </c>
      <c r="I424" s="21" t="str" cm="1">
        <f t="array" ref="I424">GET_TICKER_FINAL(C424)</f>
        <v/>
      </c>
      <c r="J424" s="5" t="s">
        <v>25</v>
      </c>
    </row>
    <row r="425" spans="1:10">
      <c r="A425" s="23">
        <v>424</v>
      </c>
      <c r="B425" s="22" t="s">
        <v>409</v>
      </c>
      <c r="C425" s="22" t="s">
        <v>445</v>
      </c>
      <c r="D425" s="22">
        <v>25</v>
      </c>
      <c r="E425" s="22">
        <v>39</v>
      </c>
      <c r="F425" s="22">
        <v>0.73</v>
      </c>
      <c r="G425" s="22">
        <v>20260331</v>
      </c>
      <c r="H425" s="23" t="b">
        <f t="shared" si="6"/>
        <v>0</v>
      </c>
      <c r="I425" s="24" t="str" cm="1">
        <f t="array" ref="I425">GET_TICKER_FINAL(C425)</f>
        <v>SPY</v>
      </c>
      <c r="J425" s="5" t="s">
        <v>1792</v>
      </c>
    </row>
    <row r="426" spans="1:10">
      <c r="A426" s="20">
        <v>425</v>
      </c>
      <c r="B426" s="19" t="s">
        <v>409</v>
      </c>
      <c r="C426" s="19" t="s">
        <v>446</v>
      </c>
      <c r="D426" s="19">
        <v>25</v>
      </c>
      <c r="E426" s="19">
        <v>40</v>
      </c>
      <c r="F426" s="19">
        <v>0.77</v>
      </c>
      <c r="G426" s="19">
        <v>20260331</v>
      </c>
      <c r="H426" s="20" t="b">
        <f t="shared" si="6"/>
        <v>0</v>
      </c>
      <c r="I426" s="21" t="str" cm="1">
        <f t="array" ref="I426">GET_TICKER_FINAL(C426)</f>
        <v>SOFI</v>
      </c>
      <c r="J426" s="5" t="s">
        <v>1792</v>
      </c>
    </row>
    <row r="427" spans="1:10" hidden="1">
      <c r="A427" s="23">
        <v>426</v>
      </c>
      <c r="B427" s="22" t="s">
        <v>409</v>
      </c>
      <c r="C427" s="22" t="s">
        <v>447</v>
      </c>
      <c r="D427" s="22">
        <v>25</v>
      </c>
      <c r="E427" s="22">
        <v>150</v>
      </c>
      <c r="F427" s="22">
        <v>0.73</v>
      </c>
      <c r="G427" s="22">
        <v>20260324</v>
      </c>
      <c r="H427" s="23" t="b">
        <f t="shared" si="6"/>
        <v>0</v>
      </c>
      <c r="I427" s="24" t="str" cm="1">
        <f t="array" ref="I427">GET_TICKER_FINAL(C427)</f>
        <v/>
      </c>
      <c r="J427" s="5" t="s">
        <v>25</v>
      </c>
    </row>
    <row r="428" spans="1:10">
      <c r="A428" s="20">
        <v>427</v>
      </c>
      <c r="B428" s="19" t="s">
        <v>409</v>
      </c>
      <c r="C428" s="19" t="s">
        <v>448</v>
      </c>
      <c r="D428" s="19">
        <v>25</v>
      </c>
      <c r="E428" s="19">
        <v>19</v>
      </c>
      <c r="F428" s="19">
        <v>0.86</v>
      </c>
      <c r="G428" s="19">
        <v>20260401</v>
      </c>
      <c r="H428" s="20" t="b">
        <f t="shared" si="6"/>
        <v>0</v>
      </c>
      <c r="I428" s="21" t="str" cm="1">
        <f t="array" ref="I428">GET_TICKER_FINAL(C428)</f>
        <v>MSFT</v>
      </c>
      <c r="J428" s="5" t="s">
        <v>25</v>
      </c>
    </row>
    <row r="429" spans="1:10">
      <c r="A429" s="23">
        <v>428</v>
      </c>
      <c r="B429" s="22" t="s">
        <v>409</v>
      </c>
      <c r="C429" s="22" t="s">
        <v>449</v>
      </c>
      <c r="D429" s="22">
        <v>24</v>
      </c>
      <c r="E429" s="22">
        <v>75</v>
      </c>
      <c r="F429" s="22">
        <v>0.74</v>
      </c>
      <c r="G429" s="22">
        <v>20260327</v>
      </c>
      <c r="H429" s="23" t="b">
        <f t="shared" si="6"/>
        <v>1</v>
      </c>
      <c r="I429" s="24" t="str" cm="1">
        <f t="array" ref="I429">GET_TICKER_FINAL(C429)</f>
        <v>MU</v>
      </c>
      <c r="J429" s="5" t="s">
        <v>16</v>
      </c>
    </row>
    <row r="430" spans="1:10" hidden="1">
      <c r="A430" s="20">
        <v>429</v>
      </c>
      <c r="B430" s="19" t="s">
        <v>409</v>
      </c>
      <c r="C430" s="19" t="s">
        <v>450</v>
      </c>
      <c r="D430" s="19">
        <v>24</v>
      </c>
      <c r="E430" s="19">
        <v>15</v>
      </c>
      <c r="F430" s="19">
        <v>0.76</v>
      </c>
      <c r="G430" s="19">
        <v>20260320</v>
      </c>
      <c r="H430" s="20" t="b">
        <f t="shared" si="6"/>
        <v>0</v>
      </c>
      <c r="I430" s="21" t="str" cm="1">
        <f t="array" ref="I430">GET_TICKER_FINAL(C430)</f>
        <v/>
      </c>
      <c r="J430" s="5" t="s">
        <v>1792</v>
      </c>
    </row>
    <row r="431" spans="1:10" hidden="1">
      <c r="A431" s="23">
        <v>430</v>
      </c>
      <c r="B431" s="22" t="s">
        <v>409</v>
      </c>
      <c r="C431" s="22" t="s">
        <v>451</v>
      </c>
      <c r="D431" s="22">
        <v>23</v>
      </c>
      <c r="E431" s="22">
        <v>2</v>
      </c>
      <c r="F431" s="22">
        <v>0.96</v>
      </c>
      <c r="G431" s="22">
        <v>20260402</v>
      </c>
      <c r="H431" s="23" t="b">
        <f t="shared" si="6"/>
        <v>0</v>
      </c>
      <c r="I431" s="24" t="str" cm="1">
        <f t="array" ref="I431">GET_TICKER_FINAL(C431)</f>
        <v/>
      </c>
      <c r="J431" s="5" t="s">
        <v>25</v>
      </c>
    </row>
    <row r="432" spans="1:10">
      <c r="A432" s="20">
        <v>431</v>
      </c>
      <c r="B432" s="19" t="s">
        <v>409</v>
      </c>
      <c r="C432" s="19" t="s">
        <v>452</v>
      </c>
      <c r="D432" s="19">
        <v>23</v>
      </c>
      <c r="E432" s="19">
        <v>53</v>
      </c>
      <c r="F432" s="19">
        <v>0.78</v>
      </c>
      <c r="G432" s="19">
        <v>20260331</v>
      </c>
      <c r="H432" s="20" t="b">
        <f t="shared" si="6"/>
        <v>0</v>
      </c>
      <c r="I432" s="21" t="str" cm="1">
        <f t="array" ref="I432">GET_TICKER_FINAL(C432)</f>
        <v>SPY</v>
      </c>
      <c r="J432" s="5" t="s">
        <v>16</v>
      </c>
    </row>
    <row r="433" spans="1:10">
      <c r="A433" s="23">
        <v>432</v>
      </c>
      <c r="B433" s="22" t="s">
        <v>409</v>
      </c>
      <c r="C433" s="22" t="s">
        <v>453</v>
      </c>
      <c r="D433" s="22">
        <v>22</v>
      </c>
      <c r="E433" s="22">
        <v>35</v>
      </c>
      <c r="F433" s="22">
        <v>0.73</v>
      </c>
      <c r="G433" s="22">
        <v>20260320</v>
      </c>
      <c r="H433" s="23" t="b">
        <f t="shared" si="6"/>
        <v>0</v>
      </c>
      <c r="I433" s="24" t="str" cm="1">
        <f t="array" ref="I433">GET_TICKER_FINAL(C433)</f>
        <v>SPY</v>
      </c>
      <c r="J433" s="5" t="s">
        <v>1792</v>
      </c>
    </row>
    <row r="434" spans="1:10" hidden="1">
      <c r="A434" s="20">
        <v>433</v>
      </c>
      <c r="B434" s="19" t="s">
        <v>409</v>
      </c>
      <c r="C434" s="19" t="s">
        <v>454</v>
      </c>
      <c r="D434" s="19">
        <v>22</v>
      </c>
      <c r="E434" s="19">
        <v>53</v>
      </c>
      <c r="F434" s="19">
        <v>0.88</v>
      </c>
      <c r="G434" s="19">
        <v>20260326</v>
      </c>
      <c r="H434" s="20" t="b">
        <f t="shared" si="6"/>
        <v>0</v>
      </c>
      <c r="I434" s="21" t="str" cm="1">
        <f t="array" ref="I434">GET_TICKER_FINAL(C434)</f>
        <v/>
      </c>
      <c r="J434" s="5" t="s">
        <v>25</v>
      </c>
    </row>
    <row r="435" spans="1:10" hidden="1">
      <c r="A435" s="23">
        <v>434</v>
      </c>
      <c r="B435" s="22" t="s">
        <v>409</v>
      </c>
      <c r="C435" s="22" t="s">
        <v>455</v>
      </c>
      <c r="D435" s="22">
        <v>22</v>
      </c>
      <c r="E435" s="22">
        <v>9</v>
      </c>
      <c r="F435" s="22">
        <v>0.88</v>
      </c>
      <c r="G435" s="22">
        <v>20260402</v>
      </c>
      <c r="H435" s="23" t="b">
        <f t="shared" si="6"/>
        <v>0</v>
      </c>
      <c r="I435" s="24" t="str" cm="1">
        <f t="array" ref="I435">GET_TICKER_FINAL(C435)</f>
        <v/>
      </c>
      <c r="J435" s="5" t="s">
        <v>1792</v>
      </c>
    </row>
    <row r="436" spans="1:10" hidden="1">
      <c r="A436" s="20">
        <v>435</v>
      </c>
      <c r="B436" s="19" t="s">
        <v>409</v>
      </c>
      <c r="C436" s="19" t="s">
        <v>456</v>
      </c>
      <c r="D436" s="19">
        <v>21</v>
      </c>
      <c r="E436" s="19">
        <v>57</v>
      </c>
      <c r="F436" s="19">
        <v>0.78</v>
      </c>
      <c r="G436" s="19">
        <v>20260331</v>
      </c>
      <c r="H436" s="20" t="b">
        <f t="shared" si="6"/>
        <v>0</v>
      </c>
      <c r="I436" s="21" t="str" cm="1">
        <f t="array" ref="I436">GET_TICKER_FINAL(C436)</f>
        <v/>
      </c>
      <c r="J436" s="5" t="s">
        <v>16</v>
      </c>
    </row>
    <row r="437" spans="1:10">
      <c r="A437" s="23">
        <v>436</v>
      </c>
      <c r="B437" s="22" t="s">
        <v>409</v>
      </c>
      <c r="C437" s="22" t="s">
        <v>457</v>
      </c>
      <c r="D437" s="22">
        <v>20</v>
      </c>
      <c r="E437" s="22">
        <v>14</v>
      </c>
      <c r="F437" s="22">
        <v>0.76</v>
      </c>
      <c r="G437" s="22">
        <v>20260330</v>
      </c>
      <c r="H437" s="23" t="b">
        <f t="shared" si="6"/>
        <v>0</v>
      </c>
      <c r="I437" s="24" t="str" cm="1">
        <f t="array" ref="I437">GET_TICKER_FINAL(C437)</f>
        <v>NVDA</v>
      </c>
      <c r="J437" s="5" t="s">
        <v>1792</v>
      </c>
    </row>
    <row r="438" spans="1:10" hidden="1">
      <c r="A438" s="20">
        <v>437</v>
      </c>
      <c r="B438" s="19" t="s">
        <v>409</v>
      </c>
      <c r="C438" s="19" t="s">
        <v>458</v>
      </c>
      <c r="D438" s="19">
        <v>20</v>
      </c>
      <c r="E438" s="19">
        <v>35</v>
      </c>
      <c r="F438" s="19">
        <v>0.83</v>
      </c>
      <c r="G438" s="19">
        <v>20260401</v>
      </c>
      <c r="H438" s="20" t="b">
        <f t="shared" si="6"/>
        <v>0</v>
      </c>
      <c r="I438" s="21" t="str" cm="1">
        <f t="array" ref="I438">GET_TICKER_FINAL(C438)</f>
        <v/>
      </c>
      <c r="J438" s="5" t="s">
        <v>1792</v>
      </c>
    </row>
    <row r="439" spans="1:10" hidden="1">
      <c r="A439" s="23">
        <v>438</v>
      </c>
      <c r="B439" s="22" t="s">
        <v>409</v>
      </c>
      <c r="C439" s="22" t="s">
        <v>459</v>
      </c>
      <c r="D439" s="22">
        <v>19</v>
      </c>
      <c r="E439" s="22">
        <v>32</v>
      </c>
      <c r="F439" s="22">
        <v>0.7</v>
      </c>
      <c r="G439" s="22">
        <v>20260323</v>
      </c>
      <c r="H439" s="23" t="b">
        <f t="shared" si="6"/>
        <v>0</v>
      </c>
      <c r="I439" s="24" t="str" cm="1">
        <f t="array" ref="I439">GET_TICKER_FINAL(C439)</f>
        <v/>
      </c>
      <c r="J439" s="5" t="s">
        <v>1792</v>
      </c>
    </row>
    <row r="440" spans="1:10" hidden="1">
      <c r="A440" s="20">
        <v>439</v>
      </c>
      <c r="B440" s="19" t="s">
        <v>409</v>
      </c>
      <c r="C440" s="19" t="s">
        <v>460</v>
      </c>
      <c r="D440" s="19">
        <v>19</v>
      </c>
      <c r="E440" s="19">
        <v>18</v>
      </c>
      <c r="F440" s="19">
        <v>0.85</v>
      </c>
      <c r="G440" s="19">
        <v>20260323</v>
      </c>
      <c r="H440" s="20" t="b">
        <f t="shared" si="6"/>
        <v>0</v>
      </c>
      <c r="I440" s="21" t="str" cm="1">
        <f t="array" ref="I440">GET_TICKER_FINAL(C440)</f>
        <v/>
      </c>
      <c r="J440" s="5" t="s">
        <v>16</v>
      </c>
    </row>
    <row r="441" spans="1:10" hidden="1">
      <c r="A441" s="23">
        <v>440</v>
      </c>
      <c r="B441" s="22" t="s">
        <v>409</v>
      </c>
      <c r="C441" s="22" t="s">
        <v>461</v>
      </c>
      <c r="D441" s="22">
        <v>19</v>
      </c>
      <c r="E441" s="22">
        <v>6</v>
      </c>
      <c r="F441" s="22">
        <v>0.77</v>
      </c>
      <c r="G441" s="22">
        <v>20260402</v>
      </c>
      <c r="H441" s="23" t="b">
        <f t="shared" si="6"/>
        <v>1</v>
      </c>
      <c r="I441" s="24" t="str" cm="1">
        <f t="array" ref="I441">GET_TICKER_FINAL(C441)</f>
        <v/>
      </c>
      <c r="J441" s="5" t="s">
        <v>1792</v>
      </c>
    </row>
    <row r="442" spans="1:10" hidden="1">
      <c r="A442" s="20">
        <v>441</v>
      </c>
      <c r="B442" s="19" t="s">
        <v>409</v>
      </c>
      <c r="C442" s="19" t="s">
        <v>462</v>
      </c>
      <c r="D442" s="19">
        <v>19</v>
      </c>
      <c r="E442" s="19">
        <v>17</v>
      </c>
      <c r="F442" s="19">
        <v>0.88</v>
      </c>
      <c r="G442" s="19">
        <v>20260323</v>
      </c>
      <c r="H442" s="20" t="b">
        <f t="shared" si="6"/>
        <v>0</v>
      </c>
      <c r="I442" s="21" t="str" cm="1">
        <f t="array" ref="I442">GET_TICKER_FINAL(C442)</f>
        <v/>
      </c>
      <c r="J442" s="5" t="s">
        <v>1792</v>
      </c>
    </row>
    <row r="443" spans="1:10" hidden="1">
      <c r="A443" s="23">
        <v>442</v>
      </c>
      <c r="B443" s="22" t="s">
        <v>409</v>
      </c>
      <c r="C443" s="22" t="s">
        <v>463</v>
      </c>
      <c r="D443" s="22">
        <v>18</v>
      </c>
      <c r="E443" s="22">
        <v>32</v>
      </c>
      <c r="F443" s="22">
        <v>0.91</v>
      </c>
      <c r="G443" s="22">
        <v>20260401</v>
      </c>
      <c r="H443" s="23" t="b">
        <f t="shared" si="6"/>
        <v>0</v>
      </c>
      <c r="I443" s="24" t="str" cm="1">
        <f t="array" ref="I443">GET_TICKER_FINAL(C443)</f>
        <v/>
      </c>
      <c r="J443" s="5" t="s">
        <v>25</v>
      </c>
    </row>
    <row r="444" spans="1:10" hidden="1">
      <c r="A444" s="20">
        <v>443</v>
      </c>
      <c r="B444" s="19" t="s">
        <v>409</v>
      </c>
      <c r="C444" s="19" t="s">
        <v>464</v>
      </c>
      <c r="D444" s="19">
        <v>18</v>
      </c>
      <c r="E444" s="19">
        <v>16</v>
      </c>
      <c r="F444" s="19">
        <v>0.93</v>
      </c>
      <c r="G444" s="19">
        <v>20260402</v>
      </c>
      <c r="H444" s="20" t="b">
        <f t="shared" si="6"/>
        <v>1</v>
      </c>
      <c r="I444" s="21" t="str" cm="1">
        <f t="array" ref="I444">GET_TICKER_FINAL(C444)</f>
        <v/>
      </c>
      <c r="J444" s="5" t="s">
        <v>1792</v>
      </c>
    </row>
    <row r="445" spans="1:10" hidden="1">
      <c r="A445" s="23">
        <v>444</v>
      </c>
      <c r="B445" s="22" t="s">
        <v>409</v>
      </c>
      <c r="C445" s="22" t="s">
        <v>465</v>
      </c>
      <c r="D445" s="22">
        <v>18</v>
      </c>
      <c r="E445" s="22">
        <v>43</v>
      </c>
      <c r="F445" s="22">
        <v>0.8</v>
      </c>
      <c r="G445" s="22">
        <v>20260323</v>
      </c>
      <c r="H445" s="23" t="b">
        <f t="shared" si="6"/>
        <v>0</v>
      </c>
      <c r="I445" s="24" t="str" cm="1">
        <f t="array" ref="I445">GET_TICKER_FINAL(C445)</f>
        <v/>
      </c>
      <c r="J445" s="5" t="s">
        <v>1792</v>
      </c>
    </row>
    <row r="446" spans="1:10" hidden="1">
      <c r="A446" s="20">
        <v>445</v>
      </c>
      <c r="B446" s="19" t="s">
        <v>409</v>
      </c>
      <c r="C446" s="19" t="s">
        <v>466</v>
      </c>
      <c r="D446" s="19">
        <v>18</v>
      </c>
      <c r="E446" s="19">
        <v>14</v>
      </c>
      <c r="F446" s="19">
        <v>0.78</v>
      </c>
      <c r="G446" s="19">
        <v>20260324</v>
      </c>
      <c r="H446" s="20" t="b">
        <f t="shared" si="6"/>
        <v>0</v>
      </c>
      <c r="I446" s="21" t="str" cm="1">
        <f t="array" ref="I446">GET_TICKER_FINAL(C446)</f>
        <v/>
      </c>
      <c r="J446" s="5" t="s">
        <v>1792</v>
      </c>
    </row>
    <row r="447" spans="1:10">
      <c r="A447" s="23">
        <v>446</v>
      </c>
      <c r="B447" s="22" t="s">
        <v>409</v>
      </c>
      <c r="C447" s="22" t="s">
        <v>467</v>
      </c>
      <c r="D447" s="22">
        <v>17</v>
      </c>
      <c r="E447" s="22">
        <v>16</v>
      </c>
      <c r="F447" s="22">
        <v>0.95</v>
      </c>
      <c r="G447" s="22">
        <v>20260330</v>
      </c>
      <c r="H447" s="23" t="b">
        <f t="shared" si="6"/>
        <v>0</v>
      </c>
      <c r="I447" s="24" t="str" cm="1">
        <f t="array" ref="I447">GET_TICKER_FINAL(C447)</f>
        <v>SPY</v>
      </c>
      <c r="J447" s="5" t="s">
        <v>1792</v>
      </c>
    </row>
    <row r="448" spans="1:10" hidden="1">
      <c r="A448" s="20">
        <v>447</v>
      </c>
      <c r="B448" s="19" t="s">
        <v>409</v>
      </c>
      <c r="C448" s="19" t="s">
        <v>468</v>
      </c>
      <c r="D448" s="19">
        <v>17</v>
      </c>
      <c r="E448" s="19">
        <v>41</v>
      </c>
      <c r="F448" s="19">
        <v>0.81</v>
      </c>
      <c r="G448" s="19">
        <v>20260323</v>
      </c>
      <c r="H448" s="20" t="b">
        <f t="shared" si="6"/>
        <v>0</v>
      </c>
      <c r="I448" s="21" t="str" cm="1">
        <f t="array" ref="I448">GET_TICKER_FINAL(C448)</f>
        <v/>
      </c>
      <c r="J448" s="5" t="s">
        <v>25</v>
      </c>
    </row>
    <row r="449" spans="1:10" hidden="1">
      <c r="A449" s="23">
        <v>448</v>
      </c>
      <c r="B449" s="22" t="s">
        <v>409</v>
      </c>
      <c r="C449" s="22" t="s">
        <v>469</v>
      </c>
      <c r="D449" s="22">
        <v>17</v>
      </c>
      <c r="E449" s="22">
        <v>0</v>
      </c>
      <c r="F449" s="22">
        <v>0.95</v>
      </c>
      <c r="G449" s="22">
        <v>20260324</v>
      </c>
      <c r="H449" s="23" t="b">
        <f t="shared" si="6"/>
        <v>0</v>
      </c>
      <c r="I449" s="24" t="str" cm="1">
        <f t="array" ref="I449">GET_TICKER_FINAL(C449)</f>
        <v/>
      </c>
      <c r="J449" s="5" t="s">
        <v>25</v>
      </c>
    </row>
    <row r="450" spans="1:10" hidden="1">
      <c r="A450" s="20">
        <v>449</v>
      </c>
      <c r="B450" s="19" t="s">
        <v>409</v>
      </c>
      <c r="C450" s="19" t="s">
        <v>470</v>
      </c>
      <c r="D450" s="19">
        <v>17</v>
      </c>
      <c r="E450" s="19">
        <v>7</v>
      </c>
      <c r="F450" s="19">
        <v>0.87</v>
      </c>
      <c r="G450" s="19">
        <v>20260401</v>
      </c>
      <c r="H450" s="20" t="b">
        <f t="shared" si="6"/>
        <v>0</v>
      </c>
      <c r="I450" s="21" t="str" cm="1">
        <f t="array" ref="I450">GET_TICKER_FINAL(C450)</f>
        <v/>
      </c>
      <c r="J450" s="5" t="s">
        <v>25</v>
      </c>
    </row>
    <row r="451" spans="1:10" hidden="1">
      <c r="A451" s="23">
        <v>450</v>
      </c>
      <c r="B451" s="22" t="s">
        <v>409</v>
      </c>
      <c r="C451" s="22" t="s">
        <v>471</v>
      </c>
      <c r="D451" s="22">
        <v>17</v>
      </c>
      <c r="E451" s="22">
        <v>8</v>
      </c>
      <c r="F451" s="22">
        <v>0.91</v>
      </c>
      <c r="G451" s="22">
        <v>20260401</v>
      </c>
      <c r="H451" s="23" t="b">
        <f t="shared" ref="H451:H514" si="7">OR(ISNUMBER(SEARCH("$A",C451)),ISNUMBER(SEARCH("$B",C451)),ISNUMBER(SEARCH("$C",C451)),ISNUMBER(SEARCH("$D",C451)),ISNUMBER(SEARCH("$E",C451)),ISNUMBER(SEARCH("$F",C451)),ISNUMBER(SEARCH("$G",C451)),ISNUMBER(SEARCH("$H",C451)),ISNUMBER(SEARCH("$I",C451)),ISNUMBER(SEARCH("$J",C451)),ISNUMBER(SEARCH("$K",C451)),ISNUMBER(SEARCH("$L",C451)),ISNUMBER(SEARCH("$M",C451)),ISNUMBER(SEARCH("$N",C451)),ISNUMBER(SEARCH("$O",C451)),ISNUMBER(SEARCH("$P",C451)),ISNUMBER(SEARCH("$Q",C451)),ISNUMBER(SEARCH("$R",C451)),ISNUMBER(SEARCH("$S",C451)),ISNUMBER(SEARCH("$T",C451)),ISNUMBER(SEARCH("$U",C451)),ISNUMBER(SEARCH("$V",C451)),ISNUMBER(SEARCH("$W",C451)),ISNUMBER(SEARCH("$X",C451)),ISNUMBER(SEARCH("$Y",C451)),ISNUMBER(SEARCH("$Z",C451)))</f>
        <v>1</v>
      </c>
      <c r="I451" s="24" t="str" cm="1">
        <f t="array" ref="I451">GET_TICKER_FINAL(C451)</f>
        <v/>
      </c>
      <c r="J451" s="5" t="s">
        <v>25</v>
      </c>
    </row>
    <row r="452" spans="1:10" hidden="1">
      <c r="A452" s="20">
        <v>451</v>
      </c>
      <c r="B452" s="19" t="s">
        <v>409</v>
      </c>
      <c r="C452" s="19" t="s">
        <v>472</v>
      </c>
      <c r="D452" s="19">
        <v>16</v>
      </c>
      <c r="E452" s="19">
        <v>10</v>
      </c>
      <c r="F452" s="19">
        <v>0.81</v>
      </c>
      <c r="G452" s="19">
        <v>20260401</v>
      </c>
      <c r="H452" s="20" t="b">
        <f t="shared" si="7"/>
        <v>0</v>
      </c>
      <c r="I452" s="21" t="str" cm="1">
        <f t="array" ref="I452">GET_TICKER_FINAL(C452)</f>
        <v/>
      </c>
      <c r="J452" s="5" t="s">
        <v>1792</v>
      </c>
    </row>
    <row r="453" spans="1:10" hidden="1">
      <c r="A453" s="23">
        <v>452</v>
      </c>
      <c r="B453" s="22" t="s">
        <v>409</v>
      </c>
      <c r="C453" s="22" t="s">
        <v>473</v>
      </c>
      <c r="D453" s="22">
        <v>16</v>
      </c>
      <c r="E453" s="22">
        <v>32</v>
      </c>
      <c r="F453" s="22">
        <v>0.86</v>
      </c>
      <c r="G453" s="22">
        <v>20260331</v>
      </c>
      <c r="H453" s="23" t="b">
        <f t="shared" si="7"/>
        <v>0</v>
      </c>
      <c r="I453" s="24" t="str" cm="1">
        <f t="array" ref="I453">GET_TICKER_FINAL(C453)</f>
        <v/>
      </c>
      <c r="J453" s="5" t="s">
        <v>1792</v>
      </c>
    </row>
    <row r="454" spans="1:10" hidden="1">
      <c r="A454" s="20">
        <v>453</v>
      </c>
      <c r="B454" s="19" t="s">
        <v>409</v>
      </c>
      <c r="C454" s="19" t="s">
        <v>474</v>
      </c>
      <c r="D454" s="19">
        <v>16</v>
      </c>
      <c r="E454" s="19">
        <v>26</v>
      </c>
      <c r="F454" s="19">
        <v>0.86</v>
      </c>
      <c r="G454" s="19">
        <v>20260327</v>
      </c>
      <c r="H454" s="20" t="b">
        <f t="shared" si="7"/>
        <v>0</v>
      </c>
      <c r="I454" s="21" t="str" cm="1">
        <f t="array" ref="I454">GET_TICKER_FINAL(C454)</f>
        <v/>
      </c>
      <c r="J454" s="5" t="s">
        <v>25</v>
      </c>
    </row>
    <row r="455" spans="1:10" hidden="1">
      <c r="A455" s="23">
        <v>454</v>
      </c>
      <c r="B455" s="22" t="s">
        <v>409</v>
      </c>
      <c r="C455" s="22" t="s">
        <v>475</v>
      </c>
      <c r="D455" s="22">
        <v>16</v>
      </c>
      <c r="E455" s="22">
        <v>78</v>
      </c>
      <c r="F455" s="22">
        <v>0.79</v>
      </c>
      <c r="G455" s="22">
        <v>20260320</v>
      </c>
      <c r="H455" s="23" t="b">
        <f t="shared" si="7"/>
        <v>0</v>
      </c>
      <c r="I455" s="24" t="str" cm="1">
        <f t="array" ref="I455">GET_TICKER_FINAL(C455)</f>
        <v/>
      </c>
      <c r="J455" s="5" t="s">
        <v>1792</v>
      </c>
    </row>
    <row r="456" spans="1:10" hidden="1">
      <c r="A456" s="20">
        <v>455</v>
      </c>
      <c r="B456" s="19" t="s">
        <v>409</v>
      </c>
      <c r="C456" s="19" t="s">
        <v>476</v>
      </c>
      <c r="D456" s="19">
        <v>15</v>
      </c>
      <c r="E456" s="19">
        <v>72</v>
      </c>
      <c r="F456" s="19">
        <v>0.66</v>
      </c>
      <c r="G456" s="19">
        <v>20260324</v>
      </c>
      <c r="H456" s="20" t="b">
        <f t="shared" si="7"/>
        <v>0</v>
      </c>
      <c r="I456" s="21" t="str" cm="1">
        <f t="array" ref="I456">GET_TICKER_FINAL(C456)</f>
        <v/>
      </c>
      <c r="J456" s="5" t="s">
        <v>16</v>
      </c>
    </row>
    <row r="457" spans="1:10">
      <c r="A457" s="23">
        <v>456</v>
      </c>
      <c r="B457" s="22" t="s">
        <v>409</v>
      </c>
      <c r="C457" s="22" t="s">
        <v>477</v>
      </c>
      <c r="D457" s="22">
        <v>15</v>
      </c>
      <c r="E457" s="22">
        <v>38</v>
      </c>
      <c r="F457" s="22">
        <v>0.72</v>
      </c>
      <c r="G457" s="22">
        <v>20260320</v>
      </c>
      <c r="H457" s="23" t="b">
        <f t="shared" si="7"/>
        <v>0</v>
      </c>
      <c r="I457" s="24" t="str" cm="1">
        <f t="array" ref="I457">GET_TICKER_FINAL(C457)</f>
        <v>NVDA</v>
      </c>
      <c r="J457" s="5" t="s">
        <v>25</v>
      </c>
    </row>
    <row r="458" spans="1:10" hidden="1">
      <c r="A458" s="20">
        <v>457</v>
      </c>
      <c r="B458" s="19" t="s">
        <v>409</v>
      </c>
      <c r="C458" s="19" t="s">
        <v>478</v>
      </c>
      <c r="D458" s="19">
        <v>15</v>
      </c>
      <c r="E458" s="19">
        <v>16</v>
      </c>
      <c r="F458" s="19">
        <v>0.9</v>
      </c>
      <c r="G458" s="19">
        <v>20260320</v>
      </c>
      <c r="H458" s="20" t="b">
        <f t="shared" si="7"/>
        <v>0</v>
      </c>
      <c r="I458" s="21" t="str" cm="1">
        <f t="array" ref="I458">GET_TICKER_FINAL(C458)</f>
        <v/>
      </c>
      <c r="J458" s="5" t="s">
        <v>1792</v>
      </c>
    </row>
    <row r="459" spans="1:10" hidden="1">
      <c r="A459" s="23">
        <v>458</v>
      </c>
      <c r="B459" s="22" t="s">
        <v>409</v>
      </c>
      <c r="C459" s="22" t="s">
        <v>479</v>
      </c>
      <c r="D459" s="22">
        <v>14</v>
      </c>
      <c r="E459" s="22">
        <v>23</v>
      </c>
      <c r="F459" s="22">
        <v>1</v>
      </c>
      <c r="G459" s="22">
        <v>20260330</v>
      </c>
      <c r="H459" s="23" t="b">
        <f t="shared" si="7"/>
        <v>0</v>
      </c>
      <c r="I459" s="24" t="str" cm="1">
        <f t="array" ref="I459">GET_TICKER_FINAL(C459)</f>
        <v/>
      </c>
      <c r="J459" s="5" t="s">
        <v>1792</v>
      </c>
    </row>
    <row r="460" spans="1:10" hidden="1">
      <c r="A460" s="20">
        <v>459</v>
      </c>
      <c r="B460" s="19" t="s">
        <v>409</v>
      </c>
      <c r="C460" s="19" t="s">
        <v>480</v>
      </c>
      <c r="D460" s="19">
        <v>14</v>
      </c>
      <c r="E460" s="19">
        <v>13</v>
      </c>
      <c r="F460" s="19">
        <v>0.64</v>
      </c>
      <c r="G460" s="19">
        <v>20260402</v>
      </c>
      <c r="H460" s="20" t="b">
        <f t="shared" si="7"/>
        <v>0</v>
      </c>
      <c r="I460" s="21" t="str" cm="1">
        <f t="array" ref="I460">GET_TICKER_FINAL(C460)</f>
        <v/>
      </c>
      <c r="J460" s="5" t="s">
        <v>1792</v>
      </c>
    </row>
    <row r="461" spans="1:10" hidden="1">
      <c r="A461" s="23">
        <v>460</v>
      </c>
      <c r="B461" s="22" t="s">
        <v>409</v>
      </c>
      <c r="C461" s="22" t="s">
        <v>481</v>
      </c>
      <c r="D461" s="22">
        <v>13</v>
      </c>
      <c r="E461" s="22">
        <v>8</v>
      </c>
      <c r="F461" s="22">
        <v>0.81</v>
      </c>
      <c r="G461" s="22">
        <v>20260401</v>
      </c>
      <c r="H461" s="23" t="b">
        <f t="shared" si="7"/>
        <v>0</v>
      </c>
      <c r="I461" s="24" t="str" cm="1">
        <f t="array" ref="I461">GET_TICKER_FINAL(C461)</f>
        <v/>
      </c>
      <c r="J461" s="5" t="s">
        <v>1792</v>
      </c>
    </row>
    <row r="462" spans="1:10" hidden="1">
      <c r="A462" s="20">
        <v>461</v>
      </c>
      <c r="B462" s="19" t="s">
        <v>409</v>
      </c>
      <c r="C462" s="19" t="s">
        <v>482</v>
      </c>
      <c r="D462" s="19">
        <v>13</v>
      </c>
      <c r="E462" s="19">
        <v>20</v>
      </c>
      <c r="F462" s="19">
        <v>0.93</v>
      </c>
      <c r="G462" s="19">
        <v>20260323</v>
      </c>
      <c r="H462" s="20" t="b">
        <f t="shared" si="7"/>
        <v>0</v>
      </c>
      <c r="I462" s="21" t="str" cm="1">
        <f t="array" ref="I462">GET_TICKER_FINAL(C462)</f>
        <v/>
      </c>
      <c r="J462" s="5" t="s">
        <v>1792</v>
      </c>
    </row>
    <row r="463" spans="1:10" hidden="1">
      <c r="A463" s="23">
        <v>462</v>
      </c>
      <c r="B463" s="22" t="s">
        <v>409</v>
      </c>
      <c r="C463" s="22" t="s">
        <v>483</v>
      </c>
      <c r="D463" s="22">
        <v>12</v>
      </c>
      <c r="E463" s="22">
        <v>42</v>
      </c>
      <c r="F463" s="22">
        <v>0.77</v>
      </c>
      <c r="G463" s="22">
        <v>20260330</v>
      </c>
      <c r="H463" s="23" t="b">
        <f t="shared" si="7"/>
        <v>0</v>
      </c>
      <c r="I463" s="24" t="str" cm="1">
        <f t="array" ref="I463">GET_TICKER_FINAL(C463)</f>
        <v/>
      </c>
      <c r="J463" s="5" t="s">
        <v>1792</v>
      </c>
    </row>
    <row r="464" spans="1:10" hidden="1">
      <c r="A464" s="20">
        <v>463</v>
      </c>
      <c r="B464" s="19" t="s">
        <v>409</v>
      </c>
      <c r="C464" s="19" t="s">
        <v>484</v>
      </c>
      <c r="D464" s="19">
        <v>12</v>
      </c>
      <c r="E464" s="19">
        <v>14</v>
      </c>
      <c r="F464" s="19">
        <v>1</v>
      </c>
      <c r="G464" s="19">
        <v>20260401</v>
      </c>
      <c r="H464" s="20" t="b">
        <f t="shared" si="7"/>
        <v>0</v>
      </c>
      <c r="I464" s="21" t="str" cm="1">
        <f t="array" ref="I464">GET_TICKER_FINAL(C464)</f>
        <v/>
      </c>
      <c r="J464" s="5" t="s">
        <v>1792</v>
      </c>
    </row>
    <row r="465" spans="1:10" hidden="1">
      <c r="A465" s="23">
        <v>464</v>
      </c>
      <c r="B465" s="22" t="s">
        <v>409</v>
      </c>
      <c r="C465" s="22" t="s">
        <v>485</v>
      </c>
      <c r="D465" s="22">
        <v>12</v>
      </c>
      <c r="E465" s="22">
        <v>22</v>
      </c>
      <c r="F465" s="22">
        <v>0.84</v>
      </c>
      <c r="G465" s="22">
        <v>20260402</v>
      </c>
      <c r="H465" s="23" t="b">
        <f t="shared" si="7"/>
        <v>0</v>
      </c>
      <c r="I465" s="24" t="str" cm="1">
        <f t="array" ref="I465">GET_TICKER_FINAL(C465)</f>
        <v/>
      </c>
      <c r="J465" s="5" t="s">
        <v>16</v>
      </c>
    </row>
    <row r="466" spans="1:10">
      <c r="A466" s="20">
        <v>465</v>
      </c>
      <c r="B466" s="19" t="s">
        <v>409</v>
      </c>
      <c r="C466" s="19" t="s">
        <v>486</v>
      </c>
      <c r="D466" s="19">
        <v>12</v>
      </c>
      <c r="E466" s="19">
        <v>52</v>
      </c>
      <c r="F466" s="19">
        <v>0.81</v>
      </c>
      <c r="G466" s="19">
        <v>20260402</v>
      </c>
      <c r="H466" s="20" t="b">
        <f t="shared" si="7"/>
        <v>0</v>
      </c>
      <c r="I466" s="21" t="str" cm="1">
        <f t="array" ref="I466">GET_TICKER_FINAL(C466)</f>
        <v>SPY</v>
      </c>
      <c r="J466" s="5" t="s">
        <v>1792</v>
      </c>
    </row>
    <row r="467" spans="1:10" hidden="1">
      <c r="A467" s="23">
        <v>466</v>
      </c>
      <c r="B467" s="22" t="s">
        <v>409</v>
      </c>
      <c r="C467" s="22" t="s">
        <v>487</v>
      </c>
      <c r="D467" s="22">
        <v>12</v>
      </c>
      <c r="E467" s="22">
        <v>12</v>
      </c>
      <c r="F467" s="22">
        <v>0.7</v>
      </c>
      <c r="G467" s="22">
        <v>20260331</v>
      </c>
      <c r="H467" s="23" t="b">
        <f t="shared" si="7"/>
        <v>0</v>
      </c>
      <c r="I467" s="24" t="str" cm="1">
        <f t="array" ref="I467">GET_TICKER_FINAL(C467)</f>
        <v/>
      </c>
      <c r="J467" s="5" t="s">
        <v>1792</v>
      </c>
    </row>
    <row r="468" spans="1:10" hidden="1">
      <c r="A468" s="20">
        <v>467</v>
      </c>
      <c r="B468" s="19" t="s">
        <v>409</v>
      </c>
      <c r="C468" s="19" t="s">
        <v>488</v>
      </c>
      <c r="D468" s="19">
        <v>11</v>
      </c>
      <c r="E468" s="19">
        <v>7</v>
      </c>
      <c r="F468" s="19">
        <v>0.83</v>
      </c>
      <c r="G468" s="19">
        <v>20260401</v>
      </c>
      <c r="H468" s="20" t="b">
        <f t="shared" si="7"/>
        <v>1</v>
      </c>
      <c r="I468" s="21" t="str" cm="1">
        <f t="array" ref="I468">GET_TICKER_FINAL(C468)</f>
        <v/>
      </c>
      <c r="J468" s="5" t="s">
        <v>25</v>
      </c>
    </row>
    <row r="469" spans="1:10" hidden="1">
      <c r="A469" s="23">
        <v>468</v>
      </c>
      <c r="B469" s="22" t="s">
        <v>409</v>
      </c>
      <c r="C469" s="22" t="s">
        <v>489</v>
      </c>
      <c r="D469" s="22">
        <v>11</v>
      </c>
      <c r="E469" s="22">
        <v>6</v>
      </c>
      <c r="F469" s="22">
        <v>0.79</v>
      </c>
      <c r="G469" s="22">
        <v>20260401</v>
      </c>
      <c r="H469" s="23" t="b">
        <f t="shared" si="7"/>
        <v>0</v>
      </c>
      <c r="I469" s="24" t="str" cm="1">
        <f t="array" ref="I469">GET_TICKER_FINAL(C469)</f>
        <v/>
      </c>
      <c r="J469" s="5" t="s">
        <v>1792</v>
      </c>
    </row>
    <row r="470" spans="1:10" hidden="1">
      <c r="A470" s="20">
        <v>469</v>
      </c>
      <c r="B470" s="19" t="s">
        <v>409</v>
      </c>
      <c r="C470" s="19" t="s">
        <v>490</v>
      </c>
      <c r="D470" s="19">
        <v>11</v>
      </c>
      <c r="E470" s="19">
        <v>16</v>
      </c>
      <c r="F470" s="19">
        <v>0.87</v>
      </c>
      <c r="G470" s="19">
        <v>20260327</v>
      </c>
      <c r="H470" s="20" t="b">
        <f t="shared" si="7"/>
        <v>0</v>
      </c>
      <c r="I470" s="21" t="str" cm="1">
        <f t="array" ref="I470">GET_TICKER_FINAL(C470)</f>
        <v/>
      </c>
      <c r="J470" s="5" t="s">
        <v>1792</v>
      </c>
    </row>
    <row r="471" spans="1:10" hidden="1">
      <c r="A471" s="23">
        <v>470</v>
      </c>
      <c r="B471" s="22" t="s">
        <v>409</v>
      </c>
      <c r="C471" s="22" t="s">
        <v>491</v>
      </c>
      <c r="D471" s="22">
        <v>11</v>
      </c>
      <c r="E471" s="22">
        <v>20</v>
      </c>
      <c r="F471" s="22">
        <v>0.84</v>
      </c>
      <c r="G471" s="22">
        <v>20260323</v>
      </c>
      <c r="H471" s="23" t="b">
        <f t="shared" si="7"/>
        <v>0</v>
      </c>
      <c r="I471" s="24" t="str" cm="1">
        <f t="array" ref="I471">GET_TICKER_FINAL(C471)</f>
        <v/>
      </c>
      <c r="J471" s="5" t="s">
        <v>1792</v>
      </c>
    </row>
    <row r="472" spans="1:10" hidden="1">
      <c r="A472" s="20">
        <v>471</v>
      </c>
      <c r="B472" s="19" t="s">
        <v>409</v>
      </c>
      <c r="C472" s="19" t="s">
        <v>492</v>
      </c>
      <c r="D472" s="19">
        <v>11</v>
      </c>
      <c r="E472" s="19">
        <v>6</v>
      </c>
      <c r="F472" s="19">
        <v>0.87</v>
      </c>
      <c r="G472" s="19">
        <v>20260402</v>
      </c>
      <c r="H472" s="20" t="b">
        <f t="shared" si="7"/>
        <v>0</v>
      </c>
      <c r="I472" s="21" t="str" cm="1">
        <f t="array" ref="I472">GET_TICKER_FINAL(C472)</f>
        <v/>
      </c>
      <c r="J472" s="5" t="s">
        <v>1792</v>
      </c>
    </row>
    <row r="473" spans="1:10" hidden="1">
      <c r="A473" s="23">
        <v>472</v>
      </c>
      <c r="B473" s="22" t="s">
        <v>409</v>
      </c>
      <c r="C473" s="22" t="s">
        <v>493</v>
      </c>
      <c r="D473" s="22">
        <v>11</v>
      </c>
      <c r="E473" s="22">
        <v>19</v>
      </c>
      <c r="F473" s="22">
        <v>0.77</v>
      </c>
      <c r="G473" s="22">
        <v>20260320</v>
      </c>
      <c r="H473" s="23" t="b">
        <f t="shared" si="7"/>
        <v>0</v>
      </c>
      <c r="I473" s="24" t="str" cm="1">
        <f t="array" ref="I473">GET_TICKER_FINAL(C473)</f>
        <v/>
      </c>
      <c r="J473" s="5" t="s">
        <v>16</v>
      </c>
    </row>
    <row r="474" spans="1:10">
      <c r="A474" s="20">
        <v>473</v>
      </c>
      <c r="B474" s="19" t="s">
        <v>409</v>
      </c>
      <c r="C474" s="19" t="s">
        <v>494</v>
      </c>
      <c r="D474" s="19">
        <v>11</v>
      </c>
      <c r="E474" s="19">
        <v>11</v>
      </c>
      <c r="F474" s="19">
        <v>0.64</v>
      </c>
      <c r="G474" s="19">
        <v>20260402</v>
      </c>
      <c r="H474" s="20" t="b">
        <f t="shared" si="7"/>
        <v>0</v>
      </c>
      <c r="I474" s="21" t="str" cm="1">
        <f t="array" ref="I474">GET_TICKER_FINAL(C474)</f>
        <v>SPY</v>
      </c>
      <c r="J474" s="5" t="s">
        <v>1792</v>
      </c>
    </row>
    <row r="475" spans="1:10" hidden="1">
      <c r="A475" s="23">
        <v>474</v>
      </c>
      <c r="B475" s="22" t="s">
        <v>409</v>
      </c>
      <c r="C475" s="22" t="s">
        <v>495</v>
      </c>
      <c r="D475" s="22">
        <v>11</v>
      </c>
      <c r="E475" s="22">
        <v>22</v>
      </c>
      <c r="F475" s="22">
        <v>0.92</v>
      </c>
      <c r="G475" s="22">
        <v>20260324</v>
      </c>
      <c r="H475" s="23" t="b">
        <f t="shared" si="7"/>
        <v>0</v>
      </c>
      <c r="I475" s="24" t="str" cm="1">
        <f t="array" ref="I475">GET_TICKER_FINAL(C475)</f>
        <v/>
      </c>
      <c r="J475" s="5" t="s">
        <v>1792</v>
      </c>
    </row>
    <row r="476" spans="1:10">
      <c r="A476" s="20">
        <v>475</v>
      </c>
      <c r="B476" s="19" t="s">
        <v>409</v>
      </c>
      <c r="C476" s="19" t="s">
        <v>496</v>
      </c>
      <c r="D476" s="19">
        <v>10</v>
      </c>
      <c r="E476" s="19">
        <v>46</v>
      </c>
      <c r="F476" s="19">
        <v>0.7</v>
      </c>
      <c r="G476" s="19">
        <v>20260330</v>
      </c>
      <c r="H476" s="20" t="b">
        <f t="shared" si="7"/>
        <v>0</v>
      </c>
      <c r="I476" s="21" t="str" cm="1">
        <f t="array" ref="I476">GET_TICKER_FINAL(C476)</f>
        <v>SPY</v>
      </c>
      <c r="J476" s="5" t="s">
        <v>1792</v>
      </c>
    </row>
    <row r="477" spans="1:10" hidden="1">
      <c r="A477" s="23">
        <v>476</v>
      </c>
      <c r="B477" s="22" t="s">
        <v>409</v>
      </c>
      <c r="C477" s="22" t="s">
        <v>497</v>
      </c>
      <c r="D477" s="22">
        <v>10</v>
      </c>
      <c r="E477" s="22">
        <v>14</v>
      </c>
      <c r="F477" s="22">
        <v>1</v>
      </c>
      <c r="G477" s="22">
        <v>20260330</v>
      </c>
      <c r="H477" s="23" t="b">
        <f t="shared" si="7"/>
        <v>0</v>
      </c>
      <c r="I477" s="24" t="str" cm="1">
        <f t="array" ref="I477">GET_TICKER_FINAL(C477)</f>
        <v/>
      </c>
      <c r="J477" s="5" t="s">
        <v>1792</v>
      </c>
    </row>
    <row r="478" spans="1:10" hidden="1">
      <c r="A478" s="20">
        <v>477</v>
      </c>
      <c r="B478" s="19" t="s">
        <v>409</v>
      </c>
      <c r="C478" s="19" t="s">
        <v>498</v>
      </c>
      <c r="D478" s="19">
        <v>10</v>
      </c>
      <c r="E478" s="19">
        <v>10</v>
      </c>
      <c r="F478" s="19">
        <v>1</v>
      </c>
      <c r="G478" s="19">
        <v>20260323</v>
      </c>
      <c r="H478" s="20" t="b">
        <f t="shared" si="7"/>
        <v>0</v>
      </c>
      <c r="I478" s="21" t="str" cm="1">
        <f t="array" ref="I478">GET_TICKER_FINAL(C478)</f>
        <v/>
      </c>
      <c r="J478" s="5" t="s">
        <v>1792</v>
      </c>
    </row>
    <row r="479" spans="1:10" hidden="1">
      <c r="A479" s="23">
        <v>478</v>
      </c>
      <c r="B479" s="22" t="s">
        <v>409</v>
      </c>
      <c r="C479" s="22" t="s">
        <v>499</v>
      </c>
      <c r="D479" s="22">
        <v>10</v>
      </c>
      <c r="E479" s="22">
        <v>13</v>
      </c>
      <c r="F479" s="22">
        <v>0.86</v>
      </c>
      <c r="G479" s="22">
        <v>20260401</v>
      </c>
      <c r="H479" s="23" t="b">
        <f t="shared" si="7"/>
        <v>0</v>
      </c>
      <c r="I479" s="24" t="str" cm="1">
        <f t="array" ref="I479">GET_TICKER_FINAL(C479)</f>
        <v/>
      </c>
      <c r="J479" s="5" t="s">
        <v>1792</v>
      </c>
    </row>
    <row r="480" spans="1:10" hidden="1">
      <c r="A480" s="20">
        <v>479</v>
      </c>
      <c r="B480" s="19" t="s">
        <v>409</v>
      </c>
      <c r="C480" s="19" t="s">
        <v>500</v>
      </c>
      <c r="D480" s="19">
        <v>9</v>
      </c>
      <c r="E480" s="19">
        <v>33</v>
      </c>
      <c r="F480" s="19">
        <v>0.68</v>
      </c>
      <c r="G480" s="19">
        <v>20260323</v>
      </c>
      <c r="H480" s="20" t="b">
        <f t="shared" si="7"/>
        <v>0</v>
      </c>
      <c r="I480" s="21" t="str" cm="1">
        <f t="array" ref="I480">GET_TICKER_FINAL(C480)</f>
        <v/>
      </c>
      <c r="J480" s="5" t="s">
        <v>16</v>
      </c>
    </row>
    <row r="481" spans="1:10" hidden="1">
      <c r="A481" s="23">
        <v>480</v>
      </c>
      <c r="B481" s="22" t="s">
        <v>409</v>
      </c>
      <c r="C481" s="22" t="s">
        <v>501</v>
      </c>
      <c r="D481" s="22">
        <v>9</v>
      </c>
      <c r="E481" s="22">
        <v>4</v>
      </c>
      <c r="F481" s="22">
        <v>0.8</v>
      </c>
      <c r="G481" s="22">
        <v>20260401</v>
      </c>
      <c r="H481" s="23" t="b">
        <f t="shared" si="7"/>
        <v>1</v>
      </c>
      <c r="I481" s="24" t="str" cm="1">
        <f t="array" ref="I481">GET_TICKER_FINAL(C481)</f>
        <v/>
      </c>
      <c r="J481" s="5" t="s">
        <v>1792</v>
      </c>
    </row>
    <row r="482" spans="1:10" hidden="1">
      <c r="A482" s="20">
        <v>481</v>
      </c>
      <c r="B482" s="19" t="s">
        <v>409</v>
      </c>
      <c r="C482" s="19" t="s">
        <v>502</v>
      </c>
      <c r="D482" s="19">
        <v>9</v>
      </c>
      <c r="E482" s="19">
        <v>31</v>
      </c>
      <c r="F482" s="19">
        <v>0.7</v>
      </c>
      <c r="G482" s="19">
        <v>20260320</v>
      </c>
      <c r="H482" s="20" t="b">
        <f t="shared" si="7"/>
        <v>0</v>
      </c>
      <c r="I482" s="21" t="str" cm="1">
        <f t="array" ref="I482">GET_TICKER_FINAL(C482)</f>
        <v/>
      </c>
      <c r="J482" s="5" t="s">
        <v>1792</v>
      </c>
    </row>
    <row r="483" spans="1:10" hidden="1">
      <c r="A483" s="23">
        <v>482</v>
      </c>
      <c r="B483" s="22" t="s">
        <v>409</v>
      </c>
      <c r="C483" s="22" t="s">
        <v>503</v>
      </c>
      <c r="D483" s="22">
        <v>9</v>
      </c>
      <c r="E483" s="22">
        <v>10</v>
      </c>
      <c r="F483" s="22">
        <v>0.91</v>
      </c>
      <c r="G483" s="22">
        <v>20260331</v>
      </c>
      <c r="H483" s="23" t="b">
        <f t="shared" si="7"/>
        <v>0</v>
      </c>
      <c r="I483" s="24" t="str" cm="1">
        <f t="array" ref="I483">GET_TICKER_FINAL(C483)</f>
        <v/>
      </c>
      <c r="J483" s="5" t="s">
        <v>1792</v>
      </c>
    </row>
    <row r="484" spans="1:10" hidden="1">
      <c r="A484" s="20">
        <v>483</v>
      </c>
      <c r="B484" s="19" t="s">
        <v>409</v>
      </c>
      <c r="C484" s="19" t="s">
        <v>504</v>
      </c>
      <c r="D484" s="19">
        <v>8</v>
      </c>
      <c r="E484" s="19">
        <v>36</v>
      </c>
      <c r="F484" s="19">
        <v>0.69</v>
      </c>
      <c r="G484" s="19">
        <v>20260401</v>
      </c>
      <c r="H484" s="20" t="b">
        <f t="shared" si="7"/>
        <v>0</v>
      </c>
      <c r="I484" s="21" t="str" cm="1">
        <f t="array" ref="I484">GET_TICKER_FINAL(C484)</f>
        <v/>
      </c>
      <c r="J484" s="5" t="s">
        <v>1792</v>
      </c>
    </row>
    <row r="485" spans="1:10" hidden="1">
      <c r="A485" s="23">
        <v>484</v>
      </c>
      <c r="B485" s="22" t="s">
        <v>409</v>
      </c>
      <c r="C485" s="22" t="s">
        <v>505</v>
      </c>
      <c r="D485" s="22">
        <v>8</v>
      </c>
      <c r="E485" s="22">
        <v>26</v>
      </c>
      <c r="F485" s="22">
        <v>0.73</v>
      </c>
      <c r="G485" s="22">
        <v>20260402</v>
      </c>
      <c r="H485" s="23" t="b">
        <f t="shared" si="7"/>
        <v>0</v>
      </c>
      <c r="I485" s="24" t="str" cm="1">
        <f t="array" ref="I485">GET_TICKER_FINAL(C485)</f>
        <v/>
      </c>
      <c r="J485" s="5" t="s">
        <v>16</v>
      </c>
    </row>
    <row r="486" spans="1:10" hidden="1">
      <c r="A486" s="20">
        <v>485</v>
      </c>
      <c r="B486" s="19" t="s">
        <v>409</v>
      </c>
      <c r="C486" s="19" t="s">
        <v>506</v>
      </c>
      <c r="D486" s="19">
        <v>8</v>
      </c>
      <c r="E486" s="19">
        <v>15</v>
      </c>
      <c r="F486" s="19">
        <v>0.83</v>
      </c>
      <c r="G486" s="19">
        <v>20260323</v>
      </c>
      <c r="H486" s="20" t="b">
        <f t="shared" si="7"/>
        <v>1</v>
      </c>
      <c r="I486" s="21" t="str" cm="1">
        <f t="array" ref="I486">GET_TICKER_FINAL(C486)</f>
        <v/>
      </c>
      <c r="J486" s="5" t="s">
        <v>1792</v>
      </c>
    </row>
    <row r="487" spans="1:10">
      <c r="A487" s="23">
        <v>486</v>
      </c>
      <c r="B487" s="22" t="s">
        <v>409</v>
      </c>
      <c r="C487" s="22" t="s">
        <v>507</v>
      </c>
      <c r="D487" s="22">
        <v>8</v>
      </c>
      <c r="E487" s="22">
        <v>29</v>
      </c>
      <c r="F487" s="22">
        <v>0.67</v>
      </c>
      <c r="G487" s="22">
        <v>20260331</v>
      </c>
      <c r="H487" s="23" t="b">
        <f t="shared" si="7"/>
        <v>0</v>
      </c>
      <c r="I487" s="24" t="str" cm="1">
        <f t="array" ref="I487">GET_TICKER_FINAL(C487)</f>
        <v>SPY</v>
      </c>
      <c r="J487" s="5" t="s">
        <v>1792</v>
      </c>
    </row>
    <row r="488" spans="1:10" hidden="1">
      <c r="A488" s="20">
        <v>487</v>
      </c>
      <c r="B488" s="19" t="s">
        <v>409</v>
      </c>
      <c r="C488" s="19" t="s">
        <v>508</v>
      </c>
      <c r="D488" s="19">
        <v>8</v>
      </c>
      <c r="E488" s="19">
        <v>9</v>
      </c>
      <c r="F488" s="19">
        <v>0.83</v>
      </c>
      <c r="G488" s="19">
        <v>20260320</v>
      </c>
      <c r="H488" s="20" t="b">
        <f t="shared" si="7"/>
        <v>0</v>
      </c>
      <c r="I488" s="21" t="str" cm="1">
        <f t="array" ref="I488">GET_TICKER_FINAL(C488)</f>
        <v/>
      </c>
      <c r="J488" s="5" t="s">
        <v>25</v>
      </c>
    </row>
    <row r="489" spans="1:10">
      <c r="A489" s="23">
        <v>488</v>
      </c>
      <c r="B489" s="22" t="s">
        <v>409</v>
      </c>
      <c r="C489" s="22" t="s">
        <v>509</v>
      </c>
      <c r="D489" s="22">
        <v>8</v>
      </c>
      <c r="E489" s="22">
        <v>16</v>
      </c>
      <c r="F489" s="22">
        <v>0.84</v>
      </c>
      <c r="G489" s="22">
        <v>20260331</v>
      </c>
      <c r="H489" s="23" t="b">
        <f t="shared" si="7"/>
        <v>0</v>
      </c>
      <c r="I489" s="24" t="str" cm="1">
        <f t="array" ref="I489">GET_TICKER_FINAL(C489)</f>
        <v>SPY</v>
      </c>
      <c r="J489" s="5" t="s">
        <v>1792</v>
      </c>
    </row>
    <row r="490" spans="1:10">
      <c r="A490" s="20">
        <v>489</v>
      </c>
      <c r="B490" s="19" t="s">
        <v>409</v>
      </c>
      <c r="C490" s="19" t="s">
        <v>510</v>
      </c>
      <c r="D490" s="19">
        <v>8</v>
      </c>
      <c r="E490" s="19">
        <v>16</v>
      </c>
      <c r="F490" s="19">
        <v>0.83</v>
      </c>
      <c r="G490" s="19">
        <v>20260324</v>
      </c>
      <c r="H490" s="20" t="b">
        <f t="shared" si="7"/>
        <v>0</v>
      </c>
      <c r="I490" s="21" t="str" cm="1">
        <f t="array" ref="I490">GET_TICKER_FINAL(C490)</f>
        <v>SPY</v>
      </c>
      <c r="J490" s="5" t="s">
        <v>1792</v>
      </c>
    </row>
    <row r="491" spans="1:10" hidden="1">
      <c r="A491" s="23">
        <v>490</v>
      </c>
      <c r="B491" s="22" t="s">
        <v>409</v>
      </c>
      <c r="C491" s="22" t="s">
        <v>511</v>
      </c>
      <c r="D491" s="22">
        <v>8</v>
      </c>
      <c r="E491" s="22">
        <v>13</v>
      </c>
      <c r="F491" s="22">
        <v>0.72</v>
      </c>
      <c r="G491" s="22">
        <v>20260320</v>
      </c>
      <c r="H491" s="23" t="b">
        <f t="shared" si="7"/>
        <v>0</v>
      </c>
      <c r="I491" s="24" t="str" cm="1">
        <f t="array" ref="I491">GET_TICKER_FINAL(C491)</f>
        <v/>
      </c>
      <c r="J491" s="5" t="s">
        <v>1792</v>
      </c>
    </row>
    <row r="492" spans="1:10" hidden="1">
      <c r="A492" s="20">
        <v>491</v>
      </c>
      <c r="B492" s="19" t="s">
        <v>409</v>
      </c>
      <c r="C492" s="19" t="s">
        <v>512</v>
      </c>
      <c r="D492" s="19">
        <v>8</v>
      </c>
      <c r="E492" s="19">
        <v>38</v>
      </c>
      <c r="F492" s="19">
        <v>0.72</v>
      </c>
      <c r="G492" s="19">
        <v>20260324</v>
      </c>
      <c r="H492" s="20" t="b">
        <f t="shared" si="7"/>
        <v>0</v>
      </c>
      <c r="I492" s="21" t="str" cm="1">
        <f t="array" ref="I492">GET_TICKER_FINAL(C492)</f>
        <v/>
      </c>
      <c r="J492" s="5" t="s">
        <v>1792</v>
      </c>
    </row>
    <row r="493" spans="1:10">
      <c r="A493" s="23">
        <v>492</v>
      </c>
      <c r="B493" s="22" t="s">
        <v>409</v>
      </c>
      <c r="C493" s="22" t="s">
        <v>513</v>
      </c>
      <c r="D493" s="22">
        <v>8</v>
      </c>
      <c r="E493" s="22">
        <v>5</v>
      </c>
      <c r="F493" s="22">
        <v>0.79</v>
      </c>
      <c r="G493" s="22">
        <v>20260331</v>
      </c>
      <c r="H493" s="23" t="b">
        <f t="shared" si="7"/>
        <v>0</v>
      </c>
      <c r="I493" s="24" t="str" cm="1">
        <f t="array" ref="I493">GET_TICKER_FINAL(C493)</f>
        <v>TSLA</v>
      </c>
      <c r="J493" s="5" t="s">
        <v>1792</v>
      </c>
    </row>
    <row r="494" spans="1:10" hidden="1">
      <c r="A494" s="20">
        <v>493</v>
      </c>
      <c r="B494" s="19" t="s">
        <v>409</v>
      </c>
      <c r="C494" s="19" t="s">
        <v>514</v>
      </c>
      <c r="D494" s="19">
        <v>8</v>
      </c>
      <c r="E494" s="19">
        <v>39</v>
      </c>
      <c r="F494" s="19">
        <v>0.9</v>
      </c>
      <c r="G494" s="19">
        <v>20260330</v>
      </c>
      <c r="H494" s="20" t="b">
        <f t="shared" si="7"/>
        <v>0</v>
      </c>
      <c r="I494" s="21" t="str" cm="1">
        <f t="array" ref="I494">GET_TICKER_FINAL(C494)</f>
        <v/>
      </c>
      <c r="J494" s="5" t="s">
        <v>25</v>
      </c>
    </row>
    <row r="495" spans="1:10" hidden="1">
      <c r="A495" s="23">
        <v>494</v>
      </c>
      <c r="B495" s="22" t="s">
        <v>409</v>
      </c>
      <c r="C495" s="22" t="s">
        <v>515</v>
      </c>
      <c r="D495" s="22">
        <v>8</v>
      </c>
      <c r="E495" s="22">
        <v>4</v>
      </c>
      <c r="F495" s="22">
        <v>0.7</v>
      </c>
      <c r="G495" s="22">
        <v>20260327</v>
      </c>
      <c r="H495" s="23" t="b">
        <f t="shared" si="7"/>
        <v>1</v>
      </c>
      <c r="I495" s="24" t="str" cm="1">
        <f t="array" ref="I495">GET_TICKER_FINAL(C495)</f>
        <v/>
      </c>
      <c r="J495" s="5" t="s">
        <v>1792</v>
      </c>
    </row>
    <row r="496" spans="1:10" hidden="1">
      <c r="A496" s="20">
        <v>495</v>
      </c>
      <c r="B496" s="19" t="s">
        <v>409</v>
      </c>
      <c r="C496" s="19" t="s">
        <v>516</v>
      </c>
      <c r="D496" s="19">
        <v>7</v>
      </c>
      <c r="E496" s="19">
        <v>37</v>
      </c>
      <c r="F496" s="19">
        <v>0.67</v>
      </c>
      <c r="G496" s="19">
        <v>20260324</v>
      </c>
      <c r="H496" s="20" t="b">
        <f t="shared" si="7"/>
        <v>0</v>
      </c>
      <c r="I496" s="21" t="str" cm="1">
        <f t="array" ref="I496">GET_TICKER_FINAL(C496)</f>
        <v/>
      </c>
      <c r="J496" s="5" t="s">
        <v>1792</v>
      </c>
    </row>
    <row r="497" spans="1:10" hidden="1">
      <c r="A497" s="23">
        <v>496</v>
      </c>
      <c r="B497" s="22" t="s">
        <v>409</v>
      </c>
      <c r="C497" s="22" t="s">
        <v>517</v>
      </c>
      <c r="D497" s="22">
        <v>7</v>
      </c>
      <c r="E497" s="22">
        <v>13</v>
      </c>
      <c r="F497" s="22">
        <v>0.77</v>
      </c>
      <c r="G497" s="22">
        <v>20260323</v>
      </c>
      <c r="H497" s="23" t="b">
        <f t="shared" si="7"/>
        <v>0</v>
      </c>
      <c r="I497" s="24" t="str" cm="1">
        <f t="array" ref="I497">GET_TICKER_FINAL(C497)</f>
        <v/>
      </c>
      <c r="J497" s="5" t="s">
        <v>1792</v>
      </c>
    </row>
    <row r="498" spans="1:10" hidden="1">
      <c r="A498" s="20">
        <v>497</v>
      </c>
      <c r="B498" s="19" t="s">
        <v>409</v>
      </c>
      <c r="C498" s="19" t="s">
        <v>518</v>
      </c>
      <c r="D498" s="19">
        <v>7</v>
      </c>
      <c r="E498" s="19">
        <v>22</v>
      </c>
      <c r="F498" s="19">
        <v>0.77</v>
      </c>
      <c r="G498" s="19">
        <v>20260402</v>
      </c>
      <c r="H498" s="20" t="b">
        <f t="shared" si="7"/>
        <v>0</v>
      </c>
      <c r="I498" s="21" t="str" cm="1">
        <f t="array" ref="I498">GET_TICKER_FINAL(C498)</f>
        <v/>
      </c>
      <c r="J498" s="5" t="s">
        <v>1792</v>
      </c>
    </row>
    <row r="499" spans="1:10" hidden="1">
      <c r="A499" s="23">
        <v>498</v>
      </c>
      <c r="B499" s="22" t="s">
        <v>409</v>
      </c>
      <c r="C499" s="22" t="s">
        <v>519</v>
      </c>
      <c r="D499" s="22">
        <v>7</v>
      </c>
      <c r="E499" s="22">
        <v>21</v>
      </c>
      <c r="F499" s="22">
        <v>0.78</v>
      </c>
      <c r="G499" s="22">
        <v>20260324</v>
      </c>
      <c r="H499" s="23" t="b">
        <f t="shared" si="7"/>
        <v>0</v>
      </c>
      <c r="I499" s="24" t="str" cm="1">
        <f t="array" ref="I499">GET_TICKER_FINAL(C499)</f>
        <v/>
      </c>
      <c r="J499" s="5" t="s">
        <v>1792</v>
      </c>
    </row>
    <row r="500" spans="1:10" hidden="1">
      <c r="A500" s="20">
        <v>499</v>
      </c>
      <c r="B500" s="19" t="s">
        <v>409</v>
      </c>
      <c r="C500" s="19" t="s">
        <v>520</v>
      </c>
      <c r="D500" s="19">
        <v>7</v>
      </c>
      <c r="E500" s="19">
        <v>16</v>
      </c>
      <c r="F500" s="19">
        <v>0.66</v>
      </c>
      <c r="G500" s="19">
        <v>20260402</v>
      </c>
      <c r="H500" s="20" t="b">
        <f t="shared" si="7"/>
        <v>0</v>
      </c>
      <c r="I500" s="21" t="str" cm="1">
        <f t="array" ref="I500">GET_TICKER_FINAL(C500)</f>
        <v/>
      </c>
      <c r="J500" s="5" t="s">
        <v>1792</v>
      </c>
    </row>
    <row r="501" spans="1:10" hidden="1">
      <c r="A501" s="23">
        <v>500</v>
      </c>
      <c r="B501" s="22" t="s">
        <v>409</v>
      </c>
      <c r="C501" s="22" t="s">
        <v>521</v>
      </c>
      <c r="D501" s="22">
        <v>7</v>
      </c>
      <c r="E501" s="22">
        <v>63</v>
      </c>
      <c r="F501" s="22">
        <v>1</v>
      </c>
      <c r="G501" s="22">
        <v>20260323</v>
      </c>
      <c r="H501" s="23" t="b">
        <f t="shared" si="7"/>
        <v>0</v>
      </c>
      <c r="I501" s="24" t="str" cm="1">
        <f t="array" ref="I501">GET_TICKER_FINAL(C501)</f>
        <v/>
      </c>
      <c r="J501" s="5" t="s">
        <v>1792</v>
      </c>
    </row>
    <row r="502" spans="1:10" hidden="1">
      <c r="A502" s="20">
        <v>501</v>
      </c>
      <c r="B502" s="19" t="s">
        <v>409</v>
      </c>
      <c r="C502" s="19" t="s">
        <v>522</v>
      </c>
      <c r="D502" s="19">
        <v>7</v>
      </c>
      <c r="E502" s="19">
        <v>32</v>
      </c>
      <c r="F502" s="19">
        <v>0.74</v>
      </c>
      <c r="G502" s="19">
        <v>20260323</v>
      </c>
      <c r="H502" s="20" t="b">
        <f t="shared" si="7"/>
        <v>0</v>
      </c>
      <c r="I502" s="21" t="str" cm="1">
        <f t="array" ref="I502">GET_TICKER_FINAL(C502)</f>
        <v/>
      </c>
      <c r="J502" s="5" t="s">
        <v>1792</v>
      </c>
    </row>
    <row r="503" spans="1:10" hidden="1">
      <c r="A503" s="23">
        <v>502</v>
      </c>
      <c r="B503" s="22" t="s">
        <v>409</v>
      </c>
      <c r="C503" s="22" t="s">
        <v>523</v>
      </c>
      <c r="D503" s="22">
        <v>7</v>
      </c>
      <c r="E503" s="22">
        <v>11</v>
      </c>
      <c r="F503" s="22">
        <v>0.77</v>
      </c>
      <c r="G503" s="22">
        <v>20260401</v>
      </c>
      <c r="H503" s="23" t="b">
        <f t="shared" si="7"/>
        <v>0</v>
      </c>
      <c r="I503" s="24" t="str" cm="1">
        <f t="array" ref="I503">GET_TICKER_FINAL(C503)</f>
        <v/>
      </c>
      <c r="J503" s="5" t="s">
        <v>1792</v>
      </c>
    </row>
    <row r="504" spans="1:10" hidden="1">
      <c r="A504" s="20">
        <v>503</v>
      </c>
      <c r="B504" s="19" t="s">
        <v>409</v>
      </c>
      <c r="C504" s="19" t="s">
        <v>524</v>
      </c>
      <c r="D504" s="19">
        <v>7</v>
      </c>
      <c r="E504" s="19">
        <v>55</v>
      </c>
      <c r="F504" s="19">
        <v>0.59</v>
      </c>
      <c r="G504" s="19">
        <v>20260327</v>
      </c>
      <c r="H504" s="20" t="b">
        <f t="shared" si="7"/>
        <v>0</v>
      </c>
      <c r="I504" s="21" t="str" cm="1">
        <f t="array" ref="I504">GET_TICKER_FINAL(C504)</f>
        <v/>
      </c>
      <c r="J504" s="5" t="s">
        <v>16</v>
      </c>
    </row>
    <row r="505" spans="1:10">
      <c r="A505" s="23">
        <v>504</v>
      </c>
      <c r="B505" s="22" t="s">
        <v>409</v>
      </c>
      <c r="C505" s="22" t="s">
        <v>525</v>
      </c>
      <c r="D505" s="22">
        <v>6</v>
      </c>
      <c r="E505" s="22">
        <v>24</v>
      </c>
      <c r="F505" s="22">
        <v>0.69</v>
      </c>
      <c r="G505" s="22">
        <v>20260326</v>
      </c>
      <c r="H505" s="23" t="b">
        <f t="shared" si="7"/>
        <v>0</v>
      </c>
      <c r="I505" s="24" t="str" cm="1">
        <f t="array" ref="I505">GET_TICKER_FINAL(C505)</f>
        <v>META</v>
      </c>
      <c r="J505" s="5" t="s">
        <v>25</v>
      </c>
    </row>
    <row r="506" spans="1:10">
      <c r="A506" s="20">
        <v>505</v>
      </c>
      <c r="B506" s="19" t="s">
        <v>409</v>
      </c>
      <c r="C506" s="19" t="s">
        <v>526</v>
      </c>
      <c r="D506" s="19">
        <v>6</v>
      </c>
      <c r="E506" s="19">
        <v>15</v>
      </c>
      <c r="F506" s="19">
        <v>0.87</v>
      </c>
      <c r="G506" s="19">
        <v>20260323</v>
      </c>
      <c r="H506" s="20" t="b">
        <f t="shared" si="7"/>
        <v>1</v>
      </c>
      <c r="I506" s="21" t="str" cm="1">
        <f t="array" ref="I506">GET_TICKER_FINAL(C506)</f>
        <v>MU</v>
      </c>
      <c r="J506" s="5" t="s">
        <v>28</v>
      </c>
    </row>
    <row r="507" spans="1:10" hidden="1">
      <c r="A507" s="23">
        <v>506</v>
      </c>
      <c r="B507" s="22" t="s">
        <v>409</v>
      </c>
      <c r="C507" s="22" t="s">
        <v>527</v>
      </c>
      <c r="D507" s="22">
        <v>6</v>
      </c>
      <c r="E507" s="22">
        <v>3</v>
      </c>
      <c r="F507" s="22">
        <v>0.8</v>
      </c>
      <c r="G507" s="22">
        <v>20260323</v>
      </c>
      <c r="H507" s="23" t="b">
        <f t="shared" si="7"/>
        <v>0</v>
      </c>
      <c r="I507" s="24" t="str" cm="1">
        <f t="array" ref="I507">GET_TICKER_FINAL(C507)</f>
        <v/>
      </c>
      <c r="J507" s="5" t="s">
        <v>1792</v>
      </c>
    </row>
    <row r="508" spans="1:10" hidden="1">
      <c r="A508" s="20">
        <v>507</v>
      </c>
      <c r="B508" s="19" t="s">
        <v>409</v>
      </c>
      <c r="C508" s="19" t="s">
        <v>528</v>
      </c>
      <c r="D508" s="19">
        <v>6</v>
      </c>
      <c r="E508" s="19">
        <v>42</v>
      </c>
      <c r="F508" s="19">
        <v>0.69</v>
      </c>
      <c r="G508" s="19">
        <v>20260324</v>
      </c>
      <c r="H508" s="20" t="b">
        <f t="shared" si="7"/>
        <v>0</v>
      </c>
      <c r="I508" s="21" t="str" cm="1">
        <f t="array" ref="I508">GET_TICKER_FINAL(C508)</f>
        <v/>
      </c>
      <c r="J508" s="5" t="s">
        <v>1792</v>
      </c>
    </row>
    <row r="509" spans="1:10" hidden="1">
      <c r="A509" s="23">
        <v>508</v>
      </c>
      <c r="B509" s="22" t="s">
        <v>409</v>
      </c>
      <c r="C509" s="22" t="s">
        <v>529</v>
      </c>
      <c r="D509" s="22">
        <v>6</v>
      </c>
      <c r="E509" s="22">
        <v>16</v>
      </c>
      <c r="F509" s="22">
        <v>0.65</v>
      </c>
      <c r="G509" s="22">
        <v>20260320</v>
      </c>
      <c r="H509" s="23" t="b">
        <f t="shared" si="7"/>
        <v>0</v>
      </c>
      <c r="I509" s="24" t="str" cm="1">
        <f t="array" ref="I509">GET_TICKER_FINAL(C509)</f>
        <v/>
      </c>
      <c r="J509" s="5" t="s">
        <v>1792</v>
      </c>
    </row>
    <row r="510" spans="1:10" hidden="1">
      <c r="A510" s="20">
        <v>509</v>
      </c>
      <c r="B510" s="19" t="s">
        <v>409</v>
      </c>
      <c r="C510" s="19" t="s">
        <v>530</v>
      </c>
      <c r="D510" s="19">
        <v>6</v>
      </c>
      <c r="E510" s="19">
        <v>37</v>
      </c>
      <c r="F510" s="19">
        <v>0.75</v>
      </c>
      <c r="G510" s="19">
        <v>20260323</v>
      </c>
      <c r="H510" s="20" t="b">
        <f t="shared" si="7"/>
        <v>0</v>
      </c>
      <c r="I510" s="21" t="str" cm="1">
        <f t="array" ref="I510">GET_TICKER_FINAL(C510)</f>
        <v/>
      </c>
      <c r="J510" s="5" t="s">
        <v>1792</v>
      </c>
    </row>
    <row r="511" spans="1:10" hidden="1">
      <c r="A511" s="23">
        <v>510</v>
      </c>
      <c r="B511" s="22" t="s">
        <v>409</v>
      </c>
      <c r="C511" s="22" t="s">
        <v>531</v>
      </c>
      <c r="D511" s="22">
        <v>6</v>
      </c>
      <c r="E511" s="22">
        <v>17</v>
      </c>
      <c r="F511" s="22">
        <v>0.67</v>
      </c>
      <c r="G511" s="22">
        <v>20260320</v>
      </c>
      <c r="H511" s="23" t="b">
        <f t="shared" si="7"/>
        <v>0</v>
      </c>
      <c r="I511" s="24" t="str" cm="1">
        <f t="array" ref="I511">GET_TICKER_FINAL(C511)</f>
        <v/>
      </c>
      <c r="J511" s="5" t="s">
        <v>1792</v>
      </c>
    </row>
    <row r="512" spans="1:10" hidden="1">
      <c r="A512" s="20">
        <v>511</v>
      </c>
      <c r="B512" s="19" t="s">
        <v>409</v>
      </c>
      <c r="C512" s="19" t="s">
        <v>532</v>
      </c>
      <c r="D512" s="19">
        <v>6</v>
      </c>
      <c r="E512" s="19">
        <v>5</v>
      </c>
      <c r="F512" s="19">
        <v>0.8</v>
      </c>
      <c r="G512" s="19">
        <v>20260320</v>
      </c>
      <c r="H512" s="20" t="b">
        <f t="shared" si="7"/>
        <v>0</v>
      </c>
      <c r="I512" s="21" t="str" cm="1">
        <f t="array" ref="I512">GET_TICKER_FINAL(C512)</f>
        <v/>
      </c>
      <c r="J512" s="5" t="s">
        <v>1792</v>
      </c>
    </row>
    <row r="513" spans="1:10">
      <c r="A513" s="23">
        <v>512</v>
      </c>
      <c r="B513" s="22" t="s">
        <v>409</v>
      </c>
      <c r="C513" s="22" t="s">
        <v>533</v>
      </c>
      <c r="D513" s="22">
        <v>5</v>
      </c>
      <c r="E513" s="22">
        <v>8</v>
      </c>
      <c r="F513" s="22">
        <v>0.62</v>
      </c>
      <c r="G513" s="22">
        <v>20260401</v>
      </c>
      <c r="H513" s="23" t="b">
        <f t="shared" si="7"/>
        <v>1</v>
      </c>
      <c r="I513" s="24" t="str" cm="1">
        <f t="array" ref="I513">GET_TICKER_FINAL(C513)</f>
        <v>META</v>
      </c>
      <c r="J513" s="5" t="s">
        <v>16</v>
      </c>
    </row>
    <row r="514" spans="1:10" hidden="1">
      <c r="A514" s="20">
        <v>513</v>
      </c>
      <c r="B514" s="19" t="s">
        <v>409</v>
      </c>
      <c r="C514" s="19" t="s">
        <v>534</v>
      </c>
      <c r="D514" s="19">
        <v>5</v>
      </c>
      <c r="E514" s="19">
        <v>1</v>
      </c>
      <c r="F514" s="19">
        <v>0.69</v>
      </c>
      <c r="G514" s="19">
        <v>20260402</v>
      </c>
      <c r="H514" s="20" t="b">
        <f t="shared" si="7"/>
        <v>1</v>
      </c>
      <c r="I514" s="21" t="str" cm="1">
        <f t="array" ref="I514">GET_TICKER_FINAL(C514)</f>
        <v/>
      </c>
      <c r="J514" s="5" t="s">
        <v>25</v>
      </c>
    </row>
    <row r="515" spans="1:10" hidden="1">
      <c r="A515" s="23">
        <v>514</v>
      </c>
      <c r="B515" s="22" t="s">
        <v>409</v>
      </c>
      <c r="C515" s="22" t="s">
        <v>535</v>
      </c>
      <c r="D515" s="22">
        <v>5</v>
      </c>
      <c r="E515" s="22">
        <v>9</v>
      </c>
      <c r="F515" s="22">
        <v>0.86</v>
      </c>
      <c r="G515" s="22">
        <v>20260401</v>
      </c>
      <c r="H515" s="23" t="b">
        <f t="shared" ref="H515:H578" si="8">OR(ISNUMBER(SEARCH("$A",C515)),ISNUMBER(SEARCH("$B",C515)),ISNUMBER(SEARCH("$C",C515)),ISNUMBER(SEARCH("$D",C515)),ISNUMBER(SEARCH("$E",C515)),ISNUMBER(SEARCH("$F",C515)),ISNUMBER(SEARCH("$G",C515)),ISNUMBER(SEARCH("$H",C515)),ISNUMBER(SEARCH("$I",C515)),ISNUMBER(SEARCH("$J",C515)),ISNUMBER(SEARCH("$K",C515)),ISNUMBER(SEARCH("$L",C515)),ISNUMBER(SEARCH("$M",C515)),ISNUMBER(SEARCH("$N",C515)),ISNUMBER(SEARCH("$O",C515)),ISNUMBER(SEARCH("$P",C515)),ISNUMBER(SEARCH("$Q",C515)),ISNUMBER(SEARCH("$R",C515)),ISNUMBER(SEARCH("$S",C515)),ISNUMBER(SEARCH("$T",C515)),ISNUMBER(SEARCH("$U",C515)),ISNUMBER(SEARCH("$V",C515)),ISNUMBER(SEARCH("$W",C515)),ISNUMBER(SEARCH("$X",C515)),ISNUMBER(SEARCH("$Y",C515)),ISNUMBER(SEARCH("$Z",C515)))</f>
        <v>0</v>
      </c>
      <c r="I515" s="24" t="str" cm="1">
        <f t="array" ref="I515">GET_TICKER_FINAL(C515)</f>
        <v/>
      </c>
      <c r="J515" s="5" t="s">
        <v>1792</v>
      </c>
    </row>
    <row r="516" spans="1:10" hidden="1">
      <c r="A516" s="20">
        <v>515</v>
      </c>
      <c r="B516" s="19" t="s">
        <v>409</v>
      </c>
      <c r="C516" s="19" t="s">
        <v>536</v>
      </c>
      <c r="D516" s="19">
        <v>5</v>
      </c>
      <c r="E516" s="19">
        <v>4</v>
      </c>
      <c r="F516" s="19">
        <v>0.67</v>
      </c>
      <c r="G516" s="19">
        <v>20260323</v>
      </c>
      <c r="H516" s="20" t="b">
        <f t="shared" si="8"/>
        <v>0</v>
      </c>
      <c r="I516" s="21" t="str" cm="1">
        <f t="array" ref="I516">GET_TICKER_FINAL(C516)</f>
        <v/>
      </c>
      <c r="J516" s="5" t="s">
        <v>1792</v>
      </c>
    </row>
    <row r="517" spans="1:10" hidden="1">
      <c r="A517" s="23">
        <v>516</v>
      </c>
      <c r="B517" s="22" t="s">
        <v>409</v>
      </c>
      <c r="C517" s="22" t="s">
        <v>537</v>
      </c>
      <c r="D517" s="22">
        <v>5</v>
      </c>
      <c r="E517" s="22">
        <v>13</v>
      </c>
      <c r="F517" s="22">
        <v>0.67</v>
      </c>
      <c r="G517" s="22">
        <v>20260402</v>
      </c>
      <c r="H517" s="23" t="b">
        <f t="shared" si="8"/>
        <v>0</v>
      </c>
      <c r="I517" s="24" t="str" cm="1">
        <f t="array" ref="I517">GET_TICKER_FINAL(C517)</f>
        <v/>
      </c>
      <c r="J517" s="5" t="s">
        <v>1792</v>
      </c>
    </row>
    <row r="518" spans="1:10" hidden="1">
      <c r="A518" s="20">
        <v>517</v>
      </c>
      <c r="B518" s="19" t="s">
        <v>409</v>
      </c>
      <c r="C518" s="19" t="s">
        <v>538</v>
      </c>
      <c r="D518" s="19">
        <v>5</v>
      </c>
      <c r="E518" s="19">
        <v>10</v>
      </c>
      <c r="F518" s="19">
        <v>0.78</v>
      </c>
      <c r="G518" s="19">
        <v>20260323</v>
      </c>
      <c r="H518" s="20" t="b">
        <f t="shared" si="8"/>
        <v>0</v>
      </c>
      <c r="I518" s="21" t="str" cm="1">
        <f t="array" ref="I518">GET_TICKER_FINAL(C518)</f>
        <v/>
      </c>
      <c r="J518" s="5" t="s">
        <v>1792</v>
      </c>
    </row>
    <row r="519" spans="1:10" hidden="1">
      <c r="A519" s="23">
        <v>518</v>
      </c>
      <c r="B519" s="22" t="s">
        <v>409</v>
      </c>
      <c r="C519" s="22" t="s">
        <v>539</v>
      </c>
      <c r="D519" s="22">
        <v>5</v>
      </c>
      <c r="E519" s="22">
        <v>3</v>
      </c>
      <c r="F519" s="22">
        <v>0.86</v>
      </c>
      <c r="G519" s="22">
        <v>20260401</v>
      </c>
      <c r="H519" s="23" t="b">
        <f t="shared" si="8"/>
        <v>0</v>
      </c>
      <c r="I519" s="24" t="str" cm="1">
        <f t="array" ref="I519">GET_TICKER_FINAL(C519)</f>
        <v/>
      </c>
      <c r="J519" s="5" t="s">
        <v>28</v>
      </c>
    </row>
    <row r="520" spans="1:10">
      <c r="A520" s="20">
        <v>519</v>
      </c>
      <c r="B520" s="19" t="s">
        <v>409</v>
      </c>
      <c r="C520" s="19" t="s">
        <v>540</v>
      </c>
      <c r="D520" s="19">
        <v>5</v>
      </c>
      <c r="E520" s="19">
        <v>4</v>
      </c>
      <c r="F520" s="19">
        <v>0.69</v>
      </c>
      <c r="G520" s="19">
        <v>20260320</v>
      </c>
      <c r="H520" s="20" t="b">
        <f t="shared" si="8"/>
        <v>0</v>
      </c>
      <c r="I520" s="21" t="str" cm="1">
        <f t="array" ref="I520">GET_TICKER_FINAL(C520)</f>
        <v>USO</v>
      </c>
      <c r="J520" s="5" t="s">
        <v>1792</v>
      </c>
    </row>
    <row r="521" spans="1:10" hidden="1">
      <c r="A521" s="23">
        <v>520</v>
      </c>
      <c r="B521" s="22" t="s">
        <v>409</v>
      </c>
      <c r="C521" s="22" t="s">
        <v>541</v>
      </c>
      <c r="D521" s="22">
        <v>5</v>
      </c>
      <c r="E521" s="22">
        <v>4</v>
      </c>
      <c r="F521" s="22">
        <v>0.78</v>
      </c>
      <c r="G521" s="22">
        <v>20260330</v>
      </c>
      <c r="H521" s="23" t="b">
        <f t="shared" si="8"/>
        <v>0</v>
      </c>
      <c r="I521" s="24" t="str" cm="1">
        <f t="array" ref="I521">GET_TICKER_FINAL(C521)</f>
        <v/>
      </c>
      <c r="J521" s="5" t="s">
        <v>1792</v>
      </c>
    </row>
    <row r="522" spans="1:10" hidden="1">
      <c r="A522" s="20">
        <v>521</v>
      </c>
      <c r="B522" s="19" t="s">
        <v>409</v>
      </c>
      <c r="C522" s="19" t="s">
        <v>542</v>
      </c>
      <c r="D522" s="19">
        <v>5</v>
      </c>
      <c r="E522" s="19">
        <v>7</v>
      </c>
      <c r="F522" s="19">
        <v>0.73</v>
      </c>
      <c r="G522" s="19">
        <v>20260320</v>
      </c>
      <c r="H522" s="20" t="b">
        <f t="shared" si="8"/>
        <v>1</v>
      </c>
      <c r="I522" s="21" t="str" cm="1">
        <f t="array" ref="I522">GET_TICKER_FINAL(C522)</f>
        <v/>
      </c>
      <c r="J522" s="5" t="s">
        <v>1792</v>
      </c>
    </row>
    <row r="523" spans="1:10" hidden="1">
      <c r="A523" s="23">
        <v>522</v>
      </c>
      <c r="B523" s="22" t="s">
        <v>409</v>
      </c>
      <c r="C523" s="22" t="s">
        <v>543</v>
      </c>
      <c r="D523" s="22">
        <v>5</v>
      </c>
      <c r="E523" s="22">
        <v>15</v>
      </c>
      <c r="F523" s="22">
        <v>0.78</v>
      </c>
      <c r="G523" s="22">
        <v>20260402</v>
      </c>
      <c r="H523" s="23" t="b">
        <f t="shared" si="8"/>
        <v>0</v>
      </c>
      <c r="I523" s="24" t="str" cm="1">
        <f t="array" ref="I523">GET_TICKER_FINAL(C523)</f>
        <v/>
      </c>
      <c r="J523" s="5" t="s">
        <v>1792</v>
      </c>
    </row>
    <row r="524" spans="1:10" hidden="1">
      <c r="A524" s="20">
        <v>523</v>
      </c>
      <c r="B524" s="19" t="s">
        <v>409</v>
      </c>
      <c r="C524" s="19" t="s">
        <v>544</v>
      </c>
      <c r="D524" s="19">
        <v>4</v>
      </c>
      <c r="E524" s="19">
        <v>3</v>
      </c>
      <c r="F524" s="19">
        <v>0.75</v>
      </c>
      <c r="G524" s="19">
        <v>20260324</v>
      </c>
      <c r="H524" s="20" t="b">
        <f t="shared" si="8"/>
        <v>0</v>
      </c>
      <c r="I524" s="21" t="str" cm="1">
        <f t="array" ref="I524">GET_TICKER_FINAL(C524)</f>
        <v/>
      </c>
      <c r="J524" s="5" t="s">
        <v>1792</v>
      </c>
    </row>
    <row r="525" spans="1:10" hidden="1">
      <c r="A525" s="23">
        <v>524</v>
      </c>
      <c r="B525" s="22" t="s">
        <v>409</v>
      </c>
      <c r="C525" s="22" t="s">
        <v>545</v>
      </c>
      <c r="D525" s="22">
        <v>4</v>
      </c>
      <c r="E525" s="22">
        <v>41</v>
      </c>
      <c r="F525" s="22">
        <v>0.61</v>
      </c>
      <c r="G525" s="22">
        <v>20260320</v>
      </c>
      <c r="H525" s="23" t="b">
        <f t="shared" si="8"/>
        <v>0</v>
      </c>
      <c r="I525" s="24" t="str" cm="1">
        <f t="array" ref="I525">GET_TICKER_FINAL(C525)</f>
        <v/>
      </c>
      <c r="J525" s="5" t="s">
        <v>1792</v>
      </c>
    </row>
    <row r="526" spans="1:10" hidden="1">
      <c r="A526" s="20">
        <v>525</v>
      </c>
      <c r="B526" s="19" t="s">
        <v>409</v>
      </c>
      <c r="C526" s="19" t="s">
        <v>546</v>
      </c>
      <c r="D526" s="19">
        <v>4</v>
      </c>
      <c r="E526" s="19">
        <v>10</v>
      </c>
      <c r="F526" s="19">
        <v>0.75</v>
      </c>
      <c r="G526" s="19">
        <v>20260320</v>
      </c>
      <c r="H526" s="20" t="b">
        <f t="shared" si="8"/>
        <v>0</v>
      </c>
      <c r="I526" s="21" t="str" cm="1">
        <f t="array" ref="I526">GET_TICKER_FINAL(C526)</f>
        <v/>
      </c>
      <c r="J526" s="5" t="s">
        <v>1792</v>
      </c>
    </row>
    <row r="527" spans="1:10" hidden="1">
      <c r="A527" s="23">
        <v>526</v>
      </c>
      <c r="B527" s="22" t="s">
        <v>409</v>
      </c>
      <c r="C527" s="22" t="s">
        <v>547</v>
      </c>
      <c r="D527" s="22">
        <v>4</v>
      </c>
      <c r="E527" s="22">
        <v>0</v>
      </c>
      <c r="F527" s="22">
        <v>0.83</v>
      </c>
      <c r="G527" s="22">
        <v>20260324</v>
      </c>
      <c r="H527" s="23" t="b">
        <f t="shared" si="8"/>
        <v>1</v>
      </c>
      <c r="I527" s="24" t="str" cm="1">
        <f t="array" ref="I527">GET_TICKER_FINAL(C527)</f>
        <v/>
      </c>
      <c r="J527" s="5" t="s">
        <v>1792</v>
      </c>
    </row>
    <row r="528" spans="1:10" hidden="1">
      <c r="A528" s="20">
        <v>527</v>
      </c>
      <c r="B528" s="19" t="s">
        <v>409</v>
      </c>
      <c r="C528" s="19" t="s">
        <v>548</v>
      </c>
      <c r="D528" s="19">
        <v>4</v>
      </c>
      <c r="E528" s="19">
        <v>7</v>
      </c>
      <c r="F528" s="19">
        <v>0.64</v>
      </c>
      <c r="G528" s="19">
        <v>20260331</v>
      </c>
      <c r="H528" s="20" t="b">
        <f t="shared" si="8"/>
        <v>0</v>
      </c>
      <c r="I528" s="21" t="str" cm="1">
        <f t="array" ref="I528">GET_TICKER_FINAL(C528)</f>
        <v/>
      </c>
      <c r="J528" s="5" t="s">
        <v>1792</v>
      </c>
    </row>
    <row r="529" spans="1:10" hidden="1">
      <c r="A529" s="23">
        <v>528</v>
      </c>
      <c r="B529" s="22" t="s">
        <v>409</v>
      </c>
      <c r="C529" s="22" t="s">
        <v>549</v>
      </c>
      <c r="D529" s="22">
        <v>4</v>
      </c>
      <c r="E529" s="22">
        <v>6</v>
      </c>
      <c r="F529" s="22">
        <v>0.67</v>
      </c>
      <c r="G529" s="22">
        <v>20260320</v>
      </c>
      <c r="H529" s="23" t="b">
        <f t="shared" si="8"/>
        <v>0</v>
      </c>
      <c r="I529" s="24" t="str" cm="1">
        <f t="array" ref="I529">GET_TICKER_FINAL(C529)</f>
        <v/>
      </c>
      <c r="J529" s="5" t="s">
        <v>1792</v>
      </c>
    </row>
    <row r="530" spans="1:10" hidden="1">
      <c r="A530" s="20">
        <v>529</v>
      </c>
      <c r="B530" s="19" t="s">
        <v>409</v>
      </c>
      <c r="C530" s="19" t="s">
        <v>550</v>
      </c>
      <c r="D530" s="19">
        <v>4</v>
      </c>
      <c r="E530" s="19">
        <v>13</v>
      </c>
      <c r="F530" s="19">
        <v>0.67</v>
      </c>
      <c r="G530" s="19">
        <v>20260323</v>
      </c>
      <c r="H530" s="20" t="b">
        <f t="shared" si="8"/>
        <v>1</v>
      </c>
      <c r="I530" s="21" t="str" cm="1">
        <f t="array" ref="I530">GET_TICKER_FINAL(C530)</f>
        <v/>
      </c>
      <c r="J530" s="5" t="s">
        <v>1792</v>
      </c>
    </row>
    <row r="531" spans="1:10" hidden="1">
      <c r="A531" s="23">
        <v>530</v>
      </c>
      <c r="B531" s="22" t="s">
        <v>409</v>
      </c>
      <c r="C531" s="22" t="s">
        <v>551</v>
      </c>
      <c r="D531" s="22">
        <v>4</v>
      </c>
      <c r="E531" s="22">
        <v>10</v>
      </c>
      <c r="F531" s="22">
        <v>0.83</v>
      </c>
      <c r="G531" s="22">
        <v>20260401</v>
      </c>
      <c r="H531" s="23" t="b">
        <f t="shared" si="8"/>
        <v>0</v>
      </c>
      <c r="I531" s="24" t="str" cm="1">
        <f t="array" ref="I531">GET_TICKER_FINAL(C531)</f>
        <v/>
      </c>
      <c r="J531" s="5" t="s">
        <v>1792</v>
      </c>
    </row>
    <row r="532" spans="1:10">
      <c r="A532" s="20">
        <v>531</v>
      </c>
      <c r="B532" s="19" t="s">
        <v>409</v>
      </c>
      <c r="C532" s="19" t="s">
        <v>552</v>
      </c>
      <c r="D532" s="19">
        <v>4</v>
      </c>
      <c r="E532" s="19">
        <v>7</v>
      </c>
      <c r="F532" s="19">
        <v>0.7</v>
      </c>
      <c r="G532" s="19">
        <v>20260320</v>
      </c>
      <c r="H532" s="20" t="b">
        <f t="shared" si="8"/>
        <v>0</v>
      </c>
      <c r="I532" s="21" t="str" cm="1">
        <f t="array" ref="I532">GET_TICKER_FINAL(C532)</f>
        <v>USO</v>
      </c>
      <c r="J532" s="5" t="s">
        <v>1792</v>
      </c>
    </row>
    <row r="533" spans="1:10" hidden="1">
      <c r="A533" s="23">
        <v>532</v>
      </c>
      <c r="B533" s="22" t="s">
        <v>409</v>
      </c>
      <c r="C533" s="22" t="s">
        <v>553</v>
      </c>
      <c r="D533" s="22">
        <v>4</v>
      </c>
      <c r="E533" s="22">
        <v>4</v>
      </c>
      <c r="F533" s="22">
        <v>0.64</v>
      </c>
      <c r="G533" s="22">
        <v>20260326</v>
      </c>
      <c r="H533" s="23" t="b">
        <f t="shared" si="8"/>
        <v>0</v>
      </c>
      <c r="I533" s="24" t="str" cm="1">
        <f t="array" ref="I533">GET_TICKER_FINAL(C533)</f>
        <v/>
      </c>
      <c r="J533" s="5" t="s">
        <v>25</v>
      </c>
    </row>
    <row r="534" spans="1:10">
      <c r="A534" s="20">
        <v>533</v>
      </c>
      <c r="B534" s="19" t="s">
        <v>409</v>
      </c>
      <c r="C534" s="19" t="s">
        <v>554</v>
      </c>
      <c r="D534" s="19">
        <v>3</v>
      </c>
      <c r="E534" s="19">
        <v>21</v>
      </c>
      <c r="F534" s="19">
        <v>0.71</v>
      </c>
      <c r="G534" s="19">
        <v>20260330</v>
      </c>
      <c r="H534" s="20" t="b">
        <f t="shared" si="8"/>
        <v>0</v>
      </c>
      <c r="I534" s="21" t="str" cm="1">
        <f t="array" ref="I534">GET_TICKER_FINAL(C534)</f>
        <v>GOOGL</v>
      </c>
      <c r="J534" s="5" t="s">
        <v>1792</v>
      </c>
    </row>
    <row r="535" spans="1:10" hidden="1">
      <c r="A535" s="23">
        <v>534</v>
      </c>
      <c r="B535" s="22" t="s">
        <v>409</v>
      </c>
      <c r="C535" s="22" t="s">
        <v>555</v>
      </c>
      <c r="D535" s="22">
        <v>3</v>
      </c>
      <c r="E535" s="22">
        <v>6</v>
      </c>
      <c r="F535" s="22">
        <v>0.71</v>
      </c>
      <c r="G535" s="22">
        <v>20260330</v>
      </c>
      <c r="H535" s="23" t="b">
        <f t="shared" si="8"/>
        <v>1</v>
      </c>
      <c r="I535" s="24" t="str" cm="1">
        <f t="array" ref="I535">GET_TICKER_FINAL(C535)</f>
        <v/>
      </c>
      <c r="J535" s="5" t="s">
        <v>1792</v>
      </c>
    </row>
    <row r="536" spans="1:10" hidden="1">
      <c r="A536" s="20">
        <v>535</v>
      </c>
      <c r="B536" s="19" t="s">
        <v>409</v>
      </c>
      <c r="C536" s="19" t="s">
        <v>556</v>
      </c>
      <c r="D536" s="19">
        <v>3</v>
      </c>
      <c r="E536" s="19">
        <v>10</v>
      </c>
      <c r="F536" s="19">
        <v>0.62</v>
      </c>
      <c r="G536" s="19">
        <v>20260323</v>
      </c>
      <c r="H536" s="20" t="b">
        <f t="shared" si="8"/>
        <v>0</v>
      </c>
      <c r="I536" s="21" t="str" cm="1">
        <f t="array" ref="I536">GET_TICKER_FINAL(C536)</f>
        <v/>
      </c>
      <c r="J536" s="5" t="s">
        <v>1792</v>
      </c>
    </row>
    <row r="537" spans="1:10" hidden="1">
      <c r="A537" s="23">
        <v>536</v>
      </c>
      <c r="B537" s="22" t="s">
        <v>409</v>
      </c>
      <c r="C537" s="22" t="s">
        <v>557</v>
      </c>
      <c r="D537" s="22">
        <v>3</v>
      </c>
      <c r="E537" s="22">
        <v>68</v>
      </c>
      <c r="F537" s="22">
        <v>0.62</v>
      </c>
      <c r="G537" s="22">
        <v>20260320</v>
      </c>
      <c r="H537" s="23" t="b">
        <f t="shared" si="8"/>
        <v>0</v>
      </c>
      <c r="I537" s="24" t="str" cm="1">
        <f t="array" ref="I537">GET_TICKER_FINAL(C537)</f>
        <v/>
      </c>
      <c r="J537" s="5" t="s">
        <v>25</v>
      </c>
    </row>
    <row r="538" spans="1:10" hidden="1">
      <c r="A538" s="20">
        <v>537</v>
      </c>
      <c r="B538" s="19" t="s">
        <v>409</v>
      </c>
      <c r="C538" s="19" t="s">
        <v>558</v>
      </c>
      <c r="D538" s="19">
        <v>3</v>
      </c>
      <c r="E538" s="19">
        <v>0</v>
      </c>
      <c r="F538" s="19">
        <v>0.71</v>
      </c>
      <c r="G538" s="19">
        <v>20260330</v>
      </c>
      <c r="H538" s="20" t="b">
        <f t="shared" si="8"/>
        <v>0</v>
      </c>
      <c r="I538" s="21" t="str" cm="1">
        <f t="array" ref="I538">GET_TICKER_FINAL(C538)</f>
        <v/>
      </c>
      <c r="J538" s="5" t="s">
        <v>1792</v>
      </c>
    </row>
    <row r="539" spans="1:10" hidden="1">
      <c r="A539" s="23">
        <v>538</v>
      </c>
      <c r="B539" s="22" t="s">
        <v>409</v>
      </c>
      <c r="C539" s="22" t="s">
        <v>559</v>
      </c>
      <c r="D539" s="22">
        <v>3</v>
      </c>
      <c r="E539" s="22">
        <v>8</v>
      </c>
      <c r="F539" s="22">
        <v>0.71</v>
      </c>
      <c r="G539" s="22">
        <v>20260330</v>
      </c>
      <c r="H539" s="23" t="b">
        <f t="shared" si="8"/>
        <v>1</v>
      </c>
      <c r="I539" s="24" t="str" cm="1">
        <f t="array" ref="I539">GET_TICKER_FINAL(C539)</f>
        <v/>
      </c>
      <c r="J539" s="5" t="s">
        <v>1792</v>
      </c>
    </row>
    <row r="540" spans="1:10" hidden="1">
      <c r="A540" s="20">
        <v>539</v>
      </c>
      <c r="B540" s="19" t="s">
        <v>409</v>
      </c>
      <c r="C540" s="19" t="s">
        <v>560</v>
      </c>
      <c r="D540" s="19">
        <v>3</v>
      </c>
      <c r="E540" s="19">
        <v>9</v>
      </c>
      <c r="F540" s="19">
        <v>0.8</v>
      </c>
      <c r="G540" s="19">
        <v>20260402</v>
      </c>
      <c r="H540" s="20" t="b">
        <f t="shared" si="8"/>
        <v>0</v>
      </c>
      <c r="I540" s="21" t="str" cm="1">
        <f t="array" ref="I540">GET_TICKER_FINAL(C540)</f>
        <v/>
      </c>
      <c r="J540" s="5" t="s">
        <v>1792</v>
      </c>
    </row>
    <row r="541" spans="1:10">
      <c r="A541" s="23">
        <v>540</v>
      </c>
      <c r="B541" s="22" t="s">
        <v>409</v>
      </c>
      <c r="C541" s="22" t="s">
        <v>561</v>
      </c>
      <c r="D541" s="22">
        <v>3</v>
      </c>
      <c r="E541" s="22">
        <v>6</v>
      </c>
      <c r="F541" s="22">
        <v>0.8</v>
      </c>
      <c r="G541" s="22">
        <v>20260402</v>
      </c>
      <c r="H541" s="23" t="b">
        <f t="shared" si="8"/>
        <v>0</v>
      </c>
      <c r="I541" s="24" t="str" cm="1">
        <f t="array" ref="I541">GET_TICKER_FINAL(C541)</f>
        <v>SPY</v>
      </c>
      <c r="J541" s="5" t="s">
        <v>1792</v>
      </c>
    </row>
    <row r="542" spans="1:10">
      <c r="A542" s="20">
        <v>541</v>
      </c>
      <c r="B542" s="19" t="s">
        <v>409</v>
      </c>
      <c r="C542" s="19" t="s">
        <v>562</v>
      </c>
      <c r="D542" s="19">
        <v>3</v>
      </c>
      <c r="E542" s="19">
        <v>5</v>
      </c>
      <c r="F542" s="19">
        <v>1</v>
      </c>
      <c r="G542" s="19">
        <v>20260331</v>
      </c>
      <c r="H542" s="20" t="b">
        <f t="shared" si="8"/>
        <v>0</v>
      </c>
      <c r="I542" s="21" t="str" cm="1">
        <f t="array" ref="I542">GET_TICKER_FINAL(C542)</f>
        <v>MSFT</v>
      </c>
      <c r="J542" s="5" t="s">
        <v>1792</v>
      </c>
    </row>
    <row r="543" spans="1:10" hidden="1">
      <c r="A543" s="23">
        <v>542</v>
      </c>
      <c r="B543" s="22" t="s">
        <v>409</v>
      </c>
      <c r="C543" s="22" t="s">
        <v>563</v>
      </c>
      <c r="D543" s="22">
        <v>3</v>
      </c>
      <c r="E543" s="22">
        <v>15</v>
      </c>
      <c r="F543" s="22">
        <v>0.62</v>
      </c>
      <c r="G543" s="22">
        <v>20260402</v>
      </c>
      <c r="H543" s="23" t="b">
        <f t="shared" si="8"/>
        <v>0</v>
      </c>
      <c r="I543" s="24" t="str" cm="1">
        <f t="array" ref="I543">GET_TICKER_FINAL(C543)</f>
        <v/>
      </c>
      <c r="J543" s="5" t="s">
        <v>1792</v>
      </c>
    </row>
    <row r="544" spans="1:10" hidden="1">
      <c r="A544" s="20">
        <v>543</v>
      </c>
      <c r="B544" s="19" t="s">
        <v>409</v>
      </c>
      <c r="C544" s="19" t="s">
        <v>564</v>
      </c>
      <c r="D544" s="19">
        <v>3</v>
      </c>
      <c r="E544" s="19">
        <v>12</v>
      </c>
      <c r="F544" s="19">
        <v>0.71</v>
      </c>
      <c r="G544" s="19">
        <v>20260323</v>
      </c>
      <c r="H544" s="20" t="b">
        <f t="shared" si="8"/>
        <v>1</v>
      </c>
      <c r="I544" s="21" t="str" cm="1">
        <f t="array" ref="I544">GET_TICKER_FINAL(C544)</f>
        <v/>
      </c>
      <c r="J544" s="5" t="s">
        <v>1792</v>
      </c>
    </row>
    <row r="545" spans="1:10" hidden="1">
      <c r="A545" s="23">
        <v>544</v>
      </c>
      <c r="B545" s="22" t="s">
        <v>409</v>
      </c>
      <c r="C545" s="22" t="s">
        <v>565</v>
      </c>
      <c r="D545" s="22">
        <v>3</v>
      </c>
      <c r="E545" s="22">
        <v>37</v>
      </c>
      <c r="F545" s="22">
        <v>0.6</v>
      </c>
      <c r="G545" s="22">
        <v>20260324</v>
      </c>
      <c r="H545" s="23" t="b">
        <f t="shared" si="8"/>
        <v>0</v>
      </c>
      <c r="I545" s="24" t="str" cm="1">
        <f t="array" ref="I545">GET_TICKER_FINAL(C545)</f>
        <v/>
      </c>
      <c r="J545" s="5" t="s">
        <v>1792</v>
      </c>
    </row>
    <row r="546" spans="1:10" hidden="1">
      <c r="A546" s="20">
        <v>545</v>
      </c>
      <c r="B546" s="19" t="s">
        <v>409</v>
      </c>
      <c r="C546" s="19" t="s">
        <v>566</v>
      </c>
      <c r="D546" s="19">
        <v>3</v>
      </c>
      <c r="E546" s="19">
        <v>14</v>
      </c>
      <c r="F546" s="19">
        <v>0.64</v>
      </c>
      <c r="G546" s="19">
        <v>20260324</v>
      </c>
      <c r="H546" s="20" t="b">
        <f t="shared" si="8"/>
        <v>0</v>
      </c>
      <c r="I546" s="21" t="str" cm="1">
        <f t="array" ref="I546">GET_TICKER_FINAL(C546)</f>
        <v/>
      </c>
      <c r="J546" s="5" t="s">
        <v>25</v>
      </c>
    </row>
    <row r="547" spans="1:10" hidden="1">
      <c r="A547" s="23">
        <v>546</v>
      </c>
      <c r="B547" s="22" t="s">
        <v>409</v>
      </c>
      <c r="C547" s="22" t="s">
        <v>567</v>
      </c>
      <c r="D547" s="22">
        <v>3</v>
      </c>
      <c r="E547" s="22">
        <v>7</v>
      </c>
      <c r="F547" s="22">
        <v>0.62</v>
      </c>
      <c r="G547" s="22">
        <v>20260402</v>
      </c>
      <c r="H547" s="23" t="b">
        <f t="shared" si="8"/>
        <v>0</v>
      </c>
      <c r="I547" s="24" t="str" cm="1">
        <f t="array" ref="I547">GET_TICKER_FINAL(C547)</f>
        <v/>
      </c>
      <c r="J547" s="5" t="s">
        <v>1792</v>
      </c>
    </row>
    <row r="548" spans="1:10" hidden="1">
      <c r="A548" s="20">
        <v>547</v>
      </c>
      <c r="B548" s="19" t="s">
        <v>409</v>
      </c>
      <c r="C548" s="19" t="s">
        <v>568</v>
      </c>
      <c r="D548" s="19">
        <v>2</v>
      </c>
      <c r="E548" s="19">
        <v>9</v>
      </c>
      <c r="F548" s="19">
        <v>0.76</v>
      </c>
      <c r="G548" s="19">
        <v>20260327</v>
      </c>
      <c r="H548" s="20" t="b">
        <f t="shared" si="8"/>
        <v>0</v>
      </c>
      <c r="I548" s="21" t="str" cm="1">
        <f t="array" ref="I548">GET_TICKER_FINAL(C548)</f>
        <v/>
      </c>
      <c r="J548" s="5" t="s">
        <v>1792</v>
      </c>
    </row>
    <row r="549" spans="1:10" hidden="1">
      <c r="A549" s="23">
        <v>548</v>
      </c>
      <c r="B549" s="22" t="s">
        <v>409</v>
      </c>
      <c r="C549" s="22" t="s">
        <v>569</v>
      </c>
      <c r="D549" s="22">
        <v>2</v>
      </c>
      <c r="E549" s="22">
        <v>5</v>
      </c>
      <c r="F549" s="22">
        <v>0.67</v>
      </c>
      <c r="G549" s="22">
        <v>20260327</v>
      </c>
      <c r="H549" s="23" t="b">
        <f t="shared" si="8"/>
        <v>0</v>
      </c>
      <c r="I549" s="24" t="str" cm="1">
        <f t="array" ref="I549">GET_TICKER_FINAL(C549)</f>
        <v/>
      </c>
      <c r="J549" s="5" t="s">
        <v>1792</v>
      </c>
    </row>
    <row r="550" spans="1:10">
      <c r="A550" s="20">
        <v>549</v>
      </c>
      <c r="B550" s="19" t="s">
        <v>409</v>
      </c>
      <c r="C550" s="19" t="s">
        <v>570</v>
      </c>
      <c r="D550" s="19">
        <v>2</v>
      </c>
      <c r="E550" s="19">
        <v>17</v>
      </c>
      <c r="F550" s="19">
        <v>0.67</v>
      </c>
      <c r="G550" s="19">
        <v>20260323</v>
      </c>
      <c r="H550" s="20" t="b">
        <f t="shared" si="8"/>
        <v>0</v>
      </c>
      <c r="I550" s="21" t="str" cm="1">
        <f t="array" ref="I550">GET_TICKER_FINAL(C550)</f>
        <v>GOOGL</v>
      </c>
      <c r="J550" s="5" t="s">
        <v>1792</v>
      </c>
    </row>
    <row r="551" spans="1:10" hidden="1">
      <c r="A551" s="23">
        <v>550</v>
      </c>
      <c r="B551" s="22" t="s">
        <v>409</v>
      </c>
      <c r="C551" s="22" t="s">
        <v>571</v>
      </c>
      <c r="D551" s="22">
        <v>2</v>
      </c>
      <c r="E551" s="22">
        <v>2</v>
      </c>
      <c r="F551" s="22">
        <v>1</v>
      </c>
      <c r="G551" s="22">
        <v>20260327</v>
      </c>
      <c r="H551" s="23" t="b">
        <f t="shared" si="8"/>
        <v>0</v>
      </c>
      <c r="I551" s="24" t="str" cm="1">
        <f t="array" ref="I551">GET_TICKER_FINAL(C551)</f>
        <v/>
      </c>
      <c r="J551" s="5" t="s">
        <v>1792</v>
      </c>
    </row>
    <row r="552" spans="1:10" hidden="1">
      <c r="A552" s="20">
        <v>551</v>
      </c>
      <c r="B552" s="19" t="s">
        <v>409</v>
      </c>
      <c r="C552" s="19" t="s">
        <v>572</v>
      </c>
      <c r="D552" s="19">
        <v>2</v>
      </c>
      <c r="E552" s="19">
        <v>8</v>
      </c>
      <c r="F552" s="19">
        <v>0.63</v>
      </c>
      <c r="G552" s="19">
        <v>20260402</v>
      </c>
      <c r="H552" s="20" t="b">
        <f t="shared" si="8"/>
        <v>0</v>
      </c>
      <c r="I552" s="21" t="str" cm="1">
        <f t="array" ref="I552">GET_TICKER_FINAL(C552)</f>
        <v/>
      </c>
      <c r="J552" s="5" t="s">
        <v>1792</v>
      </c>
    </row>
    <row r="553" spans="1:10" hidden="1">
      <c r="A553" s="23">
        <v>552</v>
      </c>
      <c r="B553" s="22" t="s">
        <v>409</v>
      </c>
      <c r="C553" s="22" t="s">
        <v>573</v>
      </c>
      <c r="D553" s="22">
        <v>2</v>
      </c>
      <c r="E553" s="22">
        <v>8</v>
      </c>
      <c r="F553" s="22">
        <v>0.63</v>
      </c>
      <c r="G553" s="22">
        <v>20260326</v>
      </c>
      <c r="H553" s="23" t="b">
        <f t="shared" si="8"/>
        <v>0</v>
      </c>
      <c r="I553" s="24" t="str" cm="1">
        <f t="array" ref="I553">GET_TICKER_FINAL(C553)</f>
        <v/>
      </c>
      <c r="J553" s="5" t="s">
        <v>1792</v>
      </c>
    </row>
    <row r="554" spans="1:10" hidden="1">
      <c r="A554" s="20">
        <v>553</v>
      </c>
      <c r="B554" s="19" t="s">
        <v>409</v>
      </c>
      <c r="C554" s="19" t="s">
        <v>574</v>
      </c>
      <c r="D554" s="19">
        <v>2</v>
      </c>
      <c r="E554" s="19">
        <v>5</v>
      </c>
      <c r="F554" s="19">
        <v>0.67</v>
      </c>
      <c r="G554" s="19">
        <v>20260402</v>
      </c>
      <c r="H554" s="20" t="b">
        <f t="shared" si="8"/>
        <v>0</v>
      </c>
      <c r="I554" s="21" t="str" cm="1">
        <f t="array" ref="I554">GET_TICKER_FINAL(C554)</f>
        <v/>
      </c>
      <c r="J554" s="5" t="s">
        <v>1792</v>
      </c>
    </row>
    <row r="555" spans="1:10" hidden="1">
      <c r="A555" s="23">
        <v>554</v>
      </c>
      <c r="B555" s="22" t="s">
        <v>409</v>
      </c>
      <c r="C555" s="22" t="s">
        <v>575</v>
      </c>
      <c r="D555" s="22">
        <v>2</v>
      </c>
      <c r="E555" s="22">
        <v>7</v>
      </c>
      <c r="F555" s="22">
        <v>0.67</v>
      </c>
      <c r="G555" s="22">
        <v>20260402</v>
      </c>
      <c r="H555" s="23" t="b">
        <f t="shared" si="8"/>
        <v>0</v>
      </c>
      <c r="I555" s="24" t="str" cm="1">
        <f t="array" ref="I555">GET_TICKER_FINAL(C555)</f>
        <v/>
      </c>
      <c r="J555" s="5" t="s">
        <v>1792</v>
      </c>
    </row>
    <row r="556" spans="1:10" hidden="1">
      <c r="A556" s="20">
        <v>555</v>
      </c>
      <c r="B556" s="19" t="s">
        <v>409</v>
      </c>
      <c r="C556" s="19" t="s">
        <v>576</v>
      </c>
      <c r="D556" s="19">
        <v>2</v>
      </c>
      <c r="E556" s="19">
        <v>2</v>
      </c>
      <c r="F556" s="19">
        <v>0.67</v>
      </c>
      <c r="G556" s="19">
        <v>20260402</v>
      </c>
      <c r="H556" s="20" t="b">
        <f t="shared" si="8"/>
        <v>0</v>
      </c>
      <c r="I556" s="21" t="str" cm="1">
        <f t="array" ref="I556">GET_TICKER_FINAL(C556)</f>
        <v/>
      </c>
      <c r="J556" s="5" t="s">
        <v>1792</v>
      </c>
    </row>
    <row r="557" spans="1:10" hidden="1">
      <c r="A557" s="23">
        <v>556</v>
      </c>
      <c r="B557" s="22" t="s">
        <v>409</v>
      </c>
      <c r="C557" s="22" t="s">
        <v>577</v>
      </c>
      <c r="D557" s="22">
        <v>2</v>
      </c>
      <c r="E557" s="22">
        <v>15</v>
      </c>
      <c r="F557" s="22">
        <v>0.63</v>
      </c>
      <c r="G557" s="22">
        <v>20260320</v>
      </c>
      <c r="H557" s="23" t="b">
        <f t="shared" si="8"/>
        <v>1</v>
      </c>
      <c r="I557" s="24" t="str" cm="1">
        <f t="array" ref="I557">GET_TICKER_FINAL(C557)</f>
        <v/>
      </c>
      <c r="J557" s="5" t="s">
        <v>1792</v>
      </c>
    </row>
    <row r="558" spans="1:10" hidden="1">
      <c r="A558" s="20">
        <v>557</v>
      </c>
      <c r="B558" s="19" t="s">
        <v>409</v>
      </c>
      <c r="C558" s="19" t="s">
        <v>578</v>
      </c>
      <c r="D558" s="19">
        <v>2</v>
      </c>
      <c r="E558" s="19">
        <v>0</v>
      </c>
      <c r="F558" s="19">
        <v>0.6</v>
      </c>
      <c r="G558" s="19">
        <v>20260330</v>
      </c>
      <c r="H558" s="20" t="b">
        <f t="shared" si="8"/>
        <v>0</v>
      </c>
      <c r="I558" s="21" t="str" cm="1">
        <f t="array" ref="I558">GET_TICKER_FINAL(C558)</f>
        <v/>
      </c>
      <c r="J558" s="5" t="s">
        <v>1792</v>
      </c>
    </row>
    <row r="559" spans="1:10">
      <c r="A559" s="23">
        <v>558</v>
      </c>
      <c r="B559" s="22" t="s">
        <v>409</v>
      </c>
      <c r="C559" s="22" t="s">
        <v>579</v>
      </c>
      <c r="D559" s="22">
        <v>1</v>
      </c>
      <c r="E559" s="22">
        <v>14</v>
      </c>
      <c r="F559" s="22">
        <v>0.52</v>
      </c>
      <c r="G559" s="22">
        <v>20260401</v>
      </c>
      <c r="H559" s="23" t="b">
        <f t="shared" si="8"/>
        <v>1</v>
      </c>
      <c r="I559" s="24" t="str" cm="1">
        <f t="array" ref="I559">GET_TICKER_FINAL(C559)</f>
        <v>PLTR</v>
      </c>
      <c r="J559" s="5" t="s">
        <v>25</v>
      </c>
    </row>
    <row r="560" spans="1:10" hidden="1">
      <c r="A560" s="20">
        <v>559</v>
      </c>
      <c r="B560" s="19" t="s">
        <v>409</v>
      </c>
      <c r="C560" s="19" t="s">
        <v>580</v>
      </c>
      <c r="D560" s="19">
        <v>1</v>
      </c>
      <c r="E560" s="19">
        <v>5</v>
      </c>
      <c r="F560" s="19">
        <v>0.67</v>
      </c>
      <c r="G560" s="19">
        <v>20260402</v>
      </c>
      <c r="H560" s="20" t="b">
        <f t="shared" si="8"/>
        <v>0</v>
      </c>
      <c r="I560" s="21" t="str" cm="1">
        <f t="array" ref="I560">GET_TICKER_FINAL(C560)</f>
        <v/>
      </c>
      <c r="J560" s="5" t="s">
        <v>1792</v>
      </c>
    </row>
    <row r="561" spans="1:10" hidden="1">
      <c r="A561" s="23">
        <v>560</v>
      </c>
      <c r="B561" s="22" t="s">
        <v>409</v>
      </c>
      <c r="C561" s="22" t="s">
        <v>581</v>
      </c>
      <c r="D561" s="22">
        <v>1</v>
      </c>
      <c r="E561" s="22">
        <v>15</v>
      </c>
      <c r="F561" s="22">
        <v>0.53</v>
      </c>
      <c r="G561" s="22">
        <v>20260320</v>
      </c>
      <c r="H561" s="23" t="b">
        <f t="shared" si="8"/>
        <v>0</v>
      </c>
      <c r="I561" s="24" t="str" cm="1">
        <f t="array" ref="I561">GET_TICKER_FINAL(C561)</f>
        <v/>
      </c>
      <c r="J561" s="5" t="s">
        <v>1792</v>
      </c>
    </row>
    <row r="562" spans="1:10" hidden="1">
      <c r="A562" s="20">
        <v>561</v>
      </c>
      <c r="B562" s="19" t="s">
        <v>409</v>
      </c>
      <c r="C562" s="19" t="s">
        <v>582</v>
      </c>
      <c r="D562" s="19">
        <v>1</v>
      </c>
      <c r="E562" s="19">
        <v>6</v>
      </c>
      <c r="F562" s="19">
        <v>0.67</v>
      </c>
      <c r="G562" s="19">
        <v>20260401</v>
      </c>
      <c r="H562" s="20" t="b">
        <f t="shared" si="8"/>
        <v>0</v>
      </c>
      <c r="I562" s="21" t="str" cm="1">
        <f t="array" ref="I562">GET_TICKER_FINAL(C562)</f>
        <v/>
      </c>
      <c r="J562" s="5" t="s">
        <v>1792</v>
      </c>
    </row>
    <row r="563" spans="1:10">
      <c r="A563" s="23">
        <v>562</v>
      </c>
      <c r="B563" s="22" t="s">
        <v>409</v>
      </c>
      <c r="C563" s="22" t="s">
        <v>583</v>
      </c>
      <c r="D563" s="22">
        <v>1</v>
      </c>
      <c r="E563" s="22">
        <v>16</v>
      </c>
      <c r="F563" s="22">
        <v>0.54</v>
      </c>
      <c r="G563" s="22">
        <v>20260323</v>
      </c>
      <c r="H563" s="23" t="b">
        <f t="shared" si="8"/>
        <v>0</v>
      </c>
      <c r="I563" s="24" t="str" cm="1">
        <f t="array" ref="I563">GET_TICKER_FINAL(C563)</f>
        <v>SPY</v>
      </c>
      <c r="J563" s="5" t="s">
        <v>16</v>
      </c>
    </row>
    <row r="564" spans="1:10" hidden="1">
      <c r="A564" s="20">
        <v>563</v>
      </c>
      <c r="B564" s="19" t="s">
        <v>409</v>
      </c>
      <c r="C564" s="19" t="s">
        <v>584</v>
      </c>
      <c r="D564" s="19">
        <v>1</v>
      </c>
      <c r="E564" s="19">
        <v>1</v>
      </c>
      <c r="F564" s="19">
        <v>1</v>
      </c>
      <c r="G564" s="19">
        <v>20260326</v>
      </c>
      <c r="H564" s="20" t="b">
        <f t="shared" si="8"/>
        <v>0</v>
      </c>
      <c r="I564" s="21" t="str" cm="1">
        <f t="array" ref="I564">GET_TICKER_FINAL(C564)</f>
        <v/>
      </c>
      <c r="J564" s="5" t="s">
        <v>16</v>
      </c>
    </row>
    <row r="565" spans="1:10" hidden="1">
      <c r="A565" s="23">
        <v>564</v>
      </c>
      <c r="B565" s="22" t="s">
        <v>409</v>
      </c>
      <c r="C565" s="22" t="s">
        <v>585</v>
      </c>
      <c r="D565" s="22">
        <v>1</v>
      </c>
      <c r="E565" s="22">
        <v>6</v>
      </c>
      <c r="F565" s="22">
        <v>0.56000000000000005</v>
      </c>
      <c r="G565" s="22">
        <v>20260331</v>
      </c>
      <c r="H565" s="23" t="b">
        <f t="shared" si="8"/>
        <v>0</v>
      </c>
      <c r="I565" s="24" t="str" cm="1">
        <f t="array" ref="I565">GET_TICKER_FINAL(C565)</f>
        <v/>
      </c>
      <c r="J565" s="5" t="s">
        <v>1792</v>
      </c>
    </row>
    <row r="566" spans="1:10" hidden="1">
      <c r="A566" s="20">
        <v>565</v>
      </c>
      <c r="B566" s="19" t="s">
        <v>409</v>
      </c>
      <c r="C566" s="19" t="s">
        <v>586</v>
      </c>
      <c r="D566" s="19">
        <v>1</v>
      </c>
      <c r="E566" s="19">
        <v>0</v>
      </c>
      <c r="F566" s="19">
        <v>0.56000000000000005</v>
      </c>
      <c r="G566" s="19">
        <v>20260331</v>
      </c>
      <c r="H566" s="20" t="b">
        <f t="shared" si="8"/>
        <v>0</v>
      </c>
      <c r="I566" s="21" t="str" cm="1">
        <f t="array" ref="I566">GET_TICKER_FINAL(C566)</f>
        <v/>
      </c>
      <c r="J566" s="5" t="s">
        <v>16</v>
      </c>
    </row>
    <row r="567" spans="1:10" hidden="1">
      <c r="A567" s="23">
        <v>566</v>
      </c>
      <c r="B567" s="22" t="s">
        <v>409</v>
      </c>
      <c r="C567" s="22" t="s">
        <v>587</v>
      </c>
      <c r="D567" s="22">
        <v>0</v>
      </c>
      <c r="E567" s="22">
        <v>11</v>
      </c>
      <c r="F567" s="22">
        <v>0.38</v>
      </c>
      <c r="G567" s="22">
        <v>20260330</v>
      </c>
      <c r="H567" s="23" t="b">
        <f t="shared" si="8"/>
        <v>0</v>
      </c>
      <c r="I567" s="24" t="str" cm="1">
        <f t="array" ref="I567">GET_TICKER_FINAL(C567)</f>
        <v/>
      </c>
      <c r="J567" s="5" t="s">
        <v>1792</v>
      </c>
    </row>
    <row r="568" spans="1:10" hidden="1">
      <c r="A568" s="20">
        <v>567</v>
      </c>
      <c r="B568" s="19" t="s">
        <v>409</v>
      </c>
      <c r="C568" s="19" t="s">
        <v>588</v>
      </c>
      <c r="D568" s="19">
        <v>0</v>
      </c>
      <c r="E568" s="19">
        <v>30</v>
      </c>
      <c r="F568" s="19">
        <v>0.4</v>
      </c>
      <c r="G568" s="19">
        <v>20260330</v>
      </c>
      <c r="H568" s="20" t="b">
        <f t="shared" si="8"/>
        <v>0</v>
      </c>
      <c r="I568" s="21" t="str" cm="1">
        <f t="array" ref="I568">GET_TICKER_FINAL(C568)</f>
        <v/>
      </c>
      <c r="J568" s="5" t="s">
        <v>1792</v>
      </c>
    </row>
    <row r="569" spans="1:10" hidden="1">
      <c r="A569" s="23">
        <v>568</v>
      </c>
      <c r="B569" s="22" t="s">
        <v>409</v>
      </c>
      <c r="C569" s="22" t="s">
        <v>589</v>
      </c>
      <c r="D569" s="22">
        <v>0</v>
      </c>
      <c r="E569" s="22">
        <v>19</v>
      </c>
      <c r="F569" s="22">
        <v>0.3</v>
      </c>
      <c r="G569" s="22">
        <v>20260330</v>
      </c>
      <c r="H569" s="23" t="b">
        <f t="shared" si="8"/>
        <v>0</v>
      </c>
      <c r="I569" s="24" t="str" cm="1">
        <f t="array" ref="I569">GET_TICKER_FINAL(C569)</f>
        <v/>
      </c>
      <c r="J569" s="5" t="s">
        <v>25</v>
      </c>
    </row>
    <row r="570" spans="1:10" hidden="1">
      <c r="A570" s="20">
        <v>569</v>
      </c>
      <c r="B570" s="19" t="s">
        <v>409</v>
      </c>
      <c r="C570" s="19" t="s">
        <v>590</v>
      </c>
      <c r="D570" s="19">
        <v>0</v>
      </c>
      <c r="E570" s="19">
        <v>18</v>
      </c>
      <c r="F570" s="19">
        <v>0.25</v>
      </c>
      <c r="G570" s="19">
        <v>20260330</v>
      </c>
      <c r="H570" s="20" t="b">
        <f t="shared" si="8"/>
        <v>0</v>
      </c>
      <c r="I570" s="21" t="str" cm="1">
        <f t="array" ref="I570">GET_TICKER_FINAL(C570)</f>
        <v/>
      </c>
      <c r="J570" s="5" t="s">
        <v>1792</v>
      </c>
    </row>
    <row r="571" spans="1:10" hidden="1">
      <c r="A571" s="23">
        <v>570</v>
      </c>
      <c r="B571" s="22" t="s">
        <v>409</v>
      </c>
      <c r="C571" s="22" t="s">
        <v>591</v>
      </c>
      <c r="D571" s="22">
        <v>0</v>
      </c>
      <c r="E571" s="22">
        <v>28</v>
      </c>
      <c r="F571" s="22">
        <v>0.46</v>
      </c>
      <c r="G571" s="22">
        <v>20260330</v>
      </c>
      <c r="H571" s="23" t="b">
        <f t="shared" si="8"/>
        <v>0</v>
      </c>
      <c r="I571" s="24" t="str" cm="1">
        <f t="array" ref="I571">GET_TICKER_FINAL(C571)</f>
        <v/>
      </c>
      <c r="J571" s="5" t="s">
        <v>1792</v>
      </c>
    </row>
    <row r="572" spans="1:10" hidden="1">
      <c r="A572" s="20">
        <v>571</v>
      </c>
      <c r="B572" s="19" t="s">
        <v>409</v>
      </c>
      <c r="C572" s="19" t="s">
        <v>592</v>
      </c>
      <c r="D572" s="19">
        <v>0</v>
      </c>
      <c r="E572" s="19">
        <v>19</v>
      </c>
      <c r="F572" s="19">
        <v>0.24</v>
      </c>
      <c r="G572" s="19">
        <v>20260330</v>
      </c>
      <c r="H572" s="20" t="b">
        <f t="shared" si="8"/>
        <v>0</v>
      </c>
      <c r="I572" s="21" t="str" cm="1">
        <f t="array" ref="I572">GET_TICKER_FINAL(C572)</f>
        <v/>
      </c>
      <c r="J572" s="5" t="s">
        <v>1792</v>
      </c>
    </row>
    <row r="573" spans="1:10" hidden="1">
      <c r="A573" s="23">
        <v>572</v>
      </c>
      <c r="B573" s="22" t="s">
        <v>409</v>
      </c>
      <c r="C573" s="22" t="s">
        <v>593</v>
      </c>
      <c r="D573" s="22">
        <v>0</v>
      </c>
      <c r="E573" s="22">
        <v>16</v>
      </c>
      <c r="F573" s="22">
        <v>0.23</v>
      </c>
      <c r="G573" s="22">
        <v>20260330</v>
      </c>
      <c r="H573" s="23" t="b">
        <f t="shared" si="8"/>
        <v>0</v>
      </c>
      <c r="I573" s="24" t="str" cm="1">
        <f t="array" ref="I573">GET_TICKER_FINAL(C573)</f>
        <v/>
      </c>
      <c r="J573" s="5" t="s">
        <v>1792</v>
      </c>
    </row>
    <row r="574" spans="1:10" hidden="1">
      <c r="A574" s="20">
        <v>573</v>
      </c>
      <c r="B574" s="19" t="s">
        <v>409</v>
      </c>
      <c r="C574" s="19" t="s">
        <v>594</v>
      </c>
      <c r="D574" s="19">
        <v>0</v>
      </c>
      <c r="E574" s="19">
        <v>10</v>
      </c>
      <c r="F574" s="19">
        <v>0.1</v>
      </c>
      <c r="G574" s="19">
        <v>20260327</v>
      </c>
      <c r="H574" s="20" t="b">
        <f t="shared" si="8"/>
        <v>0</v>
      </c>
      <c r="I574" s="21" t="str" cm="1">
        <f t="array" ref="I574">GET_TICKER_FINAL(C574)</f>
        <v/>
      </c>
      <c r="J574" s="5" t="s">
        <v>1792</v>
      </c>
    </row>
    <row r="575" spans="1:10" hidden="1">
      <c r="A575" s="23">
        <v>574</v>
      </c>
      <c r="B575" s="22" t="s">
        <v>409</v>
      </c>
      <c r="C575" s="22" t="s">
        <v>595</v>
      </c>
      <c r="D575" s="22">
        <v>0</v>
      </c>
      <c r="E575" s="22">
        <v>10</v>
      </c>
      <c r="F575" s="22">
        <v>0.14000000000000001</v>
      </c>
      <c r="G575" s="22">
        <v>20260327</v>
      </c>
      <c r="H575" s="23" t="b">
        <f t="shared" si="8"/>
        <v>0</v>
      </c>
      <c r="I575" s="24" t="str" cm="1">
        <f t="array" ref="I575">GET_TICKER_FINAL(C575)</f>
        <v/>
      </c>
      <c r="J575" s="5" t="s">
        <v>1792</v>
      </c>
    </row>
    <row r="576" spans="1:10" hidden="1">
      <c r="A576" s="20">
        <v>575</v>
      </c>
      <c r="B576" s="19" t="s">
        <v>409</v>
      </c>
      <c r="C576" s="19" t="s">
        <v>596</v>
      </c>
      <c r="D576" s="19">
        <v>0</v>
      </c>
      <c r="E576" s="19">
        <v>25</v>
      </c>
      <c r="F576" s="19">
        <v>0.28999999999999998</v>
      </c>
      <c r="G576" s="19">
        <v>20260327</v>
      </c>
      <c r="H576" s="20" t="b">
        <f t="shared" si="8"/>
        <v>0</v>
      </c>
      <c r="I576" s="21" t="str" cm="1">
        <f t="array" ref="I576">GET_TICKER_FINAL(C576)</f>
        <v/>
      </c>
      <c r="J576" s="5" t="s">
        <v>25</v>
      </c>
    </row>
    <row r="577" spans="1:10" hidden="1">
      <c r="A577" s="23">
        <v>576</v>
      </c>
      <c r="B577" s="22" t="s">
        <v>409</v>
      </c>
      <c r="C577" s="22" t="s">
        <v>597</v>
      </c>
      <c r="D577" s="22">
        <v>0</v>
      </c>
      <c r="E577" s="22">
        <v>4</v>
      </c>
      <c r="F577" s="22">
        <v>0.4</v>
      </c>
      <c r="G577" s="22">
        <v>20260327</v>
      </c>
      <c r="H577" s="23" t="b">
        <f t="shared" si="8"/>
        <v>0</v>
      </c>
      <c r="I577" s="24" t="str" cm="1">
        <f t="array" ref="I577">GET_TICKER_FINAL(C577)</f>
        <v/>
      </c>
      <c r="J577" s="5" t="s">
        <v>1792</v>
      </c>
    </row>
    <row r="578" spans="1:10" hidden="1">
      <c r="A578" s="20">
        <v>577</v>
      </c>
      <c r="B578" s="19" t="s">
        <v>409</v>
      </c>
      <c r="C578" s="19" t="s">
        <v>598</v>
      </c>
      <c r="D578" s="19">
        <v>0</v>
      </c>
      <c r="E578" s="19">
        <v>3</v>
      </c>
      <c r="F578" s="19">
        <v>0.33</v>
      </c>
      <c r="G578" s="19">
        <v>20260327</v>
      </c>
      <c r="H578" s="20" t="b">
        <f t="shared" si="8"/>
        <v>0</v>
      </c>
      <c r="I578" s="21" t="str" cm="1">
        <f t="array" ref="I578">GET_TICKER_FINAL(C578)</f>
        <v/>
      </c>
      <c r="J578" s="5" t="s">
        <v>1792</v>
      </c>
    </row>
    <row r="579" spans="1:10">
      <c r="A579" s="23">
        <v>578</v>
      </c>
      <c r="B579" s="22" t="s">
        <v>409</v>
      </c>
      <c r="C579" s="22" t="s">
        <v>599</v>
      </c>
      <c r="D579" s="22">
        <v>0</v>
      </c>
      <c r="E579" s="22">
        <v>50</v>
      </c>
      <c r="F579" s="22">
        <v>0.41</v>
      </c>
      <c r="G579" s="22">
        <v>20260327</v>
      </c>
      <c r="H579" s="23" t="b">
        <f t="shared" ref="H579:H642" si="9">OR(ISNUMBER(SEARCH("$A",C579)),ISNUMBER(SEARCH("$B",C579)),ISNUMBER(SEARCH("$C",C579)),ISNUMBER(SEARCH("$D",C579)),ISNUMBER(SEARCH("$E",C579)),ISNUMBER(SEARCH("$F",C579)),ISNUMBER(SEARCH("$G",C579)),ISNUMBER(SEARCH("$H",C579)),ISNUMBER(SEARCH("$I",C579)),ISNUMBER(SEARCH("$J",C579)),ISNUMBER(SEARCH("$K",C579)),ISNUMBER(SEARCH("$L",C579)),ISNUMBER(SEARCH("$M",C579)),ISNUMBER(SEARCH("$N",C579)),ISNUMBER(SEARCH("$O",C579)),ISNUMBER(SEARCH("$P",C579)),ISNUMBER(SEARCH("$Q",C579)),ISNUMBER(SEARCH("$R",C579)),ISNUMBER(SEARCH("$S",C579)),ISNUMBER(SEARCH("$T",C579)),ISNUMBER(SEARCH("$U",C579)),ISNUMBER(SEARCH("$V",C579)),ISNUMBER(SEARCH("$W",C579)),ISNUMBER(SEARCH("$X",C579)),ISNUMBER(SEARCH("$Y",C579)),ISNUMBER(SEARCH("$Z",C579)))</f>
        <v>0</v>
      </c>
      <c r="I579" s="24" t="str" cm="1">
        <f t="array" ref="I579">GET_TICKER_FINAL(C579)</f>
        <v>SPY</v>
      </c>
      <c r="J579" s="5" t="s">
        <v>1792</v>
      </c>
    </row>
    <row r="580" spans="1:10">
      <c r="A580" s="20">
        <v>579</v>
      </c>
      <c r="B580" s="19" t="s">
        <v>409</v>
      </c>
      <c r="C580" s="19" t="s">
        <v>600</v>
      </c>
      <c r="D580" s="19">
        <v>0</v>
      </c>
      <c r="E580" s="19">
        <v>4</v>
      </c>
      <c r="F580" s="19">
        <v>0.45</v>
      </c>
      <c r="G580" s="19">
        <v>20260327</v>
      </c>
      <c r="H580" s="20" t="b">
        <f t="shared" si="9"/>
        <v>0</v>
      </c>
      <c r="I580" s="21" t="str" cm="1">
        <f t="array" ref="I580">GET_TICKER_FINAL(C580)</f>
        <v>SPY</v>
      </c>
      <c r="J580" s="5" t="s">
        <v>1792</v>
      </c>
    </row>
    <row r="581" spans="1:10" hidden="1">
      <c r="A581" s="23">
        <v>580</v>
      </c>
      <c r="B581" s="22" t="s">
        <v>409</v>
      </c>
      <c r="C581" s="22" t="s">
        <v>601</v>
      </c>
      <c r="D581" s="22">
        <v>0</v>
      </c>
      <c r="E581" s="22">
        <v>23</v>
      </c>
      <c r="F581" s="22">
        <v>0.19</v>
      </c>
      <c r="G581" s="22">
        <v>20260327</v>
      </c>
      <c r="H581" s="23" t="b">
        <f t="shared" si="9"/>
        <v>0</v>
      </c>
      <c r="I581" s="24" t="str" cm="1">
        <f t="array" ref="I581">GET_TICKER_FINAL(C581)</f>
        <v/>
      </c>
      <c r="J581" s="5" t="s">
        <v>1792</v>
      </c>
    </row>
    <row r="582" spans="1:10">
      <c r="A582" s="20">
        <v>581</v>
      </c>
      <c r="B582" s="19" t="s">
        <v>409</v>
      </c>
      <c r="C582" s="19" t="s">
        <v>602</v>
      </c>
      <c r="D582" s="19">
        <v>0</v>
      </c>
      <c r="E582" s="19">
        <v>8</v>
      </c>
      <c r="F582" s="19">
        <v>0.1</v>
      </c>
      <c r="G582" s="19">
        <v>20260327</v>
      </c>
      <c r="H582" s="20" t="b">
        <f t="shared" si="9"/>
        <v>0</v>
      </c>
      <c r="I582" s="21" t="str" cm="1">
        <f t="array" ref="I582">GET_TICKER_FINAL(C582)</f>
        <v>SPY</v>
      </c>
      <c r="J582" s="5" t="s">
        <v>1792</v>
      </c>
    </row>
    <row r="583" spans="1:10">
      <c r="A583" s="23">
        <v>582</v>
      </c>
      <c r="B583" s="22" t="s">
        <v>409</v>
      </c>
      <c r="C583" s="22" t="s">
        <v>603</v>
      </c>
      <c r="D583" s="22">
        <v>0</v>
      </c>
      <c r="E583" s="22">
        <v>24</v>
      </c>
      <c r="F583" s="22">
        <v>0.4</v>
      </c>
      <c r="G583" s="22">
        <v>20260327</v>
      </c>
      <c r="H583" s="23" t="b">
        <f t="shared" si="9"/>
        <v>0</v>
      </c>
      <c r="I583" s="24" t="str" cm="1">
        <f t="array" ref="I583">GET_TICKER_FINAL(C583)</f>
        <v>SPY</v>
      </c>
      <c r="J583" s="5" t="s">
        <v>1792</v>
      </c>
    </row>
    <row r="584" spans="1:10" hidden="1">
      <c r="A584" s="20">
        <v>583</v>
      </c>
      <c r="B584" s="19" t="s">
        <v>409</v>
      </c>
      <c r="C584" s="19" t="s">
        <v>604</v>
      </c>
      <c r="D584" s="19">
        <v>0</v>
      </c>
      <c r="E584" s="19">
        <v>1</v>
      </c>
      <c r="F584" s="19">
        <v>0.36</v>
      </c>
      <c r="G584" s="19">
        <v>20260327</v>
      </c>
      <c r="H584" s="20" t="b">
        <f t="shared" si="9"/>
        <v>0</v>
      </c>
      <c r="I584" s="21" t="str" cm="1">
        <f t="array" ref="I584">GET_TICKER_FINAL(C584)</f>
        <v/>
      </c>
      <c r="J584" s="5" t="s">
        <v>25</v>
      </c>
    </row>
    <row r="585" spans="1:10" hidden="1">
      <c r="A585" s="23">
        <v>584</v>
      </c>
      <c r="B585" s="22" t="s">
        <v>409</v>
      </c>
      <c r="C585" s="22" t="s">
        <v>605</v>
      </c>
      <c r="D585" s="22">
        <v>0</v>
      </c>
      <c r="E585" s="22">
        <v>12</v>
      </c>
      <c r="F585" s="22">
        <v>0.2</v>
      </c>
      <c r="G585" s="22">
        <v>20260327</v>
      </c>
      <c r="H585" s="23" t="b">
        <f t="shared" si="9"/>
        <v>0</v>
      </c>
      <c r="I585" s="24" t="str" cm="1">
        <f t="array" ref="I585">GET_TICKER_FINAL(C585)</f>
        <v/>
      </c>
      <c r="J585" s="5" t="s">
        <v>1792</v>
      </c>
    </row>
    <row r="586" spans="1:10" hidden="1">
      <c r="A586" s="20">
        <v>585</v>
      </c>
      <c r="B586" s="19" t="s">
        <v>409</v>
      </c>
      <c r="C586" s="19" t="s">
        <v>606</v>
      </c>
      <c r="D586" s="19">
        <v>0</v>
      </c>
      <c r="E586" s="19">
        <v>8</v>
      </c>
      <c r="F586" s="19">
        <v>0.25</v>
      </c>
      <c r="G586" s="19">
        <v>20260327</v>
      </c>
      <c r="H586" s="20" t="b">
        <f t="shared" si="9"/>
        <v>0</v>
      </c>
      <c r="I586" s="21" t="str" cm="1">
        <f t="array" ref="I586">GET_TICKER_FINAL(C586)</f>
        <v/>
      </c>
      <c r="J586" s="5" t="s">
        <v>1792</v>
      </c>
    </row>
    <row r="587" spans="1:10" hidden="1">
      <c r="A587" s="23">
        <v>586</v>
      </c>
      <c r="B587" s="22" t="s">
        <v>409</v>
      </c>
      <c r="C587" s="22" t="s">
        <v>607</v>
      </c>
      <c r="D587" s="22">
        <v>0</v>
      </c>
      <c r="E587" s="22">
        <v>29</v>
      </c>
      <c r="F587" s="22">
        <v>0.36</v>
      </c>
      <c r="G587" s="22">
        <v>20260327</v>
      </c>
      <c r="H587" s="23" t="b">
        <f t="shared" si="9"/>
        <v>0</v>
      </c>
      <c r="I587" s="24" t="str" cm="1">
        <f t="array" ref="I587">GET_TICKER_FINAL(C587)</f>
        <v/>
      </c>
      <c r="J587" s="5" t="s">
        <v>1792</v>
      </c>
    </row>
    <row r="588" spans="1:10" hidden="1">
      <c r="A588" s="20">
        <v>587</v>
      </c>
      <c r="B588" s="19" t="s">
        <v>409</v>
      </c>
      <c r="C588" s="19" t="s">
        <v>608</v>
      </c>
      <c r="D588" s="19">
        <v>0</v>
      </c>
      <c r="E588" s="19">
        <v>4</v>
      </c>
      <c r="F588" s="19">
        <v>0.25</v>
      </c>
      <c r="G588" s="19">
        <v>20260327</v>
      </c>
      <c r="H588" s="20" t="b">
        <f t="shared" si="9"/>
        <v>0</v>
      </c>
      <c r="I588" s="21" t="str" cm="1">
        <f t="array" ref="I588">GET_TICKER_FINAL(C588)</f>
        <v/>
      </c>
      <c r="J588" s="5" t="s">
        <v>1792</v>
      </c>
    </row>
    <row r="589" spans="1:10" hidden="1">
      <c r="A589" s="23">
        <v>588</v>
      </c>
      <c r="B589" s="22" t="s">
        <v>409</v>
      </c>
      <c r="C589" s="22" t="s">
        <v>609</v>
      </c>
      <c r="D589" s="22">
        <v>0</v>
      </c>
      <c r="E589" s="22">
        <v>20</v>
      </c>
      <c r="F589" s="22">
        <v>0.48</v>
      </c>
      <c r="G589" s="22">
        <v>20260327</v>
      </c>
      <c r="H589" s="23" t="b">
        <f t="shared" si="9"/>
        <v>0</v>
      </c>
      <c r="I589" s="24" t="str" cm="1">
        <f t="array" ref="I589">GET_TICKER_FINAL(C589)</f>
        <v/>
      </c>
      <c r="J589" s="5" t="s">
        <v>16</v>
      </c>
    </row>
    <row r="590" spans="1:10" hidden="1">
      <c r="A590" s="20">
        <v>589</v>
      </c>
      <c r="B590" s="19" t="s">
        <v>409</v>
      </c>
      <c r="C590" s="19" t="s">
        <v>610</v>
      </c>
      <c r="D590" s="19">
        <v>0</v>
      </c>
      <c r="E590" s="19">
        <v>48</v>
      </c>
      <c r="F590" s="19">
        <v>0.4</v>
      </c>
      <c r="G590" s="19">
        <v>20260327</v>
      </c>
      <c r="H590" s="20" t="b">
        <f t="shared" si="9"/>
        <v>0</v>
      </c>
      <c r="I590" s="21" t="str" cm="1">
        <f t="array" ref="I590">GET_TICKER_FINAL(C590)</f>
        <v/>
      </c>
      <c r="J590" s="5" t="s">
        <v>28</v>
      </c>
    </row>
    <row r="591" spans="1:10" hidden="1">
      <c r="A591" s="23">
        <v>590</v>
      </c>
      <c r="B591" s="22" t="s">
        <v>409</v>
      </c>
      <c r="C591" s="22" t="s">
        <v>611</v>
      </c>
      <c r="D591" s="22">
        <v>0</v>
      </c>
      <c r="E591" s="22">
        <v>15</v>
      </c>
      <c r="F591" s="22">
        <v>0.42</v>
      </c>
      <c r="G591" s="22">
        <v>20260327</v>
      </c>
      <c r="H591" s="23" t="b">
        <f t="shared" si="9"/>
        <v>0</v>
      </c>
      <c r="I591" s="24" t="str" cm="1">
        <f t="array" ref="I591">GET_TICKER_FINAL(C591)</f>
        <v/>
      </c>
      <c r="J591" s="5" t="s">
        <v>1792</v>
      </c>
    </row>
    <row r="592" spans="1:10" hidden="1">
      <c r="A592" s="20">
        <v>591</v>
      </c>
      <c r="B592" s="19" t="s">
        <v>409</v>
      </c>
      <c r="C592" s="19" t="s">
        <v>612</v>
      </c>
      <c r="D592" s="19">
        <v>0</v>
      </c>
      <c r="E592" s="19">
        <v>18</v>
      </c>
      <c r="F592" s="19">
        <v>0.33</v>
      </c>
      <c r="G592" s="19">
        <v>20260327</v>
      </c>
      <c r="H592" s="20" t="b">
        <f t="shared" si="9"/>
        <v>0</v>
      </c>
      <c r="I592" s="21" t="str" cm="1">
        <f t="array" ref="I592">GET_TICKER_FINAL(C592)</f>
        <v/>
      </c>
      <c r="J592" s="5" t="s">
        <v>1792</v>
      </c>
    </row>
    <row r="593" spans="1:10" hidden="1">
      <c r="A593" s="23">
        <v>592</v>
      </c>
      <c r="B593" s="22" t="s">
        <v>409</v>
      </c>
      <c r="C593" s="22" t="s">
        <v>613</v>
      </c>
      <c r="D593" s="22">
        <v>0</v>
      </c>
      <c r="E593" s="22">
        <v>29</v>
      </c>
      <c r="F593" s="22">
        <v>0.28999999999999998</v>
      </c>
      <c r="G593" s="22">
        <v>20260327</v>
      </c>
      <c r="H593" s="23" t="b">
        <f t="shared" si="9"/>
        <v>0</v>
      </c>
      <c r="I593" s="24" t="str" cm="1">
        <f t="array" ref="I593">GET_TICKER_FINAL(C593)</f>
        <v/>
      </c>
      <c r="J593" s="5" t="s">
        <v>1792</v>
      </c>
    </row>
    <row r="594" spans="1:10" hidden="1">
      <c r="A594" s="20">
        <v>593</v>
      </c>
      <c r="B594" s="19" t="s">
        <v>409</v>
      </c>
      <c r="C594" s="19" t="s">
        <v>614</v>
      </c>
      <c r="D594" s="19">
        <v>0</v>
      </c>
      <c r="E594" s="19">
        <v>28</v>
      </c>
      <c r="F594" s="19">
        <v>0.4</v>
      </c>
      <c r="G594" s="19">
        <v>20260327</v>
      </c>
      <c r="H594" s="20" t="b">
        <f t="shared" si="9"/>
        <v>0</v>
      </c>
      <c r="I594" s="21" t="str" cm="1">
        <f t="array" ref="I594">GET_TICKER_FINAL(C594)</f>
        <v/>
      </c>
      <c r="J594" s="5" t="s">
        <v>1792</v>
      </c>
    </row>
    <row r="595" spans="1:10" hidden="1">
      <c r="A595" s="23">
        <v>594</v>
      </c>
      <c r="B595" s="22" t="s">
        <v>409</v>
      </c>
      <c r="C595" s="22" t="s">
        <v>615</v>
      </c>
      <c r="D595" s="22">
        <v>0</v>
      </c>
      <c r="E595" s="22">
        <v>1</v>
      </c>
      <c r="F595" s="22">
        <v>0.2</v>
      </c>
      <c r="G595" s="22">
        <v>20260327</v>
      </c>
      <c r="H595" s="23" t="b">
        <f t="shared" si="9"/>
        <v>0</v>
      </c>
      <c r="I595" s="24" t="str" cm="1">
        <f t="array" ref="I595">GET_TICKER_FINAL(C595)</f>
        <v/>
      </c>
      <c r="J595" s="5" t="s">
        <v>1792</v>
      </c>
    </row>
    <row r="596" spans="1:10" hidden="1">
      <c r="A596" s="20">
        <v>595</v>
      </c>
      <c r="B596" s="19" t="s">
        <v>409</v>
      </c>
      <c r="C596" s="19" t="s">
        <v>616</v>
      </c>
      <c r="D596" s="19">
        <v>0</v>
      </c>
      <c r="E596" s="19">
        <v>3</v>
      </c>
      <c r="F596" s="19">
        <v>0.14000000000000001</v>
      </c>
      <c r="G596" s="19">
        <v>20260327</v>
      </c>
      <c r="H596" s="20" t="b">
        <f t="shared" si="9"/>
        <v>0</v>
      </c>
      <c r="I596" s="21" t="str" cm="1">
        <f t="array" ref="I596">GET_TICKER_FINAL(C596)</f>
        <v/>
      </c>
      <c r="J596" s="5" t="s">
        <v>16</v>
      </c>
    </row>
    <row r="597" spans="1:10">
      <c r="A597" s="23">
        <v>596</v>
      </c>
      <c r="B597" s="22" t="s">
        <v>409</v>
      </c>
      <c r="C597" s="22" t="s">
        <v>617</v>
      </c>
      <c r="D597" s="22">
        <v>0</v>
      </c>
      <c r="E597" s="22">
        <v>9</v>
      </c>
      <c r="F597" s="22">
        <v>0.47</v>
      </c>
      <c r="G597" s="22">
        <v>20260327</v>
      </c>
      <c r="H597" s="23" t="b">
        <f t="shared" si="9"/>
        <v>0</v>
      </c>
      <c r="I597" s="24" t="str" cm="1">
        <f t="array" ref="I597">GET_TICKER_FINAL(C597)</f>
        <v>SPY</v>
      </c>
      <c r="J597" s="5" t="s">
        <v>1792</v>
      </c>
    </row>
    <row r="598" spans="1:10">
      <c r="A598" s="20">
        <v>597</v>
      </c>
      <c r="B598" s="19" t="s">
        <v>409</v>
      </c>
      <c r="C598" s="19" t="s">
        <v>618</v>
      </c>
      <c r="D598" s="19">
        <v>0</v>
      </c>
      <c r="E598" s="19">
        <v>11</v>
      </c>
      <c r="F598" s="19">
        <v>0.32</v>
      </c>
      <c r="G598" s="19">
        <v>20260402</v>
      </c>
      <c r="H598" s="20" t="b">
        <f t="shared" si="9"/>
        <v>1</v>
      </c>
      <c r="I598" s="21" t="str" cm="1">
        <f t="array" ref="I598">GET_TICKER_FINAL(C598)</f>
        <v>GOOGL</v>
      </c>
      <c r="J598" s="5" t="s">
        <v>1792</v>
      </c>
    </row>
    <row r="599" spans="1:10" hidden="1">
      <c r="A599" s="23">
        <v>598</v>
      </c>
      <c r="B599" s="22" t="s">
        <v>409</v>
      </c>
      <c r="C599" s="22" t="s">
        <v>619</v>
      </c>
      <c r="D599" s="22">
        <v>0</v>
      </c>
      <c r="E599" s="22">
        <v>3</v>
      </c>
      <c r="F599" s="22">
        <v>0.38</v>
      </c>
      <c r="G599" s="22">
        <v>20260402</v>
      </c>
      <c r="H599" s="23" t="b">
        <f t="shared" si="9"/>
        <v>0</v>
      </c>
      <c r="I599" s="24" t="str" cm="1">
        <f t="array" ref="I599">GET_TICKER_FINAL(C599)</f>
        <v/>
      </c>
      <c r="J599" s="5" t="s">
        <v>1792</v>
      </c>
    </row>
    <row r="600" spans="1:10" hidden="1">
      <c r="A600" s="20">
        <v>599</v>
      </c>
      <c r="B600" s="19" t="s">
        <v>409</v>
      </c>
      <c r="C600" s="19" t="s">
        <v>620</v>
      </c>
      <c r="D600" s="19">
        <v>0</v>
      </c>
      <c r="E600" s="19">
        <v>15</v>
      </c>
      <c r="F600" s="19">
        <v>0.38</v>
      </c>
      <c r="G600" s="19">
        <v>20260402</v>
      </c>
      <c r="H600" s="20" t="b">
        <f t="shared" si="9"/>
        <v>0</v>
      </c>
      <c r="I600" s="21" t="str" cm="1">
        <f t="array" ref="I600">GET_TICKER_FINAL(C600)</f>
        <v/>
      </c>
      <c r="J600" s="5" t="s">
        <v>1792</v>
      </c>
    </row>
    <row r="601" spans="1:10" hidden="1">
      <c r="A601" s="23">
        <v>600</v>
      </c>
      <c r="B601" s="22" t="s">
        <v>409</v>
      </c>
      <c r="C601" s="22" t="s">
        <v>621</v>
      </c>
      <c r="D601" s="22">
        <v>0</v>
      </c>
      <c r="E601" s="22">
        <v>36</v>
      </c>
      <c r="F601" s="22">
        <v>0.36</v>
      </c>
      <c r="G601" s="22">
        <v>20260402</v>
      </c>
      <c r="H601" s="23" t="b">
        <f t="shared" si="9"/>
        <v>0</v>
      </c>
      <c r="I601" s="24" t="str" cm="1">
        <f t="array" ref="I601">GET_TICKER_FINAL(C601)</f>
        <v/>
      </c>
      <c r="J601" s="5" t="s">
        <v>25</v>
      </c>
    </row>
    <row r="602" spans="1:10" hidden="1">
      <c r="A602" s="20">
        <v>601</v>
      </c>
      <c r="B602" s="19" t="s">
        <v>409</v>
      </c>
      <c r="C602" s="19" t="s">
        <v>622</v>
      </c>
      <c r="D602" s="19">
        <v>0</v>
      </c>
      <c r="E602" s="19">
        <v>32</v>
      </c>
      <c r="F602" s="19">
        <v>0.43</v>
      </c>
      <c r="G602" s="19">
        <v>20260402</v>
      </c>
      <c r="H602" s="20" t="b">
        <f t="shared" si="9"/>
        <v>0</v>
      </c>
      <c r="I602" s="21" t="str" cm="1">
        <f t="array" ref="I602">GET_TICKER_FINAL(C602)</f>
        <v/>
      </c>
      <c r="J602" s="5" t="s">
        <v>25</v>
      </c>
    </row>
    <row r="603" spans="1:10" hidden="1">
      <c r="A603" s="23">
        <v>602</v>
      </c>
      <c r="B603" s="22" t="s">
        <v>409</v>
      </c>
      <c r="C603" s="22" t="s">
        <v>623</v>
      </c>
      <c r="D603" s="22">
        <v>0</v>
      </c>
      <c r="E603" s="22">
        <v>22</v>
      </c>
      <c r="F603" s="22">
        <v>0.28999999999999998</v>
      </c>
      <c r="G603" s="22">
        <v>20260402</v>
      </c>
      <c r="H603" s="23" t="b">
        <f t="shared" si="9"/>
        <v>0</v>
      </c>
      <c r="I603" s="24" t="str" cm="1">
        <f t="array" ref="I603">GET_TICKER_FINAL(C603)</f>
        <v/>
      </c>
      <c r="J603" s="5" t="s">
        <v>25</v>
      </c>
    </row>
    <row r="604" spans="1:10">
      <c r="A604" s="20">
        <v>603</v>
      </c>
      <c r="B604" s="19" t="s">
        <v>409</v>
      </c>
      <c r="C604" s="19" t="s">
        <v>624</v>
      </c>
      <c r="D604" s="19">
        <v>0</v>
      </c>
      <c r="E604" s="19">
        <v>3</v>
      </c>
      <c r="F604" s="19">
        <v>0.5</v>
      </c>
      <c r="G604" s="19">
        <v>20260326</v>
      </c>
      <c r="H604" s="20" t="b">
        <f t="shared" si="9"/>
        <v>1</v>
      </c>
      <c r="I604" s="21" t="str" cm="1">
        <f t="array" ref="I604">GET_TICKER_FINAL(C604)</f>
        <v>OKLO</v>
      </c>
      <c r="J604" s="5" t="s">
        <v>1792</v>
      </c>
    </row>
    <row r="605" spans="1:10" hidden="1">
      <c r="A605" s="23">
        <v>604</v>
      </c>
      <c r="B605" s="22" t="s">
        <v>409</v>
      </c>
      <c r="C605" s="22" t="s">
        <v>625</v>
      </c>
      <c r="D605" s="22">
        <v>0</v>
      </c>
      <c r="E605" s="22">
        <v>5</v>
      </c>
      <c r="F605" s="22">
        <v>0.32</v>
      </c>
      <c r="G605" s="22">
        <v>20260326</v>
      </c>
      <c r="H605" s="23" t="b">
        <f t="shared" si="9"/>
        <v>1</v>
      </c>
      <c r="I605" s="24" t="str" cm="1">
        <f t="array" ref="I605">GET_TICKER_FINAL(C605)</f>
        <v/>
      </c>
      <c r="J605" s="5" t="s">
        <v>16</v>
      </c>
    </row>
    <row r="606" spans="1:10" hidden="1">
      <c r="A606" s="20">
        <v>605</v>
      </c>
      <c r="B606" s="19" t="s">
        <v>409</v>
      </c>
      <c r="C606" s="19" t="s">
        <v>626</v>
      </c>
      <c r="D606" s="19">
        <v>0</v>
      </c>
      <c r="E606" s="19">
        <v>13</v>
      </c>
      <c r="F606" s="19">
        <v>0.33</v>
      </c>
      <c r="G606" s="19">
        <v>20260326</v>
      </c>
      <c r="H606" s="20" t="b">
        <f t="shared" si="9"/>
        <v>0</v>
      </c>
      <c r="I606" s="21" t="str" cm="1">
        <f t="array" ref="I606">GET_TICKER_FINAL(C606)</f>
        <v/>
      </c>
      <c r="J606" s="5" t="s">
        <v>1792</v>
      </c>
    </row>
    <row r="607" spans="1:10" hidden="1">
      <c r="A607" s="23">
        <v>606</v>
      </c>
      <c r="B607" s="22" t="s">
        <v>409</v>
      </c>
      <c r="C607" s="22" t="s">
        <v>627</v>
      </c>
      <c r="D607" s="22">
        <v>0</v>
      </c>
      <c r="E607" s="22">
        <v>32</v>
      </c>
      <c r="F607" s="22">
        <v>0.33</v>
      </c>
      <c r="G607" s="22">
        <v>20260326</v>
      </c>
      <c r="H607" s="23" t="b">
        <f t="shared" si="9"/>
        <v>0</v>
      </c>
      <c r="I607" s="24" t="str" cm="1">
        <f t="array" ref="I607">GET_TICKER_FINAL(C607)</f>
        <v/>
      </c>
      <c r="J607" s="5" t="s">
        <v>1792</v>
      </c>
    </row>
    <row r="608" spans="1:10" hidden="1">
      <c r="A608" s="20">
        <v>607</v>
      </c>
      <c r="B608" s="19" t="s">
        <v>409</v>
      </c>
      <c r="C608" s="19" t="s">
        <v>628</v>
      </c>
      <c r="D608" s="19">
        <v>0</v>
      </c>
      <c r="E608" s="19">
        <v>23</v>
      </c>
      <c r="F608" s="19">
        <v>0.33</v>
      </c>
      <c r="G608" s="19">
        <v>20260326</v>
      </c>
      <c r="H608" s="20" t="b">
        <f t="shared" si="9"/>
        <v>0</v>
      </c>
      <c r="I608" s="21" t="str" cm="1">
        <f t="array" ref="I608">GET_TICKER_FINAL(C608)</f>
        <v/>
      </c>
      <c r="J608" s="5" t="s">
        <v>16</v>
      </c>
    </row>
    <row r="609" spans="1:10" hidden="1">
      <c r="A609" s="23">
        <v>608</v>
      </c>
      <c r="B609" s="22" t="s">
        <v>409</v>
      </c>
      <c r="C609" s="22" t="s">
        <v>629</v>
      </c>
      <c r="D609" s="22">
        <v>0</v>
      </c>
      <c r="E609" s="22">
        <v>46</v>
      </c>
      <c r="F609" s="22">
        <v>0.43</v>
      </c>
      <c r="G609" s="22">
        <v>20260402</v>
      </c>
      <c r="H609" s="23" t="b">
        <f t="shared" si="9"/>
        <v>0</v>
      </c>
      <c r="I609" s="24" t="str" cm="1">
        <f t="array" ref="I609">GET_TICKER_FINAL(C609)</f>
        <v/>
      </c>
      <c r="J609" s="5" t="s">
        <v>16</v>
      </c>
    </row>
    <row r="610" spans="1:10" hidden="1">
      <c r="A610" s="20">
        <v>609</v>
      </c>
      <c r="B610" s="19" t="s">
        <v>409</v>
      </c>
      <c r="C610" s="19" t="s">
        <v>630</v>
      </c>
      <c r="D610" s="19">
        <v>0</v>
      </c>
      <c r="E610" s="19">
        <v>28</v>
      </c>
      <c r="F610" s="19">
        <v>0.36</v>
      </c>
      <c r="G610" s="19">
        <v>20260326</v>
      </c>
      <c r="H610" s="20" t="b">
        <f t="shared" si="9"/>
        <v>0</v>
      </c>
      <c r="I610" s="21" t="str" cm="1">
        <f t="array" ref="I610">GET_TICKER_FINAL(C610)</f>
        <v/>
      </c>
      <c r="J610" s="5" t="s">
        <v>1792</v>
      </c>
    </row>
    <row r="611" spans="1:10" hidden="1">
      <c r="A611" s="23">
        <v>610</v>
      </c>
      <c r="B611" s="22" t="s">
        <v>409</v>
      </c>
      <c r="C611" s="22" t="s">
        <v>631</v>
      </c>
      <c r="D611" s="22">
        <v>0</v>
      </c>
      <c r="E611" s="22">
        <v>20</v>
      </c>
      <c r="F611" s="22">
        <v>0.4</v>
      </c>
      <c r="G611" s="22">
        <v>20260326</v>
      </c>
      <c r="H611" s="23" t="b">
        <f t="shared" si="9"/>
        <v>0</v>
      </c>
      <c r="I611" s="24" t="str" cm="1">
        <f t="array" ref="I611">GET_TICKER_FINAL(C611)</f>
        <v/>
      </c>
      <c r="J611" s="5" t="s">
        <v>1792</v>
      </c>
    </row>
    <row r="612" spans="1:10" hidden="1">
      <c r="A612" s="20">
        <v>611</v>
      </c>
      <c r="B612" s="19" t="s">
        <v>409</v>
      </c>
      <c r="C612" s="19" t="s">
        <v>632</v>
      </c>
      <c r="D612" s="19">
        <v>0</v>
      </c>
      <c r="E612" s="19">
        <v>0</v>
      </c>
      <c r="F612" s="19">
        <v>0.33</v>
      </c>
      <c r="G612" s="19">
        <v>20260402</v>
      </c>
      <c r="H612" s="20" t="b">
        <f t="shared" si="9"/>
        <v>0</v>
      </c>
      <c r="I612" s="21" t="str" cm="1">
        <f t="array" ref="I612">GET_TICKER_FINAL(C612)</f>
        <v/>
      </c>
      <c r="J612" s="5" t="s">
        <v>1792</v>
      </c>
    </row>
    <row r="613" spans="1:10">
      <c r="A613" s="23">
        <v>612</v>
      </c>
      <c r="B613" s="22" t="s">
        <v>409</v>
      </c>
      <c r="C613" s="22" t="s">
        <v>633</v>
      </c>
      <c r="D613" s="22">
        <v>0</v>
      </c>
      <c r="E613" s="22">
        <v>0</v>
      </c>
      <c r="F613" s="22">
        <v>0.44</v>
      </c>
      <c r="G613" s="22">
        <v>20260402</v>
      </c>
      <c r="H613" s="23" t="b">
        <f t="shared" si="9"/>
        <v>0</v>
      </c>
      <c r="I613" s="24" t="str" cm="1">
        <f t="array" ref="I613">GET_TICKER_FINAL(C613)</f>
        <v>AAPL</v>
      </c>
      <c r="J613" s="5" t="s">
        <v>25</v>
      </c>
    </row>
    <row r="614" spans="1:10" hidden="1">
      <c r="A614" s="20">
        <v>613</v>
      </c>
      <c r="B614" s="19" t="s">
        <v>409</v>
      </c>
      <c r="C614" s="19" t="s">
        <v>634</v>
      </c>
      <c r="D614" s="19">
        <v>0</v>
      </c>
      <c r="E614" s="19">
        <v>28</v>
      </c>
      <c r="F614" s="19">
        <v>0.43</v>
      </c>
      <c r="G614" s="19">
        <v>20260323</v>
      </c>
      <c r="H614" s="20" t="b">
        <f t="shared" si="9"/>
        <v>0</v>
      </c>
      <c r="I614" s="21" t="str" cm="1">
        <f t="array" ref="I614">GET_TICKER_FINAL(C614)</f>
        <v/>
      </c>
      <c r="J614" s="5" t="s">
        <v>1792</v>
      </c>
    </row>
    <row r="615" spans="1:10" hidden="1">
      <c r="A615" s="23">
        <v>614</v>
      </c>
      <c r="B615" s="22" t="s">
        <v>409</v>
      </c>
      <c r="C615" s="22" t="s">
        <v>635</v>
      </c>
      <c r="D615" s="22">
        <v>0</v>
      </c>
      <c r="E615" s="22">
        <v>13</v>
      </c>
      <c r="F615" s="22">
        <v>0.3</v>
      </c>
      <c r="G615" s="22">
        <v>20260323</v>
      </c>
      <c r="H615" s="23" t="b">
        <f t="shared" si="9"/>
        <v>0</v>
      </c>
      <c r="I615" s="24" t="str" cm="1">
        <f t="array" ref="I615">GET_TICKER_FINAL(C615)</f>
        <v/>
      </c>
      <c r="J615" s="5" t="s">
        <v>1792</v>
      </c>
    </row>
    <row r="616" spans="1:10" hidden="1">
      <c r="A616" s="20">
        <v>615</v>
      </c>
      <c r="B616" s="19" t="s">
        <v>409</v>
      </c>
      <c r="C616" s="19" t="s">
        <v>636</v>
      </c>
      <c r="D616" s="19">
        <v>0</v>
      </c>
      <c r="E616" s="19">
        <v>2</v>
      </c>
      <c r="F616" s="19">
        <v>0.25</v>
      </c>
      <c r="G616" s="19">
        <v>20260323</v>
      </c>
      <c r="H616" s="20" t="b">
        <f t="shared" si="9"/>
        <v>0</v>
      </c>
      <c r="I616" s="21" t="str" cm="1">
        <f t="array" ref="I616">GET_TICKER_FINAL(C616)</f>
        <v/>
      </c>
      <c r="J616" s="5" t="s">
        <v>1792</v>
      </c>
    </row>
    <row r="617" spans="1:10" hidden="1">
      <c r="A617" s="23">
        <v>616</v>
      </c>
      <c r="B617" s="22" t="s">
        <v>409</v>
      </c>
      <c r="C617" s="22" t="s">
        <v>637</v>
      </c>
      <c r="D617" s="22">
        <v>0</v>
      </c>
      <c r="E617" s="22">
        <v>54</v>
      </c>
      <c r="F617" s="22">
        <v>0.43</v>
      </c>
      <c r="G617" s="22">
        <v>20260323</v>
      </c>
      <c r="H617" s="23" t="b">
        <f t="shared" si="9"/>
        <v>0</v>
      </c>
      <c r="I617" s="24" t="str" cm="1">
        <f t="array" ref="I617">GET_TICKER_FINAL(C617)</f>
        <v/>
      </c>
      <c r="J617" s="5" t="s">
        <v>1792</v>
      </c>
    </row>
    <row r="618" spans="1:10" hidden="1">
      <c r="A618" s="20">
        <v>617</v>
      </c>
      <c r="B618" s="19" t="s">
        <v>409</v>
      </c>
      <c r="C618" s="19" t="s">
        <v>638</v>
      </c>
      <c r="D618" s="19">
        <v>0</v>
      </c>
      <c r="E618" s="19">
        <v>16</v>
      </c>
      <c r="F618" s="19">
        <v>0.23</v>
      </c>
      <c r="G618" s="19">
        <v>20260323</v>
      </c>
      <c r="H618" s="20" t="b">
        <f t="shared" si="9"/>
        <v>0</v>
      </c>
      <c r="I618" s="21" t="str" cm="1">
        <f t="array" ref="I618">GET_TICKER_FINAL(C618)</f>
        <v/>
      </c>
      <c r="J618" s="5" t="s">
        <v>1792</v>
      </c>
    </row>
    <row r="619" spans="1:10" hidden="1">
      <c r="A619" s="23">
        <v>618</v>
      </c>
      <c r="B619" s="22" t="s">
        <v>409</v>
      </c>
      <c r="C619" s="22" t="s">
        <v>639</v>
      </c>
      <c r="D619" s="22">
        <v>0</v>
      </c>
      <c r="E619" s="22">
        <v>0</v>
      </c>
      <c r="F619" s="22">
        <v>0.25</v>
      </c>
      <c r="G619" s="22">
        <v>20260323</v>
      </c>
      <c r="H619" s="23" t="b">
        <f t="shared" si="9"/>
        <v>1</v>
      </c>
      <c r="I619" s="24" t="str" cm="1">
        <f t="array" ref="I619">GET_TICKER_FINAL(C619)</f>
        <v/>
      </c>
      <c r="J619" s="5" t="s">
        <v>1792</v>
      </c>
    </row>
    <row r="620" spans="1:10" hidden="1">
      <c r="A620" s="20">
        <v>619</v>
      </c>
      <c r="B620" s="19" t="s">
        <v>409</v>
      </c>
      <c r="C620" s="19" t="s">
        <v>640</v>
      </c>
      <c r="D620" s="19">
        <v>0</v>
      </c>
      <c r="E620" s="19">
        <v>55</v>
      </c>
      <c r="F620" s="19">
        <v>0.27</v>
      </c>
      <c r="G620" s="19">
        <v>20260323</v>
      </c>
      <c r="H620" s="20" t="b">
        <f t="shared" si="9"/>
        <v>0</v>
      </c>
      <c r="I620" s="21" t="str" cm="1">
        <f t="array" ref="I620">GET_TICKER_FINAL(C620)</f>
        <v/>
      </c>
      <c r="J620" s="5" t="s">
        <v>1792</v>
      </c>
    </row>
    <row r="621" spans="1:10" hidden="1">
      <c r="A621" s="23">
        <v>620</v>
      </c>
      <c r="B621" s="22" t="s">
        <v>409</v>
      </c>
      <c r="C621" s="22" t="s">
        <v>641</v>
      </c>
      <c r="D621" s="22">
        <v>0</v>
      </c>
      <c r="E621" s="22">
        <v>41</v>
      </c>
      <c r="F621" s="22">
        <v>0.43</v>
      </c>
      <c r="G621" s="22">
        <v>20260323</v>
      </c>
      <c r="H621" s="23" t="b">
        <f t="shared" si="9"/>
        <v>0</v>
      </c>
      <c r="I621" s="24" t="str" cm="1">
        <f t="array" ref="I621">GET_TICKER_FINAL(C621)</f>
        <v/>
      </c>
      <c r="J621" s="5" t="s">
        <v>1792</v>
      </c>
    </row>
    <row r="622" spans="1:10" hidden="1">
      <c r="A622" s="20">
        <v>621</v>
      </c>
      <c r="B622" s="19" t="s">
        <v>409</v>
      </c>
      <c r="C622" s="19" t="s">
        <v>642</v>
      </c>
      <c r="D622" s="19">
        <v>0</v>
      </c>
      <c r="E622" s="19">
        <v>7</v>
      </c>
      <c r="F622" s="19">
        <v>0.22</v>
      </c>
      <c r="G622" s="19">
        <v>20260323</v>
      </c>
      <c r="H622" s="20" t="b">
        <f t="shared" si="9"/>
        <v>0</v>
      </c>
      <c r="I622" s="21" t="str" cm="1">
        <f t="array" ref="I622">GET_TICKER_FINAL(C622)</f>
        <v/>
      </c>
      <c r="J622" s="5" t="s">
        <v>1792</v>
      </c>
    </row>
    <row r="623" spans="1:10" hidden="1">
      <c r="A623" s="23">
        <v>622</v>
      </c>
      <c r="B623" s="22" t="s">
        <v>409</v>
      </c>
      <c r="C623" s="22" t="s">
        <v>643</v>
      </c>
      <c r="D623" s="22">
        <v>0</v>
      </c>
      <c r="E623" s="22">
        <v>4</v>
      </c>
      <c r="F623" s="22">
        <v>0.4</v>
      </c>
      <c r="G623" s="22">
        <v>20260323</v>
      </c>
      <c r="H623" s="23" t="b">
        <f t="shared" si="9"/>
        <v>0</v>
      </c>
      <c r="I623" s="24" t="str" cm="1">
        <f t="array" ref="I623">GET_TICKER_FINAL(C623)</f>
        <v/>
      </c>
      <c r="J623" s="5" t="s">
        <v>1792</v>
      </c>
    </row>
    <row r="624" spans="1:10" hidden="1">
      <c r="A624" s="20">
        <v>623</v>
      </c>
      <c r="B624" s="19" t="s">
        <v>409</v>
      </c>
      <c r="C624" s="19" t="s">
        <v>644</v>
      </c>
      <c r="D624" s="19">
        <v>0</v>
      </c>
      <c r="E624" s="19">
        <v>29</v>
      </c>
      <c r="F624" s="19">
        <v>0.45</v>
      </c>
      <c r="G624" s="19">
        <v>20260323</v>
      </c>
      <c r="H624" s="20" t="b">
        <f t="shared" si="9"/>
        <v>0</v>
      </c>
      <c r="I624" s="21" t="str" cm="1">
        <f t="array" ref="I624">GET_TICKER_FINAL(C624)</f>
        <v/>
      </c>
      <c r="J624" s="5" t="s">
        <v>16</v>
      </c>
    </row>
    <row r="625" spans="1:10" hidden="1">
      <c r="A625" s="23">
        <v>624</v>
      </c>
      <c r="B625" s="22" t="s">
        <v>645</v>
      </c>
      <c r="C625" s="22" t="s">
        <v>646</v>
      </c>
      <c r="D625" s="22">
        <v>10219</v>
      </c>
      <c r="E625" s="22">
        <v>379</v>
      </c>
      <c r="F625" s="22">
        <v>0.98</v>
      </c>
      <c r="G625" s="22">
        <v>20260402</v>
      </c>
      <c r="H625" s="23" t="b">
        <f t="shared" si="9"/>
        <v>0</v>
      </c>
      <c r="I625" s="24" t="str" cm="1">
        <f t="array" ref="I625">GET_TICKER_FINAL(C625)</f>
        <v/>
      </c>
      <c r="J625" s="5" t="s">
        <v>25</v>
      </c>
    </row>
    <row r="626" spans="1:10" hidden="1">
      <c r="A626" s="20">
        <v>625</v>
      </c>
      <c r="B626" s="19" t="s">
        <v>645</v>
      </c>
      <c r="C626" s="19" t="s">
        <v>647</v>
      </c>
      <c r="D626" s="19">
        <v>7969</v>
      </c>
      <c r="E626" s="19">
        <v>1380</v>
      </c>
      <c r="F626" s="19">
        <v>0.95</v>
      </c>
      <c r="G626" s="19">
        <v>20260320</v>
      </c>
      <c r="H626" s="20" t="b">
        <f t="shared" si="9"/>
        <v>0</v>
      </c>
      <c r="I626" s="21" t="str" cm="1">
        <f t="array" ref="I626">GET_TICKER_FINAL(C626)</f>
        <v/>
      </c>
      <c r="J626" s="5" t="s">
        <v>25</v>
      </c>
    </row>
    <row r="627" spans="1:10" hidden="1">
      <c r="A627" s="23">
        <v>626</v>
      </c>
      <c r="B627" s="22" t="s">
        <v>645</v>
      </c>
      <c r="C627" s="22" t="s">
        <v>648</v>
      </c>
      <c r="D627" s="22">
        <v>4750</v>
      </c>
      <c r="E627" s="22">
        <v>1257</v>
      </c>
      <c r="F627" s="22">
        <v>0.9</v>
      </c>
      <c r="G627" s="22">
        <v>20260402</v>
      </c>
      <c r="H627" s="23" t="b">
        <f t="shared" si="9"/>
        <v>0</v>
      </c>
      <c r="I627" s="24" t="str" cm="1">
        <f t="array" ref="I627">GET_TICKER_FINAL(C627)</f>
        <v/>
      </c>
      <c r="J627" s="5" t="s">
        <v>16</v>
      </c>
    </row>
    <row r="628" spans="1:10" hidden="1">
      <c r="A628" s="20">
        <v>627</v>
      </c>
      <c r="B628" s="19" t="s">
        <v>645</v>
      </c>
      <c r="C628" s="19" t="s">
        <v>649</v>
      </c>
      <c r="D628" s="19">
        <v>4548</v>
      </c>
      <c r="E628" s="19">
        <v>522</v>
      </c>
      <c r="F628" s="19">
        <v>0.97</v>
      </c>
      <c r="G628" s="19">
        <v>20260320</v>
      </c>
      <c r="H628" s="20" t="b">
        <f t="shared" si="9"/>
        <v>0</v>
      </c>
      <c r="I628" s="21" t="str" cm="1">
        <f t="array" ref="I628">GET_TICKER_FINAL(C628)</f>
        <v/>
      </c>
      <c r="J628" s="5" t="s">
        <v>16</v>
      </c>
    </row>
    <row r="629" spans="1:10" hidden="1">
      <c r="A629" s="23">
        <v>628</v>
      </c>
      <c r="B629" s="22" t="s">
        <v>645</v>
      </c>
      <c r="C629" s="22" t="s">
        <v>650</v>
      </c>
      <c r="D629" s="22">
        <v>4439</v>
      </c>
      <c r="E629" s="22">
        <v>584</v>
      </c>
      <c r="F629" s="22">
        <v>0.95</v>
      </c>
      <c r="G629" s="22">
        <v>20260402</v>
      </c>
      <c r="H629" s="23" t="b">
        <f t="shared" si="9"/>
        <v>0</v>
      </c>
      <c r="I629" s="24" t="str" cm="1">
        <f t="array" ref="I629">GET_TICKER_FINAL(C629)</f>
        <v/>
      </c>
      <c r="J629" s="5" t="s">
        <v>16</v>
      </c>
    </row>
    <row r="630" spans="1:10" hidden="1">
      <c r="A630" s="20">
        <v>629</v>
      </c>
      <c r="B630" s="19" t="s">
        <v>645</v>
      </c>
      <c r="C630" s="19" t="s">
        <v>651</v>
      </c>
      <c r="D630" s="19">
        <v>3642</v>
      </c>
      <c r="E630" s="19">
        <v>677</v>
      </c>
      <c r="F630" s="19">
        <v>0.95</v>
      </c>
      <c r="G630" s="19">
        <v>20260401</v>
      </c>
      <c r="H630" s="20" t="b">
        <f t="shared" si="9"/>
        <v>0</v>
      </c>
      <c r="I630" s="21" t="str" cm="1">
        <f t="array" ref="I630">GET_TICKER_FINAL(C630)</f>
        <v/>
      </c>
      <c r="J630" s="5" t="s">
        <v>1792</v>
      </c>
    </row>
    <row r="631" spans="1:10" hidden="1">
      <c r="A631" s="23">
        <v>630</v>
      </c>
      <c r="B631" s="22" t="s">
        <v>645</v>
      </c>
      <c r="C631" s="22" t="s">
        <v>652</v>
      </c>
      <c r="D631" s="22">
        <v>3452</v>
      </c>
      <c r="E631" s="22">
        <v>721</v>
      </c>
      <c r="F631" s="22">
        <v>0.96</v>
      </c>
      <c r="G631" s="22">
        <v>20260402</v>
      </c>
      <c r="H631" s="23" t="b">
        <f t="shared" si="9"/>
        <v>0</v>
      </c>
      <c r="I631" s="24" t="str" cm="1">
        <f t="array" ref="I631">GET_TICKER_FINAL(C631)</f>
        <v/>
      </c>
      <c r="J631" s="5" t="s">
        <v>1792</v>
      </c>
    </row>
    <row r="632" spans="1:10" hidden="1">
      <c r="A632" s="20">
        <v>631</v>
      </c>
      <c r="B632" s="19" t="s">
        <v>645</v>
      </c>
      <c r="C632" s="19" t="s">
        <v>653</v>
      </c>
      <c r="D632" s="19">
        <v>2889</v>
      </c>
      <c r="E632" s="19">
        <v>184</v>
      </c>
      <c r="F632" s="19">
        <v>0.98</v>
      </c>
      <c r="G632" s="19">
        <v>20260402</v>
      </c>
      <c r="H632" s="20" t="b">
        <f t="shared" si="9"/>
        <v>0</v>
      </c>
      <c r="I632" s="21" t="str" cm="1">
        <f t="array" ref="I632">GET_TICKER_FINAL(C632)</f>
        <v/>
      </c>
      <c r="J632" s="5" t="s">
        <v>25</v>
      </c>
    </row>
    <row r="633" spans="1:10" hidden="1">
      <c r="A633" s="23">
        <v>632</v>
      </c>
      <c r="B633" s="22" t="s">
        <v>645</v>
      </c>
      <c r="C633" s="22" t="s">
        <v>654</v>
      </c>
      <c r="D633" s="22">
        <v>2883</v>
      </c>
      <c r="E633" s="22">
        <v>1459</v>
      </c>
      <c r="F633" s="22">
        <v>0.93</v>
      </c>
      <c r="G633" s="22">
        <v>20260323</v>
      </c>
      <c r="H633" s="23" t="b">
        <f t="shared" si="9"/>
        <v>0</v>
      </c>
      <c r="I633" s="24" t="str" cm="1">
        <f t="array" ref="I633">GET_TICKER_FINAL(C633)</f>
        <v/>
      </c>
      <c r="J633" s="5" t="s">
        <v>25</v>
      </c>
    </row>
    <row r="634" spans="1:10" hidden="1">
      <c r="A634" s="20">
        <v>633</v>
      </c>
      <c r="B634" s="19" t="s">
        <v>645</v>
      </c>
      <c r="C634" s="19" t="s">
        <v>655</v>
      </c>
      <c r="D634" s="19">
        <v>2831</v>
      </c>
      <c r="E634" s="19">
        <v>188</v>
      </c>
      <c r="F634" s="19">
        <v>0.99</v>
      </c>
      <c r="G634" s="19">
        <v>20260401</v>
      </c>
      <c r="H634" s="20" t="b">
        <f t="shared" si="9"/>
        <v>0</v>
      </c>
      <c r="I634" s="21" t="str" cm="1">
        <f t="array" ref="I634">GET_TICKER_FINAL(C634)</f>
        <v/>
      </c>
      <c r="J634" s="5" t="s">
        <v>28</v>
      </c>
    </row>
    <row r="635" spans="1:10">
      <c r="A635" s="23">
        <v>634</v>
      </c>
      <c r="B635" s="22" t="s">
        <v>645</v>
      </c>
      <c r="C635" s="22" t="s">
        <v>656</v>
      </c>
      <c r="D635" s="22">
        <v>2556</v>
      </c>
      <c r="E635" s="22">
        <v>288</v>
      </c>
      <c r="F635" s="22">
        <v>0.97</v>
      </c>
      <c r="G635" s="22">
        <v>20260331</v>
      </c>
      <c r="H635" s="23" t="b">
        <f t="shared" si="9"/>
        <v>0</v>
      </c>
      <c r="I635" s="24" t="str" cm="1">
        <f t="array" ref="I635">GET_TICKER_FINAL(C635)</f>
        <v>SPY</v>
      </c>
      <c r="J635" s="5" t="s">
        <v>16</v>
      </c>
    </row>
    <row r="636" spans="1:10">
      <c r="A636" s="20">
        <v>635</v>
      </c>
      <c r="B636" s="19" t="s">
        <v>645</v>
      </c>
      <c r="C636" s="19" t="s">
        <v>657</v>
      </c>
      <c r="D636" s="19">
        <v>2449</v>
      </c>
      <c r="E636" s="19">
        <v>431</v>
      </c>
      <c r="F636" s="19">
        <v>0.93</v>
      </c>
      <c r="G636" s="19">
        <v>20260326</v>
      </c>
      <c r="H636" s="20" t="b">
        <f t="shared" si="9"/>
        <v>0</v>
      </c>
      <c r="I636" s="21" t="str" cm="1">
        <f t="array" ref="I636">GET_TICKER_FINAL(C636)</f>
        <v>SPY</v>
      </c>
      <c r="J636" s="5" t="s">
        <v>28</v>
      </c>
    </row>
    <row r="637" spans="1:10" hidden="1">
      <c r="A637" s="23">
        <v>636</v>
      </c>
      <c r="B637" s="22" t="s">
        <v>645</v>
      </c>
      <c r="C637" s="22" t="s">
        <v>658</v>
      </c>
      <c r="D637" s="22">
        <v>2439</v>
      </c>
      <c r="E637" s="22">
        <v>269</v>
      </c>
      <c r="F637" s="22">
        <v>0.99</v>
      </c>
      <c r="G637" s="22">
        <v>20260327</v>
      </c>
      <c r="H637" s="23" t="b">
        <f t="shared" si="9"/>
        <v>0</v>
      </c>
      <c r="I637" s="24" t="str" cm="1">
        <f t="array" ref="I637">GET_TICKER_FINAL(C637)</f>
        <v/>
      </c>
      <c r="J637" s="5" t="s">
        <v>16</v>
      </c>
    </row>
    <row r="638" spans="1:10" hidden="1">
      <c r="A638" s="20">
        <v>637</v>
      </c>
      <c r="B638" s="19" t="s">
        <v>645</v>
      </c>
      <c r="C638" s="19" t="s">
        <v>659</v>
      </c>
      <c r="D638" s="19">
        <v>2354</v>
      </c>
      <c r="E638" s="19">
        <v>331</v>
      </c>
      <c r="F638" s="19">
        <v>0.97</v>
      </c>
      <c r="G638" s="19">
        <v>20260323</v>
      </c>
      <c r="H638" s="20" t="b">
        <f t="shared" si="9"/>
        <v>0</v>
      </c>
      <c r="I638" s="21" t="str" cm="1">
        <f t="array" ref="I638">GET_TICKER_FINAL(C638)</f>
        <v/>
      </c>
      <c r="J638" s="5" t="s">
        <v>16</v>
      </c>
    </row>
    <row r="639" spans="1:10" hidden="1">
      <c r="A639" s="23">
        <v>638</v>
      </c>
      <c r="B639" s="22" t="s">
        <v>645</v>
      </c>
      <c r="C639" s="22" t="s">
        <v>660</v>
      </c>
      <c r="D639" s="22">
        <v>2255</v>
      </c>
      <c r="E639" s="22">
        <v>218</v>
      </c>
      <c r="F639" s="22">
        <v>0.97</v>
      </c>
      <c r="G639" s="22">
        <v>20260320</v>
      </c>
      <c r="H639" s="23" t="b">
        <f t="shared" si="9"/>
        <v>0</v>
      </c>
      <c r="I639" s="24" t="str" cm="1">
        <f t="array" ref="I639">GET_TICKER_FINAL(C639)</f>
        <v/>
      </c>
      <c r="J639" s="5" t="s">
        <v>16</v>
      </c>
    </row>
    <row r="640" spans="1:10" hidden="1">
      <c r="A640" s="20">
        <v>639</v>
      </c>
      <c r="B640" s="19" t="s">
        <v>645</v>
      </c>
      <c r="C640" s="19" t="s">
        <v>661</v>
      </c>
      <c r="D640" s="19">
        <v>2227</v>
      </c>
      <c r="E640" s="19">
        <v>263</v>
      </c>
      <c r="F640" s="19">
        <v>0.97</v>
      </c>
      <c r="G640" s="19">
        <v>20260402</v>
      </c>
      <c r="H640" s="20" t="b">
        <f t="shared" si="9"/>
        <v>0</v>
      </c>
      <c r="I640" s="21" t="str" cm="1">
        <f t="array" ref="I640">GET_TICKER_FINAL(C640)</f>
        <v/>
      </c>
      <c r="J640" s="5" t="s">
        <v>25</v>
      </c>
    </row>
    <row r="641" spans="1:10" hidden="1">
      <c r="A641" s="23">
        <v>640</v>
      </c>
      <c r="B641" s="22" t="s">
        <v>645</v>
      </c>
      <c r="C641" s="22" t="s">
        <v>662</v>
      </c>
      <c r="D641" s="22">
        <v>1943</v>
      </c>
      <c r="E641" s="22">
        <v>1278</v>
      </c>
      <c r="F641" s="22">
        <v>0.93</v>
      </c>
      <c r="G641" s="22">
        <v>20260402</v>
      </c>
      <c r="H641" s="23" t="b">
        <f t="shared" si="9"/>
        <v>0</v>
      </c>
      <c r="I641" s="24" t="str" cm="1">
        <f t="array" ref="I641">GET_TICKER_FINAL(C641)</f>
        <v/>
      </c>
      <c r="J641" s="5" t="s">
        <v>16</v>
      </c>
    </row>
    <row r="642" spans="1:10" hidden="1">
      <c r="A642" s="20">
        <v>641</v>
      </c>
      <c r="B642" s="19" t="s">
        <v>645</v>
      </c>
      <c r="C642" s="19" t="s">
        <v>663</v>
      </c>
      <c r="D642" s="19">
        <v>1835</v>
      </c>
      <c r="E642" s="19">
        <v>76</v>
      </c>
      <c r="F642" s="19">
        <v>0.98</v>
      </c>
      <c r="G642" s="19">
        <v>20260326</v>
      </c>
      <c r="H642" s="20" t="b">
        <f t="shared" si="9"/>
        <v>0</v>
      </c>
      <c r="I642" s="21" t="str" cm="1">
        <f t="array" ref="I642">GET_TICKER_FINAL(C642)</f>
        <v/>
      </c>
      <c r="J642" s="5" t="s">
        <v>28</v>
      </c>
    </row>
    <row r="643" spans="1:10" hidden="1">
      <c r="A643" s="23">
        <v>642</v>
      </c>
      <c r="B643" s="22" t="s">
        <v>645</v>
      </c>
      <c r="C643" s="22" t="s">
        <v>664</v>
      </c>
      <c r="D643" s="22">
        <v>1825</v>
      </c>
      <c r="E643" s="22">
        <v>446</v>
      </c>
      <c r="F643" s="22">
        <v>0.96</v>
      </c>
      <c r="G643" s="22">
        <v>20260326</v>
      </c>
      <c r="H643" s="23" t="b">
        <f t="shared" ref="H643:H706" si="10">OR(ISNUMBER(SEARCH("$A",C643)),ISNUMBER(SEARCH("$B",C643)),ISNUMBER(SEARCH("$C",C643)),ISNUMBER(SEARCH("$D",C643)),ISNUMBER(SEARCH("$E",C643)),ISNUMBER(SEARCH("$F",C643)),ISNUMBER(SEARCH("$G",C643)),ISNUMBER(SEARCH("$H",C643)),ISNUMBER(SEARCH("$I",C643)),ISNUMBER(SEARCH("$J",C643)),ISNUMBER(SEARCH("$K",C643)),ISNUMBER(SEARCH("$L",C643)),ISNUMBER(SEARCH("$M",C643)),ISNUMBER(SEARCH("$N",C643)),ISNUMBER(SEARCH("$O",C643)),ISNUMBER(SEARCH("$P",C643)),ISNUMBER(SEARCH("$Q",C643)),ISNUMBER(SEARCH("$R",C643)),ISNUMBER(SEARCH("$S",C643)),ISNUMBER(SEARCH("$T",C643)),ISNUMBER(SEARCH("$U",C643)),ISNUMBER(SEARCH("$V",C643)),ISNUMBER(SEARCH("$W",C643)),ISNUMBER(SEARCH("$X",C643)),ISNUMBER(SEARCH("$Y",C643)),ISNUMBER(SEARCH("$Z",C643)))</f>
        <v>0</v>
      </c>
      <c r="I643" s="24" t="str" cm="1">
        <f t="array" ref="I643">GET_TICKER_FINAL(C643)</f>
        <v/>
      </c>
      <c r="J643" s="5" t="s">
        <v>16</v>
      </c>
    </row>
    <row r="644" spans="1:10" hidden="1">
      <c r="A644" s="20">
        <v>643</v>
      </c>
      <c r="B644" s="19" t="s">
        <v>645</v>
      </c>
      <c r="C644" s="19" t="s">
        <v>665</v>
      </c>
      <c r="D644" s="19">
        <v>1768</v>
      </c>
      <c r="E644" s="19">
        <v>128</v>
      </c>
      <c r="F644" s="19">
        <v>0.98</v>
      </c>
      <c r="G644" s="19">
        <v>20260330</v>
      </c>
      <c r="H644" s="20" t="b">
        <f t="shared" si="10"/>
        <v>0</v>
      </c>
      <c r="I644" s="21" t="str" cm="1">
        <f t="array" ref="I644">GET_TICKER_FINAL(C644)</f>
        <v/>
      </c>
      <c r="J644" s="5" t="s">
        <v>16</v>
      </c>
    </row>
    <row r="645" spans="1:10" hidden="1">
      <c r="A645" s="23">
        <v>644</v>
      </c>
      <c r="B645" s="22" t="s">
        <v>645</v>
      </c>
      <c r="C645" s="22" t="s">
        <v>666</v>
      </c>
      <c r="D645" s="22">
        <v>1754</v>
      </c>
      <c r="E645" s="22">
        <v>623</v>
      </c>
      <c r="F645" s="22">
        <v>0.97</v>
      </c>
      <c r="G645" s="22">
        <v>20260331</v>
      </c>
      <c r="H645" s="23" t="b">
        <f t="shared" si="10"/>
        <v>0</v>
      </c>
      <c r="I645" s="24" t="str" cm="1">
        <f t="array" ref="I645">GET_TICKER_FINAL(C645)</f>
        <v/>
      </c>
      <c r="J645" s="5" t="s">
        <v>16</v>
      </c>
    </row>
    <row r="646" spans="1:10" hidden="1">
      <c r="A646" s="20">
        <v>645</v>
      </c>
      <c r="B646" s="19" t="s">
        <v>645</v>
      </c>
      <c r="C646" s="19" t="s">
        <v>667</v>
      </c>
      <c r="D646" s="19">
        <v>1606</v>
      </c>
      <c r="E646" s="19">
        <v>307</v>
      </c>
      <c r="F646" s="19">
        <v>0.96</v>
      </c>
      <c r="G646" s="19">
        <v>20260402</v>
      </c>
      <c r="H646" s="20" t="b">
        <f t="shared" si="10"/>
        <v>0</v>
      </c>
      <c r="I646" s="21" t="str" cm="1">
        <f t="array" ref="I646">GET_TICKER_FINAL(C646)</f>
        <v/>
      </c>
      <c r="J646" s="5" t="s">
        <v>28</v>
      </c>
    </row>
    <row r="647" spans="1:10" hidden="1">
      <c r="A647" s="23">
        <v>646</v>
      </c>
      <c r="B647" s="22" t="s">
        <v>645</v>
      </c>
      <c r="C647" s="22" t="s">
        <v>668</v>
      </c>
      <c r="D647" s="22">
        <v>1582</v>
      </c>
      <c r="E647" s="22">
        <v>229</v>
      </c>
      <c r="F647" s="22">
        <v>0.98</v>
      </c>
      <c r="G647" s="22">
        <v>20260320</v>
      </c>
      <c r="H647" s="23" t="b">
        <f t="shared" si="10"/>
        <v>0</v>
      </c>
      <c r="I647" s="24" t="str" cm="1">
        <f t="array" ref="I647">GET_TICKER_FINAL(C647)</f>
        <v/>
      </c>
      <c r="J647" s="5" t="s">
        <v>16</v>
      </c>
    </row>
    <row r="648" spans="1:10" hidden="1">
      <c r="A648" s="20">
        <v>647</v>
      </c>
      <c r="B648" s="19" t="s">
        <v>645</v>
      </c>
      <c r="C648" s="19" t="s">
        <v>669</v>
      </c>
      <c r="D648" s="19">
        <v>1562</v>
      </c>
      <c r="E648" s="19">
        <v>210</v>
      </c>
      <c r="F648" s="19">
        <v>0.97</v>
      </c>
      <c r="G648" s="19">
        <v>20260401</v>
      </c>
      <c r="H648" s="20" t="b">
        <f t="shared" si="10"/>
        <v>0</v>
      </c>
      <c r="I648" s="21" t="str" cm="1">
        <f t="array" ref="I648">GET_TICKER_FINAL(C648)</f>
        <v/>
      </c>
      <c r="J648" s="5" t="s">
        <v>16</v>
      </c>
    </row>
    <row r="649" spans="1:10" hidden="1">
      <c r="A649" s="23">
        <v>648</v>
      </c>
      <c r="B649" s="22" t="s">
        <v>645</v>
      </c>
      <c r="C649" s="22" t="s">
        <v>670</v>
      </c>
      <c r="D649" s="22">
        <v>1457</v>
      </c>
      <c r="E649" s="22">
        <v>155</v>
      </c>
      <c r="F649" s="22">
        <v>0.97</v>
      </c>
      <c r="G649" s="22">
        <v>20260401</v>
      </c>
      <c r="H649" s="23" t="b">
        <f t="shared" si="10"/>
        <v>0</v>
      </c>
      <c r="I649" s="24" t="str" cm="1">
        <f t="array" ref="I649">GET_TICKER_FINAL(C649)</f>
        <v/>
      </c>
      <c r="J649" s="5" t="s">
        <v>16</v>
      </c>
    </row>
    <row r="650" spans="1:10" hidden="1">
      <c r="A650" s="20">
        <v>649</v>
      </c>
      <c r="B650" s="19" t="s">
        <v>645</v>
      </c>
      <c r="C650" s="19" t="s">
        <v>671</v>
      </c>
      <c r="D650" s="19">
        <v>1367</v>
      </c>
      <c r="E650" s="19">
        <v>357</v>
      </c>
      <c r="F650" s="19">
        <v>0.97</v>
      </c>
      <c r="G650" s="19">
        <v>20260402</v>
      </c>
      <c r="H650" s="20" t="b">
        <f t="shared" si="10"/>
        <v>0</v>
      </c>
      <c r="I650" s="21" t="str" cm="1">
        <f t="array" ref="I650">GET_TICKER_FINAL(C650)</f>
        <v/>
      </c>
      <c r="J650" s="5" t="s">
        <v>16</v>
      </c>
    </row>
    <row r="651" spans="1:10" hidden="1">
      <c r="A651" s="23">
        <v>650</v>
      </c>
      <c r="B651" s="22" t="s">
        <v>645</v>
      </c>
      <c r="C651" s="22" t="s">
        <v>672</v>
      </c>
      <c r="D651" s="22">
        <v>1245</v>
      </c>
      <c r="E651" s="22">
        <v>158</v>
      </c>
      <c r="F651" s="22">
        <v>0.95</v>
      </c>
      <c r="G651" s="22">
        <v>20260401</v>
      </c>
      <c r="H651" s="23" t="b">
        <f t="shared" si="10"/>
        <v>0</v>
      </c>
      <c r="I651" s="24" t="str" cm="1">
        <f t="array" ref="I651">GET_TICKER_FINAL(C651)</f>
        <v/>
      </c>
      <c r="J651" s="5" t="s">
        <v>16</v>
      </c>
    </row>
    <row r="652" spans="1:10" hidden="1">
      <c r="A652" s="20">
        <v>651</v>
      </c>
      <c r="B652" s="19" t="s">
        <v>645</v>
      </c>
      <c r="C652" s="19" t="s">
        <v>673</v>
      </c>
      <c r="D652" s="19">
        <v>1232</v>
      </c>
      <c r="E652" s="19">
        <v>277</v>
      </c>
      <c r="F652" s="19">
        <v>0.96</v>
      </c>
      <c r="G652" s="19">
        <v>20260402</v>
      </c>
      <c r="H652" s="20" t="b">
        <f t="shared" si="10"/>
        <v>0</v>
      </c>
      <c r="I652" s="21" t="str" cm="1">
        <f t="array" ref="I652">GET_TICKER_FINAL(C652)</f>
        <v/>
      </c>
      <c r="J652" s="5" t="s">
        <v>28</v>
      </c>
    </row>
    <row r="653" spans="1:10" hidden="1">
      <c r="A653" s="23">
        <v>652</v>
      </c>
      <c r="B653" s="22" t="s">
        <v>645</v>
      </c>
      <c r="C653" s="22" t="s">
        <v>674</v>
      </c>
      <c r="D653" s="22">
        <v>1225</v>
      </c>
      <c r="E653" s="22">
        <v>501</v>
      </c>
      <c r="F653" s="22">
        <v>0.93</v>
      </c>
      <c r="G653" s="22">
        <v>20260326</v>
      </c>
      <c r="H653" s="23" t="b">
        <f t="shared" si="10"/>
        <v>0</v>
      </c>
      <c r="I653" s="24" t="str" cm="1">
        <f t="array" ref="I653">GET_TICKER_FINAL(C653)</f>
        <v/>
      </c>
      <c r="J653" s="5" t="s">
        <v>16</v>
      </c>
    </row>
    <row r="654" spans="1:10" hidden="1">
      <c r="A654" s="20">
        <v>653</v>
      </c>
      <c r="B654" s="19" t="s">
        <v>645</v>
      </c>
      <c r="C654" s="19" t="s">
        <v>675</v>
      </c>
      <c r="D654" s="19">
        <v>1217</v>
      </c>
      <c r="E654" s="19">
        <v>331</v>
      </c>
      <c r="F654" s="19">
        <v>0.96</v>
      </c>
      <c r="G654" s="19">
        <v>20260324</v>
      </c>
      <c r="H654" s="20" t="b">
        <f t="shared" si="10"/>
        <v>0</v>
      </c>
      <c r="I654" s="21" t="str" cm="1">
        <f t="array" ref="I654">GET_TICKER_FINAL(C654)</f>
        <v/>
      </c>
      <c r="J654" s="5" t="s">
        <v>16</v>
      </c>
    </row>
    <row r="655" spans="1:10" hidden="1">
      <c r="A655" s="23">
        <v>654</v>
      </c>
      <c r="B655" s="22" t="s">
        <v>645</v>
      </c>
      <c r="C655" s="22" t="s">
        <v>676</v>
      </c>
      <c r="D655" s="22">
        <v>1210</v>
      </c>
      <c r="E655" s="22">
        <v>183</v>
      </c>
      <c r="F655" s="22">
        <v>0.98</v>
      </c>
      <c r="G655" s="22">
        <v>20260331</v>
      </c>
      <c r="H655" s="23" t="b">
        <f t="shared" si="10"/>
        <v>0</v>
      </c>
      <c r="I655" s="24" t="str" cm="1">
        <f t="array" ref="I655">GET_TICKER_FINAL(C655)</f>
        <v/>
      </c>
      <c r="J655" s="5" t="s">
        <v>16</v>
      </c>
    </row>
    <row r="656" spans="1:10" hidden="1">
      <c r="A656" s="20">
        <v>655</v>
      </c>
      <c r="B656" s="19" t="s">
        <v>645</v>
      </c>
      <c r="C656" s="19" t="s">
        <v>677</v>
      </c>
      <c r="D656" s="19">
        <v>1176</v>
      </c>
      <c r="E656" s="19">
        <v>533</v>
      </c>
      <c r="F656" s="19">
        <v>0.93</v>
      </c>
      <c r="G656" s="19">
        <v>20260402</v>
      </c>
      <c r="H656" s="20" t="b">
        <f t="shared" si="10"/>
        <v>0</v>
      </c>
      <c r="I656" s="21" t="str" cm="1">
        <f t="array" ref="I656">GET_TICKER_FINAL(C656)</f>
        <v/>
      </c>
      <c r="J656" s="5" t="s">
        <v>28</v>
      </c>
    </row>
    <row r="657" spans="1:10" hidden="1">
      <c r="A657" s="23">
        <v>656</v>
      </c>
      <c r="B657" s="22" t="s">
        <v>645</v>
      </c>
      <c r="C657" s="22" t="s">
        <v>678</v>
      </c>
      <c r="D657" s="22">
        <v>1170</v>
      </c>
      <c r="E657" s="22">
        <v>107</v>
      </c>
      <c r="F657" s="22">
        <v>0.98</v>
      </c>
      <c r="G657" s="22">
        <v>20260401</v>
      </c>
      <c r="H657" s="23" t="b">
        <f t="shared" si="10"/>
        <v>0</v>
      </c>
      <c r="I657" s="24" t="str" cm="1">
        <f t="array" ref="I657">GET_TICKER_FINAL(C657)</f>
        <v/>
      </c>
      <c r="J657" s="5" t="s">
        <v>16</v>
      </c>
    </row>
    <row r="658" spans="1:10">
      <c r="A658" s="20">
        <v>657</v>
      </c>
      <c r="B658" s="19" t="s">
        <v>645</v>
      </c>
      <c r="C658" s="19" t="s">
        <v>679</v>
      </c>
      <c r="D658" s="19">
        <v>1168</v>
      </c>
      <c r="E658" s="19">
        <v>225</v>
      </c>
      <c r="F658" s="19">
        <v>0.93</v>
      </c>
      <c r="G658" s="19">
        <v>20260402</v>
      </c>
      <c r="H658" s="20" t="b">
        <f t="shared" si="10"/>
        <v>0</v>
      </c>
      <c r="I658" s="21" t="str" cm="1">
        <f t="array" ref="I658">GET_TICKER_FINAL(C658)</f>
        <v>SPY</v>
      </c>
      <c r="J658" s="5" t="s">
        <v>25</v>
      </c>
    </row>
    <row r="659" spans="1:10" hidden="1">
      <c r="A659" s="23">
        <v>658</v>
      </c>
      <c r="B659" s="22" t="s">
        <v>645</v>
      </c>
      <c r="C659" s="22" t="s">
        <v>680</v>
      </c>
      <c r="D659" s="22">
        <v>1091</v>
      </c>
      <c r="E659" s="22">
        <v>208</v>
      </c>
      <c r="F659" s="22">
        <v>0.94</v>
      </c>
      <c r="G659" s="22">
        <v>20260402</v>
      </c>
      <c r="H659" s="23" t="b">
        <f t="shared" si="10"/>
        <v>0</v>
      </c>
      <c r="I659" s="24" t="str" cm="1">
        <f t="array" ref="I659">GET_TICKER_FINAL(C659)</f>
        <v/>
      </c>
      <c r="J659" s="5" t="s">
        <v>16</v>
      </c>
    </row>
    <row r="660" spans="1:10" hidden="1">
      <c r="A660" s="20">
        <v>659</v>
      </c>
      <c r="B660" s="19" t="s">
        <v>645</v>
      </c>
      <c r="C660" s="19" t="s">
        <v>681</v>
      </c>
      <c r="D660" s="19">
        <v>960</v>
      </c>
      <c r="E660" s="19">
        <v>74</v>
      </c>
      <c r="F660" s="19">
        <v>0.99</v>
      </c>
      <c r="G660" s="19">
        <v>20260323</v>
      </c>
      <c r="H660" s="20" t="b">
        <f t="shared" si="10"/>
        <v>0</v>
      </c>
      <c r="I660" s="21" t="str" cm="1">
        <f t="array" ref="I660">GET_TICKER_FINAL(C660)</f>
        <v/>
      </c>
      <c r="J660" s="5" t="s">
        <v>16</v>
      </c>
    </row>
    <row r="661" spans="1:10" hidden="1">
      <c r="A661" s="23">
        <v>660</v>
      </c>
      <c r="B661" s="22" t="s">
        <v>645</v>
      </c>
      <c r="C661" s="22" t="s">
        <v>682</v>
      </c>
      <c r="D661" s="22">
        <v>959</v>
      </c>
      <c r="E661" s="22">
        <v>334</v>
      </c>
      <c r="F661" s="22">
        <v>0.96</v>
      </c>
      <c r="G661" s="22">
        <v>20260402</v>
      </c>
      <c r="H661" s="23" t="b">
        <f t="shared" si="10"/>
        <v>0</v>
      </c>
      <c r="I661" s="24" t="str" cm="1">
        <f t="array" ref="I661">GET_TICKER_FINAL(C661)</f>
        <v/>
      </c>
      <c r="J661" s="5" t="s">
        <v>14</v>
      </c>
    </row>
    <row r="662" spans="1:10" hidden="1">
      <c r="A662" s="20">
        <v>661</v>
      </c>
      <c r="B662" s="19" t="s">
        <v>645</v>
      </c>
      <c r="C662" s="19" t="s">
        <v>683</v>
      </c>
      <c r="D662" s="19">
        <v>921</v>
      </c>
      <c r="E662" s="19">
        <v>1034</v>
      </c>
      <c r="F662" s="19">
        <v>0.81</v>
      </c>
      <c r="G662" s="19">
        <v>20260402</v>
      </c>
      <c r="H662" s="20" t="b">
        <f t="shared" si="10"/>
        <v>0</v>
      </c>
      <c r="I662" s="21" t="str" cm="1">
        <f t="array" ref="I662">GET_TICKER_FINAL(C662)</f>
        <v/>
      </c>
      <c r="J662" s="5" t="s">
        <v>16</v>
      </c>
    </row>
    <row r="663" spans="1:10" hidden="1">
      <c r="A663" s="23">
        <v>662</v>
      </c>
      <c r="B663" s="22" t="s">
        <v>645</v>
      </c>
      <c r="C663" s="22" t="s">
        <v>684</v>
      </c>
      <c r="D663" s="22">
        <v>909</v>
      </c>
      <c r="E663" s="22">
        <v>92</v>
      </c>
      <c r="F663" s="22">
        <v>0.92</v>
      </c>
      <c r="G663" s="22">
        <v>20260324</v>
      </c>
      <c r="H663" s="23" t="b">
        <f t="shared" si="10"/>
        <v>0</v>
      </c>
      <c r="I663" s="24" t="str" cm="1">
        <f t="array" ref="I663">GET_TICKER_FINAL(C663)</f>
        <v/>
      </c>
      <c r="J663" s="5" t="s">
        <v>16</v>
      </c>
    </row>
    <row r="664" spans="1:10" hidden="1">
      <c r="A664" s="20">
        <v>663</v>
      </c>
      <c r="B664" s="19" t="s">
        <v>645</v>
      </c>
      <c r="C664" s="19" t="s">
        <v>685</v>
      </c>
      <c r="D664" s="19">
        <v>899</v>
      </c>
      <c r="E664" s="19">
        <v>65</v>
      </c>
      <c r="F664" s="19">
        <v>0.99</v>
      </c>
      <c r="G664" s="19">
        <v>20260402</v>
      </c>
      <c r="H664" s="20" t="b">
        <f t="shared" si="10"/>
        <v>0</v>
      </c>
      <c r="I664" s="21" t="str" cm="1">
        <f t="array" ref="I664">GET_TICKER_FINAL(C664)</f>
        <v/>
      </c>
      <c r="J664" s="5" t="s">
        <v>16</v>
      </c>
    </row>
    <row r="665" spans="1:10" hidden="1">
      <c r="A665" s="23">
        <v>664</v>
      </c>
      <c r="B665" s="22" t="s">
        <v>645</v>
      </c>
      <c r="C665" s="22" t="s">
        <v>686</v>
      </c>
      <c r="D665" s="22">
        <v>866</v>
      </c>
      <c r="E665" s="22">
        <v>99</v>
      </c>
      <c r="F665" s="22">
        <v>0.98</v>
      </c>
      <c r="G665" s="22">
        <v>20260402</v>
      </c>
      <c r="H665" s="23" t="b">
        <f t="shared" si="10"/>
        <v>0</v>
      </c>
      <c r="I665" s="24" t="str" cm="1">
        <f t="array" ref="I665">GET_TICKER_FINAL(C665)</f>
        <v/>
      </c>
      <c r="J665" s="5" t="s">
        <v>16</v>
      </c>
    </row>
    <row r="666" spans="1:10" hidden="1">
      <c r="A666" s="20">
        <v>665</v>
      </c>
      <c r="B666" s="19" t="s">
        <v>645</v>
      </c>
      <c r="C666" s="19" t="s">
        <v>687</v>
      </c>
      <c r="D666" s="19">
        <v>836</v>
      </c>
      <c r="E666" s="19">
        <v>154</v>
      </c>
      <c r="F666" s="19">
        <v>0.98</v>
      </c>
      <c r="G666" s="19">
        <v>20260402</v>
      </c>
      <c r="H666" s="20" t="b">
        <f t="shared" si="10"/>
        <v>0</v>
      </c>
      <c r="I666" s="21" t="str" cm="1">
        <f t="array" ref="I666">GET_TICKER_FINAL(C666)</f>
        <v/>
      </c>
      <c r="J666" s="5" t="s">
        <v>16</v>
      </c>
    </row>
    <row r="667" spans="1:10" hidden="1">
      <c r="A667" s="23">
        <v>666</v>
      </c>
      <c r="B667" s="22" t="s">
        <v>645</v>
      </c>
      <c r="C667" s="22" t="s">
        <v>688</v>
      </c>
      <c r="D667" s="22">
        <v>770</v>
      </c>
      <c r="E667" s="22">
        <v>97</v>
      </c>
      <c r="F667" s="22">
        <v>0.97</v>
      </c>
      <c r="G667" s="22">
        <v>20260326</v>
      </c>
      <c r="H667" s="23" t="b">
        <f t="shared" si="10"/>
        <v>0</v>
      </c>
      <c r="I667" s="24" t="str" cm="1">
        <f t="array" ref="I667">GET_TICKER_FINAL(C667)</f>
        <v/>
      </c>
      <c r="J667" s="5" t="s">
        <v>16</v>
      </c>
    </row>
    <row r="668" spans="1:10" hidden="1">
      <c r="A668" s="20">
        <v>667</v>
      </c>
      <c r="B668" s="19" t="s">
        <v>645</v>
      </c>
      <c r="C668" s="19" t="s">
        <v>689</v>
      </c>
      <c r="D668" s="19">
        <v>757</v>
      </c>
      <c r="E668" s="19">
        <v>431</v>
      </c>
      <c r="F668" s="19">
        <v>0.93</v>
      </c>
      <c r="G668" s="19">
        <v>20260402</v>
      </c>
      <c r="H668" s="20" t="b">
        <f t="shared" si="10"/>
        <v>0</v>
      </c>
      <c r="I668" s="21" t="str" cm="1">
        <f t="array" ref="I668">GET_TICKER_FINAL(C668)</f>
        <v/>
      </c>
      <c r="J668" s="5" t="s">
        <v>16</v>
      </c>
    </row>
    <row r="669" spans="1:10" hidden="1">
      <c r="A669" s="23">
        <v>668</v>
      </c>
      <c r="B669" s="22" t="s">
        <v>645</v>
      </c>
      <c r="C669" s="22" t="s">
        <v>690</v>
      </c>
      <c r="D669" s="22">
        <v>754</v>
      </c>
      <c r="E669" s="22">
        <v>76</v>
      </c>
      <c r="F669" s="22">
        <v>0.99</v>
      </c>
      <c r="G669" s="22">
        <v>20260401</v>
      </c>
      <c r="H669" s="23" t="b">
        <f t="shared" si="10"/>
        <v>0</v>
      </c>
      <c r="I669" s="24" t="str" cm="1">
        <f t="array" ref="I669">GET_TICKER_FINAL(C669)</f>
        <v/>
      </c>
      <c r="J669" s="5" t="s">
        <v>16</v>
      </c>
    </row>
    <row r="670" spans="1:10" hidden="1">
      <c r="A670" s="20">
        <v>669</v>
      </c>
      <c r="B670" s="19" t="s">
        <v>645</v>
      </c>
      <c r="C670" s="19" t="s">
        <v>691</v>
      </c>
      <c r="D670" s="19">
        <v>732</v>
      </c>
      <c r="E670" s="19">
        <v>40</v>
      </c>
      <c r="F670" s="19">
        <v>0.98</v>
      </c>
      <c r="G670" s="19">
        <v>20260324</v>
      </c>
      <c r="H670" s="20" t="b">
        <f t="shared" si="10"/>
        <v>0</v>
      </c>
      <c r="I670" s="21" t="str" cm="1">
        <f t="array" ref="I670">GET_TICKER_FINAL(C670)</f>
        <v/>
      </c>
      <c r="J670" s="5" t="s">
        <v>16</v>
      </c>
    </row>
    <row r="671" spans="1:10">
      <c r="A671" s="23">
        <v>670</v>
      </c>
      <c r="B671" s="22" t="s">
        <v>645</v>
      </c>
      <c r="C671" s="22" t="s">
        <v>692</v>
      </c>
      <c r="D671" s="22">
        <v>724</v>
      </c>
      <c r="E671" s="22">
        <v>106</v>
      </c>
      <c r="F671" s="22">
        <v>0.98</v>
      </c>
      <c r="G671" s="22">
        <v>20260330</v>
      </c>
      <c r="H671" s="23" t="b">
        <f t="shared" si="10"/>
        <v>0</v>
      </c>
      <c r="I671" s="24" t="str" cm="1">
        <f t="array" ref="I671">GET_TICKER_FINAL(C671)</f>
        <v>SPY</v>
      </c>
      <c r="J671" s="5" t="s">
        <v>16</v>
      </c>
    </row>
    <row r="672" spans="1:10" hidden="1">
      <c r="A672" s="20">
        <v>671</v>
      </c>
      <c r="B672" s="19" t="s">
        <v>645</v>
      </c>
      <c r="C672" s="19" t="s">
        <v>693</v>
      </c>
      <c r="D672" s="19">
        <v>716</v>
      </c>
      <c r="E672" s="19">
        <v>64</v>
      </c>
      <c r="F672" s="19">
        <v>0.99</v>
      </c>
      <c r="G672" s="19">
        <v>20260402</v>
      </c>
      <c r="H672" s="20" t="b">
        <f t="shared" si="10"/>
        <v>0</v>
      </c>
      <c r="I672" s="21" t="str" cm="1">
        <f t="array" ref="I672">GET_TICKER_FINAL(C672)</f>
        <v/>
      </c>
      <c r="J672" s="5" t="s">
        <v>16</v>
      </c>
    </row>
    <row r="673" spans="1:10" hidden="1">
      <c r="A673" s="23">
        <v>672</v>
      </c>
      <c r="B673" s="22" t="s">
        <v>645</v>
      </c>
      <c r="C673" s="22" t="s">
        <v>694</v>
      </c>
      <c r="D673" s="22">
        <v>712</v>
      </c>
      <c r="E673" s="22">
        <v>70</v>
      </c>
      <c r="F673" s="22">
        <v>0.99</v>
      </c>
      <c r="G673" s="22">
        <v>20260320</v>
      </c>
      <c r="H673" s="23" t="b">
        <f t="shared" si="10"/>
        <v>0</v>
      </c>
      <c r="I673" s="24" t="str" cm="1">
        <f t="array" ref="I673">GET_TICKER_FINAL(C673)</f>
        <v/>
      </c>
      <c r="J673" s="5" t="s">
        <v>28</v>
      </c>
    </row>
    <row r="674" spans="1:10" hidden="1">
      <c r="A674" s="20">
        <v>673</v>
      </c>
      <c r="B674" s="19" t="s">
        <v>645</v>
      </c>
      <c r="C674" s="19" t="s">
        <v>695</v>
      </c>
      <c r="D674" s="19">
        <v>710</v>
      </c>
      <c r="E674" s="19">
        <v>196</v>
      </c>
      <c r="F674" s="19">
        <v>0.95</v>
      </c>
      <c r="G674" s="19">
        <v>20260331</v>
      </c>
      <c r="H674" s="20" t="b">
        <f t="shared" si="10"/>
        <v>0</v>
      </c>
      <c r="I674" s="21" t="str" cm="1">
        <f t="array" ref="I674">GET_TICKER_FINAL(C674)</f>
        <v/>
      </c>
      <c r="J674" s="5" t="s">
        <v>28</v>
      </c>
    </row>
    <row r="675" spans="1:10" hidden="1">
      <c r="A675" s="23">
        <v>674</v>
      </c>
      <c r="B675" s="22" t="s">
        <v>645</v>
      </c>
      <c r="C675" s="22" t="s">
        <v>696</v>
      </c>
      <c r="D675" s="22">
        <v>681</v>
      </c>
      <c r="E675" s="22">
        <v>239</v>
      </c>
      <c r="F675" s="22">
        <v>0.86</v>
      </c>
      <c r="G675" s="22">
        <v>20260402</v>
      </c>
      <c r="H675" s="23" t="b">
        <f t="shared" si="10"/>
        <v>0</v>
      </c>
      <c r="I675" s="24" t="str" cm="1">
        <f t="array" ref="I675">GET_TICKER_FINAL(C675)</f>
        <v/>
      </c>
      <c r="J675" s="5" t="s">
        <v>25</v>
      </c>
    </row>
    <row r="676" spans="1:10" hidden="1">
      <c r="A676" s="20">
        <v>675</v>
      </c>
      <c r="B676" s="19" t="s">
        <v>645</v>
      </c>
      <c r="C676" s="19" t="s">
        <v>697</v>
      </c>
      <c r="D676" s="19">
        <v>675</v>
      </c>
      <c r="E676" s="19">
        <v>352</v>
      </c>
      <c r="F676" s="19">
        <v>0.97</v>
      </c>
      <c r="G676" s="19">
        <v>20260331</v>
      </c>
      <c r="H676" s="20" t="b">
        <f t="shared" si="10"/>
        <v>0</v>
      </c>
      <c r="I676" s="21" t="str" cm="1">
        <f t="array" ref="I676">GET_TICKER_FINAL(C676)</f>
        <v/>
      </c>
      <c r="J676" s="5" t="s">
        <v>16</v>
      </c>
    </row>
    <row r="677" spans="1:10" hidden="1">
      <c r="A677" s="23">
        <v>676</v>
      </c>
      <c r="B677" s="22" t="s">
        <v>645</v>
      </c>
      <c r="C677" s="22" t="s">
        <v>698</v>
      </c>
      <c r="D677" s="22">
        <v>671</v>
      </c>
      <c r="E677" s="22">
        <v>295</v>
      </c>
      <c r="F677" s="22">
        <v>0.91</v>
      </c>
      <c r="G677" s="22">
        <v>20260330</v>
      </c>
      <c r="H677" s="23" t="b">
        <f t="shared" si="10"/>
        <v>0</v>
      </c>
      <c r="I677" s="24" t="str" cm="1">
        <f t="array" ref="I677">GET_TICKER_FINAL(C677)</f>
        <v/>
      </c>
      <c r="J677" s="5" t="s">
        <v>28</v>
      </c>
    </row>
    <row r="678" spans="1:10">
      <c r="A678" s="20">
        <v>677</v>
      </c>
      <c r="B678" s="19" t="s">
        <v>645</v>
      </c>
      <c r="C678" s="19" t="s">
        <v>699</v>
      </c>
      <c r="D678" s="19">
        <v>654</v>
      </c>
      <c r="E678" s="19">
        <v>33</v>
      </c>
      <c r="F678" s="19">
        <v>0.99</v>
      </c>
      <c r="G678" s="19">
        <v>20260326</v>
      </c>
      <c r="H678" s="20" t="b">
        <f t="shared" si="10"/>
        <v>0</v>
      </c>
      <c r="I678" s="21" t="str" cm="1">
        <f t="array" ref="I678">GET_TICKER_FINAL(C678)</f>
        <v>UAL</v>
      </c>
      <c r="J678" s="5" t="s">
        <v>16</v>
      </c>
    </row>
    <row r="679" spans="1:10" hidden="1">
      <c r="A679" s="23">
        <v>678</v>
      </c>
      <c r="B679" s="22" t="s">
        <v>645</v>
      </c>
      <c r="C679" s="22" t="s">
        <v>700</v>
      </c>
      <c r="D679" s="22">
        <v>649</v>
      </c>
      <c r="E679" s="22">
        <v>48</v>
      </c>
      <c r="F679" s="22">
        <v>0.98</v>
      </c>
      <c r="G679" s="22">
        <v>20260331</v>
      </c>
      <c r="H679" s="23" t="b">
        <f t="shared" si="10"/>
        <v>0</v>
      </c>
      <c r="I679" s="24" t="str" cm="1">
        <f t="array" ref="I679">GET_TICKER_FINAL(C679)</f>
        <v/>
      </c>
      <c r="J679" s="5" t="s">
        <v>16</v>
      </c>
    </row>
    <row r="680" spans="1:10" hidden="1">
      <c r="A680" s="20">
        <v>679</v>
      </c>
      <c r="B680" s="19" t="s">
        <v>645</v>
      </c>
      <c r="C680" s="19" t="s">
        <v>701</v>
      </c>
      <c r="D680" s="19">
        <v>635</v>
      </c>
      <c r="E680" s="19">
        <v>149</v>
      </c>
      <c r="F680" s="19">
        <v>0.96</v>
      </c>
      <c r="G680" s="19">
        <v>20260320</v>
      </c>
      <c r="H680" s="20" t="b">
        <f t="shared" si="10"/>
        <v>0</v>
      </c>
      <c r="I680" s="21" t="str" cm="1">
        <f t="array" ref="I680">GET_TICKER_FINAL(C680)</f>
        <v/>
      </c>
      <c r="J680" s="5" t="s">
        <v>25</v>
      </c>
    </row>
    <row r="681" spans="1:10" hidden="1">
      <c r="A681" s="23">
        <v>680</v>
      </c>
      <c r="B681" s="22" t="s">
        <v>645</v>
      </c>
      <c r="C681" s="22" t="s">
        <v>702</v>
      </c>
      <c r="D681" s="22">
        <v>612</v>
      </c>
      <c r="E681" s="22">
        <v>52</v>
      </c>
      <c r="F681" s="22">
        <v>0.98</v>
      </c>
      <c r="G681" s="22">
        <v>20260331</v>
      </c>
      <c r="H681" s="23" t="b">
        <f t="shared" si="10"/>
        <v>0</v>
      </c>
      <c r="I681" s="24" t="str" cm="1">
        <f t="array" ref="I681">GET_TICKER_FINAL(C681)</f>
        <v/>
      </c>
      <c r="J681" s="5" t="s">
        <v>16</v>
      </c>
    </row>
    <row r="682" spans="1:10" hidden="1">
      <c r="A682" s="20">
        <v>681</v>
      </c>
      <c r="B682" s="19" t="s">
        <v>645</v>
      </c>
      <c r="C682" s="19" t="s">
        <v>703</v>
      </c>
      <c r="D682" s="19">
        <v>602</v>
      </c>
      <c r="E682" s="19">
        <v>459</v>
      </c>
      <c r="F682" s="19">
        <v>0.96</v>
      </c>
      <c r="G682" s="19">
        <v>20260323</v>
      </c>
      <c r="H682" s="20" t="b">
        <f t="shared" si="10"/>
        <v>0</v>
      </c>
      <c r="I682" s="21" t="str" cm="1">
        <f t="array" ref="I682">GET_TICKER_FINAL(C682)</f>
        <v/>
      </c>
      <c r="J682" s="5" t="s">
        <v>16</v>
      </c>
    </row>
    <row r="683" spans="1:10" hidden="1">
      <c r="A683" s="23">
        <v>682</v>
      </c>
      <c r="B683" s="22" t="s">
        <v>645</v>
      </c>
      <c r="C683" s="22" t="s">
        <v>704</v>
      </c>
      <c r="D683" s="22">
        <v>571</v>
      </c>
      <c r="E683" s="22">
        <v>91</v>
      </c>
      <c r="F683" s="22">
        <v>0.98</v>
      </c>
      <c r="G683" s="22">
        <v>20260401</v>
      </c>
      <c r="H683" s="23" t="b">
        <f t="shared" si="10"/>
        <v>0</v>
      </c>
      <c r="I683" s="24" t="str" cm="1">
        <f t="array" ref="I683">GET_TICKER_FINAL(C683)</f>
        <v/>
      </c>
      <c r="J683" s="5" t="s">
        <v>16</v>
      </c>
    </row>
    <row r="684" spans="1:10" hidden="1">
      <c r="A684" s="20">
        <v>683</v>
      </c>
      <c r="B684" s="19" t="s">
        <v>645</v>
      </c>
      <c r="C684" s="19" t="s">
        <v>705</v>
      </c>
      <c r="D684" s="19">
        <v>566</v>
      </c>
      <c r="E684" s="19">
        <v>50</v>
      </c>
      <c r="F684" s="19">
        <v>0.99</v>
      </c>
      <c r="G684" s="19">
        <v>20260320</v>
      </c>
      <c r="H684" s="20" t="b">
        <f t="shared" si="10"/>
        <v>0</v>
      </c>
      <c r="I684" s="21" t="str" cm="1">
        <f t="array" ref="I684">GET_TICKER_FINAL(C684)</f>
        <v/>
      </c>
      <c r="J684" s="5" t="s">
        <v>16</v>
      </c>
    </row>
    <row r="685" spans="1:10" hidden="1">
      <c r="A685" s="23">
        <v>684</v>
      </c>
      <c r="B685" s="22" t="s">
        <v>645</v>
      </c>
      <c r="C685" s="22" t="s">
        <v>706</v>
      </c>
      <c r="D685" s="22">
        <v>566</v>
      </c>
      <c r="E685" s="22">
        <v>45</v>
      </c>
      <c r="F685" s="22">
        <v>0.98</v>
      </c>
      <c r="G685" s="22">
        <v>20260320</v>
      </c>
      <c r="H685" s="23" t="b">
        <f t="shared" si="10"/>
        <v>0</v>
      </c>
      <c r="I685" s="24" t="str" cm="1">
        <f t="array" ref="I685">GET_TICKER_FINAL(C685)</f>
        <v/>
      </c>
      <c r="J685" s="5" t="s">
        <v>16</v>
      </c>
    </row>
    <row r="686" spans="1:10" hidden="1">
      <c r="A686" s="20">
        <v>685</v>
      </c>
      <c r="B686" s="19" t="s">
        <v>645</v>
      </c>
      <c r="C686" s="19" t="s">
        <v>707</v>
      </c>
      <c r="D686" s="19">
        <v>559</v>
      </c>
      <c r="E686" s="19">
        <v>122</v>
      </c>
      <c r="F686" s="19">
        <v>0.93</v>
      </c>
      <c r="G686" s="19">
        <v>20260320</v>
      </c>
      <c r="H686" s="20" t="b">
        <f t="shared" si="10"/>
        <v>0</v>
      </c>
      <c r="I686" s="21" t="str" cm="1">
        <f t="array" ref="I686">GET_TICKER_FINAL(C686)</f>
        <v/>
      </c>
      <c r="J686" s="5" t="s">
        <v>16</v>
      </c>
    </row>
    <row r="687" spans="1:10" hidden="1">
      <c r="A687" s="23">
        <v>686</v>
      </c>
      <c r="B687" s="22" t="s">
        <v>645</v>
      </c>
      <c r="C687" s="22" t="s">
        <v>708</v>
      </c>
      <c r="D687" s="22">
        <v>550</v>
      </c>
      <c r="E687" s="22">
        <v>51</v>
      </c>
      <c r="F687" s="22">
        <v>0.98</v>
      </c>
      <c r="G687" s="22">
        <v>20260320</v>
      </c>
      <c r="H687" s="23" t="b">
        <f t="shared" si="10"/>
        <v>0</v>
      </c>
      <c r="I687" s="24" t="str" cm="1">
        <f t="array" ref="I687">GET_TICKER_FINAL(C687)</f>
        <v/>
      </c>
      <c r="J687" s="5" t="s">
        <v>16</v>
      </c>
    </row>
    <row r="688" spans="1:10">
      <c r="A688" s="20">
        <v>687</v>
      </c>
      <c r="B688" s="19" t="s">
        <v>645</v>
      </c>
      <c r="C688" s="19" t="s">
        <v>709</v>
      </c>
      <c r="D688" s="19">
        <v>514</v>
      </c>
      <c r="E688" s="19">
        <v>70</v>
      </c>
      <c r="F688" s="19">
        <v>0.98</v>
      </c>
      <c r="G688" s="19">
        <v>20260320</v>
      </c>
      <c r="H688" s="20" t="b">
        <f t="shared" si="10"/>
        <v>0</v>
      </c>
      <c r="I688" s="21" t="str" cm="1">
        <f t="array" ref="I688">GET_TICKER_FINAL(C688)</f>
        <v>SPY</v>
      </c>
      <c r="J688" s="5" t="s">
        <v>16</v>
      </c>
    </row>
    <row r="689" spans="1:10" hidden="1">
      <c r="A689" s="23">
        <v>688</v>
      </c>
      <c r="B689" s="22" t="s">
        <v>645</v>
      </c>
      <c r="C689" s="22" t="s">
        <v>710</v>
      </c>
      <c r="D689" s="22">
        <v>510</v>
      </c>
      <c r="E689" s="22">
        <v>95</v>
      </c>
      <c r="F689" s="22">
        <v>0.98</v>
      </c>
      <c r="G689" s="22">
        <v>20260323</v>
      </c>
      <c r="H689" s="23" t="b">
        <f t="shared" si="10"/>
        <v>0</v>
      </c>
      <c r="I689" s="24" t="str" cm="1">
        <f t="array" ref="I689">GET_TICKER_FINAL(C689)</f>
        <v/>
      </c>
      <c r="J689" s="5" t="s">
        <v>28</v>
      </c>
    </row>
    <row r="690" spans="1:10" hidden="1">
      <c r="A690" s="20">
        <v>689</v>
      </c>
      <c r="B690" s="19" t="s">
        <v>645</v>
      </c>
      <c r="C690" s="19" t="s">
        <v>711</v>
      </c>
      <c r="D690" s="19">
        <v>510</v>
      </c>
      <c r="E690" s="19">
        <v>215</v>
      </c>
      <c r="F690" s="19">
        <v>0.92</v>
      </c>
      <c r="G690" s="19">
        <v>20260331</v>
      </c>
      <c r="H690" s="20" t="b">
        <f t="shared" si="10"/>
        <v>0</v>
      </c>
      <c r="I690" s="21" t="str" cm="1">
        <f t="array" ref="I690">GET_TICKER_FINAL(C690)</f>
        <v/>
      </c>
      <c r="J690" s="5" t="s">
        <v>25</v>
      </c>
    </row>
    <row r="691" spans="1:10" hidden="1">
      <c r="A691" s="23">
        <v>690</v>
      </c>
      <c r="B691" s="22" t="s">
        <v>645</v>
      </c>
      <c r="C691" s="22" t="s">
        <v>712</v>
      </c>
      <c r="D691" s="22">
        <v>498</v>
      </c>
      <c r="E691" s="22">
        <v>159</v>
      </c>
      <c r="F691" s="22">
        <v>0.93</v>
      </c>
      <c r="G691" s="22">
        <v>20260401</v>
      </c>
      <c r="H691" s="23" t="b">
        <f t="shared" si="10"/>
        <v>0</v>
      </c>
      <c r="I691" s="24" t="str" cm="1">
        <f t="array" ref="I691">GET_TICKER_FINAL(C691)</f>
        <v/>
      </c>
      <c r="J691" s="5" t="s">
        <v>16</v>
      </c>
    </row>
    <row r="692" spans="1:10" hidden="1">
      <c r="A692" s="20">
        <v>691</v>
      </c>
      <c r="B692" s="19" t="s">
        <v>645</v>
      </c>
      <c r="C692" s="19" t="s">
        <v>713</v>
      </c>
      <c r="D692" s="19">
        <v>496</v>
      </c>
      <c r="E692" s="19">
        <v>57</v>
      </c>
      <c r="F692" s="19">
        <v>0.99</v>
      </c>
      <c r="G692" s="19">
        <v>20260326</v>
      </c>
      <c r="H692" s="20" t="b">
        <f t="shared" si="10"/>
        <v>0</v>
      </c>
      <c r="I692" s="21" t="str" cm="1">
        <f t="array" ref="I692">GET_TICKER_FINAL(C692)</f>
        <v/>
      </c>
      <c r="J692" s="5" t="s">
        <v>25</v>
      </c>
    </row>
    <row r="693" spans="1:10" hidden="1">
      <c r="A693" s="23">
        <v>692</v>
      </c>
      <c r="B693" s="22" t="s">
        <v>645</v>
      </c>
      <c r="C693" s="22" t="s">
        <v>714</v>
      </c>
      <c r="D693" s="22">
        <v>484</v>
      </c>
      <c r="E693" s="22">
        <v>40</v>
      </c>
      <c r="F693" s="22">
        <v>0.99</v>
      </c>
      <c r="G693" s="22">
        <v>20260324</v>
      </c>
      <c r="H693" s="23" t="b">
        <f t="shared" si="10"/>
        <v>0</v>
      </c>
      <c r="I693" s="24" t="str" cm="1">
        <f t="array" ref="I693">GET_TICKER_FINAL(C693)</f>
        <v/>
      </c>
      <c r="J693" s="5" t="s">
        <v>16</v>
      </c>
    </row>
    <row r="694" spans="1:10" hidden="1">
      <c r="A694" s="20">
        <v>693</v>
      </c>
      <c r="B694" s="19" t="s">
        <v>645</v>
      </c>
      <c r="C694" s="19" t="s">
        <v>715</v>
      </c>
      <c r="D694" s="19">
        <v>483</v>
      </c>
      <c r="E694" s="19">
        <v>47</v>
      </c>
      <c r="F694" s="19">
        <v>0.98</v>
      </c>
      <c r="G694" s="19">
        <v>20260324</v>
      </c>
      <c r="H694" s="20" t="b">
        <f t="shared" si="10"/>
        <v>0</v>
      </c>
      <c r="I694" s="21" t="str" cm="1">
        <f t="array" ref="I694">GET_TICKER_FINAL(C694)</f>
        <v/>
      </c>
      <c r="J694" s="5" t="s">
        <v>25</v>
      </c>
    </row>
    <row r="695" spans="1:10" hidden="1">
      <c r="A695" s="23">
        <v>694</v>
      </c>
      <c r="B695" s="22" t="s">
        <v>645</v>
      </c>
      <c r="C695" s="22" t="s">
        <v>716</v>
      </c>
      <c r="D695" s="22">
        <v>479</v>
      </c>
      <c r="E695" s="22">
        <v>187</v>
      </c>
      <c r="F695" s="22">
        <v>0.92</v>
      </c>
      <c r="G695" s="22">
        <v>20260402</v>
      </c>
      <c r="H695" s="23" t="b">
        <f t="shared" si="10"/>
        <v>0</v>
      </c>
      <c r="I695" s="24" t="str" cm="1">
        <f t="array" ref="I695">GET_TICKER_FINAL(C695)</f>
        <v/>
      </c>
      <c r="J695" s="5" t="s">
        <v>16</v>
      </c>
    </row>
    <row r="696" spans="1:10" hidden="1">
      <c r="A696" s="20">
        <v>695</v>
      </c>
      <c r="B696" s="19" t="s">
        <v>645</v>
      </c>
      <c r="C696" s="19" t="s">
        <v>717</v>
      </c>
      <c r="D696" s="19">
        <v>477</v>
      </c>
      <c r="E696" s="19">
        <v>236</v>
      </c>
      <c r="F696" s="19">
        <v>0.82</v>
      </c>
      <c r="G696" s="19">
        <v>20260401</v>
      </c>
      <c r="H696" s="20" t="b">
        <f t="shared" si="10"/>
        <v>0</v>
      </c>
      <c r="I696" s="21" t="str" cm="1">
        <f t="array" ref="I696">GET_TICKER_FINAL(C696)</f>
        <v/>
      </c>
      <c r="J696" s="5" t="s">
        <v>16</v>
      </c>
    </row>
    <row r="697" spans="1:10" hidden="1">
      <c r="A697" s="23">
        <v>696</v>
      </c>
      <c r="B697" s="22" t="s">
        <v>645</v>
      </c>
      <c r="C697" s="22" t="s">
        <v>718</v>
      </c>
      <c r="D697" s="22">
        <v>475</v>
      </c>
      <c r="E697" s="22">
        <v>70</v>
      </c>
      <c r="F697" s="22">
        <v>0.97</v>
      </c>
      <c r="G697" s="22">
        <v>20260402</v>
      </c>
      <c r="H697" s="23" t="b">
        <f t="shared" si="10"/>
        <v>0</v>
      </c>
      <c r="I697" s="24" t="str" cm="1">
        <f t="array" ref="I697">GET_TICKER_FINAL(C697)</f>
        <v/>
      </c>
      <c r="J697" s="5" t="s">
        <v>16</v>
      </c>
    </row>
    <row r="698" spans="1:10" hidden="1">
      <c r="A698" s="20">
        <v>697</v>
      </c>
      <c r="B698" s="19" t="s">
        <v>645</v>
      </c>
      <c r="C698" s="19" t="s">
        <v>719</v>
      </c>
      <c r="D698" s="19">
        <v>470</v>
      </c>
      <c r="E698" s="19">
        <v>254</v>
      </c>
      <c r="F698" s="19">
        <v>0.93</v>
      </c>
      <c r="G698" s="19">
        <v>20260402</v>
      </c>
      <c r="H698" s="20" t="b">
        <f t="shared" si="10"/>
        <v>0</v>
      </c>
      <c r="I698" s="21" t="str" cm="1">
        <f t="array" ref="I698">GET_TICKER_FINAL(C698)</f>
        <v/>
      </c>
      <c r="J698" s="5" t="s">
        <v>25</v>
      </c>
    </row>
    <row r="699" spans="1:10" hidden="1">
      <c r="A699" s="23">
        <v>698</v>
      </c>
      <c r="B699" s="22" t="s">
        <v>645</v>
      </c>
      <c r="C699" s="22" t="s">
        <v>720</v>
      </c>
      <c r="D699" s="22">
        <v>468</v>
      </c>
      <c r="E699" s="22">
        <v>151</v>
      </c>
      <c r="F699" s="22">
        <v>0.95</v>
      </c>
      <c r="G699" s="22">
        <v>20260323</v>
      </c>
      <c r="H699" s="23" t="b">
        <f t="shared" si="10"/>
        <v>0</v>
      </c>
      <c r="I699" s="24" t="str" cm="1">
        <f t="array" ref="I699">GET_TICKER_FINAL(C699)</f>
        <v/>
      </c>
      <c r="J699" s="5" t="s">
        <v>25</v>
      </c>
    </row>
    <row r="700" spans="1:10" hidden="1">
      <c r="A700" s="20">
        <v>699</v>
      </c>
      <c r="B700" s="19" t="s">
        <v>645</v>
      </c>
      <c r="C700" s="19" t="s">
        <v>721</v>
      </c>
      <c r="D700" s="19">
        <v>467</v>
      </c>
      <c r="E700" s="19">
        <v>40</v>
      </c>
      <c r="F700" s="19">
        <v>0.98</v>
      </c>
      <c r="G700" s="19">
        <v>20260402</v>
      </c>
      <c r="H700" s="20" t="b">
        <f t="shared" si="10"/>
        <v>0</v>
      </c>
      <c r="I700" s="21" t="str" cm="1">
        <f t="array" ref="I700">GET_TICKER_FINAL(C700)</f>
        <v/>
      </c>
      <c r="J700" s="5" t="s">
        <v>16</v>
      </c>
    </row>
    <row r="701" spans="1:10" hidden="1">
      <c r="A701" s="23">
        <v>700</v>
      </c>
      <c r="B701" s="22" t="s">
        <v>645</v>
      </c>
      <c r="C701" s="22" t="s">
        <v>722</v>
      </c>
      <c r="D701" s="22">
        <v>463</v>
      </c>
      <c r="E701" s="22">
        <v>54</v>
      </c>
      <c r="F701" s="22">
        <v>0.96</v>
      </c>
      <c r="G701" s="22">
        <v>20260323</v>
      </c>
      <c r="H701" s="23" t="b">
        <f t="shared" si="10"/>
        <v>0</v>
      </c>
      <c r="I701" s="24" t="str" cm="1">
        <f t="array" ref="I701">GET_TICKER_FINAL(C701)</f>
        <v/>
      </c>
      <c r="J701" s="5" t="s">
        <v>16</v>
      </c>
    </row>
    <row r="702" spans="1:10" hidden="1">
      <c r="A702" s="20">
        <v>701</v>
      </c>
      <c r="B702" s="19" t="s">
        <v>645</v>
      </c>
      <c r="C702" s="19" t="s">
        <v>723</v>
      </c>
      <c r="D702" s="19">
        <v>447</v>
      </c>
      <c r="E702" s="19">
        <v>169</v>
      </c>
      <c r="F702" s="19">
        <v>0.92</v>
      </c>
      <c r="G702" s="19">
        <v>20260401</v>
      </c>
      <c r="H702" s="20" t="b">
        <f t="shared" si="10"/>
        <v>0</v>
      </c>
      <c r="I702" s="21" t="str" cm="1">
        <f t="array" ref="I702">GET_TICKER_FINAL(C702)</f>
        <v/>
      </c>
      <c r="J702" s="5" t="s">
        <v>25</v>
      </c>
    </row>
    <row r="703" spans="1:10" hidden="1">
      <c r="A703" s="23">
        <v>702</v>
      </c>
      <c r="B703" s="22" t="s">
        <v>645</v>
      </c>
      <c r="C703" s="22" t="s">
        <v>724</v>
      </c>
      <c r="D703" s="22">
        <v>437</v>
      </c>
      <c r="E703" s="22">
        <v>15</v>
      </c>
      <c r="F703" s="22">
        <v>0.98</v>
      </c>
      <c r="G703" s="22">
        <v>20260401</v>
      </c>
      <c r="H703" s="23" t="b">
        <f t="shared" si="10"/>
        <v>0</v>
      </c>
      <c r="I703" s="24" t="str" cm="1">
        <f t="array" ref="I703">GET_TICKER_FINAL(C703)</f>
        <v/>
      </c>
      <c r="J703" s="5" t="s">
        <v>16</v>
      </c>
    </row>
    <row r="704" spans="1:10" hidden="1">
      <c r="A704" s="20">
        <v>703</v>
      </c>
      <c r="B704" s="19" t="s">
        <v>645</v>
      </c>
      <c r="C704" s="19" t="s">
        <v>725</v>
      </c>
      <c r="D704" s="19">
        <v>433</v>
      </c>
      <c r="E704" s="19">
        <v>27</v>
      </c>
      <c r="F704" s="19">
        <v>0.99</v>
      </c>
      <c r="G704" s="19">
        <v>20260331</v>
      </c>
      <c r="H704" s="20" t="b">
        <f t="shared" si="10"/>
        <v>0</v>
      </c>
      <c r="I704" s="21" t="str" cm="1">
        <f t="array" ref="I704">GET_TICKER_FINAL(C704)</f>
        <v/>
      </c>
      <c r="J704" s="5" t="s">
        <v>16</v>
      </c>
    </row>
    <row r="705" spans="1:10" hidden="1">
      <c r="A705" s="23">
        <v>704</v>
      </c>
      <c r="B705" s="22" t="s">
        <v>645</v>
      </c>
      <c r="C705" s="22" t="s">
        <v>726</v>
      </c>
      <c r="D705" s="22">
        <v>431</v>
      </c>
      <c r="E705" s="22">
        <v>80</v>
      </c>
      <c r="F705" s="22">
        <v>0.96</v>
      </c>
      <c r="G705" s="22">
        <v>20260331</v>
      </c>
      <c r="H705" s="23" t="b">
        <f t="shared" si="10"/>
        <v>0</v>
      </c>
      <c r="I705" s="24" t="str" cm="1">
        <f t="array" ref="I705">GET_TICKER_FINAL(C705)</f>
        <v/>
      </c>
      <c r="J705" s="5" t="s">
        <v>28</v>
      </c>
    </row>
    <row r="706" spans="1:10" hidden="1">
      <c r="A706" s="20">
        <v>705</v>
      </c>
      <c r="B706" s="19" t="s">
        <v>645</v>
      </c>
      <c r="C706" s="19" t="s">
        <v>727</v>
      </c>
      <c r="D706" s="19">
        <v>430</v>
      </c>
      <c r="E706" s="19">
        <v>79</v>
      </c>
      <c r="F706" s="19">
        <v>0.94</v>
      </c>
      <c r="G706" s="19">
        <v>20260402</v>
      </c>
      <c r="H706" s="20" t="b">
        <f t="shared" si="10"/>
        <v>0</v>
      </c>
      <c r="I706" s="21" t="str" cm="1">
        <f t="array" ref="I706">GET_TICKER_FINAL(C706)</f>
        <v/>
      </c>
      <c r="J706" s="5" t="s">
        <v>16</v>
      </c>
    </row>
    <row r="707" spans="1:10" hidden="1">
      <c r="A707" s="23">
        <v>706</v>
      </c>
      <c r="B707" s="22" t="s">
        <v>645</v>
      </c>
      <c r="C707" s="22" t="s">
        <v>728</v>
      </c>
      <c r="D707" s="22">
        <v>425</v>
      </c>
      <c r="E707" s="22">
        <v>75</v>
      </c>
      <c r="F707" s="22">
        <v>0.97</v>
      </c>
      <c r="G707" s="22">
        <v>20260323</v>
      </c>
      <c r="H707" s="23" t="b">
        <f t="shared" ref="H707:H770" si="11">OR(ISNUMBER(SEARCH("$A",C707)),ISNUMBER(SEARCH("$B",C707)),ISNUMBER(SEARCH("$C",C707)),ISNUMBER(SEARCH("$D",C707)),ISNUMBER(SEARCH("$E",C707)),ISNUMBER(SEARCH("$F",C707)),ISNUMBER(SEARCH("$G",C707)),ISNUMBER(SEARCH("$H",C707)),ISNUMBER(SEARCH("$I",C707)),ISNUMBER(SEARCH("$J",C707)),ISNUMBER(SEARCH("$K",C707)),ISNUMBER(SEARCH("$L",C707)),ISNUMBER(SEARCH("$M",C707)),ISNUMBER(SEARCH("$N",C707)),ISNUMBER(SEARCH("$O",C707)),ISNUMBER(SEARCH("$P",C707)),ISNUMBER(SEARCH("$Q",C707)),ISNUMBER(SEARCH("$R",C707)),ISNUMBER(SEARCH("$S",C707)),ISNUMBER(SEARCH("$T",C707)),ISNUMBER(SEARCH("$U",C707)),ISNUMBER(SEARCH("$V",C707)),ISNUMBER(SEARCH("$W",C707)),ISNUMBER(SEARCH("$X",C707)),ISNUMBER(SEARCH("$Y",C707)),ISNUMBER(SEARCH("$Z",C707)))</f>
        <v>0</v>
      </c>
      <c r="I707" s="24" t="str" cm="1">
        <f t="array" ref="I707">GET_TICKER_FINAL(C707)</f>
        <v/>
      </c>
      <c r="J707" s="5" t="s">
        <v>16</v>
      </c>
    </row>
    <row r="708" spans="1:10" hidden="1">
      <c r="A708" s="20">
        <v>707</v>
      </c>
      <c r="B708" s="19" t="s">
        <v>645</v>
      </c>
      <c r="C708" s="19" t="s">
        <v>729</v>
      </c>
      <c r="D708" s="19">
        <v>422</v>
      </c>
      <c r="E708" s="19">
        <v>16</v>
      </c>
      <c r="F708" s="19">
        <v>0.97</v>
      </c>
      <c r="G708" s="19">
        <v>20260330</v>
      </c>
      <c r="H708" s="20" t="b">
        <f t="shared" si="11"/>
        <v>0</v>
      </c>
      <c r="I708" s="21" t="str" cm="1">
        <f t="array" ref="I708">GET_TICKER_FINAL(C708)</f>
        <v/>
      </c>
      <c r="J708" s="5" t="s">
        <v>25</v>
      </c>
    </row>
    <row r="709" spans="1:10">
      <c r="A709" s="23">
        <v>708</v>
      </c>
      <c r="B709" s="22" t="s">
        <v>645</v>
      </c>
      <c r="C709" s="22" t="s">
        <v>730</v>
      </c>
      <c r="D709" s="22">
        <v>421</v>
      </c>
      <c r="E709" s="22">
        <v>82</v>
      </c>
      <c r="F709" s="22">
        <v>0.98</v>
      </c>
      <c r="G709" s="22">
        <v>20260326</v>
      </c>
      <c r="H709" s="23" t="b">
        <f t="shared" si="11"/>
        <v>0</v>
      </c>
      <c r="I709" s="24" t="str" cm="1">
        <f t="array" ref="I709">GET_TICKER_FINAL(C709)</f>
        <v>SPY</v>
      </c>
      <c r="J709" s="5" t="s">
        <v>16</v>
      </c>
    </row>
    <row r="710" spans="1:10" hidden="1">
      <c r="A710" s="20">
        <v>709</v>
      </c>
      <c r="B710" s="19" t="s">
        <v>645</v>
      </c>
      <c r="C710" s="19" t="s">
        <v>731</v>
      </c>
      <c r="D710" s="19">
        <v>411</v>
      </c>
      <c r="E710" s="19">
        <v>57</v>
      </c>
      <c r="F710" s="19">
        <v>0.98</v>
      </c>
      <c r="G710" s="19">
        <v>20260323</v>
      </c>
      <c r="H710" s="20" t="b">
        <f t="shared" si="11"/>
        <v>0</v>
      </c>
      <c r="I710" s="21" t="str" cm="1">
        <f t="array" ref="I710">GET_TICKER_FINAL(C710)</f>
        <v/>
      </c>
      <c r="J710" s="5" t="s">
        <v>16</v>
      </c>
    </row>
    <row r="711" spans="1:10">
      <c r="A711" s="23">
        <v>710</v>
      </c>
      <c r="B711" s="22" t="s">
        <v>645</v>
      </c>
      <c r="C711" s="22" t="s">
        <v>732</v>
      </c>
      <c r="D711" s="22">
        <v>387</v>
      </c>
      <c r="E711" s="22">
        <v>57</v>
      </c>
      <c r="F711" s="22">
        <v>0.97</v>
      </c>
      <c r="G711" s="22">
        <v>20260402</v>
      </c>
      <c r="H711" s="23" t="b">
        <f t="shared" si="11"/>
        <v>0</v>
      </c>
      <c r="I711" s="24" t="str" cm="1">
        <f t="array" ref="I711">GET_TICKER_FINAL(C711)</f>
        <v>TSLA</v>
      </c>
      <c r="J711" s="5" t="s">
        <v>16</v>
      </c>
    </row>
    <row r="712" spans="1:10" hidden="1">
      <c r="A712" s="20">
        <v>711</v>
      </c>
      <c r="B712" s="19" t="s">
        <v>645</v>
      </c>
      <c r="C712" s="19" t="s">
        <v>733</v>
      </c>
      <c r="D712" s="19">
        <v>381</v>
      </c>
      <c r="E712" s="19">
        <v>59</v>
      </c>
      <c r="F712" s="19">
        <v>0.99</v>
      </c>
      <c r="G712" s="19">
        <v>20260323</v>
      </c>
      <c r="H712" s="20" t="b">
        <f t="shared" si="11"/>
        <v>0</v>
      </c>
      <c r="I712" s="21" t="str" cm="1">
        <f t="array" ref="I712">GET_TICKER_FINAL(C712)</f>
        <v/>
      </c>
      <c r="J712" s="5" t="s">
        <v>16</v>
      </c>
    </row>
    <row r="713" spans="1:10">
      <c r="A713" s="23">
        <v>712</v>
      </c>
      <c r="B713" s="22" t="s">
        <v>645</v>
      </c>
      <c r="C713" s="22" t="s">
        <v>734</v>
      </c>
      <c r="D713" s="22">
        <v>375</v>
      </c>
      <c r="E713" s="22">
        <v>84</v>
      </c>
      <c r="F713" s="22">
        <v>0.95</v>
      </c>
      <c r="G713" s="22">
        <v>20260323</v>
      </c>
      <c r="H713" s="23" t="b">
        <f t="shared" si="11"/>
        <v>0</v>
      </c>
      <c r="I713" s="24" t="str" cm="1">
        <f t="array" ref="I713">GET_TICKER_FINAL(C713)</f>
        <v>SPY</v>
      </c>
      <c r="J713" s="5" t="s">
        <v>25</v>
      </c>
    </row>
    <row r="714" spans="1:10" hidden="1">
      <c r="A714" s="20">
        <v>713</v>
      </c>
      <c r="B714" s="19" t="s">
        <v>645</v>
      </c>
      <c r="C714" s="19" t="s">
        <v>735</v>
      </c>
      <c r="D714" s="19">
        <v>371</v>
      </c>
      <c r="E714" s="19">
        <v>112</v>
      </c>
      <c r="F714" s="19">
        <v>0.89</v>
      </c>
      <c r="G714" s="19">
        <v>20260330</v>
      </c>
      <c r="H714" s="20" t="b">
        <f t="shared" si="11"/>
        <v>0</v>
      </c>
      <c r="I714" s="21" t="str" cm="1">
        <f t="array" ref="I714">GET_TICKER_FINAL(C714)</f>
        <v/>
      </c>
      <c r="J714" s="5" t="s">
        <v>25</v>
      </c>
    </row>
    <row r="715" spans="1:10">
      <c r="A715" s="23">
        <v>714</v>
      </c>
      <c r="B715" s="22" t="s">
        <v>645</v>
      </c>
      <c r="C715" s="22" t="s">
        <v>736</v>
      </c>
      <c r="D715" s="22">
        <v>363</v>
      </c>
      <c r="E715" s="22">
        <v>55</v>
      </c>
      <c r="F715" s="22">
        <v>0.94</v>
      </c>
      <c r="G715" s="22">
        <v>20260326</v>
      </c>
      <c r="H715" s="23" t="b">
        <f t="shared" si="11"/>
        <v>0</v>
      </c>
      <c r="I715" s="24" t="str" cm="1">
        <f t="array" ref="I715">GET_TICKER_FINAL(C715)</f>
        <v>GOOGL</v>
      </c>
      <c r="J715" s="5" t="s">
        <v>25</v>
      </c>
    </row>
    <row r="716" spans="1:10">
      <c r="A716" s="20">
        <v>715</v>
      </c>
      <c r="B716" s="19" t="s">
        <v>645</v>
      </c>
      <c r="C716" s="19" t="s">
        <v>737</v>
      </c>
      <c r="D716" s="19">
        <v>363</v>
      </c>
      <c r="E716" s="19">
        <v>63</v>
      </c>
      <c r="F716" s="19">
        <v>0.96</v>
      </c>
      <c r="G716" s="19">
        <v>20260402</v>
      </c>
      <c r="H716" s="20" t="b">
        <f t="shared" si="11"/>
        <v>0</v>
      </c>
      <c r="I716" s="21" t="str" cm="1">
        <f t="array" ref="I716">GET_TICKER_FINAL(C716)</f>
        <v>SPY</v>
      </c>
      <c r="J716" s="5" t="s">
        <v>25</v>
      </c>
    </row>
    <row r="717" spans="1:10">
      <c r="A717" s="23">
        <v>716</v>
      </c>
      <c r="B717" s="22" t="s">
        <v>645</v>
      </c>
      <c r="C717" s="22" t="s">
        <v>738</v>
      </c>
      <c r="D717" s="22">
        <v>363</v>
      </c>
      <c r="E717" s="22">
        <v>95</v>
      </c>
      <c r="F717" s="22">
        <v>0.96</v>
      </c>
      <c r="G717" s="22">
        <v>20260326</v>
      </c>
      <c r="H717" s="23" t="b">
        <f t="shared" si="11"/>
        <v>0</v>
      </c>
      <c r="I717" s="24" t="str" cm="1">
        <f t="array" ref="I717">GET_TICKER_FINAL(C717)</f>
        <v>PLTR</v>
      </c>
      <c r="J717" s="5" t="s">
        <v>25</v>
      </c>
    </row>
    <row r="718" spans="1:10" hidden="1">
      <c r="A718" s="20">
        <v>717</v>
      </c>
      <c r="B718" s="19" t="s">
        <v>645</v>
      </c>
      <c r="C718" s="19" t="s">
        <v>739</v>
      </c>
      <c r="D718" s="19">
        <v>355</v>
      </c>
      <c r="E718" s="19">
        <v>180</v>
      </c>
      <c r="F718" s="19">
        <v>0.95</v>
      </c>
      <c r="G718" s="19">
        <v>20260402</v>
      </c>
      <c r="H718" s="20" t="b">
        <f t="shared" si="11"/>
        <v>0</v>
      </c>
      <c r="I718" s="21" t="str" cm="1">
        <f t="array" ref="I718">GET_TICKER_FINAL(C718)</f>
        <v/>
      </c>
      <c r="J718" s="5" t="s">
        <v>16</v>
      </c>
    </row>
    <row r="719" spans="1:10" hidden="1">
      <c r="A719" s="23">
        <v>718</v>
      </c>
      <c r="B719" s="22" t="s">
        <v>645</v>
      </c>
      <c r="C719" s="22" t="s">
        <v>740</v>
      </c>
      <c r="D719" s="22">
        <v>351</v>
      </c>
      <c r="E719" s="22">
        <v>209</v>
      </c>
      <c r="F719" s="22">
        <v>0.9</v>
      </c>
      <c r="G719" s="22">
        <v>20260402</v>
      </c>
      <c r="H719" s="23" t="b">
        <f t="shared" si="11"/>
        <v>0</v>
      </c>
      <c r="I719" s="24" t="str" cm="1">
        <f t="array" ref="I719">GET_TICKER_FINAL(C719)</f>
        <v/>
      </c>
      <c r="J719" s="5" t="s">
        <v>28</v>
      </c>
    </row>
    <row r="720" spans="1:10">
      <c r="A720" s="20">
        <v>719</v>
      </c>
      <c r="B720" s="19" t="s">
        <v>645</v>
      </c>
      <c r="C720" s="19" t="s">
        <v>741</v>
      </c>
      <c r="D720" s="19">
        <v>349</v>
      </c>
      <c r="E720" s="19">
        <v>113</v>
      </c>
      <c r="F720" s="19">
        <v>0.97</v>
      </c>
      <c r="G720" s="19">
        <v>20260320</v>
      </c>
      <c r="H720" s="20" t="b">
        <f t="shared" si="11"/>
        <v>0</v>
      </c>
      <c r="I720" s="21" t="str" cm="1">
        <f t="array" ref="I720">GET_TICKER_FINAL(C720)</f>
        <v>SPY</v>
      </c>
      <c r="J720" s="5" t="s">
        <v>16</v>
      </c>
    </row>
    <row r="721" spans="1:10" hidden="1">
      <c r="A721" s="23">
        <v>720</v>
      </c>
      <c r="B721" s="22" t="s">
        <v>645</v>
      </c>
      <c r="C721" s="22" t="s">
        <v>742</v>
      </c>
      <c r="D721" s="22">
        <v>342</v>
      </c>
      <c r="E721" s="22">
        <v>44</v>
      </c>
      <c r="F721" s="22">
        <v>0.99</v>
      </c>
      <c r="G721" s="22">
        <v>20260323</v>
      </c>
      <c r="H721" s="23" t="b">
        <f t="shared" si="11"/>
        <v>0</v>
      </c>
      <c r="I721" s="24" t="str" cm="1">
        <f t="array" ref="I721">GET_TICKER_FINAL(C721)</f>
        <v/>
      </c>
      <c r="J721" s="5" t="s">
        <v>16</v>
      </c>
    </row>
    <row r="722" spans="1:10" hidden="1">
      <c r="A722" s="20">
        <v>721</v>
      </c>
      <c r="B722" s="19" t="s">
        <v>645</v>
      </c>
      <c r="C722" s="19" t="s">
        <v>743</v>
      </c>
      <c r="D722" s="19">
        <v>338</v>
      </c>
      <c r="E722" s="19">
        <v>96</v>
      </c>
      <c r="F722" s="19">
        <v>0.95</v>
      </c>
      <c r="G722" s="19">
        <v>20260402</v>
      </c>
      <c r="H722" s="20" t="b">
        <f t="shared" si="11"/>
        <v>0</v>
      </c>
      <c r="I722" s="21" t="str" cm="1">
        <f t="array" ref="I722">GET_TICKER_FINAL(C722)</f>
        <v/>
      </c>
      <c r="J722" s="5" t="s">
        <v>16</v>
      </c>
    </row>
    <row r="723" spans="1:10" hidden="1">
      <c r="A723" s="23">
        <v>722</v>
      </c>
      <c r="B723" s="22" t="s">
        <v>645</v>
      </c>
      <c r="C723" s="22" t="s">
        <v>744</v>
      </c>
      <c r="D723" s="22">
        <v>337</v>
      </c>
      <c r="E723" s="22">
        <v>50</v>
      </c>
      <c r="F723" s="22">
        <v>0.98</v>
      </c>
      <c r="G723" s="22">
        <v>20260401</v>
      </c>
      <c r="H723" s="23" t="b">
        <f t="shared" si="11"/>
        <v>0</v>
      </c>
      <c r="I723" s="24" t="str" cm="1">
        <f t="array" ref="I723">GET_TICKER_FINAL(C723)</f>
        <v/>
      </c>
      <c r="J723" s="5" t="s">
        <v>28</v>
      </c>
    </row>
    <row r="724" spans="1:10" hidden="1">
      <c r="A724" s="20">
        <v>723</v>
      </c>
      <c r="B724" s="19" t="s">
        <v>645</v>
      </c>
      <c r="C724" s="19" t="s">
        <v>745</v>
      </c>
      <c r="D724" s="19">
        <v>336</v>
      </c>
      <c r="E724" s="19">
        <v>173</v>
      </c>
      <c r="F724" s="19">
        <v>0.88</v>
      </c>
      <c r="G724" s="19">
        <v>20260402</v>
      </c>
      <c r="H724" s="20" t="b">
        <f t="shared" si="11"/>
        <v>0</v>
      </c>
      <c r="I724" s="21" t="str" cm="1">
        <f t="array" ref="I724">GET_TICKER_FINAL(C724)</f>
        <v/>
      </c>
      <c r="J724" s="5" t="s">
        <v>14</v>
      </c>
    </row>
    <row r="725" spans="1:10" hidden="1">
      <c r="A725" s="23">
        <v>724</v>
      </c>
      <c r="B725" s="22" t="s">
        <v>645</v>
      </c>
      <c r="C725" s="22" t="s">
        <v>746</v>
      </c>
      <c r="D725" s="22">
        <v>332</v>
      </c>
      <c r="E725" s="22">
        <v>18</v>
      </c>
      <c r="F725" s="22">
        <v>0.99</v>
      </c>
      <c r="G725" s="22">
        <v>20260323</v>
      </c>
      <c r="H725" s="23" t="b">
        <f t="shared" si="11"/>
        <v>0</v>
      </c>
      <c r="I725" s="24" t="str" cm="1">
        <f t="array" ref="I725">GET_TICKER_FINAL(C725)</f>
        <v/>
      </c>
      <c r="J725" s="5" t="s">
        <v>16</v>
      </c>
    </row>
    <row r="726" spans="1:10" hidden="1">
      <c r="A726" s="20">
        <v>725</v>
      </c>
      <c r="B726" s="19" t="s">
        <v>645</v>
      </c>
      <c r="C726" s="19" t="s">
        <v>747</v>
      </c>
      <c r="D726" s="19">
        <v>318</v>
      </c>
      <c r="E726" s="19">
        <v>67</v>
      </c>
      <c r="F726" s="19">
        <v>0.95</v>
      </c>
      <c r="G726" s="19">
        <v>20260323</v>
      </c>
      <c r="H726" s="20" t="b">
        <f t="shared" si="11"/>
        <v>0</v>
      </c>
      <c r="I726" s="21" t="str" cm="1">
        <f t="array" ref="I726">GET_TICKER_FINAL(C726)</f>
        <v/>
      </c>
      <c r="J726" s="5" t="s">
        <v>16</v>
      </c>
    </row>
    <row r="727" spans="1:10">
      <c r="A727" s="23">
        <v>726</v>
      </c>
      <c r="B727" s="22" t="s">
        <v>645</v>
      </c>
      <c r="C727" s="22" t="s">
        <v>748</v>
      </c>
      <c r="D727" s="22">
        <v>317</v>
      </c>
      <c r="E727" s="22">
        <v>66</v>
      </c>
      <c r="F727" s="22">
        <v>0.98</v>
      </c>
      <c r="G727" s="22">
        <v>20260324</v>
      </c>
      <c r="H727" s="23" t="b">
        <f t="shared" si="11"/>
        <v>0</v>
      </c>
      <c r="I727" s="24" t="str" cm="1">
        <f t="array" ref="I727">GET_TICKER_FINAL(C727)</f>
        <v>SPY</v>
      </c>
      <c r="J727" s="5" t="s">
        <v>16</v>
      </c>
    </row>
    <row r="728" spans="1:10">
      <c r="A728" s="20">
        <v>727</v>
      </c>
      <c r="B728" s="19" t="s">
        <v>645</v>
      </c>
      <c r="C728" s="19" t="s">
        <v>749</v>
      </c>
      <c r="D728" s="19">
        <v>313</v>
      </c>
      <c r="E728" s="19">
        <v>36</v>
      </c>
      <c r="F728" s="19">
        <v>0.98</v>
      </c>
      <c r="G728" s="19">
        <v>20260331</v>
      </c>
      <c r="H728" s="20" t="b">
        <f t="shared" si="11"/>
        <v>0</v>
      </c>
      <c r="I728" s="21" t="str" cm="1">
        <f t="array" ref="I728">GET_TICKER_FINAL(C728)</f>
        <v>META</v>
      </c>
      <c r="J728" s="5" t="s">
        <v>16</v>
      </c>
    </row>
    <row r="729" spans="1:10" hidden="1">
      <c r="A729" s="23">
        <v>728</v>
      </c>
      <c r="B729" s="22" t="s">
        <v>645</v>
      </c>
      <c r="C729" s="22" t="s">
        <v>750</v>
      </c>
      <c r="D729" s="22">
        <v>311</v>
      </c>
      <c r="E729" s="22">
        <v>28</v>
      </c>
      <c r="F729" s="22">
        <v>0.98</v>
      </c>
      <c r="G729" s="22">
        <v>20260327</v>
      </c>
      <c r="H729" s="23" t="b">
        <f t="shared" si="11"/>
        <v>0</v>
      </c>
      <c r="I729" s="24" t="str" cm="1">
        <f t="array" ref="I729">GET_TICKER_FINAL(C729)</f>
        <v/>
      </c>
      <c r="J729" s="5" t="s">
        <v>16</v>
      </c>
    </row>
    <row r="730" spans="1:10" hidden="1">
      <c r="A730" s="20">
        <v>729</v>
      </c>
      <c r="B730" s="19" t="s">
        <v>645</v>
      </c>
      <c r="C730" s="19" t="s">
        <v>751</v>
      </c>
      <c r="D730" s="19">
        <v>304</v>
      </c>
      <c r="E730" s="19">
        <v>27</v>
      </c>
      <c r="F730" s="19">
        <v>0.98</v>
      </c>
      <c r="G730" s="19">
        <v>20260324</v>
      </c>
      <c r="H730" s="20" t="b">
        <f t="shared" si="11"/>
        <v>0</v>
      </c>
      <c r="I730" s="21" t="str" cm="1">
        <f t="array" ref="I730">GET_TICKER_FINAL(C730)</f>
        <v/>
      </c>
      <c r="J730" s="5" t="s">
        <v>16</v>
      </c>
    </row>
    <row r="731" spans="1:10" hidden="1">
      <c r="A731" s="23">
        <v>730</v>
      </c>
      <c r="B731" s="22" t="s">
        <v>645</v>
      </c>
      <c r="C731" s="22" t="s">
        <v>752</v>
      </c>
      <c r="D731" s="22">
        <v>303</v>
      </c>
      <c r="E731" s="22">
        <v>28</v>
      </c>
      <c r="F731" s="22">
        <v>0.99</v>
      </c>
      <c r="G731" s="22">
        <v>20260320</v>
      </c>
      <c r="H731" s="23" t="b">
        <f t="shared" si="11"/>
        <v>0</v>
      </c>
      <c r="I731" s="24" t="str" cm="1">
        <f t="array" ref="I731">GET_TICKER_FINAL(C731)</f>
        <v/>
      </c>
      <c r="J731" s="5" t="s">
        <v>16</v>
      </c>
    </row>
    <row r="732" spans="1:10" hidden="1">
      <c r="A732" s="20">
        <v>731</v>
      </c>
      <c r="B732" s="19" t="s">
        <v>645</v>
      </c>
      <c r="C732" s="19" t="s">
        <v>753</v>
      </c>
      <c r="D732" s="19">
        <v>300</v>
      </c>
      <c r="E732" s="19">
        <v>95</v>
      </c>
      <c r="F732" s="19">
        <v>0.96</v>
      </c>
      <c r="G732" s="19">
        <v>20260331</v>
      </c>
      <c r="H732" s="20" t="b">
        <f t="shared" si="11"/>
        <v>0</v>
      </c>
      <c r="I732" s="21" t="str" cm="1">
        <f t="array" ref="I732">GET_TICKER_FINAL(C732)</f>
        <v/>
      </c>
      <c r="J732" s="5" t="s">
        <v>16</v>
      </c>
    </row>
    <row r="733" spans="1:10">
      <c r="A733" s="23">
        <v>732</v>
      </c>
      <c r="B733" s="22" t="s">
        <v>645</v>
      </c>
      <c r="C733" s="22" t="s">
        <v>754</v>
      </c>
      <c r="D733" s="22">
        <v>298</v>
      </c>
      <c r="E733" s="22">
        <v>42</v>
      </c>
      <c r="F733" s="22">
        <v>0.98</v>
      </c>
      <c r="G733" s="22">
        <v>20260402</v>
      </c>
      <c r="H733" s="23" t="b">
        <f t="shared" si="11"/>
        <v>0</v>
      </c>
      <c r="I733" s="24" t="str" cm="1">
        <f t="array" ref="I733">GET_TICKER_FINAL(C733)</f>
        <v>MSFT</v>
      </c>
      <c r="J733" s="5" t="s">
        <v>28</v>
      </c>
    </row>
    <row r="734" spans="1:10">
      <c r="A734" s="20">
        <v>733</v>
      </c>
      <c r="B734" s="19" t="s">
        <v>645</v>
      </c>
      <c r="C734" s="19" t="s">
        <v>755</v>
      </c>
      <c r="D734" s="19">
        <v>296</v>
      </c>
      <c r="E734" s="19">
        <v>44</v>
      </c>
      <c r="F734" s="19">
        <v>0.96</v>
      </c>
      <c r="G734" s="19">
        <v>20260327</v>
      </c>
      <c r="H734" s="20" t="b">
        <f t="shared" si="11"/>
        <v>0</v>
      </c>
      <c r="I734" s="21" t="str" cm="1">
        <f t="array" ref="I734">GET_TICKER_FINAL(C734)</f>
        <v>SPY</v>
      </c>
      <c r="J734" s="5" t="s">
        <v>16</v>
      </c>
    </row>
    <row r="735" spans="1:10">
      <c r="A735" s="23">
        <v>734</v>
      </c>
      <c r="B735" s="22" t="s">
        <v>645</v>
      </c>
      <c r="C735" s="22" t="s">
        <v>756</v>
      </c>
      <c r="D735" s="22">
        <v>287</v>
      </c>
      <c r="E735" s="22">
        <v>87</v>
      </c>
      <c r="F735" s="22">
        <v>0.95</v>
      </c>
      <c r="G735" s="22">
        <v>20260320</v>
      </c>
      <c r="H735" s="23" t="b">
        <f t="shared" si="11"/>
        <v>0</v>
      </c>
      <c r="I735" s="24" t="str" cm="1">
        <f t="array" ref="I735">GET_TICKER_FINAL(C735)</f>
        <v>SPY</v>
      </c>
      <c r="J735" s="5" t="s">
        <v>16</v>
      </c>
    </row>
    <row r="736" spans="1:10" hidden="1">
      <c r="A736" s="20">
        <v>735</v>
      </c>
      <c r="B736" s="19" t="s">
        <v>645</v>
      </c>
      <c r="C736" s="19" t="s">
        <v>757</v>
      </c>
      <c r="D736" s="19">
        <v>284</v>
      </c>
      <c r="E736" s="19">
        <v>34</v>
      </c>
      <c r="F736" s="19">
        <v>0.99</v>
      </c>
      <c r="G736" s="19">
        <v>20260402</v>
      </c>
      <c r="H736" s="20" t="b">
        <f t="shared" si="11"/>
        <v>0</v>
      </c>
      <c r="I736" s="21" t="str" cm="1">
        <f t="array" ref="I736">GET_TICKER_FINAL(C736)</f>
        <v/>
      </c>
      <c r="J736" s="5" t="s">
        <v>25</v>
      </c>
    </row>
    <row r="737" spans="1:10">
      <c r="A737" s="23">
        <v>736</v>
      </c>
      <c r="B737" s="22" t="s">
        <v>645</v>
      </c>
      <c r="C737" s="22" t="s">
        <v>758</v>
      </c>
      <c r="D737" s="22">
        <v>276</v>
      </c>
      <c r="E737" s="22">
        <v>45</v>
      </c>
      <c r="F737" s="22">
        <v>0.99</v>
      </c>
      <c r="G737" s="22">
        <v>20260324</v>
      </c>
      <c r="H737" s="23" t="b">
        <f t="shared" si="11"/>
        <v>0</v>
      </c>
      <c r="I737" s="24" t="str" cm="1">
        <f t="array" ref="I737">GET_TICKER_FINAL(C737)</f>
        <v>META</v>
      </c>
      <c r="J737" s="5" t="s">
        <v>28</v>
      </c>
    </row>
    <row r="738" spans="1:10" hidden="1">
      <c r="A738" s="20">
        <v>737</v>
      </c>
      <c r="B738" s="19" t="s">
        <v>645</v>
      </c>
      <c r="C738" s="19" t="s">
        <v>759</v>
      </c>
      <c r="D738" s="19">
        <v>270</v>
      </c>
      <c r="E738" s="19">
        <v>33</v>
      </c>
      <c r="F738" s="19">
        <v>0.91</v>
      </c>
      <c r="G738" s="19">
        <v>20260402</v>
      </c>
      <c r="H738" s="20" t="b">
        <f t="shared" si="11"/>
        <v>0</v>
      </c>
      <c r="I738" s="21" t="str" cm="1">
        <f t="array" ref="I738">GET_TICKER_FINAL(C738)</f>
        <v/>
      </c>
      <c r="J738" s="5" t="s">
        <v>1792</v>
      </c>
    </row>
    <row r="739" spans="1:10" hidden="1">
      <c r="A739" s="23">
        <v>738</v>
      </c>
      <c r="B739" s="22" t="s">
        <v>645</v>
      </c>
      <c r="C739" s="22" t="s">
        <v>760</v>
      </c>
      <c r="D739" s="22">
        <v>269</v>
      </c>
      <c r="E739" s="22">
        <v>95</v>
      </c>
      <c r="F739" s="22">
        <v>0.96</v>
      </c>
      <c r="G739" s="22">
        <v>20260331</v>
      </c>
      <c r="H739" s="23" t="b">
        <f t="shared" si="11"/>
        <v>0</v>
      </c>
      <c r="I739" s="24" t="str" cm="1">
        <f t="array" ref="I739">GET_TICKER_FINAL(C739)</f>
        <v/>
      </c>
      <c r="J739" s="5" t="s">
        <v>16</v>
      </c>
    </row>
    <row r="740" spans="1:10" hidden="1">
      <c r="A740" s="20">
        <v>739</v>
      </c>
      <c r="B740" s="19" t="s">
        <v>645</v>
      </c>
      <c r="C740" s="19" t="s">
        <v>761</v>
      </c>
      <c r="D740" s="19">
        <v>263</v>
      </c>
      <c r="E740" s="19">
        <v>289</v>
      </c>
      <c r="F740" s="19">
        <v>0.88</v>
      </c>
      <c r="G740" s="19">
        <v>20260331</v>
      </c>
      <c r="H740" s="20" t="b">
        <f t="shared" si="11"/>
        <v>0</v>
      </c>
      <c r="I740" s="21" t="str" cm="1">
        <f t="array" ref="I740">GET_TICKER_FINAL(C740)</f>
        <v/>
      </c>
      <c r="J740" s="5" t="s">
        <v>16</v>
      </c>
    </row>
    <row r="741" spans="1:10">
      <c r="A741" s="23">
        <v>740</v>
      </c>
      <c r="B741" s="22" t="s">
        <v>645</v>
      </c>
      <c r="C741" s="22" t="s">
        <v>762</v>
      </c>
      <c r="D741" s="22">
        <v>260</v>
      </c>
      <c r="E741" s="22">
        <v>54</v>
      </c>
      <c r="F741" s="22">
        <v>0.99</v>
      </c>
      <c r="G741" s="22">
        <v>20260320</v>
      </c>
      <c r="H741" s="23" t="b">
        <f t="shared" si="11"/>
        <v>0</v>
      </c>
      <c r="I741" s="24" t="str" cm="1">
        <f t="array" ref="I741">GET_TICKER_FINAL(C741)</f>
        <v>META</v>
      </c>
      <c r="J741" s="5" t="s">
        <v>16</v>
      </c>
    </row>
    <row r="742" spans="1:10">
      <c r="A742" s="20">
        <v>741</v>
      </c>
      <c r="B742" s="19" t="s">
        <v>645</v>
      </c>
      <c r="C742" s="19" t="s">
        <v>763</v>
      </c>
      <c r="D742" s="19">
        <v>259</v>
      </c>
      <c r="E742" s="19">
        <v>15</v>
      </c>
      <c r="F742" s="19">
        <v>1</v>
      </c>
      <c r="G742" s="19">
        <v>20260331</v>
      </c>
      <c r="H742" s="20" t="b">
        <f t="shared" si="11"/>
        <v>0</v>
      </c>
      <c r="I742" s="21" t="str" cm="1">
        <f t="array" ref="I742">GET_TICKER_FINAL(C742)</f>
        <v>AMZN</v>
      </c>
      <c r="J742" s="5" t="s">
        <v>16</v>
      </c>
    </row>
    <row r="743" spans="1:10" hidden="1">
      <c r="A743" s="23">
        <v>742</v>
      </c>
      <c r="B743" s="22" t="s">
        <v>645</v>
      </c>
      <c r="C743" s="22" t="s">
        <v>764</v>
      </c>
      <c r="D743" s="22">
        <v>253</v>
      </c>
      <c r="E743" s="22">
        <v>69</v>
      </c>
      <c r="F743" s="22">
        <v>0.94</v>
      </c>
      <c r="G743" s="22">
        <v>20260402</v>
      </c>
      <c r="H743" s="23" t="b">
        <f t="shared" si="11"/>
        <v>0</v>
      </c>
      <c r="I743" s="24" t="str" cm="1">
        <f t="array" ref="I743">GET_TICKER_FINAL(C743)</f>
        <v/>
      </c>
      <c r="J743" s="5" t="s">
        <v>16</v>
      </c>
    </row>
    <row r="744" spans="1:10" hidden="1">
      <c r="A744" s="20">
        <v>743</v>
      </c>
      <c r="B744" s="19" t="s">
        <v>645</v>
      </c>
      <c r="C744" s="19" t="s">
        <v>765</v>
      </c>
      <c r="D744" s="19">
        <v>239</v>
      </c>
      <c r="E744" s="19">
        <v>126</v>
      </c>
      <c r="F744" s="19">
        <v>0.94</v>
      </c>
      <c r="G744" s="19">
        <v>20260331</v>
      </c>
      <c r="H744" s="20" t="b">
        <f t="shared" si="11"/>
        <v>0</v>
      </c>
      <c r="I744" s="21" t="str" cm="1">
        <f t="array" ref="I744">GET_TICKER_FINAL(C744)</f>
        <v/>
      </c>
      <c r="J744" s="5" t="s">
        <v>16</v>
      </c>
    </row>
    <row r="745" spans="1:10" hidden="1">
      <c r="A745" s="23">
        <v>744</v>
      </c>
      <c r="B745" s="22" t="s">
        <v>645</v>
      </c>
      <c r="C745" s="22" t="s">
        <v>766</v>
      </c>
      <c r="D745" s="22">
        <v>235</v>
      </c>
      <c r="E745" s="22">
        <v>36</v>
      </c>
      <c r="F745" s="22">
        <v>0.94</v>
      </c>
      <c r="G745" s="22">
        <v>20260320</v>
      </c>
      <c r="H745" s="23" t="b">
        <f t="shared" si="11"/>
        <v>0</v>
      </c>
      <c r="I745" s="24" t="str" cm="1">
        <f t="array" ref="I745">GET_TICKER_FINAL(C745)</f>
        <v/>
      </c>
      <c r="J745" s="5" t="s">
        <v>25</v>
      </c>
    </row>
    <row r="746" spans="1:10" hidden="1">
      <c r="A746" s="20">
        <v>745</v>
      </c>
      <c r="B746" s="19" t="s">
        <v>645</v>
      </c>
      <c r="C746" s="19" t="s">
        <v>767</v>
      </c>
      <c r="D746" s="19">
        <v>230</v>
      </c>
      <c r="E746" s="19">
        <v>73</v>
      </c>
      <c r="F746" s="19">
        <v>0.95</v>
      </c>
      <c r="G746" s="19">
        <v>20260402</v>
      </c>
      <c r="H746" s="20" t="b">
        <f t="shared" si="11"/>
        <v>0</v>
      </c>
      <c r="I746" s="21" t="str" cm="1">
        <f t="array" ref="I746">GET_TICKER_FINAL(C746)</f>
        <v/>
      </c>
      <c r="J746" s="5" t="s">
        <v>16</v>
      </c>
    </row>
    <row r="747" spans="1:10" hidden="1">
      <c r="A747" s="23">
        <v>746</v>
      </c>
      <c r="B747" s="22" t="s">
        <v>645</v>
      </c>
      <c r="C747" s="22" t="s">
        <v>768</v>
      </c>
      <c r="D747" s="22">
        <v>227</v>
      </c>
      <c r="E747" s="22">
        <v>51</v>
      </c>
      <c r="F747" s="22">
        <v>0.89</v>
      </c>
      <c r="G747" s="22">
        <v>20260326</v>
      </c>
      <c r="H747" s="23" t="b">
        <f t="shared" si="11"/>
        <v>0</v>
      </c>
      <c r="I747" s="24" t="str" cm="1">
        <f t="array" ref="I747">GET_TICKER_FINAL(C747)</f>
        <v/>
      </c>
      <c r="J747" s="5" t="s">
        <v>16</v>
      </c>
    </row>
    <row r="748" spans="1:10" hidden="1">
      <c r="A748" s="20">
        <v>747</v>
      </c>
      <c r="B748" s="19" t="s">
        <v>645</v>
      </c>
      <c r="C748" s="19" t="s">
        <v>769</v>
      </c>
      <c r="D748" s="19">
        <v>224</v>
      </c>
      <c r="E748" s="19">
        <v>22</v>
      </c>
      <c r="F748" s="19">
        <v>0.98</v>
      </c>
      <c r="G748" s="19">
        <v>20260330</v>
      </c>
      <c r="H748" s="20" t="b">
        <f t="shared" si="11"/>
        <v>0</v>
      </c>
      <c r="I748" s="21" t="str" cm="1">
        <f t="array" ref="I748">GET_TICKER_FINAL(C748)</f>
        <v/>
      </c>
      <c r="J748" s="5" t="s">
        <v>16</v>
      </c>
    </row>
    <row r="749" spans="1:10" hidden="1">
      <c r="A749" s="23">
        <v>748</v>
      </c>
      <c r="B749" s="22" t="s">
        <v>645</v>
      </c>
      <c r="C749" s="22" t="s">
        <v>770</v>
      </c>
      <c r="D749" s="22">
        <v>223</v>
      </c>
      <c r="E749" s="22">
        <v>22</v>
      </c>
      <c r="F749" s="22">
        <v>0.97</v>
      </c>
      <c r="G749" s="22">
        <v>20260323</v>
      </c>
      <c r="H749" s="23" t="b">
        <f t="shared" si="11"/>
        <v>0</v>
      </c>
      <c r="I749" s="24" t="str" cm="1">
        <f t="array" ref="I749">GET_TICKER_FINAL(C749)</f>
        <v/>
      </c>
      <c r="J749" s="5" t="s">
        <v>16</v>
      </c>
    </row>
    <row r="750" spans="1:10" hidden="1">
      <c r="A750" s="20">
        <v>749</v>
      </c>
      <c r="B750" s="19" t="s">
        <v>645</v>
      </c>
      <c r="C750" s="19" t="s">
        <v>771</v>
      </c>
      <c r="D750" s="19">
        <v>222</v>
      </c>
      <c r="E750" s="19">
        <v>28</v>
      </c>
      <c r="F750" s="19">
        <v>0.95</v>
      </c>
      <c r="G750" s="19">
        <v>20260324</v>
      </c>
      <c r="H750" s="20" t="b">
        <f t="shared" si="11"/>
        <v>0</v>
      </c>
      <c r="I750" s="21" t="str" cm="1">
        <f t="array" ref="I750">GET_TICKER_FINAL(C750)</f>
        <v/>
      </c>
      <c r="J750" s="5" t="s">
        <v>16</v>
      </c>
    </row>
    <row r="751" spans="1:10" hidden="1">
      <c r="A751" s="23">
        <v>750</v>
      </c>
      <c r="B751" s="22" t="s">
        <v>645</v>
      </c>
      <c r="C751" s="22" t="s">
        <v>772</v>
      </c>
      <c r="D751" s="22">
        <v>222</v>
      </c>
      <c r="E751" s="22">
        <v>35</v>
      </c>
      <c r="F751" s="22">
        <v>0.99</v>
      </c>
      <c r="G751" s="22">
        <v>20260327</v>
      </c>
      <c r="H751" s="23" t="b">
        <f t="shared" si="11"/>
        <v>0</v>
      </c>
      <c r="I751" s="24" t="str" cm="1">
        <f t="array" ref="I751">GET_TICKER_FINAL(C751)</f>
        <v/>
      </c>
      <c r="J751" s="5" t="s">
        <v>14</v>
      </c>
    </row>
    <row r="752" spans="1:10" hidden="1">
      <c r="A752" s="20">
        <v>751</v>
      </c>
      <c r="B752" s="19" t="s">
        <v>645</v>
      </c>
      <c r="C752" s="19" t="s">
        <v>773</v>
      </c>
      <c r="D752" s="19">
        <v>219</v>
      </c>
      <c r="E752" s="19">
        <v>40</v>
      </c>
      <c r="F752" s="19">
        <v>0.96</v>
      </c>
      <c r="G752" s="19">
        <v>20260401</v>
      </c>
      <c r="H752" s="20" t="b">
        <f t="shared" si="11"/>
        <v>0</v>
      </c>
      <c r="I752" s="21" t="str" cm="1">
        <f t="array" ref="I752">GET_TICKER_FINAL(C752)</f>
        <v/>
      </c>
      <c r="J752" s="5" t="s">
        <v>16</v>
      </c>
    </row>
    <row r="753" spans="1:10" hidden="1">
      <c r="A753" s="23">
        <v>752</v>
      </c>
      <c r="B753" s="22" t="s">
        <v>645</v>
      </c>
      <c r="C753" s="22" t="s">
        <v>774</v>
      </c>
      <c r="D753" s="22">
        <v>217</v>
      </c>
      <c r="E753" s="22">
        <v>103</v>
      </c>
      <c r="F753" s="22">
        <v>0.88</v>
      </c>
      <c r="G753" s="22">
        <v>20260402</v>
      </c>
      <c r="H753" s="23" t="b">
        <f t="shared" si="11"/>
        <v>0</v>
      </c>
      <c r="I753" s="24" t="str" cm="1">
        <f t="array" ref="I753">GET_TICKER_FINAL(C753)</f>
        <v/>
      </c>
      <c r="J753" s="5" t="s">
        <v>28</v>
      </c>
    </row>
    <row r="754" spans="1:10">
      <c r="A754" s="20">
        <v>753</v>
      </c>
      <c r="B754" s="19" t="s">
        <v>645</v>
      </c>
      <c r="C754" s="19" t="s">
        <v>775</v>
      </c>
      <c r="D754" s="19">
        <v>213</v>
      </c>
      <c r="E754" s="19">
        <v>104</v>
      </c>
      <c r="F754" s="19">
        <v>0.89</v>
      </c>
      <c r="G754" s="19">
        <v>20260324</v>
      </c>
      <c r="H754" s="20" t="b">
        <f t="shared" si="11"/>
        <v>0</v>
      </c>
      <c r="I754" s="21" t="str" cm="1">
        <f t="array" ref="I754">GET_TICKER_FINAL(C754)</f>
        <v>SPY</v>
      </c>
      <c r="J754" s="5" t="s">
        <v>25</v>
      </c>
    </row>
    <row r="755" spans="1:10" hidden="1">
      <c r="A755" s="23">
        <v>754</v>
      </c>
      <c r="B755" s="22" t="s">
        <v>645</v>
      </c>
      <c r="C755" s="22" t="s">
        <v>776</v>
      </c>
      <c r="D755" s="22">
        <v>212</v>
      </c>
      <c r="E755" s="22">
        <v>21</v>
      </c>
      <c r="F755" s="22">
        <v>0.98</v>
      </c>
      <c r="G755" s="22">
        <v>20260323</v>
      </c>
      <c r="H755" s="23" t="b">
        <f t="shared" si="11"/>
        <v>0</v>
      </c>
      <c r="I755" s="24" t="str" cm="1">
        <f t="array" ref="I755">GET_TICKER_FINAL(C755)</f>
        <v/>
      </c>
      <c r="J755" s="5" t="s">
        <v>16</v>
      </c>
    </row>
    <row r="756" spans="1:10" hidden="1">
      <c r="A756" s="20">
        <v>755</v>
      </c>
      <c r="B756" s="19" t="s">
        <v>645</v>
      </c>
      <c r="C756" s="19" t="s">
        <v>777</v>
      </c>
      <c r="D756" s="19">
        <v>212</v>
      </c>
      <c r="E756" s="19">
        <v>113</v>
      </c>
      <c r="F756" s="19">
        <v>0.87</v>
      </c>
      <c r="G756" s="19">
        <v>20260330</v>
      </c>
      <c r="H756" s="20" t="b">
        <f t="shared" si="11"/>
        <v>0</v>
      </c>
      <c r="I756" s="21" t="str" cm="1">
        <f t="array" ref="I756">GET_TICKER_FINAL(C756)</f>
        <v/>
      </c>
      <c r="J756" s="5" t="s">
        <v>25</v>
      </c>
    </row>
    <row r="757" spans="1:10">
      <c r="A757" s="23">
        <v>756</v>
      </c>
      <c r="B757" s="22" t="s">
        <v>645</v>
      </c>
      <c r="C757" s="22" t="s">
        <v>778</v>
      </c>
      <c r="D757" s="22">
        <v>192</v>
      </c>
      <c r="E757" s="22">
        <v>11</v>
      </c>
      <c r="F757" s="22">
        <v>0.98</v>
      </c>
      <c r="G757" s="22">
        <v>20260323</v>
      </c>
      <c r="H757" s="23" t="b">
        <f t="shared" si="11"/>
        <v>0</v>
      </c>
      <c r="I757" s="24" t="str" cm="1">
        <f t="array" ref="I757">GET_TICKER_FINAL(C757)</f>
        <v>AMZN</v>
      </c>
      <c r="J757" s="5" t="s">
        <v>16</v>
      </c>
    </row>
    <row r="758" spans="1:10">
      <c r="A758" s="20">
        <v>757</v>
      </c>
      <c r="B758" s="19" t="s">
        <v>645</v>
      </c>
      <c r="C758" s="19" t="s">
        <v>779</v>
      </c>
      <c r="D758" s="19">
        <v>179</v>
      </c>
      <c r="E758" s="19">
        <v>17</v>
      </c>
      <c r="F758" s="19">
        <v>0.98</v>
      </c>
      <c r="G758" s="19">
        <v>20260331</v>
      </c>
      <c r="H758" s="20" t="b">
        <f t="shared" si="11"/>
        <v>0</v>
      </c>
      <c r="I758" s="21" t="str" cm="1">
        <f t="array" ref="I758">GET_TICKER_FINAL(C758)</f>
        <v>SPY</v>
      </c>
      <c r="J758" s="5" t="s">
        <v>28</v>
      </c>
    </row>
    <row r="759" spans="1:10">
      <c r="A759" s="23">
        <v>758</v>
      </c>
      <c r="B759" s="22" t="s">
        <v>645</v>
      </c>
      <c r="C759" s="22" t="s">
        <v>780</v>
      </c>
      <c r="D759" s="22">
        <v>177</v>
      </c>
      <c r="E759" s="22">
        <v>44</v>
      </c>
      <c r="F759" s="22">
        <v>0.94</v>
      </c>
      <c r="G759" s="22">
        <v>20260326</v>
      </c>
      <c r="H759" s="23" t="b">
        <f t="shared" si="11"/>
        <v>0</v>
      </c>
      <c r="I759" s="24" t="str" cm="1">
        <f t="array" ref="I759">GET_TICKER_FINAL(C759)</f>
        <v>SNAP</v>
      </c>
      <c r="J759" s="5" t="s">
        <v>16</v>
      </c>
    </row>
    <row r="760" spans="1:10" hidden="1">
      <c r="A760" s="20">
        <v>759</v>
      </c>
      <c r="B760" s="19" t="s">
        <v>645</v>
      </c>
      <c r="C760" s="19" t="s">
        <v>781</v>
      </c>
      <c r="D760" s="19">
        <v>166</v>
      </c>
      <c r="E760" s="19">
        <v>58</v>
      </c>
      <c r="F760" s="19">
        <v>0.91</v>
      </c>
      <c r="G760" s="19">
        <v>20260402</v>
      </c>
      <c r="H760" s="20" t="b">
        <f t="shared" si="11"/>
        <v>0</v>
      </c>
      <c r="I760" s="21" t="str" cm="1">
        <f t="array" ref="I760">GET_TICKER_FINAL(C760)</f>
        <v/>
      </c>
      <c r="J760" s="5" t="s">
        <v>25</v>
      </c>
    </row>
    <row r="761" spans="1:10" hidden="1">
      <c r="A761" s="23">
        <v>760</v>
      </c>
      <c r="B761" s="22" t="s">
        <v>645</v>
      </c>
      <c r="C761" s="22" t="s">
        <v>782</v>
      </c>
      <c r="D761" s="22">
        <v>166</v>
      </c>
      <c r="E761" s="22">
        <v>10</v>
      </c>
      <c r="F761" s="22">
        <v>0.97</v>
      </c>
      <c r="G761" s="22">
        <v>20260331</v>
      </c>
      <c r="H761" s="23" t="b">
        <f t="shared" si="11"/>
        <v>0</v>
      </c>
      <c r="I761" s="24" t="str" cm="1">
        <f t="array" ref="I761">GET_TICKER_FINAL(C761)</f>
        <v/>
      </c>
      <c r="J761" s="5" t="s">
        <v>16</v>
      </c>
    </row>
    <row r="762" spans="1:10">
      <c r="A762" s="20">
        <v>761</v>
      </c>
      <c r="B762" s="19" t="s">
        <v>645</v>
      </c>
      <c r="C762" s="19" t="s">
        <v>783</v>
      </c>
      <c r="D762" s="19">
        <v>161</v>
      </c>
      <c r="E762" s="19">
        <v>0</v>
      </c>
      <c r="F762" s="19">
        <v>1</v>
      </c>
      <c r="G762" s="19">
        <v>20260327</v>
      </c>
      <c r="H762" s="20" t="b">
        <f t="shared" si="11"/>
        <v>0</v>
      </c>
      <c r="I762" s="21" t="str" cm="1">
        <f t="array" ref="I762">GET_TICKER_FINAL(C762)</f>
        <v>NVDA</v>
      </c>
      <c r="J762" s="5" t="s">
        <v>16</v>
      </c>
    </row>
    <row r="763" spans="1:10" hidden="1">
      <c r="A763" s="23">
        <v>762</v>
      </c>
      <c r="B763" s="22" t="s">
        <v>645</v>
      </c>
      <c r="C763" s="22" t="s">
        <v>784</v>
      </c>
      <c r="D763" s="22">
        <v>159</v>
      </c>
      <c r="E763" s="22">
        <v>89</v>
      </c>
      <c r="F763" s="22">
        <v>0.95</v>
      </c>
      <c r="G763" s="22">
        <v>20260330</v>
      </c>
      <c r="H763" s="23" t="b">
        <f t="shared" si="11"/>
        <v>0</v>
      </c>
      <c r="I763" s="24" t="str" cm="1">
        <f t="array" ref="I763">GET_TICKER_FINAL(C763)</f>
        <v/>
      </c>
      <c r="J763" s="5" t="s">
        <v>16</v>
      </c>
    </row>
    <row r="764" spans="1:10" hidden="1">
      <c r="A764" s="20">
        <v>763</v>
      </c>
      <c r="B764" s="19" t="s">
        <v>645</v>
      </c>
      <c r="C764" s="19" t="s">
        <v>785</v>
      </c>
      <c r="D764" s="19">
        <v>158</v>
      </c>
      <c r="E764" s="19">
        <v>27</v>
      </c>
      <c r="F764" s="19">
        <v>0.95</v>
      </c>
      <c r="G764" s="19">
        <v>20260320</v>
      </c>
      <c r="H764" s="20" t="b">
        <f t="shared" si="11"/>
        <v>0</v>
      </c>
      <c r="I764" s="21" t="str" cm="1">
        <f t="array" ref="I764">GET_TICKER_FINAL(C764)</f>
        <v/>
      </c>
      <c r="J764" s="5" t="s">
        <v>25</v>
      </c>
    </row>
    <row r="765" spans="1:10" hidden="1">
      <c r="A765" s="23">
        <v>764</v>
      </c>
      <c r="B765" s="22" t="s">
        <v>645</v>
      </c>
      <c r="C765" s="22" t="s">
        <v>786</v>
      </c>
      <c r="D765" s="22">
        <v>155</v>
      </c>
      <c r="E765" s="22">
        <v>35</v>
      </c>
      <c r="F765" s="22">
        <v>0.96</v>
      </c>
      <c r="G765" s="22">
        <v>20260401</v>
      </c>
      <c r="H765" s="23" t="b">
        <f t="shared" si="11"/>
        <v>0</v>
      </c>
      <c r="I765" s="24" t="str" cm="1">
        <f t="array" ref="I765">GET_TICKER_FINAL(C765)</f>
        <v/>
      </c>
      <c r="J765" s="5" t="s">
        <v>16</v>
      </c>
    </row>
    <row r="766" spans="1:10" hidden="1">
      <c r="A766" s="20">
        <v>765</v>
      </c>
      <c r="B766" s="19" t="s">
        <v>645</v>
      </c>
      <c r="C766" s="19" t="s">
        <v>787</v>
      </c>
      <c r="D766" s="19">
        <v>148</v>
      </c>
      <c r="E766" s="19">
        <v>25</v>
      </c>
      <c r="F766" s="19">
        <v>0.96</v>
      </c>
      <c r="G766" s="19">
        <v>20260326</v>
      </c>
      <c r="H766" s="20" t="b">
        <f t="shared" si="11"/>
        <v>0</v>
      </c>
      <c r="I766" s="21" t="str" cm="1">
        <f t="array" ref="I766">GET_TICKER_FINAL(C766)</f>
        <v/>
      </c>
      <c r="J766" s="5" t="s">
        <v>16</v>
      </c>
    </row>
    <row r="767" spans="1:10" hidden="1">
      <c r="A767" s="23">
        <v>766</v>
      </c>
      <c r="B767" s="22" t="s">
        <v>645</v>
      </c>
      <c r="C767" s="22" t="s">
        <v>788</v>
      </c>
      <c r="D767" s="22">
        <v>146</v>
      </c>
      <c r="E767" s="22">
        <v>15</v>
      </c>
      <c r="F767" s="22">
        <v>0.99</v>
      </c>
      <c r="G767" s="22">
        <v>20260320</v>
      </c>
      <c r="H767" s="23" t="b">
        <f t="shared" si="11"/>
        <v>0</v>
      </c>
      <c r="I767" s="24" t="str" cm="1">
        <f t="array" ref="I767">GET_TICKER_FINAL(C767)</f>
        <v/>
      </c>
      <c r="J767" s="5" t="s">
        <v>16</v>
      </c>
    </row>
    <row r="768" spans="1:10">
      <c r="A768" s="20">
        <v>767</v>
      </c>
      <c r="B768" s="19" t="s">
        <v>645</v>
      </c>
      <c r="C768" s="19" t="s">
        <v>789</v>
      </c>
      <c r="D768" s="19">
        <v>144</v>
      </c>
      <c r="E768" s="19">
        <v>60</v>
      </c>
      <c r="F768" s="19">
        <v>0.86</v>
      </c>
      <c r="G768" s="19">
        <v>20260330</v>
      </c>
      <c r="H768" s="20" t="b">
        <f t="shared" si="11"/>
        <v>0</v>
      </c>
      <c r="I768" s="21" t="str" cm="1">
        <f t="array" ref="I768">GET_TICKER_FINAL(C768)</f>
        <v>SPY</v>
      </c>
      <c r="J768" s="5" t="s">
        <v>1792</v>
      </c>
    </row>
    <row r="769" spans="1:10">
      <c r="A769" s="23">
        <v>768</v>
      </c>
      <c r="B769" s="22" t="s">
        <v>645</v>
      </c>
      <c r="C769" s="22" t="s">
        <v>790</v>
      </c>
      <c r="D769" s="22">
        <v>143</v>
      </c>
      <c r="E769" s="22">
        <v>6</v>
      </c>
      <c r="F769" s="22">
        <v>0.98</v>
      </c>
      <c r="G769" s="22">
        <v>20260323</v>
      </c>
      <c r="H769" s="23" t="b">
        <f t="shared" si="11"/>
        <v>0</v>
      </c>
      <c r="I769" s="24" t="str" cm="1">
        <f t="array" ref="I769">GET_TICKER_FINAL(C769)</f>
        <v>SPY</v>
      </c>
      <c r="J769" s="5" t="s">
        <v>16</v>
      </c>
    </row>
    <row r="770" spans="1:10">
      <c r="A770" s="20">
        <v>769</v>
      </c>
      <c r="B770" s="19" t="s">
        <v>645</v>
      </c>
      <c r="C770" s="19" t="s">
        <v>791</v>
      </c>
      <c r="D770" s="19">
        <v>141</v>
      </c>
      <c r="E770" s="19">
        <v>4</v>
      </c>
      <c r="F770" s="19">
        <v>0.97</v>
      </c>
      <c r="G770" s="19">
        <v>20260330</v>
      </c>
      <c r="H770" s="20" t="b">
        <f t="shared" si="11"/>
        <v>0</v>
      </c>
      <c r="I770" s="21" t="str" cm="1">
        <f t="array" ref="I770">GET_TICKER_FINAL(C770)</f>
        <v>MSFT</v>
      </c>
      <c r="J770" s="5" t="s">
        <v>16</v>
      </c>
    </row>
    <row r="771" spans="1:10" hidden="1">
      <c r="A771" s="23">
        <v>770</v>
      </c>
      <c r="B771" s="22" t="s">
        <v>645</v>
      </c>
      <c r="C771" s="22" t="s">
        <v>792</v>
      </c>
      <c r="D771" s="22">
        <v>141</v>
      </c>
      <c r="E771" s="22">
        <v>28</v>
      </c>
      <c r="F771" s="22">
        <v>0.93</v>
      </c>
      <c r="G771" s="22">
        <v>20260402</v>
      </c>
      <c r="H771" s="23" t="b">
        <f t="shared" ref="H771:H834" si="12">OR(ISNUMBER(SEARCH("$A",C771)),ISNUMBER(SEARCH("$B",C771)),ISNUMBER(SEARCH("$C",C771)),ISNUMBER(SEARCH("$D",C771)),ISNUMBER(SEARCH("$E",C771)),ISNUMBER(SEARCH("$F",C771)),ISNUMBER(SEARCH("$G",C771)),ISNUMBER(SEARCH("$H",C771)),ISNUMBER(SEARCH("$I",C771)),ISNUMBER(SEARCH("$J",C771)),ISNUMBER(SEARCH("$K",C771)),ISNUMBER(SEARCH("$L",C771)),ISNUMBER(SEARCH("$M",C771)),ISNUMBER(SEARCH("$N",C771)),ISNUMBER(SEARCH("$O",C771)),ISNUMBER(SEARCH("$P",C771)),ISNUMBER(SEARCH("$Q",C771)),ISNUMBER(SEARCH("$R",C771)),ISNUMBER(SEARCH("$S",C771)),ISNUMBER(SEARCH("$T",C771)),ISNUMBER(SEARCH("$U",C771)),ISNUMBER(SEARCH("$V",C771)),ISNUMBER(SEARCH("$W",C771)),ISNUMBER(SEARCH("$X",C771)),ISNUMBER(SEARCH("$Y",C771)),ISNUMBER(SEARCH("$Z",C771)))</f>
        <v>0</v>
      </c>
      <c r="I771" s="24" t="str" cm="1">
        <f t="array" ref="I771">GET_TICKER_FINAL(C771)</f>
        <v/>
      </c>
      <c r="J771" s="5" t="s">
        <v>25</v>
      </c>
    </row>
    <row r="772" spans="1:10" hidden="1">
      <c r="A772" s="20">
        <v>771</v>
      </c>
      <c r="B772" s="19" t="s">
        <v>645</v>
      </c>
      <c r="C772" s="19" t="s">
        <v>793</v>
      </c>
      <c r="D772" s="19">
        <v>140</v>
      </c>
      <c r="E772" s="19">
        <v>36</v>
      </c>
      <c r="F772" s="19">
        <v>0.99</v>
      </c>
      <c r="G772" s="19">
        <v>20260326</v>
      </c>
      <c r="H772" s="20" t="b">
        <f t="shared" si="12"/>
        <v>0</v>
      </c>
      <c r="I772" s="21" t="str" cm="1">
        <f t="array" ref="I772">GET_TICKER_FINAL(C772)</f>
        <v/>
      </c>
      <c r="J772" s="5" t="s">
        <v>16</v>
      </c>
    </row>
    <row r="773" spans="1:10" hidden="1">
      <c r="A773" s="23">
        <v>772</v>
      </c>
      <c r="B773" s="22" t="s">
        <v>645</v>
      </c>
      <c r="C773" s="22" t="s">
        <v>794</v>
      </c>
      <c r="D773" s="22">
        <v>139</v>
      </c>
      <c r="E773" s="22">
        <v>36</v>
      </c>
      <c r="F773" s="22">
        <v>0.94</v>
      </c>
      <c r="G773" s="22">
        <v>20260331</v>
      </c>
      <c r="H773" s="23" t="b">
        <f t="shared" si="12"/>
        <v>0</v>
      </c>
      <c r="I773" s="24" t="str" cm="1">
        <f t="array" ref="I773">GET_TICKER_FINAL(C773)</f>
        <v/>
      </c>
      <c r="J773" s="5" t="s">
        <v>1792</v>
      </c>
    </row>
    <row r="774" spans="1:10" hidden="1">
      <c r="A774" s="20">
        <v>773</v>
      </c>
      <c r="B774" s="19" t="s">
        <v>645</v>
      </c>
      <c r="C774" s="19" t="s">
        <v>795</v>
      </c>
      <c r="D774" s="19">
        <v>138</v>
      </c>
      <c r="E774" s="19">
        <v>30</v>
      </c>
      <c r="F774" s="19">
        <v>0.95</v>
      </c>
      <c r="G774" s="19">
        <v>20260320</v>
      </c>
      <c r="H774" s="20" t="b">
        <f t="shared" si="12"/>
        <v>0</v>
      </c>
      <c r="I774" s="21" t="str" cm="1">
        <f t="array" ref="I774">GET_TICKER_FINAL(C774)</f>
        <v/>
      </c>
      <c r="J774" s="5" t="s">
        <v>14</v>
      </c>
    </row>
    <row r="775" spans="1:10">
      <c r="A775" s="23">
        <v>774</v>
      </c>
      <c r="B775" s="22" t="s">
        <v>645</v>
      </c>
      <c r="C775" s="22" t="s">
        <v>796</v>
      </c>
      <c r="D775" s="22">
        <v>124</v>
      </c>
      <c r="E775" s="22">
        <v>18</v>
      </c>
      <c r="F775" s="22">
        <v>0.98</v>
      </c>
      <c r="G775" s="22">
        <v>20260330</v>
      </c>
      <c r="H775" s="23" t="b">
        <f t="shared" si="12"/>
        <v>0</v>
      </c>
      <c r="I775" s="24" t="str" cm="1">
        <f t="array" ref="I775">GET_TICKER_FINAL(C775)</f>
        <v>TSLA</v>
      </c>
      <c r="J775" s="5" t="s">
        <v>25</v>
      </c>
    </row>
    <row r="776" spans="1:10" hidden="1">
      <c r="A776" s="20">
        <v>775</v>
      </c>
      <c r="B776" s="19" t="s">
        <v>645</v>
      </c>
      <c r="C776" s="19" t="s">
        <v>797</v>
      </c>
      <c r="D776" s="19">
        <v>118</v>
      </c>
      <c r="E776" s="19">
        <v>8</v>
      </c>
      <c r="F776" s="19">
        <v>0.98</v>
      </c>
      <c r="G776" s="19">
        <v>20260323</v>
      </c>
      <c r="H776" s="20" t="b">
        <f t="shared" si="12"/>
        <v>0</v>
      </c>
      <c r="I776" s="21" t="str" cm="1">
        <f t="array" ref="I776">GET_TICKER_FINAL(C776)</f>
        <v/>
      </c>
      <c r="J776" s="5" t="s">
        <v>16</v>
      </c>
    </row>
    <row r="777" spans="1:10" hidden="1">
      <c r="A777" s="23">
        <v>776</v>
      </c>
      <c r="B777" s="22" t="s">
        <v>645</v>
      </c>
      <c r="C777" s="22" t="s">
        <v>798</v>
      </c>
      <c r="D777" s="22">
        <v>116</v>
      </c>
      <c r="E777" s="22">
        <v>11</v>
      </c>
      <c r="F777" s="22">
        <v>0.9</v>
      </c>
      <c r="G777" s="22">
        <v>20260323</v>
      </c>
      <c r="H777" s="23" t="b">
        <f t="shared" si="12"/>
        <v>0</v>
      </c>
      <c r="I777" s="24" t="str" cm="1">
        <f t="array" ref="I777">GET_TICKER_FINAL(C777)</f>
        <v/>
      </c>
      <c r="J777" s="5" t="s">
        <v>1792</v>
      </c>
    </row>
    <row r="778" spans="1:10" hidden="1">
      <c r="A778" s="20">
        <v>777</v>
      </c>
      <c r="B778" s="19" t="s">
        <v>645</v>
      </c>
      <c r="C778" s="19" t="s">
        <v>799</v>
      </c>
      <c r="D778" s="19">
        <v>115</v>
      </c>
      <c r="E778" s="19">
        <v>14</v>
      </c>
      <c r="F778" s="19">
        <v>0.92</v>
      </c>
      <c r="G778" s="19">
        <v>20260320</v>
      </c>
      <c r="H778" s="20" t="b">
        <f t="shared" si="12"/>
        <v>0</v>
      </c>
      <c r="I778" s="21" t="str" cm="1">
        <f t="array" ref="I778">GET_TICKER_FINAL(C778)</f>
        <v/>
      </c>
      <c r="J778" s="5" t="s">
        <v>14</v>
      </c>
    </row>
    <row r="779" spans="1:10" hidden="1">
      <c r="A779" s="23">
        <v>778</v>
      </c>
      <c r="B779" s="22" t="s">
        <v>645</v>
      </c>
      <c r="C779" s="22" t="s">
        <v>800</v>
      </c>
      <c r="D779" s="22">
        <v>111</v>
      </c>
      <c r="E779" s="22">
        <v>47</v>
      </c>
      <c r="F779" s="22">
        <v>0.95</v>
      </c>
      <c r="G779" s="22">
        <v>20260402</v>
      </c>
      <c r="H779" s="23" t="b">
        <f t="shared" si="12"/>
        <v>0</v>
      </c>
      <c r="I779" s="24" t="str" cm="1">
        <f t="array" ref="I779">GET_TICKER_FINAL(C779)</f>
        <v/>
      </c>
      <c r="J779" s="5" t="s">
        <v>28</v>
      </c>
    </row>
    <row r="780" spans="1:10">
      <c r="A780" s="20">
        <v>779</v>
      </c>
      <c r="B780" s="19" t="s">
        <v>645</v>
      </c>
      <c r="C780" s="19" t="s">
        <v>801</v>
      </c>
      <c r="D780" s="19">
        <v>109</v>
      </c>
      <c r="E780" s="19">
        <v>28</v>
      </c>
      <c r="F780" s="19">
        <v>0.98</v>
      </c>
      <c r="G780" s="19">
        <v>20260320</v>
      </c>
      <c r="H780" s="20" t="b">
        <f t="shared" si="12"/>
        <v>0</v>
      </c>
      <c r="I780" s="21" t="str" cm="1">
        <f t="array" ref="I780">GET_TICKER_FINAL(C780)</f>
        <v>AMZN</v>
      </c>
      <c r="J780" s="5" t="s">
        <v>25</v>
      </c>
    </row>
    <row r="781" spans="1:10">
      <c r="A781" s="23">
        <v>780</v>
      </c>
      <c r="B781" s="22" t="s">
        <v>645</v>
      </c>
      <c r="C781" s="22" t="s">
        <v>802</v>
      </c>
      <c r="D781" s="22">
        <v>105</v>
      </c>
      <c r="E781" s="22">
        <v>18</v>
      </c>
      <c r="F781" s="22">
        <v>0.97</v>
      </c>
      <c r="G781" s="22">
        <v>20260320</v>
      </c>
      <c r="H781" s="23" t="b">
        <f t="shared" si="12"/>
        <v>0</v>
      </c>
      <c r="I781" s="24" t="str" cm="1">
        <f t="array" ref="I781">GET_TICKER_FINAL(C781)</f>
        <v>MU</v>
      </c>
      <c r="J781" s="5" t="s">
        <v>16</v>
      </c>
    </row>
    <row r="782" spans="1:10" hidden="1">
      <c r="A782" s="20">
        <v>781</v>
      </c>
      <c r="B782" s="19" t="s">
        <v>645</v>
      </c>
      <c r="C782" s="19" t="s">
        <v>803</v>
      </c>
      <c r="D782" s="19">
        <v>104</v>
      </c>
      <c r="E782" s="19">
        <v>14</v>
      </c>
      <c r="F782" s="19">
        <v>0.95</v>
      </c>
      <c r="G782" s="19">
        <v>20260402</v>
      </c>
      <c r="H782" s="20" t="b">
        <f t="shared" si="12"/>
        <v>0</v>
      </c>
      <c r="I782" s="21" t="str" cm="1">
        <f t="array" ref="I782">GET_TICKER_FINAL(C782)</f>
        <v/>
      </c>
      <c r="J782" s="5" t="s">
        <v>16</v>
      </c>
    </row>
    <row r="783" spans="1:10">
      <c r="A783" s="23">
        <v>782</v>
      </c>
      <c r="B783" s="22" t="s">
        <v>645</v>
      </c>
      <c r="C783" s="22" t="s">
        <v>804</v>
      </c>
      <c r="D783" s="22">
        <v>101</v>
      </c>
      <c r="E783" s="22">
        <v>7</v>
      </c>
      <c r="F783" s="22">
        <v>0.99</v>
      </c>
      <c r="G783" s="22">
        <v>20260326</v>
      </c>
      <c r="H783" s="23" t="b">
        <f t="shared" si="12"/>
        <v>0</v>
      </c>
      <c r="I783" s="24" t="str" cm="1">
        <f t="array" ref="I783">GET_TICKER_FINAL(C783)</f>
        <v>SPY</v>
      </c>
      <c r="J783" s="5" t="s">
        <v>16</v>
      </c>
    </row>
    <row r="784" spans="1:10" hidden="1">
      <c r="A784" s="20">
        <v>783</v>
      </c>
      <c r="B784" s="19" t="s">
        <v>645</v>
      </c>
      <c r="C784" s="19" t="s">
        <v>805</v>
      </c>
      <c r="D784" s="19">
        <v>98</v>
      </c>
      <c r="E784" s="19">
        <v>13</v>
      </c>
      <c r="F784" s="19">
        <v>0.97</v>
      </c>
      <c r="G784" s="19">
        <v>20260327</v>
      </c>
      <c r="H784" s="20" t="b">
        <f t="shared" si="12"/>
        <v>0</v>
      </c>
      <c r="I784" s="21" t="str" cm="1">
        <f t="array" ref="I784">GET_TICKER_FINAL(C784)</f>
        <v/>
      </c>
      <c r="J784" s="5" t="s">
        <v>14</v>
      </c>
    </row>
    <row r="785" spans="1:10" hidden="1">
      <c r="A785" s="23">
        <v>784</v>
      </c>
      <c r="B785" s="22" t="s">
        <v>645</v>
      </c>
      <c r="C785" s="22" t="s">
        <v>806</v>
      </c>
      <c r="D785" s="22">
        <v>97</v>
      </c>
      <c r="E785" s="22">
        <v>7</v>
      </c>
      <c r="F785" s="22">
        <v>0.97</v>
      </c>
      <c r="G785" s="22">
        <v>20260326</v>
      </c>
      <c r="H785" s="23" t="b">
        <f t="shared" si="12"/>
        <v>0</v>
      </c>
      <c r="I785" s="24" t="str" cm="1">
        <f t="array" ref="I785">GET_TICKER_FINAL(C785)</f>
        <v/>
      </c>
      <c r="J785" s="5" t="s">
        <v>16</v>
      </c>
    </row>
    <row r="786" spans="1:10">
      <c r="A786" s="20">
        <v>785</v>
      </c>
      <c r="B786" s="19" t="s">
        <v>645</v>
      </c>
      <c r="C786" s="19" t="s">
        <v>807</v>
      </c>
      <c r="D786" s="19">
        <v>97</v>
      </c>
      <c r="E786" s="19">
        <v>11</v>
      </c>
      <c r="F786" s="19">
        <v>0.96</v>
      </c>
      <c r="G786" s="19">
        <v>20260320</v>
      </c>
      <c r="H786" s="20" t="b">
        <f t="shared" si="12"/>
        <v>0</v>
      </c>
      <c r="I786" s="21" t="str" cm="1">
        <f t="array" ref="I786">GET_TICKER_FINAL(C786)</f>
        <v>SPY</v>
      </c>
      <c r="J786" s="5" t="s">
        <v>25</v>
      </c>
    </row>
    <row r="787" spans="1:10" hidden="1">
      <c r="A787" s="23">
        <v>786</v>
      </c>
      <c r="B787" s="22" t="s">
        <v>645</v>
      </c>
      <c r="C787" s="22" t="s">
        <v>808</v>
      </c>
      <c r="D787" s="22">
        <v>93</v>
      </c>
      <c r="E787" s="22">
        <v>15</v>
      </c>
      <c r="F787" s="22">
        <v>0.95</v>
      </c>
      <c r="G787" s="22">
        <v>20260327</v>
      </c>
      <c r="H787" s="23" t="b">
        <f t="shared" si="12"/>
        <v>0</v>
      </c>
      <c r="I787" s="24" t="str" cm="1">
        <f t="array" ref="I787">GET_TICKER_FINAL(C787)</f>
        <v/>
      </c>
      <c r="J787" s="5" t="s">
        <v>16</v>
      </c>
    </row>
    <row r="788" spans="1:10" hidden="1">
      <c r="A788" s="20">
        <v>787</v>
      </c>
      <c r="B788" s="19" t="s">
        <v>645</v>
      </c>
      <c r="C788" s="19" t="s">
        <v>809</v>
      </c>
      <c r="D788" s="19">
        <v>89</v>
      </c>
      <c r="E788" s="19">
        <v>13</v>
      </c>
      <c r="F788" s="19">
        <v>0.95</v>
      </c>
      <c r="G788" s="19">
        <v>20260331</v>
      </c>
      <c r="H788" s="20" t="b">
        <f t="shared" si="12"/>
        <v>0</v>
      </c>
      <c r="I788" s="21" t="str" cm="1">
        <f t="array" ref="I788">GET_TICKER_FINAL(C788)</f>
        <v/>
      </c>
      <c r="J788" s="5" t="s">
        <v>16</v>
      </c>
    </row>
    <row r="789" spans="1:10" hidden="1">
      <c r="A789" s="23">
        <v>788</v>
      </c>
      <c r="B789" s="22" t="s">
        <v>645</v>
      </c>
      <c r="C789" s="22" t="s">
        <v>810</v>
      </c>
      <c r="D789" s="22">
        <v>87</v>
      </c>
      <c r="E789" s="22">
        <v>32</v>
      </c>
      <c r="F789" s="22">
        <v>0.95</v>
      </c>
      <c r="G789" s="22">
        <v>20260401</v>
      </c>
      <c r="H789" s="23" t="b">
        <f t="shared" si="12"/>
        <v>0</v>
      </c>
      <c r="I789" s="24" t="str" cm="1">
        <f t="array" ref="I789">GET_TICKER_FINAL(C789)</f>
        <v/>
      </c>
      <c r="J789" s="5" t="s">
        <v>25</v>
      </c>
    </row>
    <row r="790" spans="1:10" hidden="1">
      <c r="A790" s="20">
        <v>789</v>
      </c>
      <c r="B790" s="19" t="s">
        <v>645</v>
      </c>
      <c r="C790" s="19" t="s">
        <v>811</v>
      </c>
      <c r="D790" s="19">
        <v>87</v>
      </c>
      <c r="E790" s="19">
        <v>18</v>
      </c>
      <c r="F790" s="19">
        <v>0.94</v>
      </c>
      <c r="G790" s="19">
        <v>20260330</v>
      </c>
      <c r="H790" s="20" t="b">
        <f t="shared" si="12"/>
        <v>0</v>
      </c>
      <c r="I790" s="21" t="str" cm="1">
        <f t="array" ref="I790">GET_TICKER_FINAL(C790)</f>
        <v/>
      </c>
      <c r="J790" s="5" t="s">
        <v>16</v>
      </c>
    </row>
    <row r="791" spans="1:10" hidden="1">
      <c r="A791" s="23">
        <v>790</v>
      </c>
      <c r="B791" s="22" t="s">
        <v>645</v>
      </c>
      <c r="C791" s="22" t="s">
        <v>812</v>
      </c>
      <c r="D791" s="22">
        <v>86</v>
      </c>
      <c r="E791" s="22">
        <v>67</v>
      </c>
      <c r="F791" s="22">
        <v>0.71</v>
      </c>
      <c r="G791" s="22">
        <v>20260402</v>
      </c>
      <c r="H791" s="23" t="b">
        <f t="shared" si="12"/>
        <v>0</v>
      </c>
      <c r="I791" s="24" t="str" cm="1">
        <f t="array" ref="I791">GET_TICKER_FINAL(C791)</f>
        <v/>
      </c>
      <c r="J791" s="5" t="s">
        <v>1792</v>
      </c>
    </row>
    <row r="792" spans="1:10" hidden="1">
      <c r="A792" s="20">
        <v>791</v>
      </c>
      <c r="B792" s="19" t="s">
        <v>645</v>
      </c>
      <c r="C792" s="19" t="s">
        <v>813</v>
      </c>
      <c r="D792" s="19">
        <v>84</v>
      </c>
      <c r="E792" s="19">
        <v>39</v>
      </c>
      <c r="F792" s="19">
        <v>0.88</v>
      </c>
      <c r="G792" s="19">
        <v>20260330</v>
      </c>
      <c r="H792" s="20" t="b">
        <f t="shared" si="12"/>
        <v>0</v>
      </c>
      <c r="I792" s="21" t="str" cm="1">
        <f t="array" ref="I792">GET_TICKER_FINAL(C792)</f>
        <v/>
      </c>
      <c r="J792" s="5" t="s">
        <v>25</v>
      </c>
    </row>
    <row r="793" spans="1:10" hidden="1">
      <c r="A793" s="23">
        <v>792</v>
      </c>
      <c r="B793" s="22" t="s">
        <v>645</v>
      </c>
      <c r="C793" s="22" t="s">
        <v>814</v>
      </c>
      <c r="D793" s="22">
        <v>81</v>
      </c>
      <c r="E793" s="22">
        <v>7</v>
      </c>
      <c r="F793" s="22">
        <v>0.96</v>
      </c>
      <c r="G793" s="22">
        <v>20260330</v>
      </c>
      <c r="H793" s="23" t="b">
        <f t="shared" si="12"/>
        <v>0</v>
      </c>
      <c r="I793" s="24" t="str" cm="1">
        <f t="array" ref="I793">GET_TICKER_FINAL(C793)</f>
        <v/>
      </c>
      <c r="J793" s="5" t="s">
        <v>16</v>
      </c>
    </row>
    <row r="794" spans="1:10" hidden="1">
      <c r="A794" s="20">
        <v>793</v>
      </c>
      <c r="B794" s="19" t="s">
        <v>645</v>
      </c>
      <c r="C794" s="19" t="s">
        <v>815</v>
      </c>
      <c r="D794" s="19">
        <v>80</v>
      </c>
      <c r="E794" s="19">
        <v>4</v>
      </c>
      <c r="F794" s="19">
        <v>0.95</v>
      </c>
      <c r="G794" s="19">
        <v>20260402</v>
      </c>
      <c r="H794" s="20" t="b">
        <f t="shared" si="12"/>
        <v>0</v>
      </c>
      <c r="I794" s="21" t="str" cm="1">
        <f t="array" ref="I794">GET_TICKER_FINAL(C794)</f>
        <v/>
      </c>
      <c r="J794" s="5" t="s">
        <v>1792</v>
      </c>
    </row>
    <row r="795" spans="1:10" hidden="1">
      <c r="A795" s="23">
        <v>794</v>
      </c>
      <c r="B795" s="22" t="s">
        <v>645</v>
      </c>
      <c r="C795" s="22" t="s">
        <v>816</v>
      </c>
      <c r="D795" s="22">
        <v>80</v>
      </c>
      <c r="E795" s="22">
        <v>3</v>
      </c>
      <c r="F795" s="22">
        <v>0.95</v>
      </c>
      <c r="G795" s="22">
        <v>20260324</v>
      </c>
      <c r="H795" s="23" t="b">
        <f t="shared" si="12"/>
        <v>0</v>
      </c>
      <c r="I795" s="24" t="str" cm="1">
        <f t="array" ref="I795">GET_TICKER_FINAL(C795)</f>
        <v/>
      </c>
      <c r="J795" s="5" t="s">
        <v>16</v>
      </c>
    </row>
    <row r="796" spans="1:10" hidden="1">
      <c r="A796" s="20">
        <v>795</v>
      </c>
      <c r="B796" s="19" t="s">
        <v>645</v>
      </c>
      <c r="C796" s="19" t="s">
        <v>817</v>
      </c>
      <c r="D796" s="19">
        <v>77</v>
      </c>
      <c r="E796" s="19">
        <v>6</v>
      </c>
      <c r="F796" s="19">
        <v>0.94</v>
      </c>
      <c r="G796" s="19">
        <v>20260323</v>
      </c>
      <c r="H796" s="20" t="b">
        <f t="shared" si="12"/>
        <v>0</v>
      </c>
      <c r="I796" s="21" t="str" cm="1">
        <f t="array" ref="I796">GET_TICKER_FINAL(C796)</f>
        <v/>
      </c>
      <c r="J796" s="5" t="s">
        <v>16</v>
      </c>
    </row>
    <row r="797" spans="1:10" hidden="1">
      <c r="A797" s="23">
        <v>796</v>
      </c>
      <c r="B797" s="22" t="s">
        <v>645</v>
      </c>
      <c r="C797" s="22" t="s">
        <v>818</v>
      </c>
      <c r="D797" s="22">
        <v>77</v>
      </c>
      <c r="E797" s="22">
        <v>5</v>
      </c>
      <c r="F797" s="22">
        <v>0.96</v>
      </c>
      <c r="G797" s="22">
        <v>20260323</v>
      </c>
      <c r="H797" s="23" t="b">
        <f t="shared" si="12"/>
        <v>0</v>
      </c>
      <c r="I797" s="24" t="str" cm="1">
        <f t="array" ref="I797">GET_TICKER_FINAL(C797)</f>
        <v/>
      </c>
      <c r="J797" s="5" t="s">
        <v>16</v>
      </c>
    </row>
    <row r="798" spans="1:10" hidden="1">
      <c r="A798" s="20">
        <v>797</v>
      </c>
      <c r="B798" s="19" t="s">
        <v>645</v>
      </c>
      <c r="C798" s="19" t="s">
        <v>819</v>
      </c>
      <c r="D798" s="19">
        <v>75</v>
      </c>
      <c r="E798" s="19">
        <v>17</v>
      </c>
      <c r="F798" s="19">
        <v>0.91</v>
      </c>
      <c r="G798" s="19">
        <v>20260402</v>
      </c>
      <c r="H798" s="20" t="b">
        <f t="shared" si="12"/>
        <v>0</v>
      </c>
      <c r="I798" s="21" t="str" cm="1">
        <f t="array" ref="I798">GET_TICKER_FINAL(C798)</f>
        <v/>
      </c>
      <c r="J798" s="5" t="s">
        <v>14</v>
      </c>
    </row>
    <row r="799" spans="1:10">
      <c r="A799" s="23">
        <v>798</v>
      </c>
      <c r="B799" s="22" t="s">
        <v>645</v>
      </c>
      <c r="C799" s="22" t="s">
        <v>820</v>
      </c>
      <c r="D799" s="22">
        <v>72</v>
      </c>
      <c r="E799" s="22">
        <v>9</v>
      </c>
      <c r="F799" s="22">
        <v>0.96</v>
      </c>
      <c r="G799" s="22">
        <v>20260401</v>
      </c>
      <c r="H799" s="23" t="b">
        <f t="shared" si="12"/>
        <v>0</v>
      </c>
      <c r="I799" s="24" t="str" cm="1">
        <f t="array" ref="I799">GET_TICKER_FINAL(C799)</f>
        <v>DIS</v>
      </c>
      <c r="J799" s="5" t="s">
        <v>16</v>
      </c>
    </row>
    <row r="800" spans="1:10">
      <c r="A800" s="20">
        <v>799</v>
      </c>
      <c r="B800" s="19" t="s">
        <v>645</v>
      </c>
      <c r="C800" s="19" t="s">
        <v>821</v>
      </c>
      <c r="D800" s="19">
        <v>70</v>
      </c>
      <c r="E800" s="19">
        <v>4</v>
      </c>
      <c r="F800" s="19">
        <v>0.99</v>
      </c>
      <c r="G800" s="19">
        <v>20260320</v>
      </c>
      <c r="H800" s="20" t="b">
        <f t="shared" si="12"/>
        <v>0</v>
      </c>
      <c r="I800" s="21" t="str" cm="1">
        <f t="array" ref="I800">GET_TICKER_FINAL(C800)</f>
        <v>BABA</v>
      </c>
      <c r="J800" s="5" t="s">
        <v>28</v>
      </c>
    </row>
    <row r="801" spans="1:10" hidden="1">
      <c r="A801" s="23">
        <v>800</v>
      </c>
      <c r="B801" s="22" t="s">
        <v>645</v>
      </c>
      <c r="C801" s="22" t="s">
        <v>822</v>
      </c>
      <c r="D801" s="22">
        <v>70</v>
      </c>
      <c r="E801" s="22">
        <v>24</v>
      </c>
      <c r="F801" s="22">
        <v>0.97</v>
      </c>
      <c r="G801" s="22">
        <v>20260323</v>
      </c>
      <c r="H801" s="23" t="b">
        <f t="shared" si="12"/>
        <v>0</v>
      </c>
      <c r="I801" s="24" t="str" cm="1">
        <f t="array" ref="I801">GET_TICKER_FINAL(C801)</f>
        <v/>
      </c>
      <c r="J801" s="5" t="s">
        <v>1792</v>
      </c>
    </row>
    <row r="802" spans="1:10" hidden="1">
      <c r="A802" s="20">
        <v>801</v>
      </c>
      <c r="B802" s="19" t="s">
        <v>645</v>
      </c>
      <c r="C802" s="19" t="s">
        <v>823</v>
      </c>
      <c r="D802" s="19">
        <v>69</v>
      </c>
      <c r="E802" s="19">
        <v>43</v>
      </c>
      <c r="F802" s="19">
        <v>0.87</v>
      </c>
      <c r="G802" s="19">
        <v>20260320</v>
      </c>
      <c r="H802" s="20" t="b">
        <f t="shared" si="12"/>
        <v>0</v>
      </c>
      <c r="I802" s="21" t="str" cm="1">
        <f t="array" ref="I802">GET_TICKER_FINAL(C802)</f>
        <v/>
      </c>
      <c r="J802" s="5" t="s">
        <v>1792</v>
      </c>
    </row>
    <row r="803" spans="1:10" hidden="1">
      <c r="A803" s="23">
        <v>802</v>
      </c>
      <c r="B803" s="22" t="s">
        <v>645</v>
      </c>
      <c r="C803" s="22" t="s">
        <v>824</v>
      </c>
      <c r="D803" s="22">
        <v>69</v>
      </c>
      <c r="E803" s="22">
        <v>17</v>
      </c>
      <c r="F803" s="22">
        <v>0.94</v>
      </c>
      <c r="G803" s="22">
        <v>20260326</v>
      </c>
      <c r="H803" s="23" t="b">
        <f t="shared" si="12"/>
        <v>0</v>
      </c>
      <c r="I803" s="24" t="str" cm="1">
        <f t="array" ref="I803">GET_TICKER_FINAL(C803)</f>
        <v/>
      </c>
      <c r="J803" s="5" t="s">
        <v>25</v>
      </c>
    </row>
    <row r="804" spans="1:10" hidden="1">
      <c r="A804" s="20">
        <v>803</v>
      </c>
      <c r="B804" s="19" t="s">
        <v>645</v>
      </c>
      <c r="C804" s="19" t="s">
        <v>40</v>
      </c>
      <c r="D804" s="19">
        <v>69</v>
      </c>
      <c r="E804" s="19">
        <v>12</v>
      </c>
      <c r="F804" s="19">
        <v>0.92</v>
      </c>
      <c r="G804" s="19">
        <v>20260402</v>
      </c>
      <c r="H804" s="20" t="b">
        <f t="shared" si="12"/>
        <v>0</v>
      </c>
      <c r="I804" s="21" t="str" cm="1">
        <f t="array" ref="I804">GET_TICKER_FINAL(C804)</f>
        <v/>
      </c>
      <c r="J804" s="5" t="s">
        <v>25</v>
      </c>
    </row>
    <row r="805" spans="1:10" hidden="1">
      <c r="A805" s="23">
        <v>804</v>
      </c>
      <c r="B805" s="22" t="s">
        <v>645</v>
      </c>
      <c r="C805" s="22" t="s">
        <v>825</v>
      </c>
      <c r="D805" s="22">
        <v>68</v>
      </c>
      <c r="E805" s="22">
        <v>33</v>
      </c>
      <c r="F805" s="22">
        <v>0.87</v>
      </c>
      <c r="G805" s="22">
        <v>20260323</v>
      </c>
      <c r="H805" s="23" t="b">
        <f t="shared" si="12"/>
        <v>0</v>
      </c>
      <c r="I805" s="24" t="str" cm="1">
        <f t="array" ref="I805">GET_TICKER_FINAL(C805)</f>
        <v/>
      </c>
      <c r="J805" s="5" t="s">
        <v>16</v>
      </c>
    </row>
    <row r="806" spans="1:10" hidden="1">
      <c r="A806" s="20">
        <v>805</v>
      </c>
      <c r="B806" s="19" t="s">
        <v>645</v>
      </c>
      <c r="C806" s="19" t="s">
        <v>826</v>
      </c>
      <c r="D806" s="19">
        <v>67</v>
      </c>
      <c r="E806" s="19">
        <v>16</v>
      </c>
      <c r="F806" s="19">
        <v>0.92</v>
      </c>
      <c r="G806" s="19">
        <v>20260327</v>
      </c>
      <c r="H806" s="20" t="b">
        <f t="shared" si="12"/>
        <v>0</v>
      </c>
      <c r="I806" s="21" t="str" cm="1">
        <f t="array" ref="I806">GET_TICKER_FINAL(C806)</f>
        <v/>
      </c>
      <c r="J806" s="5" t="s">
        <v>16</v>
      </c>
    </row>
    <row r="807" spans="1:10" hidden="1">
      <c r="A807" s="23">
        <v>806</v>
      </c>
      <c r="B807" s="22" t="s">
        <v>645</v>
      </c>
      <c r="C807" s="22" t="s">
        <v>827</v>
      </c>
      <c r="D807" s="22">
        <v>67</v>
      </c>
      <c r="E807" s="22">
        <v>78</v>
      </c>
      <c r="F807" s="22">
        <v>0.85</v>
      </c>
      <c r="G807" s="22">
        <v>20260401</v>
      </c>
      <c r="H807" s="23" t="b">
        <f t="shared" si="12"/>
        <v>0</v>
      </c>
      <c r="I807" s="24" t="str" cm="1">
        <f t="array" ref="I807">GET_TICKER_FINAL(C807)</f>
        <v/>
      </c>
      <c r="J807" s="5" t="s">
        <v>1792</v>
      </c>
    </row>
    <row r="808" spans="1:10" hidden="1">
      <c r="A808" s="20">
        <v>807</v>
      </c>
      <c r="B808" s="19" t="s">
        <v>645</v>
      </c>
      <c r="C808" s="19" t="s">
        <v>828</v>
      </c>
      <c r="D808" s="19">
        <v>63</v>
      </c>
      <c r="E808" s="19">
        <v>37</v>
      </c>
      <c r="F808" s="19">
        <v>0.97</v>
      </c>
      <c r="G808" s="19">
        <v>20260323</v>
      </c>
      <c r="H808" s="20" t="b">
        <f t="shared" si="12"/>
        <v>0</v>
      </c>
      <c r="I808" s="21" t="str" cm="1">
        <f t="array" ref="I808">GET_TICKER_FINAL(C808)</f>
        <v/>
      </c>
      <c r="J808" s="5" t="s">
        <v>1792</v>
      </c>
    </row>
    <row r="809" spans="1:10" hidden="1">
      <c r="A809" s="23">
        <v>808</v>
      </c>
      <c r="B809" s="22" t="s">
        <v>645</v>
      </c>
      <c r="C809" s="22" t="s">
        <v>829</v>
      </c>
      <c r="D809" s="22">
        <v>63</v>
      </c>
      <c r="E809" s="22">
        <v>46</v>
      </c>
      <c r="F809" s="22">
        <v>0.79</v>
      </c>
      <c r="G809" s="22">
        <v>20260324</v>
      </c>
      <c r="H809" s="23" t="b">
        <f t="shared" si="12"/>
        <v>0</v>
      </c>
      <c r="I809" s="24" t="str" cm="1">
        <f t="array" ref="I809">GET_TICKER_FINAL(C809)</f>
        <v/>
      </c>
      <c r="J809" s="5" t="s">
        <v>25</v>
      </c>
    </row>
    <row r="810" spans="1:10" hidden="1">
      <c r="A810" s="20">
        <v>809</v>
      </c>
      <c r="B810" s="19" t="s">
        <v>645</v>
      </c>
      <c r="C810" s="19" t="s">
        <v>830</v>
      </c>
      <c r="D810" s="19">
        <v>63</v>
      </c>
      <c r="E810" s="19">
        <v>29</v>
      </c>
      <c r="F810" s="19">
        <v>0.81</v>
      </c>
      <c r="G810" s="19">
        <v>20260402</v>
      </c>
      <c r="H810" s="20" t="b">
        <f t="shared" si="12"/>
        <v>0</v>
      </c>
      <c r="I810" s="21" t="str" cm="1">
        <f t="array" ref="I810">GET_TICKER_FINAL(C810)</f>
        <v/>
      </c>
      <c r="J810" s="5" t="s">
        <v>16</v>
      </c>
    </row>
    <row r="811" spans="1:10">
      <c r="A811" s="23">
        <v>810</v>
      </c>
      <c r="B811" s="22" t="s">
        <v>645</v>
      </c>
      <c r="C811" s="22" t="s">
        <v>831</v>
      </c>
      <c r="D811" s="22">
        <v>60</v>
      </c>
      <c r="E811" s="22">
        <v>41</v>
      </c>
      <c r="F811" s="22">
        <v>0.9</v>
      </c>
      <c r="G811" s="22">
        <v>20260320</v>
      </c>
      <c r="H811" s="23" t="b">
        <f t="shared" si="12"/>
        <v>0</v>
      </c>
      <c r="I811" s="24" t="str" cm="1">
        <f t="array" ref="I811">GET_TICKER_FINAL(C811)</f>
        <v>MU</v>
      </c>
      <c r="J811" s="5" t="s">
        <v>25</v>
      </c>
    </row>
    <row r="812" spans="1:10">
      <c r="A812" s="20">
        <v>811</v>
      </c>
      <c r="B812" s="19" t="s">
        <v>645</v>
      </c>
      <c r="C812" s="19" t="s">
        <v>832</v>
      </c>
      <c r="D812" s="19">
        <v>59</v>
      </c>
      <c r="E812" s="19">
        <v>3</v>
      </c>
      <c r="F812" s="19">
        <v>0.96</v>
      </c>
      <c r="G812" s="19">
        <v>20260331</v>
      </c>
      <c r="H812" s="20" t="b">
        <f t="shared" si="12"/>
        <v>0</v>
      </c>
      <c r="I812" s="21" t="str" cm="1">
        <f t="array" ref="I812">GET_TICKER_FINAL(C812)</f>
        <v>BABA</v>
      </c>
      <c r="J812" s="5" t="s">
        <v>25</v>
      </c>
    </row>
    <row r="813" spans="1:10">
      <c r="A813" s="23">
        <v>812</v>
      </c>
      <c r="B813" s="22" t="s">
        <v>645</v>
      </c>
      <c r="C813" s="22" t="s">
        <v>833</v>
      </c>
      <c r="D813" s="22">
        <v>55</v>
      </c>
      <c r="E813" s="22">
        <v>5</v>
      </c>
      <c r="F813" s="22">
        <v>0.86</v>
      </c>
      <c r="G813" s="22">
        <v>20260320</v>
      </c>
      <c r="H813" s="23" t="b">
        <f t="shared" si="12"/>
        <v>0</v>
      </c>
      <c r="I813" s="24" t="str" cm="1">
        <f t="array" ref="I813">GET_TICKER_FINAL(C813)</f>
        <v>NVDA</v>
      </c>
      <c r="J813" s="5" t="s">
        <v>25</v>
      </c>
    </row>
    <row r="814" spans="1:10" hidden="1">
      <c r="A814" s="20">
        <v>813</v>
      </c>
      <c r="B814" s="19" t="s">
        <v>645</v>
      </c>
      <c r="C814" s="19" t="s">
        <v>834</v>
      </c>
      <c r="D814" s="19">
        <v>54</v>
      </c>
      <c r="E814" s="19">
        <v>16</v>
      </c>
      <c r="F814" s="19">
        <v>0.85</v>
      </c>
      <c r="G814" s="19">
        <v>20260402</v>
      </c>
      <c r="H814" s="20" t="b">
        <f t="shared" si="12"/>
        <v>0</v>
      </c>
      <c r="I814" s="21" t="str" cm="1">
        <f t="array" ref="I814">GET_TICKER_FINAL(C814)</f>
        <v/>
      </c>
      <c r="J814" s="5" t="s">
        <v>25</v>
      </c>
    </row>
    <row r="815" spans="1:10" hidden="1">
      <c r="A815" s="23">
        <v>814</v>
      </c>
      <c r="B815" s="22" t="s">
        <v>645</v>
      </c>
      <c r="C815" s="22" t="s">
        <v>835</v>
      </c>
      <c r="D815" s="22">
        <v>51</v>
      </c>
      <c r="E815" s="22">
        <v>4</v>
      </c>
      <c r="F815" s="22">
        <v>0.94</v>
      </c>
      <c r="G815" s="22">
        <v>20260320</v>
      </c>
      <c r="H815" s="23" t="b">
        <f t="shared" si="12"/>
        <v>0</v>
      </c>
      <c r="I815" s="24" t="str" cm="1">
        <f t="array" ref="I815">GET_TICKER_FINAL(C815)</f>
        <v/>
      </c>
      <c r="J815" s="5" t="s">
        <v>1792</v>
      </c>
    </row>
    <row r="816" spans="1:10" hidden="1">
      <c r="A816" s="20">
        <v>815</v>
      </c>
      <c r="B816" s="19" t="s">
        <v>645</v>
      </c>
      <c r="C816" s="19" t="s">
        <v>836</v>
      </c>
      <c r="D816" s="19">
        <v>51</v>
      </c>
      <c r="E816" s="19">
        <v>6</v>
      </c>
      <c r="F816" s="19">
        <v>0.94</v>
      </c>
      <c r="G816" s="19">
        <v>20260324</v>
      </c>
      <c r="H816" s="20" t="b">
        <f t="shared" si="12"/>
        <v>0</v>
      </c>
      <c r="I816" s="21" t="str" cm="1">
        <f t="array" ref="I816">GET_TICKER_FINAL(C816)</f>
        <v/>
      </c>
      <c r="J816" s="5" t="s">
        <v>16</v>
      </c>
    </row>
    <row r="817" spans="1:10" hidden="1">
      <c r="A817" s="23">
        <v>816</v>
      </c>
      <c r="B817" s="22" t="s">
        <v>645</v>
      </c>
      <c r="C817" s="22" t="s">
        <v>837</v>
      </c>
      <c r="D817" s="22">
        <v>50</v>
      </c>
      <c r="E817" s="22">
        <v>1</v>
      </c>
      <c r="F817" s="22">
        <v>0.92</v>
      </c>
      <c r="G817" s="22">
        <v>20260402</v>
      </c>
      <c r="H817" s="23" t="b">
        <f t="shared" si="12"/>
        <v>0</v>
      </c>
      <c r="I817" s="24" t="str" cm="1">
        <f t="array" ref="I817">GET_TICKER_FINAL(C817)</f>
        <v/>
      </c>
      <c r="J817" s="5" t="s">
        <v>16</v>
      </c>
    </row>
    <row r="818" spans="1:10">
      <c r="A818" s="20">
        <v>817</v>
      </c>
      <c r="B818" s="19" t="s">
        <v>645</v>
      </c>
      <c r="C818" s="19" t="s">
        <v>838</v>
      </c>
      <c r="D818" s="19">
        <v>44</v>
      </c>
      <c r="E818" s="19">
        <v>35</v>
      </c>
      <c r="F818" s="19">
        <v>0.78</v>
      </c>
      <c r="G818" s="19">
        <v>20260330</v>
      </c>
      <c r="H818" s="20" t="b">
        <f t="shared" si="12"/>
        <v>0</v>
      </c>
      <c r="I818" s="21" t="str" cm="1">
        <f t="array" ref="I818">GET_TICKER_FINAL(C818)</f>
        <v>SNAP</v>
      </c>
      <c r="J818" s="5" t="s">
        <v>16</v>
      </c>
    </row>
    <row r="819" spans="1:10">
      <c r="A819" s="23">
        <v>818</v>
      </c>
      <c r="B819" s="22" t="s">
        <v>645</v>
      </c>
      <c r="C819" s="22" t="s">
        <v>839</v>
      </c>
      <c r="D819" s="22">
        <v>40</v>
      </c>
      <c r="E819" s="22">
        <v>10</v>
      </c>
      <c r="F819" s="22">
        <v>0.85</v>
      </c>
      <c r="G819" s="22">
        <v>20260330</v>
      </c>
      <c r="H819" s="23" t="b">
        <f t="shared" si="12"/>
        <v>0</v>
      </c>
      <c r="I819" s="24" t="str" cm="1">
        <f t="array" ref="I819">GET_TICKER_FINAL(C819)</f>
        <v>SPY</v>
      </c>
      <c r="J819" s="5" t="s">
        <v>1792</v>
      </c>
    </row>
    <row r="820" spans="1:10" hidden="1">
      <c r="A820" s="20">
        <v>819</v>
      </c>
      <c r="B820" s="19" t="s">
        <v>645</v>
      </c>
      <c r="C820" s="19" t="s">
        <v>840</v>
      </c>
      <c r="D820" s="19">
        <v>39</v>
      </c>
      <c r="E820" s="19">
        <v>23</v>
      </c>
      <c r="F820" s="19">
        <v>0.81</v>
      </c>
      <c r="G820" s="19">
        <v>20260331</v>
      </c>
      <c r="H820" s="20" t="b">
        <f t="shared" si="12"/>
        <v>0</v>
      </c>
      <c r="I820" s="21" t="str" cm="1">
        <f t="array" ref="I820">GET_TICKER_FINAL(C820)</f>
        <v/>
      </c>
      <c r="J820" s="5" t="s">
        <v>1792</v>
      </c>
    </row>
    <row r="821" spans="1:10" hidden="1">
      <c r="A821" s="23">
        <v>820</v>
      </c>
      <c r="B821" s="22" t="s">
        <v>645</v>
      </c>
      <c r="C821" s="22" t="s">
        <v>841</v>
      </c>
      <c r="D821" s="22">
        <v>38</v>
      </c>
      <c r="E821" s="22">
        <v>21</v>
      </c>
      <c r="F821" s="22">
        <v>0.93</v>
      </c>
      <c r="G821" s="22">
        <v>20260326</v>
      </c>
      <c r="H821" s="23" t="b">
        <f t="shared" si="12"/>
        <v>0</v>
      </c>
      <c r="I821" s="24" t="str" cm="1">
        <f t="array" ref="I821">GET_TICKER_FINAL(C821)</f>
        <v/>
      </c>
      <c r="J821" s="5" t="s">
        <v>16</v>
      </c>
    </row>
    <row r="822" spans="1:10" hidden="1">
      <c r="A822" s="20">
        <v>821</v>
      </c>
      <c r="B822" s="19" t="s">
        <v>645</v>
      </c>
      <c r="C822" s="19" t="s">
        <v>842</v>
      </c>
      <c r="D822" s="19">
        <v>36</v>
      </c>
      <c r="E822" s="19">
        <v>2</v>
      </c>
      <c r="F822" s="19">
        <v>0.96</v>
      </c>
      <c r="G822" s="19">
        <v>20260324</v>
      </c>
      <c r="H822" s="20" t="b">
        <f t="shared" si="12"/>
        <v>0</v>
      </c>
      <c r="I822" s="21" t="str" cm="1">
        <f t="array" ref="I822">GET_TICKER_FINAL(C822)</f>
        <v/>
      </c>
      <c r="J822" s="5" t="s">
        <v>1792</v>
      </c>
    </row>
    <row r="823" spans="1:10" hidden="1">
      <c r="A823" s="23">
        <v>822</v>
      </c>
      <c r="B823" s="22" t="s">
        <v>645</v>
      </c>
      <c r="C823" s="22" t="s">
        <v>843</v>
      </c>
      <c r="D823" s="22">
        <v>36</v>
      </c>
      <c r="E823" s="22">
        <v>83</v>
      </c>
      <c r="F823" s="22">
        <v>0.67</v>
      </c>
      <c r="G823" s="22">
        <v>20260402</v>
      </c>
      <c r="H823" s="23" t="b">
        <f t="shared" si="12"/>
        <v>0</v>
      </c>
      <c r="I823" s="24" t="str" cm="1">
        <f t="array" ref="I823">GET_TICKER_FINAL(C823)</f>
        <v/>
      </c>
      <c r="J823" s="5" t="s">
        <v>28</v>
      </c>
    </row>
    <row r="824" spans="1:10" hidden="1">
      <c r="A824" s="20">
        <v>823</v>
      </c>
      <c r="B824" s="19" t="s">
        <v>645</v>
      </c>
      <c r="C824" s="19" t="s">
        <v>844</v>
      </c>
      <c r="D824" s="19">
        <v>34</v>
      </c>
      <c r="E824" s="19">
        <v>13</v>
      </c>
      <c r="F824" s="19">
        <v>0.89</v>
      </c>
      <c r="G824" s="19">
        <v>20260330</v>
      </c>
      <c r="H824" s="20" t="b">
        <f t="shared" si="12"/>
        <v>0</v>
      </c>
      <c r="I824" s="21" t="str" cm="1">
        <f t="array" ref="I824">GET_TICKER_FINAL(C824)</f>
        <v/>
      </c>
      <c r="J824" s="5" t="s">
        <v>16</v>
      </c>
    </row>
    <row r="825" spans="1:10">
      <c r="A825" s="23">
        <v>824</v>
      </c>
      <c r="B825" s="22" t="s">
        <v>645</v>
      </c>
      <c r="C825" s="22" t="s">
        <v>845</v>
      </c>
      <c r="D825" s="22">
        <v>34</v>
      </c>
      <c r="E825" s="22">
        <v>9</v>
      </c>
      <c r="F825" s="22">
        <v>0.92</v>
      </c>
      <c r="G825" s="22">
        <v>20260324</v>
      </c>
      <c r="H825" s="23" t="b">
        <f t="shared" si="12"/>
        <v>0</v>
      </c>
      <c r="I825" s="24" t="str" cm="1">
        <f t="array" ref="I825">GET_TICKER_FINAL(C825)</f>
        <v>NVDA</v>
      </c>
      <c r="J825" s="5" t="s">
        <v>16</v>
      </c>
    </row>
    <row r="826" spans="1:10" hidden="1">
      <c r="A826" s="20">
        <v>825</v>
      </c>
      <c r="B826" s="19" t="s">
        <v>645</v>
      </c>
      <c r="C826" s="19" t="s">
        <v>846</v>
      </c>
      <c r="D826" s="19">
        <v>31</v>
      </c>
      <c r="E826" s="19">
        <v>2</v>
      </c>
      <c r="F826" s="19">
        <v>0.92</v>
      </c>
      <c r="G826" s="19">
        <v>20260324</v>
      </c>
      <c r="H826" s="20" t="b">
        <f t="shared" si="12"/>
        <v>0</v>
      </c>
      <c r="I826" s="21" t="str" cm="1">
        <f t="array" ref="I826">GET_TICKER_FINAL(C826)</f>
        <v/>
      </c>
      <c r="J826" s="5" t="s">
        <v>16</v>
      </c>
    </row>
    <row r="827" spans="1:10" hidden="1">
      <c r="A827" s="23">
        <v>826</v>
      </c>
      <c r="B827" s="22" t="s">
        <v>645</v>
      </c>
      <c r="C827" s="22" t="s">
        <v>847</v>
      </c>
      <c r="D827" s="22">
        <v>28</v>
      </c>
      <c r="E827" s="22">
        <v>13</v>
      </c>
      <c r="F827" s="22">
        <v>0.89</v>
      </c>
      <c r="G827" s="22">
        <v>20260320</v>
      </c>
      <c r="H827" s="23" t="b">
        <f t="shared" si="12"/>
        <v>0</v>
      </c>
      <c r="I827" s="24" t="str" cm="1">
        <f t="array" ref="I827">GET_TICKER_FINAL(C827)</f>
        <v/>
      </c>
      <c r="J827" s="5" t="s">
        <v>25</v>
      </c>
    </row>
    <row r="828" spans="1:10">
      <c r="A828" s="20">
        <v>827</v>
      </c>
      <c r="B828" s="19" t="s">
        <v>645</v>
      </c>
      <c r="C828" s="19" t="s">
        <v>848</v>
      </c>
      <c r="D828" s="19">
        <v>28</v>
      </c>
      <c r="E828" s="19">
        <v>33</v>
      </c>
      <c r="F828" s="19">
        <v>0.77</v>
      </c>
      <c r="G828" s="19">
        <v>20260402</v>
      </c>
      <c r="H828" s="20" t="b">
        <f t="shared" si="12"/>
        <v>0</v>
      </c>
      <c r="I828" s="21" t="str" cm="1">
        <f t="array" ref="I828">GET_TICKER_FINAL(C828)</f>
        <v>SNAP</v>
      </c>
      <c r="J828" s="5" t="s">
        <v>25</v>
      </c>
    </row>
    <row r="829" spans="1:10" hidden="1">
      <c r="A829" s="23">
        <v>828</v>
      </c>
      <c r="B829" s="22" t="s">
        <v>645</v>
      </c>
      <c r="C829" s="22" t="s">
        <v>849</v>
      </c>
      <c r="D829" s="22">
        <v>28</v>
      </c>
      <c r="E829" s="22">
        <v>0</v>
      </c>
      <c r="F829" s="22">
        <v>0.91</v>
      </c>
      <c r="G829" s="22">
        <v>20260331</v>
      </c>
      <c r="H829" s="23" t="b">
        <f t="shared" si="12"/>
        <v>0</v>
      </c>
      <c r="I829" s="24" t="str" cm="1">
        <f t="array" ref="I829">GET_TICKER_FINAL(C829)</f>
        <v/>
      </c>
      <c r="J829" s="5" t="s">
        <v>25</v>
      </c>
    </row>
    <row r="830" spans="1:10" hidden="1">
      <c r="A830" s="20">
        <v>829</v>
      </c>
      <c r="B830" s="19" t="s">
        <v>645</v>
      </c>
      <c r="C830" s="19" t="s">
        <v>850</v>
      </c>
      <c r="D830" s="19">
        <v>25</v>
      </c>
      <c r="E830" s="19">
        <v>1</v>
      </c>
      <c r="F830" s="19">
        <v>0.93</v>
      </c>
      <c r="G830" s="19">
        <v>20260323</v>
      </c>
      <c r="H830" s="20" t="b">
        <f t="shared" si="12"/>
        <v>0</v>
      </c>
      <c r="I830" s="21" t="str" cm="1">
        <f t="array" ref="I830">GET_TICKER_FINAL(C830)</f>
        <v/>
      </c>
      <c r="J830" s="5" t="s">
        <v>28</v>
      </c>
    </row>
    <row r="831" spans="1:10">
      <c r="A831" s="23">
        <v>830</v>
      </c>
      <c r="B831" s="22" t="s">
        <v>645</v>
      </c>
      <c r="C831" s="22" t="s">
        <v>851</v>
      </c>
      <c r="D831" s="22">
        <v>20</v>
      </c>
      <c r="E831" s="22">
        <v>29</v>
      </c>
      <c r="F831" s="22">
        <v>0.86</v>
      </c>
      <c r="G831" s="22">
        <v>20260327</v>
      </c>
      <c r="H831" s="23" t="b">
        <f t="shared" si="12"/>
        <v>0</v>
      </c>
      <c r="I831" s="24" t="str" cm="1">
        <f t="array" ref="I831">GET_TICKER_FINAL(C831)</f>
        <v>RKLB</v>
      </c>
      <c r="J831" s="5" t="s">
        <v>16</v>
      </c>
    </row>
    <row r="832" spans="1:10" hidden="1">
      <c r="A832" s="20">
        <v>831</v>
      </c>
      <c r="B832" s="19" t="s">
        <v>645</v>
      </c>
      <c r="C832" s="19" t="s">
        <v>852</v>
      </c>
      <c r="D832" s="19">
        <v>20</v>
      </c>
      <c r="E832" s="19">
        <v>0</v>
      </c>
      <c r="F832" s="19">
        <v>1</v>
      </c>
      <c r="G832" s="19">
        <v>20260402</v>
      </c>
      <c r="H832" s="20" t="b">
        <f t="shared" si="12"/>
        <v>0</v>
      </c>
      <c r="I832" s="21" t="str" cm="1">
        <f t="array" ref="I832">GET_TICKER_FINAL(C832)</f>
        <v/>
      </c>
      <c r="J832" s="5" t="s">
        <v>25</v>
      </c>
    </row>
    <row r="833" spans="1:10" hidden="1">
      <c r="A833" s="23">
        <v>832</v>
      </c>
      <c r="B833" s="22" t="s">
        <v>645</v>
      </c>
      <c r="C833" s="22" t="s">
        <v>853</v>
      </c>
      <c r="D833" s="22">
        <v>18</v>
      </c>
      <c r="E833" s="22">
        <v>9</v>
      </c>
      <c r="F833" s="22">
        <v>0.88</v>
      </c>
      <c r="G833" s="22">
        <v>20260402</v>
      </c>
      <c r="H833" s="23" t="b">
        <f t="shared" si="12"/>
        <v>0</v>
      </c>
      <c r="I833" s="24" t="str" cm="1">
        <f t="array" ref="I833">GET_TICKER_FINAL(C833)</f>
        <v/>
      </c>
      <c r="J833" s="5" t="s">
        <v>25</v>
      </c>
    </row>
    <row r="834" spans="1:10" hidden="1">
      <c r="A834" s="20">
        <v>833</v>
      </c>
      <c r="B834" s="19" t="s">
        <v>645</v>
      </c>
      <c r="C834" s="19" t="s">
        <v>854</v>
      </c>
      <c r="D834" s="19">
        <v>15</v>
      </c>
      <c r="E834" s="19">
        <v>2</v>
      </c>
      <c r="F834" s="19">
        <v>0.94</v>
      </c>
      <c r="G834" s="19">
        <v>20260331</v>
      </c>
      <c r="H834" s="20" t="b">
        <f t="shared" si="12"/>
        <v>0</v>
      </c>
      <c r="I834" s="21" t="str" cm="1">
        <f t="array" ref="I834">GET_TICKER_FINAL(C834)</f>
        <v/>
      </c>
      <c r="J834" s="5" t="s">
        <v>16</v>
      </c>
    </row>
    <row r="835" spans="1:10" hidden="1">
      <c r="A835" s="23">
        <v>834</v>
      </c>
      <c r="B835" s="22" t="s">
        <v>645</v>
      </c>
      <c r="C835" s="22" t="s">
        <v>855</v>
      </c>
      <c r="D835" s="22">
        <v>15</v>
      </c>
      <c r="E835" s="22">
        <v>3</v>
      </c>
      <c r="F835" s="22">
        <v>0.84</v>
      </c>
      <c r="G835" s="22">
        <v>20260327</v>
      </c>
      <c r="H835" s="23" t="b">
        <f t="shared" ref="H835:H898" si="13">OR(ISNUMBER(SEARCH("$A",C835)),ISNUMBER(SEARCH("$B",C835)),ISNUMBER(SEARCH("$C",C835)),ISNUMBER(SEARCH("$D",C835)),ISNUMBER(SEARCH("$E",C835)),ISNUMBER(SEARCH("$F",C835)),ISNUMBER(SEARCH("$G",C835)),ISNUMBER(SEARCH("$H",C835)),ISNUMBER(SEARCH("$I",C835)),ISNUMBER(SEARCH("$J",C835)),ISNUMBER(SEARCH("$K",C835)),ISNUMBER(SEARCH("$L",C835)),ISNUMBER(SEARCH("$M",C835)),ISNUMBER(SEARCH("$N",C835)),ISNUMBER(SEARCH("$O",C835)),ISNUMBER(SEARCH("$P",C835)),ISNUMBER(SEARCH("$Q",C835)),ISNUMBER(SEARCH("$R",C835)),ISNUMBER(SEARCH("$S",C835)),ISNUMBER(SEARCH("$T",C835)),ISNUMBER(SEARCH("$U",C835)),ISNUMBER(SEARCH("$V",C835)),ISNUMBER(SEARCH("$W",C835)),ISNUMBER(SEARCH("$X",C835)),ISNUMBER(SEARCH("$Y",C835)),ISNUMBER(SEARCH("$Z",C835)))</f>
        <v>0</v>
      </c>
      <c r="I835" s="24" t="str" cm="1">
        <f t="array" ref="I835">GET_TICKER_FINAL(C835)</f>
        <v/>
      </c>
      <c r="J835" s="5" t="s">
        <v>1792</v>
      </c>
    </row>
    <row r="836" spans="1:10">
      <c r="A836" s="20">
        <v>835</v>
      </c>
      <c r="B836" s="19" t="s">
        <v>645</v>
      </c>
      <c r="C836" s="19" t="s">
        <v>856</v>
      </c>
      <c r="D836" s="19">
        <v>14</v>
      </c>
      <c r="E836" s="19">
        <v>0</v>
      </c>
      <c r="F836" s="19">
        <v>0.79</v>
      </c>
      <c r="G836" s="19">
        <v>20260320</v>
      </c>
      <c r="H836" s="20" t="b">
        <f t="shared" si="13"/>
        <v>0</v>
      </c>
      <c r="I836" s="21" t="str" cm="1">
        <f t="array" ref="I836">GET_TICKER_FINAL(C836)</f>
        <v>SPY</v>
      </c>
      <c r="J836" s="5" t="s">
        <v>25</v>
      </c>
    </row>
    <row r="837" spans="1:10" hidden="1">
      <c r="A837" s="23">
        <v>836</v>
      </c>
      <c r="B837" s="22" t="s">
        <v>645</v>
      </c>
      <c r="C837" s="22" t="s">
        <v>857</v>
      </c>
      <c r="D837" s="22">
        <v>14</v>
      </c>
      <c r="E837" s="22">
        <v>22</v>
      </c>
      <c r="F837" s="22">
        <v>0.69</v>
      </c>
      <c r="G837" s="22">
        <v>20260323</v>
      </c>
      <c r="H837" s="23" t="b">
        <f t="shared" si="13"/>
        <v>0</v>
      </c>
      <c r="I837" s="24" t="str" cm="1">
        <f t="array" ref="I837">GET_TICKER_FINAL(C837)</f>
        <v/>
      </c>
      <c r="J837" s="5" t="s">
        <v>16</v>
      </c>
    </row>
    <row r="838" spans="1:10" hidden="1">
      <c r="A838" s="20">
        <v>837</v>
      </c>
      <c r="B838" s="19" t="s">
        <v>645</v>
      </c>
      <c r="C838" s="19" t="s">
        <v>858</v>
      </c>
      <c r="D838" s="19">
        <v>13</v>
      </c>
      <c r="E838" s="19">
        <v>2</v>
      </c>
      <c r="F838" s="19">
        <v>0.85</v>
      </c>
      <c r="G838" s="19">
        <v>20260402</v>
      </c>
      <c r="H838" s="20" t="b">
        <f t="shared" si="13"/>
        <v>0</v>
      </c>
      <c r="I838" s="21" t="str" cm="1">
        <f t="array" ref="I838">GET_TICKER_FINAL(C838)</f>
        <v/>
      </c>
      <c r="J838" s="5" t="s">
        <v>1792</v>
      </c>
    </row>
    <row r="839" spans="1:10" hidden="1">
      <c r="A839" s="23">
        <v>838</v>
      </c>
      <c r="B839" s="22" t="s">
        <v>645</v>
      </c>
      <c r="C839" s="22" t="s">
        <v>859</v>
      </c>
      <c r="D839" s="22">
        <v>13</v>
      </c>
      <c r="E839" s="22">
        <v>4</v>
      </c>
      <c r="F839" s="22">
        <v>0.93</v>
      </c>
      <c r="G839" s="22">
        <v>20260402</v>
      </c>
      <c r="H839" s="23" t="b">
        <f t="shared" si="13"/>
        <v>0</v>
      </c>
      <c r="I839" s="24" t="str" cm="1">
        <f t="array" ref="I839">GET_TICKER_FINAL(C839)</f>
        <v/>
      </c>
      <c r="J839" s="5" t="s">
        <v>1792</v>
      </c>
    </row>
    <row r="840" spans="1:10" hidden="1">
      <c r="A840" s="20">
        <v>839</v>
      </c>
      <c r="B840" s="19" t="s">
        <v>645</v>
      </c>
      <c r="C840" s="19" t="s">
        <v>860</v>
      </c>
      <c r="D840" s="19">
        <v>12</v>
      </c>
      <c r="E840" s="19">
        <v>15</v>
      </c>
      <c r="F840" s="19">
        <v>0.84</v>
      </c>
      <c r="G840" s="19">
        <v>20260324</v>
      </c>
      <c r="H840" s="20" t="b">
        <f t="shared" si="13"/>
        <v>0</v>
      </c>
      <c r="I840" s="21" t="str" cm="1">
        <f t="array" ref="I840">GET_TICKER_FINAL(C840)</f>
        <v/>
      </c>
      <c r="J840" s="5" t="s">
        <v>25</v>
      </c>
    </row>
    <row r="841" spans="1:10" hidden="1">
      <c r="A841" s="23">
        <v>840</v>
      </c>
      <c r="B841" s="22" t="s">
        <v>645</v>
      </c>
      <c r="C841" s="22" t="s">
        <v>861</v>
      </c>
      <c r="D841" s="22">
        <v>12</v>
      </c>
      <c r="E841" s="22">
        <v>30</v>
      </c>
      <c r="F841" s="22">
        <v>0.72</v>
      </c>
      <c r="G841" s="22">
        <v>20260331</v>
      </c>
      <c r="H841" s="23" t="b">
        <f t="shared" si="13"/>
        <v>0</v>
      </c>
      <c r="I841" s="24" t="str" cm="1">
        <f t="array" ref="I841">GET_TICKER_FINAL(C841)</f>
        <v/>
      </c>
      <c r="J841" s="5" t="s">
        <v>16</v>
      </c>
    </row>
    <row r="842" spans="1:10" hidden="1">
      <c r="A842" s="20">
        <v>841</v>
      </c>
      <c r="B842" s="19" t="s">
        <v>645</v>
      </c>
      <c r="C842" s="19" t="s">
        <v>862</v>
      </c>
      <c r="D842" s="19">
        <v>11</v>
      </c>
      <c r="E842" s="19">
        <v>8</v>
      </c>
      <c r="F842" s="19">
        <v>0.68</v>
      </c>
      <c r="G842" s="19">
        <v>20260331</v>
      </c>
      <c r="H842" s="20" t="b">
        <f t="shared" si="13"/>
        <v>0</v>
      </c>
      <c r="I842" s="21" t="str" cm="1">
        <f t="array" ref="I842">GET_TICKER_FINAL(C842)</f>
        <v/>
      </c>
      <c r="J842" s="5" t="s">
        <v>1792</v>
      </c>
    </row>
    <row r="843" spans="1:10" hidden="1">
      <c r="A843" s="23">
        <v>842</v>
      </c>
      <c r="B843" s="22" t="s">
        <v>645</v>
      </c>
      <c r="C843" s="22" t="s">
        <v>863</v>
      </c>
      <c r="D843" s="22">
        <v>11</v>
      </c>
      <c r="E843" s="22">
        <v>15</v>
      </c>
      <c r="F843" s="22">
        <v>0.72</v>
      </c>
      <c r="G843" s="22">
        <v>20260401</v>
      </c>
      <c r="H843" s="23" t="b">
        <f t="shared" si="13"/>
        <v>0</v>
      </c>
      <c r="I843" s="24" t="str" cm="1">
        <f t="array" ref="I843">GET_TICKER_FINAL(C843)</f>
        <v/>
      </c>
      <c r="J843" s="5" t="s">
        <v>1792</v>
      </c>
    </row>
    <row r="844" spans="1:10" hidden="1">
      <c r="A844" s="20">
        <v>843</v>
      </c>
      <c r="B844" s="19" t="s">
        <v>645</v>
      </c>
      <c r="C844" s="19" t="s">
        <v>235</v>
      </c>
      <c r="D844" s="19">
        <v>10</v>
      </c>
      <c r="E844" s="19">
        <v>1</v>
      </c>
      <c r="F844" s="19">
        <v>0.92</v>
      </c>
      <c r="G844" s="19">
        <v>20260327</v>
      </c>
      <c r="H844" s="20" t="b">
        <f t="shared" si="13"/>
        <v>0</v>
      </c>
      <c r="I844" s="21" t="str" cm="1">
        <f t="array" ref="I844">GET_TICKER_FINAL(C844)</f>
        <v/>
      </c>
      <c r="J844" s="5" t="s">
        <v>1792</v>
      </c>
    </row>
    <row r="845" spans="1:10" hidden="1">
      <c r="A845" s="23">
        <v>844</v>
      </c>
      <c r="B845" s="22" t="s">
        <v>645</v>
      </c>
      <c r="C845" s="22" t="s">
        <v>169</v>
      </c>
      <c r="D845" s="22">
        <v>9</v>
      </c>
      <c r="E845" s="22">
        <v>2</v>
      </c>
      <c r="F845" s="22">
        <v>1</v>
      </c>
      <c r="G845" s="22">
        <v>20260401</v>
      </c>
      <c r="H845" s="23" t="b">
        <f t="shared" si="13"/>
        <v>0</v>
      </c>
      <c r="I845" s="24" t="str" cm="1">
        <f t="array" ref="I845">GET_TICKER_FINAL(C845)</f>
        <v/>
      </c>
      <c r="J845" s="5" t="s">
        <v>16</v>
      </c>
    </row>
    <row r="846" spans="1:10" hidden="1">
      <c r="A846" s="20">
        <v>845</v>
      </c>
      <c r="B846" s="19" t="s">
        <v>645</v>
      </c>
      <c r="C846" s="19" t="s">
        <v>223</v>
      </c>
      <c r="D846" s="19">
        <v>9</v>
      </c>
      <c r="E846" s="19">
        <v>2</v>
      </c>
      <c r="F846" s="19">
        <v>1</v>
      </c>
      <c r="G846" s="19">
        <v>20260324</v>
      </c>
      <c r="H846" s="20" t="b">
        <f t="shared" si="13"/>
        <v>0</v>
      </c>
      <c r="I846" s="21" t="str" cm="1">
        <f t="array" ref="I846">GET_TICKER_FINAL(C846)</f>
        <v/>
      </c>
      <c r="J846" s="5" t="s">
        <v>1792</v>
      </c>
    </row>
    <row r="847" spans="1:10" hidden="1">
      <c r="A847" s="23">
        <v>846</v>
      </c>
      <c r="B847" s="22" t="s">
        <v>645</v>
      </c>
      <c r="C847" s="22" t="s">
        <v>864</v>
      </c>
      <c r="D847" s="22">
        <v>9</v>
      </c>
      <c r="E847" s="22">
        <v>5</v>
      </c>
      <c r="F847" s="22">
        <v>0.76</v>
      </c>
      <c r="G847" s="22">
        <v>20260326</v>
      </c>
      <c r="H847" s="23" t="b">
        <f t="shared" si="13"/>
        <v>0</v>
      </c>
      <c r="I847" s="24" t="str" cm="1">
        <f t="array" ref="I847">GET_TICKER_FINAL(C847)</f>
        <v/>
      </c>
      <c r="J847" s="5" t="s">
        <v>1792</v>
      </c>
    </row>
    <row r="848" spans="1:10" hidden="1">
      <c r="A848" s="20">
        <v>847</v>
      </c>
      <c r="B848" s="19" t="s">
        <v>645</v>
      </c>
      <c r="C848" s="19" t="s">
        <v>165</v>
      </c>
      <c r="D848" s="19">
        <v>9</v>
      </c>
      <c r="E848" s="19">
        <v>1</v>
      </c>
      <c r="F848" s="19">
        <v>1</v>
      </c>
      <c r="G848" s="19">
        <v>20260327</v>
      </c>
      <c r="H848" s="20" t="b">
        <f t="shared" si="13"/>
        <v>0</v>
      </c>
      <c r="I848" s="21" t="str" cm="1">
        <f t="array" ref="I848">GET_TICKER_FINAL(C848)</f>
        <v/>
      </c>
      <c r="J848" s="5" t="s">
        <v>1792</v>
      </c>
    </row>
    <row r="849" spans="1:10" hidden="1">
      <c r="A849" s="23">
        <v>848</v>
      </c>
      <c r="B849" s="22" t="s">
        <v>645</v>
      </c>
      <c r="C849" s="22" t="s">
        <v>261</v>
      </c>
      <c r="D849" s="22">
        <v>9</v>
      </c>
      <c r="E849" s="22">
        <v>0</v>
      </c>
      <c r="F849" s="22">
        <v>1</v>
      </c>
      <c r="G849" s="22">
        <v>20260327</v>
      </c>
      <c r="H849" s="23" t="b">
        <f t="shared" si="13"/>
        <v>0</v>
      </c>
      <c r="I849" s="24" t="str" cm="1">
        <f t="array" ref="I849">GET_TICKER_FINAL(C849)</f>
        <v/>
      </c>
      <c r="J849" s="5" t="s">
        <v>1792</v>
      </c>
    </row>
    <row r="850" spans="1:10" hidden="1">
      <c r="A850" s="20">
        <v>849</v>
      </c>
      <c r="B850" s="19" t="s">
        <v>645</v>
      </c>
      <c r="C850" s="19" t="s">
        <v>865</v>
      </c>
      <c r="D850" s="19">
        <v>8</v>
      </c>
      <c r="E850" s="19">
        <v>15</v>
      </c>
      <c r="F850" s="19">
        <v>0.78</v>
      </c>
      <c r="G850" s="19">
        <v>20260401</v>
      </c>
      <c r="H850" s="20" t="b">
        <f t="shared" si="13"/>
        <v>0</v>
      </c>
      <c r="I850" s="21" t="str" cm="1">
        <f t="array" ref="I850">GET_TICKER_FINAL(C850)</f>
        <v/>
      </c>
      <c r="J850" s="5" t="s">
        <v>16</v>
      </c>
    </row>
    <row r="851" spans="1:10" hidden="1">
      <c r="A851" s="23">
        <v>850</v>
      </c>
      <c r="B851" s="22" t="s">
        <v>645</v>
      </c>
      <c r="C851" s="22" t="s">
        <v>866</v>
      </c>
      <c r="D851" s="22">
        <v>7</v>
      </c>
      <c r="E851" s="22">
        <v>5</v>
      </c>
      <c r="F851" s="22">
        <v>0.77</v>
      </c>
      <c r="G851" s="22">
        <v>20260320</v>
      </c>
      <c r="H851" s="23" t="b">
        <f t="shared" si="13"/>
        <v>1</v>
      </c>
      <c r="I851" s="24" t="str" cm="1">
        <f t="array" ref="I851">GET_TICKER_FINAL(C851)</f>
        <v/>
      </c>
      <c r="J851" s="5" t="s">
        <v>16</v>
      </c>
    </row>
    <row r="852" spans="1:10" hidden="1">
      <c r="A852" s="20">
        <v>851</v>
      </c>
      <c r="B852" s="19" t="s">
        <v>645</v>
      </c>
      <c r="C852" s="19" t="s">
        <v>155</v>
      </c>
      <c r="D852" s="19">
        <v>7</v>
      </c>
      <c r="E852" s="19">
        <v>2</v>
      </c>
      <c r="F852" s="19">
        <v>0.89</v>
      </c>
      <c r="G852" s="19">
        <v>20260326</v>
      </c>
      <c r="H852" s="20" t="b">
        <f t="shared" si="13"/>
        <v>0</v>
      </c>
      <c r="I852" s="21" t="str" cm="1">
        <f t="array" ref="I852">GET_TICKER_FINAL(C852)</f>
        <v/>
      </c>
      <c r="J852" s="5" t="s">
        <v>1792</v>
      </c>
    </row>
    <row r="853" spans="1:10">
      <c r="A853" s="23">
        <v>852</v>
      </c>
      <c r="B853" s="22" t="s">
        <v>645</v>
      </c>
      <c r="C853" s="22" t="s">
        <v>867</v>
      </c>
      <c r="D853" s="22">
        <v>7</v>
      </c>
      <c r="E853" s="22">
        <v>10</v>
      </c>
      <c r="F853" s="22">
        <v>0.62</v>
      </c>
      <c r="G853" s="22">
        <v>20260320</v>
      </c>
      <c r="H853" s="23" t="b">
        <f t="shared" si="13"/>
        <v>0</v>
      </c>
      <c r="I853" s="24" t="str" cm="1">
        <f t="array" ref="I853">GET_TICKER_FINAL(C853)</f>
        <v>NVDA</v>
      </c>
      <c r="J853" s="5" t="s">
        <v>25</v>
      </c>
    </row>
    <row r="854" spans="1:10">
      <c r="A854" s="20">
        <v>853</v>
      </c>
      <c r="B854" s="19" t="s">
        <v>645</v>
      </c>
      <c r="C854" s="19" t="s">
        <v>98</v>
      </c>
      <c r="D854" s="19">
        <v>7</v>
      </c>
      <c r="E854" s="19">
        <v>2</v>
      </c>
      <c r="F854" s="19">
        <v>0.81</v>
      </c>
      <c r="G854" s="19">
        <v>20260323</v>
      </c>
      <c r="H854" s="20" t="b">
        <f t="shared" si="13"/>
        <v>0</v>
      </c>
      <c r="I854" s="21" t="str" cm="1">
        <f t="array" ref="I854">GET_TICKER_FINAL(C854)</f>
        <v>OKLO</v>
      </c>
      <c r="J854" s="5" t="s">
        <v>25</v>
      </c>
    </row>
    <row r="855" spans="1:10" hidden="1">
      <c r="A855" s="23">
        <v>854</v>
      </c>
      <c r="B855" s="22" t="s">
        <v>645</v>
      </c>
      <c r="C855" s="22" t="s">
        <v>241</v>
      </c>
      <c r="D855" s="22">
        <v>6</v>
      </c>
      <c r="E855" s="22">
        <v>8</v>
      </c>
      <c r="F855" s="22">
        <v>1</v>
      </c>
      <c r="G855" s="22">
        <v>20260401</v>
      </c>
      <c r="H855" s="23" t="b">
        <f t="shared" si="13"/>
        <v>0</v>
      </c>
      <c r="I855" s="24" t="str" cm="1">
        <f t="array" ref="I855">GET_TICKER_FINAL(C855)</f>
        <v/>
      </c>
      <c r="J855" s="5" t="s">
        <v>1792</v>
      </c>
    </row>
    <row r="856" spans="1:10" hidden="1">
      <c r="A856" s="20">
        <v>855</v>
      </c>
      <c r="B856" s="19" t="s">
        <v>645</v>
      </c>
      <c r="C856" s="19" t="s">
        <v>173</v>
      </c>
      <c r="D856" s="19">
        <v>6</v>
      </c>
      <c r="E856" s="19">
        <v>0</v>
      </c>
      <c r="F856" s="19">
        <v>1</v>
      </c>
      <c r="G856" s="19">
        <v>20260331</v>
      </c>
      <c r="H856" s="20" t="b">
        <f t="shared" si="13"/>
        <v>0</v>
      </c>
      <c r="I856" s="21" t="str" cm="1">
        <f t="array" ref="I856">GET_TICKER_FINAL(C856)</f>
        <v/>
      </c>
      <c r="J856" s="5" t="s">
        <v>1792</v>
      </c>
    </row>
    <row r="857" spans="1:10" hidden="1">
      <c r="A857" s="23">
        <v>856</v>
      </c>
      <c r="B857" s="22" t="s">
        <v>645</v>
      </c>
      <c r="C857" s="22" t="s">
        <v>868</v>
      </c>
      <c r="D857" s="22">
        <v>5</v>
      </c>
      <c r="E857" s="22">
        <v>23</v>
      </c>
      <c r="F857" s="22">
        <v>0.86</v>
      </c>
      <c r="G857" s="22">
        <v>20260323</v>
      </c>
      <c r="H857" s="23" t="b">
        <f t="shared" si="13"/>
        <v>0</v>
      </c>
      <c r="I857" s="24" t="str" cm="1">
        <f t="array" ref="I857">GET_TICKER_FINAL(C857)</f>
        <v/>
      </c>
      <c r="J857" s="5" t="s">
        <v>1792</v>
      </c>
    </row>
    <row r="858" spans="1:10" hidden="1">
      <c r="A858" s="20">
        <v>857</v>
      </c>
      <c r="B858" s="19" t="s">
        <v>645</v>
      </c>
      <c r="C858" s="19" t="s">
        <v>869</v>
      </c>
      <c r="D858" s="19">
        <v>5</v>
      </c>
      <c r="E858" s="19">
        <v>1</v>
      </c>
      <c r="F858" s="19">
        <v>0.79</v>
      </c>
      <c r="G858" s="19">
        <v>20260402</v>
      </c>
      <c r="H858" s="20" t="b">
        <f t="shared" si="13"/>
        <v>0</v>
      </c>
      <c r="I858" s="21" t="str" cm="1">
        <f t="array" ref="I858">GET_TICKER_FINAL(C858)</f>
        <v/>
      </c>
      <c r="J858" s="5" t="s">
        <v>1792</v>
      </c>
    </row>
    <row r="859" spans="1:10" hidden="1">
      <c r="A859" s="23">
        <v>858</v>
      </c>
      <c r="B859" s="22" t="s">
        <v>645</v>
      </c>
      <c r="C859" s="22" t="s">
        <v>221</v>
      </c>
      <c r="D859" s="22">
        <v>5</v>
      </c>
      <c r="E859" s="22">
        <v>6</v>
      </c>
      <c r="F859" s="22">
        <v>0.86</v>
      </c>
      <c r="G859" s="22">
        <v>20260331</v>
      </c>
      <c r="H859" s="23" t="b">
        <f t="shared" si="13"/>
        <v>0</v>
      </c>
      <c r="I859" s="24" t="str" cm="1">
        <f t="array" ref="I859">GET_TICKER_FINAL(C859)</f>
        <v/>
      </c>
      <c r="J859" s="5" t="s">
        <v>1792</v>
      </c>
    </row>
    <row r="860" spans="1:10" hidden="1">
      <c r="A860" s="20">
        <v>859</v>
      </c>
      <c r="B860" s="19" t="s">
        <v>645</v>
      </c>
      <c r="C860" s="19" t="s">
        <v>224</v>
      </c>
      <c r="D860" s="19">
        <v>5</v>
      </c>
      <c r="E860" s="19">
        <v>1</v>
      </c>
      <c r="F860" s="19">
        <v>0.78</v>
      </c>
      <c r="G860" s="19">
        <v>20260402</v>
      </c>
      <c r="H860" s="20" t="b">
        <f t="shared" si="13"/>
        <v>0</v>
      </c>
      <c r="I860" s="21" t="str" cm="1">
        <f t="array" ref="I860">GET_TICKER_FINAL(C860)</f>
        <v/>
      </c>
      <c r="J860" s="5" t="s">
        <v>1792</v>
      </c>
    </row>
    <row r="861" spans="1:10" hidden="1">
      <c r="A861" s="23">
        <v>860</v>
      </c>
      <c r="B861" s="22" t="s">
        <v>645</v>
      </c>
      <c r="C861" s="22" t="s">
        <v>870</v>
      </c>
      <c r="D861" s="22">
        <v>4</v>
      </c>
      <c r="E861" s="22">
        <v>2</v>
      </c>
      <c r="F861" s="22">
        <v>0.83</v>
      </c>
      <c r="G861" s="22">
        <v>20260320</v>
      </c>
      <c r="H861" s="23" t="b">
        <f t="shared" si="13"/>
        <v>0</v>
      </c>
      <c r="I861" s="24" t="str" cm="1">
        <f t="array" ref="I861">GET_TICKER_FINAL(C861)</f>
        <v/>
      </c>
      <c r="J861" s="5" t="s">
        <v>25</v>
      </c>
    </row>
    <row r="862" spans="1:10" hidden="1">
      <c r="A862" s="20">
        <v>861</v>
      </c>
      <c r="B862" s="19" t="s">
        <v>645</v>
      </c>
      <c r="C862" s="19" t="s">
        <v>162</v>
      </c>
      <c r="D862" s="19">
        <v>3</v>
      </c>
      <c r="E862" s="19">
        <v>0</v>
      </c>
      <c r="F862" s="19">
        <v>1</v>
      </c>
      <c r="G862" s="19">
        <v>20260323</v>
      </c>
      <c r="H862" s="20" t="b">
        <f t="shared" si="13"/>
        <v>0</v>
      </c>
      <c r="I862" s="21" t="str" cm="1">
        <f t="array" ref="I862">GET_TICKER_FINAL(C862)</f>
        <v/>
      </c>
      <c r="J862" s="5" t="s">
        <v>1792</v>
      </c>
    </row>
    <row r="863" spans="1:10" hidden="1">
      <c r="A863" s="23">
        <v>862</v>
      </c>
      <c r="B863" s="22" t="s">
        <v>645</v>
      </c>
      <c r="C863" s="22" t="s">
        <v>210</v>
      </c>
      <c r="D863" s="22">
        <v>3</v>
      </c>
      <c r="E863" s="22">
        <v>1</v>
      </c>
      <c r="F863" s="22">
        <v>0.72</v>
      </c>
      <c r="G863" s="22">
        <v>20260402</v>
      </c>
      <c r="H863" s="23" t="b">
        <f t="shared" si="13"/>
        <v>0</v>
      </c>
      <c r="I863" s="24" t="str" cm="1">
        <f t="array" ref="I863">GET_TICKER_FINAL(C863)</f>
        <v/>
      </c>
      <c r="J863" s="5" t="s">
        <v>1792</v>
      </c>
    </row>
    <row r="864" spans="1:10" hidden="1">
      <c r="A864" s="20">
        <v>863</v>
      </c>
      <c r="B864" s="19" t="s">
        <v>645</v>
      </c>
      <c r="C864" s="19" t="s">
        <v>218</v>
      </c>
      <c r="D864" s="19">
        <v>3</v>
      </c>
      <c r="E864" s="19">
        <v>0</v>
      </c>
      <c r="F864" s="19">
        <v>0.81</v>
      </c>
      <c r="G864" s="19">
        <v>20260323</v>
      </c>
      <c r="H864" s="20" t="b">
        <f t="shared" si="13"/>
        <v>0</v>
      </c>
      <c r="I864" s="21" t="str" cm="1">
        <f t="array" ref="I864">GET_TICKER_FINAL(C864)</f>
        <v/>
      </c>
      <c r="J864" s="5" t="s">
        <v>1792</v>
      </c>
    </row>
    <row r="865" spans="1:10" hidden="1">
      <c r="A865" s="23">
        <v>864</v>
      </c>
      <c r="B865" s="22" t="s">
        <v>645</v>
      </c>
      <c r="C865" s="22" t="s">
        <v>871</v>
      </c>
      <c r="D865" s="22">
        <v>3</v>
      </c>
      <c r="E865" s="22">
        <v>12</v>
      </c>
      <c r="F865" s="22">
        <v>0.55000000000000004</v>
      </c>
      <c r="G865" s="22">
        <v>20260331</v>
      </c>
      <c r="H865" s="23" t="b">
        <f t="shared" si="13"/>
        <v>0</v>
      </c>
      <c r="I865" s="24" t="str" cm="1">
        <f t="array" ref="I865">GET_TICKER_FINAL(C865)</f>
        <v/>
      </c>
      <c r="J865" s="5" t="s">
        <v>1792</v>
      </c>
    </row>
    <row r="866" spans="1:10" hidden="1">
      <c r="A866" s="20">
        <v>865</v>
      </c>
      <c r="B866" s="19" t="s">
        <v>645</v>
      </c>
      <c r="C866" s="19" t="s">
        <v>304</v>
      </c>
      <c r="D866" s="19">
        <v>3</v>
      </c>
      <c r="E866" s="19">
        <v>0</v>
      </c>
      <c r="F866" s="19">
        <v>0.67</v>
      </c>
      <c r="G866" s="19">
        <v>20260402</v>
      </c>
      <c r="H866" s="20" t="b">
        <f t="shared" si="13"/>
        <v>0</v>
      </c>
      <c r="I866" s="21" t="str" cm="1">
        <f t="array" ref="I866">GET_TICKER_FINAL(C866)</f>
        <v/>
      </c>
      <c r="J866" s="5" t="s">
        <v>28</v>
      </c>
    </row>
    <row r="867" spans="1:10" hidden="1">
      <c r="A867" s="23">
        <v>866</v>
      </c>
      <c r="B867" s="22" t="s">
        <v>645</v>
      </c>
      <c r="C867" s="22" t="s">
        <v>239</v>
      </c>
      <c r="D867" s="22">
        <v>3</v>
      </c>
      <c r="E867" s="22">
        <v>0</v>
      </c>
      <c r="F867" s="22">
        <v>0.8</v>
      </c>
      <c r="G867" s="22">
        <v>20260323</v>
      </c>
      <c r="H867" s="23" t="b">
        <f t="shared" si="13"/>
        <v>0</v>
      </c>
      <c r="I867" s="24" t="str" cm="1">
        <f t="array" ref="I867">GET_TICKER_FINAL(C867)</f>
        <v/>
      </c>
      <c r="J867" s="5" t="s">
        <v>1792</v>
      </c>
    </row>
    <row r="868" spans="1:10" hidden="1">
      <c r="A868" s="20">
        <v>867</v>
      </c>
      <c r="B868" s="19" t="s">
        <v>645</v>
      </c>
      <c r="C868" s="19" t="s">
        <v>151</v>
      </c>
      <c r="D868" s="19">
        <v>2</v>
      </c>
      <c r="E868" s="19">
        <v>1</v>
      </c>
      <c r="F868" s="19">
        <v>0.63</v>
      </c>
      <c r="G868" s="19">
        <v>20260402</v>
      </c>
      <c r="H868" s="20" t="b">
        <f t="shared" si="13"/>
        <v>0</v>
      </c>
      <c r="I868" s="21" t="str" cm="1">
        <f t="array" ref="I868">GET_TICKER_FINAL(C868)</f>
        <v/>
      </c>
      <c r="J868" s="5" t="s">
        <v>1792</v>
      </c>
    </row>
    <row r="869" spans="1:10" hidden="1">
      <c r="A869" s="23">
        <v>868</v>
      </c>
      <c r="B869" s="22" t="s">
        <v>645</v>
      </c>
      <c r="C869" s="22" t="s">
        <v>872</v>
      </c>
      <c r="D869" s="22">
        <v>2</v>
      </c>
      <c r="E869" s="22">
        <v>7</v>
      </c>
      <c r="F869" s="22">
        <v>0.75</v>
      </c>
      <c r="G869" s="22">
        <v>20260401</v>
      </c>
      <c r="H869" s="23" t="b">
        <f t="shared" si="13"/>
        <v>0</v>
      </c>
      <c r="I869" s="24" t="str" cm="1">
        <f t="array" ref="I869">GET_TICKER_FINAL(C869)</f>
        <v/>
      </c>
      <c r="J869" s="5" t="s">
        <v>16</v>
      </c>
    </row>
    <row r="870" spans="1:10" hidden="1">
      <c r="A870" s="20">
        <v>869</v>
      </c>
      <c r="B870" s="19" t="s">
        <v>645</v>
      </c>
      <c r="C870" s="19" t="s">
        <v>873</v>
      </c>
      <c r="D870" s="19">
        <v>2</v>
      </c>
      <c r="E870" s="19">
        <v>1</v>
      </c>
      <c r="F870" s="19">
        <v>0.67</v>
      </c>
      <c r="G870" s="19">
        <v>20260320</v>
      </c>
      <c r="H870" s="20" t="b">
        <f t="shared" si="13"/>
        <v>0</v>
      </c>
      <c r="I870" s="21" t="str" cm="1">
        <f t="array" ref="I870">GET_TICKER_FINAL(C870)</f>
        <v/>
      </c>
      <c r="J870" s="5" t="s">
        <v>1792</v>
      </c>
    </row>
    <row r="871" spans="1:10" hidden="1">
      <c r="A871" s="23">
        <v>870</v>
      </c>
      <c r="B871" s="22" t="s">
        <v>645</v>
      </c>
      <c r="C871" s="22" t="s">
        <v>219</v>
      </c>
      <c r="D871" s="22">
        <v>2</v>
      </c>
      <c r="E871" s="22">
        <v>6</v>
      </c>
      <c r="F871" s="22">
        <v>0.75</v>
      </c>
      <c r="G871" s="22">
        <v>20260401</v>
      </c>
      <c r="H871" s="23" t="b">
        <f t="shared" si="13"/>
        <v>0</v>
      </c>
      <c r="I871" s="24" t="str" cm="1">
        <f t="array" ref="I871">GET_TICKER_FINAL(C871)</f>
        <v/>
      </c>
      <c r="J871" s="5" t="s">
        <v>1792</v>
      </c>
    </row>
    <row r="872" spans="1:10" hidden="1">
      <c r="A872" s="20">
        <v>871</v>
      </c>
      <c r="B872" s="19" t="s">
        <v>645</v>
      </c>
      <c r="C872" s="19" t="s">
        <v>874</v>
      </c>
      <c r="D872" s="19">
        <v>2</v>
      </c>
      <c r="E872" s="19">
        <v>0</v>
      </c>
      <c r="F872" s="19">
        <v>1</v>
      </c>
      <c r="G872" s="19">
        <v>20260401</v>
      </c>
      <c r="H872" s="20" t="b">
        <f t="shared" si="13"/>
        <v>0</v>
      </c>
      <c r="I872" s="21" t="str" cm="1">
        <f t="array" ref="I872">GET_TICKER_FINAL(C872)</f>
        <v/>
      </c>
      <c r="J872" s="5" t="s">
        <v>25</v>
      </c>
    </row>
    <row r="873" spans="1:10" hidden="1">
      <c r="A873" s="23">
        <v>872</v>
      </c>
      <c r="B873" s="22" t="s">
        <v>645</v>
      </c>
      <c r="C873" s="22" t="s">
        <v>211</v>
      </c>
      <c r="D873" s="22">
        <v>2</v>
      </c>
      <c r="E873" s="22">
        <v>2</v>
      </c>
      <c r="F873" s="22">
        <v>1</v>
      </c>
      <c r="G873" s="22">
        <v>20260402</v>
      </c>
      <c r="H873" s="23" t="b">
        <f t="shared" si="13"/>
        <v>0</v>
      </c>
      <c r="I873" s="24" t="str" cm="1">
        <f t="array" ref="I873">GET_TICKER_FINAL(C873)</f>
        <v/>
      </c>
      <c r="J873" s="5" t="s">
        <v>1792</v>
      </c>
    </row>
    <row r="874" spans="1:10" hidden="1">
      <c r="A874" s="20">
        <v>873</v>
      </c>
      <c r="B874" s="19" t="s">
        <v>645</v>
      </c>
      <c r="C874" s="19" t="s">
        <v>875</v>
      </c>
      <c r="D874" s="19">
        <v>0</v>
      </c>
      <c r="E874" s="19">
        <v>1</v>
      </c>
      <c r="F874" s="19">
        <v>0.33</v>
      </c>
      <c r="G874" s="19">
        <v>20260402</v>
      </c>
      <c r="H874" s="20" t="b">
        <f t="shared" si="13"/>
        <v>0</v>
      </c>
      <c r="I874" s="21" t="str" cm="1">
        <f t="array" ref="I874">GET_TICKER_FINAL(C874)</f>
        <v/>
      </c>
      <c r="J874" s="5" t="s">
        <v>16</v>
      </c>
    </row>
    <row r="875" spans="1:10" hidden="1">
      <c r="A875" s="23">
        <v>874</v>
      </c>
      <c r="B875" s="22" t="s">
        <v>645</v>
      </c>
      <c r="C875" s="22" t="s">
        <v>876</v>
      </c>
      <c r="D875" s="22">
        <v>0</v>
      </c>
      <c r="E875" s="22">
        <v>59</v>
      </c>
      <c r="F875" s="22">
        <v>0.41</v>
      </c>
      <c r="G875" s="22">
        <v>20260402</v>
      </c>
      <c r="H875" s="23" t="b">
        <f t="shared" si="13"/>
        <v>0</v>
      </c>
      <c r="I875" s="24" t="str" cm="1">
        <f t="array" ref="I875">GET_TICKER_FINAL(C875)</f>
        <v/>
      </c>
      <c r="J875" s="5" t="s">
        <v>1792</v>
      </c>
    </row>
    <row r="876" spans="1:10">
      <c r="A876" s="20">
        <v>875</v>
      </c>
      <c r="B876" s="19" t="s">
        <v>645</v>
      </c>
      <c r="C876" s="19" t="s">
        <v>877</v>
      </c>
      <c r="D876" s="19">
        <v>0</v>
      </c>
      <c r="E876" s="19">
        <v>42</v>
      </c>
      <c r="F876" s="19">
        <v>0.42</v>
      </c>
      <c r="G876" s="19">
        <v>20260402</v>
      </c>
      <c r="H876" s="20" t="b">
        <f t="shared" si="13"/>
        <v>0</v>
      </c>
      <c r="I876" s="21" t="str" cm="1">
        <f t="array" ref="I876">GET_TICKER_FINAL(C876)</f>
        <v>SNAP</v>
      </c>
      <c r="J876" s="5" t="s">
        <v>25</v>
      </c>
    </row>
    <row r="877" spans="1:10" hidden="1">
      <c r="A877" s="23">
        <v>876</v>
      </c>
      <c r="B877" s="22" t="s">
        <v>645</v>
      </c>
      <c r="C877" s="22" t="s">
        <v>878</v>
      </c>
      <c r="D877" s="22">
        <v>0</v>
      </c>
      <c r="E877" s="22">
        <v>1</v>
      </c>
      <c r="F877" s="22">
        <v>0.4</v>
      </c>
      <c r="G877" s="22">
        <v>20260402</v>
      </c>
      <c r="H877" s="23" t="b">
        <f t="shared" si="13"/>
        <v>0</v>
      </c>
      <c r="I877" s="24" t="str" cm="1">
        <f t="array" ref="I877">GET_TICKER_FINAL(C877)</f>
        <v/>
      </c>
      <c r="J877" s="5" t="s">
        <v>28</v>
      </c>
    </row>
    <row r="878" spans="1:10" hidden="1">
      <c r="A878" s="20">
        <v>877</v>
      </c>
      <c r="B878" s="19" t="s">
        <v>645</v>
      </c>
      <c r="C878" s="19" t="s">
        <v>879</v>
      </c>
      <c r="D878" s="19">
        <v>0</v>
      </c>
      <c r="E878" s="19">
        <v>42</v>
      </c>
      <c r="F878" s="19">
        <v>0.35</v>
      </c>
      <c r="G878" s="19">
        <v>20260402</v>
      </c>
      <c r="H878" s="20" t="b">
        <f t="shared" si="13"/>
        <v>0</v>
      </c>
      <c r="I878" s="21" t="str" cm="1">
        <f t="array" ref="I878">GET_TICKER_FINAL(C878)</f>
        <v/>
      </c>
      <c r="J878" s="5" t="s">
        <v>25</v>
      </c>
    </row>
    <row r="879" spans="1:10" hidden="1">
      <c r="A879" s="23">
        <v>878</v>
      </c>
      <c r="B879" s="22" t="s">
        <v>645</v>
      </c>
      <c r="C879" s="22" t="s">
        <v>880</v>
      </c>
      <c r="D879" s="22">
        <v>0</v>
      </c>
      <c r="E879" s="22">
        <v>9</v>
      </c>
      <c r="F879" s="22">
        <v>0.16</v>
      </c>
      <c r="G879" s="22">
        <v>20260402</v>
      </c>
      <c r="H879" s="23" t="b">
        <f t="shared" si="13"/>
        <v>0</v>
      </c>
      <c r="I879" s="24" t="str" cm="1">
        <f t="array" ref="I879">GET_TICKER_FINAL(C879)</f>
        <v/>
      </c>
      <c r="J879" s="5" t="s">
        <v>1792</v>
      </c>
    </row>
    <row r="880" spans="1:10" hidden="1">
      <c r="A880" s="20">
        <v>879</v>
      </c>
      <c r="B880" s="19" t="s">
        <v>645</v>
      </c>
      <c r="C880" s="19" t="s">
        <v>881</v>
      </c>
      <c r="D880" s="19">
        <v>0</v>
      </c>
      <c r="E880" s="19">
        <v>13</v>
      </c>
      <c r="F880" s="19">
        <v>0.39</v>
      </c>
      <c r="G880" s="19">
        <v>20260327</v>
      </c>
      <c r="H880" s="20" t="b">
        <f t="shared" si="13"/>
        <v>0</v>
      </c>
      <c r="I880" s="21" t="str" cm="1">
        <f t="array" ref="I880">GET_TICKER_FINAL(C880)</f>
        <v/>
      </c>
      <c r="J880" s="5" t="s">
        <v>1792</v>
      </c>
    </row>
    <row r="881" spans="1:10" hidden="1">
      <c r="A881" s="23">
        <v>880</v>
      </c>
      <c r="B881" s="22" t="s">
        <v>645</v>
      </c>
      <c r="C881" s="22" t="s">
        <v>882</v>
      </c>
      <c r="D881" s="22">
        <v>0</v>
      </c>
      <c r="E881" s="22">
        <v>14</v>
      </c>
      <c r="F881" s="22">
        <v>0.28999999999999998</v>
      </c>
      <c r="G881" s="22">
        <v>20260326</v>
      </c>
      <c r="H881" s="23" t="b">
        <f t="shared" si="13"/>
        <v>0</v>
      </c>
      <c r="I881" s="24" t="str" cm="1">
        <f t="array" ref="I881">GET_TICKER_FINAL(C881)</f>
        <v/>
      </c>
      <c r="J881" s="5" t="s">
        <v>1792</v>
      </c>
    </row>
    <row r="882" spans="1:10" hidden="1">
      <c r="A882" s="20">
        <v>881</v>
      </c>
      <c r="B882" s="19" t="s">
        <v>645</v>
      </c>
      <c r="C882" s="19" t="s">
        <v>883</v>
      </c>
      <c r="D882" s="19">
        <v>0</v>
      </c>
      <c r="E882" s="19">
        <v>26</v>
      </c>
      <c r="F882" s="19">
        <v>0.3</v>
      </c>
      <c r="G882" s="19">
        <v>20260326</v>
      </c>
      <c r="H882" s="20" t="b">
        <f t="shared" si="13"/>
        <v>0</v>
      </c>
      <c r="I882" s="21" t="str" cm="1">
        <f t="array" ref="I882">GET_TICKER_FINAL(C882)</f>
        <v/>
      </c>
      <c r="J882" s="5" t="s">
        <v>1792</v>
      </c>
    </row>
    <row r="883" spans="1:10" hidden="1">
      <c r="A883" s="23">
        <v>882</v>
      </c>
      <c r="B883" s="22" t="s">
        <v>645</v>
      </c>
      <c r="C883" s="22" t="s">
        <v>884</v>
      </c>
      <c r="D883" s="22">
        <v>0</v>
      </c>
      <c r="E883" s="22">
        <v>34</v>
      </c>
      <c r="F883" s="22">
        <v>0.46</v>
      </c>
      <c r="G883" s="22">
        <v>20260326</v>
      </c>
      <c r="H883" s="23" t="b">
        <f t="shared" si="13"/>
        <v>0</v>
      </c>
      <c r="I883" s="24" t="str" cm="1">
        <f t="array" ref="I883">GET_TICKER_FINAL(C883)</f>
        <v/>
      </c>
      <c r="J883" s="5" t="s">
        <v>28</v>
      </c>
    </row>
    <row r="884" spans="1:10" hidden="1">
      <c r="A884" s="20">
        <v>883</v>
      </c>
      <c r="B884" s="19" t="s">
        <v>645</v>
      </c>
      <c r="C884" s="19" t="s">
        <v>885</v>
      </c>
      <c r="D884" s="19">
        <v>0</v>
      </c>
      <c r="E884" s="19">
        <v>16</v>
      </c>
      <c r="F884" s="19">
        <v>0.41</v>
      </c>
      <c r="G884" s="19">
        <v>20260323</v>
      </c>
      <c r="H884" s="20" t="b">
        <f t="shared" si="13"/>
        <v>0</v>
      </c>
      <c r="I884" s="21" t="str" cm="1">
        <f t="array" ref="I884">GET_TICKER_FINAL(C884)</f>
        <v/>
      </c>
      <c r="J884" s="5" t="s">
        <v>25</v>
      </c>
    </row>
    <row r="885" spans="1:10" hidden="1">
      <c r="A885" s="23">
        <v>884</v>
      </c>
      <c r="B885" s="22" t="s">
        <v>645</v>
      </c>
      <c r="C885" s="22" t="s">
        <v>886</v>
      </c>
      <c r="D885" s="22">
        <v>0</v>
      </c>
      <c r="E885" s="22">
        <v>5</v>
      </c>
      <c r="F885" s="22">
        <v>0.33</v>
      </c>
      <c r="G885" s="22">
        <v>20260323</v>
      </c>
      <c r="H885" s="23" t="b">
        <f t="shared" si="13"/>
        <v>0</v>
      </c>
      <c r="I885" s="24" t="str" cm="1">
        <f t="array" ref="I885">GET_TICKER_FINAL(C885)</f>
        <v/>
      </c>
      <c r="J885" s="5" t="s">
        <v>1792</v>
      </c>
    </row>
    <row r="886" spans="1:10" hidden="1">
      <c r="A886" s="20">
        <v>885</v>
      </c>
      <c r="B886" s="19" t="s">
        <v>645</v>
      </c>
      <c r="C886" s="19" t="s">
        <v>887</v>
      </c>
      <c r="D886" s="19">
        <v>0</v>
      </c>
      <c r="E886" s="19">
        <v>23</v>
      </c>
      <c r="F886" s="19">
        <v>0.48</v>
      </c>
      <c r="G886" s="19">
        <v>20260320</v>
      </c>
      <c r="H886" s="20" t="b">
        <f t="shared" si="13"/>
        <v>1</v>
      </c>
      <c r="I886" s="21" t="str" cm="1">
        <f t="array" ref="I886">GET_TICKER_FINAL(C886)</f>
        <v/>
      </c>
      <c r="J886" s="5" t="s">
        <v>16</v>
      </c>
    </row>
    <row r="887" spans="1:10" hidden="1">
      <c r="A887" s="23">
        <v>886</v>
      </c>
      <c r="B887" s="22" t="s">
        <v>888</v>
      </c>
      <c r="C887" s="22" t="s">
        <v>889</v>
      </c>
      <c r="D887" s="22">
        <v>5624</v>
      </c>
      <c r="E887" s="22">
        <v>578</v>
      </c>
      <c r="F887" s="22">
        <v>0.94</v>
      </c>
      <c r="G887" s="22">
        <v>20260326</v>
      </c>
      <c r="H887" s="23" t="b">
        <f t="shared" si="13"/>
        <v>0</v>
      </c>
      <c r="I887" s="24" t="str" cm="1">
        <f t="array" ref="I887">GET_TICKER_FINAL(C887)</f>
        <v/>
      </c>
      <c r="J887" s="5" t="s">
        <v>25</v>
      </c>
    </row>
    <row r="888" spans="1:10" hidden="1">
      <c r="A888" s="20">
        <v>887</v>
      </c>
      <c r="B888" s="19" t="s">
        <v>888</v>
      </c>
      <c r="C888" s="19" t="s">
        <v>890</v>
      </c>
      <c r="D888" s="19">
        <v>3171</v>
      </c>
      <c r="E888" s="19">
        <v>466</v>
      </c>
      <c r="F888" s="19">
        <v>0.96</v>
      </c>
      <c r="G888" s="19">
        <v>20260402</v>
      </c>
      <c r="H888" s="20" t="b">
        <f t="shared" si="13"/>
        <v>0</v>
      </c>
      <c r="I888" s="21" t="str" cm="1">
        <f t="array" ref="I888">GET_TICKER_FINAL(C888)</f>
        <v/>
      </c>
      <c r="J888" s="5" t="s">
        <v>16</v>
      </c>
    </row>
    <row r="889" spans="1:10">
      <c r="A889" s="23">
        <v>888</v>
      </c>
      <c r="B889" s="22" t="s">
        <v>888</v>
      </c>
      <c r="C889" s="22" t="s">
        <v>891</v>
      </c>
      <c r="D889" s="22">
        <v>3078</v>
      </c>
      <c r="E889" s="22">
        <v>348</v>
      </c>
      <c r="F889" s="22">
        <v>0.96</v>
      </c>
      <c r="G889" s="22">
        <v>20260326</v>
      </c>
      <c r="H889" s="23" t="b">
        <f t="shared" si="13"/>
        <v>0</v>
      </c>
      <c r="I889" s="24" t="str" cm="1">
        <f t="array" ref="I889">GET_TICKER_FINAL(C889)</f>
        <v>SPY</v>
      </c>
      <c r="J889" s="5" t="s">
        <v>16</v>
      </c>
    </row>
    <row r="890" spans="1:10" hidden="1">
      <c r="A890" s="20">
        <v>889</v>
      </c>
      <c r="B890" s="19" t="s">
        <v>888</v>
      </c>
      <c r="C890" s="19" t="s">
        <v>892</v>
      </c>
      <c r="D890" s="19">
        <v>3053</v>
      </c>
      <c r="E890" s="19">
        <v>507</v>
      </c>
      <c r="F890" s="19">
        <v>0.93</v>
      </c>
      <c r="G890" s="19">
        <v>20260402</v>
      </c>
      <c r="H890" s="20" t="b">
        <f t="shared" si="13"/>
        <v>0</v>
      </c>
      <c r="I890" s="21" t="str" cm="1">
        <f t="array" ref="I890">GET_TICKER_FINAL(C890)</f>
        <v/>
      </c>
      <c r="J890" s="5" t="s">
        <v>16</v>
      </c>
    </row>
    <row r="891" spans="1:10" hidden="1">
      <c r="A891" s="23">
        <v>890</v>
      </c>
      <c r="B891" s="22" t="s">
        <v>888</v>
      </c>
      <c r="C891" s="22" t="s">
        <v>893</v>
      </c>
      <c r="D891" s="22">
        <v>2450</v>
      </c>
      <c r="E891" s="22">
        <v>875</v>
      </c>
      <c r="F891" s="22">
        <v>0.92</v>
      </c>
      <c r="G891" s="22">
        <v>20260324</v>
      </c>
      <c r="H891" s="23" t="b">
        <f t="shared" si="13"/>
        <v>0</v>
      </c>
      <c r="I891" s="24" t="str" cm="1">
        <f t="array" ref="I891">GET_TICKER_FINAL(C891)</f>
        <v/>
      </c>
      <c r="J891" s="5" t="s">
        <v>16</v>
      </c>
    </row>
    <row r="892" spans="1:10" hidden="1">
      <c r="A892" s="20">
        <v>891</v>
      </c>
      <c r="B892" s="19" t="s">
        <v>888</v>
      </c>
      <c r="C892" s="19" t="s">
        <v>894</v>
      </c>
      <c r="D892" s="19">
        <v>2279</v>
      </c>
      <c r="E892" s="19">
        <v>175</v>
      </c>
      <c r="F892" s="19">
        <v>0.95</v>
      </c>
      <c r="G892" s="19">
        <v>20260402</v>
      </c>
      <c r="H892" s="20" t="b">
        <f t="shared" si="13"/>
        <v>0</v>
      </c>
      <c r="I892" s="21" t="str" cm="1">
        <f t="array" ref="I892">GET_TICKER_FINAL(C892)</f>
        <v/>
      </c>
      <c r="J892" s="5" t="s">
        <v>16</v>
      </c>
    </row>
    <row r="893" spans="1:10" hidden="1">
      <c r="A893" s="23">
        <v>892</v>
      </c>
      <c r="B893" s="22" t="s">
        <v>888</v>
      </c>
      <c r="C893" s="22" t="s">
        <v>895</v>
      </c>
      <c r="D893" s="22">
        <v>2143</v>
      </c>
      <c r="E893" s="22">
        <v>1168</v>
      </c>
      <c r="F893" s="22">
        <v>0.87</v>
      </c>
      <c r="G893" s="22">
        <v>20260331</v>
      </c>
      <c r="H893" s="23" t="b">
        <f t="shared" si="13"/>
        <v>0</v>
      </c>
      <c r="I893" s="24" t="str" cm="1">
        <f t="array" ref="I893">GET_TICKER_FINAL(C893)</f>
        <v/>
      </c>
      <c r="J893" s="5" t="s">
        <v>16</v>
      </c>
    </row>
    <row r="894" spans="1:10" hidden="1">
      <c r="A894" s="20">
        <v>893</v>
      </c>
      <c r="B894" s="19" t="s">
        <v>888</v>
      </c>
      <c r="C894" s="19" t="s">
        <v>896</v>
      </c>
      <c r="D894" s="19">
        <v>2105</v>
      </c>
      <c r="E894" s="19">
        <v>56</v>
      </c>
      <c r="F894" s="19">
        <v>0.96</v>
      </c>
      <c r="G894" s="19">
        <v>20260324</v>
      </c>
      <c r="H894" s="20" t="b">
        <f t="shared" si="13"/>
        <v>0</v>
      </c>
      <c r="I894" s="21" t="str" cm="1">
        <f t="array" ref="I894">GET_TICKER_FINAL(C894)</f>
        <v/>
      </c>
      <c r="J894" s="5" t="s">
        <v>25</v>
      </c>
    </row>
    <row r="895" spans="1:10" hidden="1">
      <c r="A895" s="23">
        <v>894</v>
      </c>
      <c r="B895" s="22" t="s">
        <v>888</v>
      </c>
      <c r="C895" s="22" t="s">
        <v>897</v>
      </c>
      <c r="D895" s="22">
        <v>1975</v>
      </c>
      <c r="E895" s="22">
        <v>607</v>
      </c>
      <c r="F895" s="22">
        <v>0.91</v>
      </c>
      <c r="G895" s="22">
        <v>20260326</v>
      </c>
      <c r="H895" s="23" t="b">
        <f t="shared" si="13"/>
        <v>0</v>
      </c>
      <c r="I895" s="24" t="str" cm="1">
        <f t="array" ref="I895">GET_TICKER_FINAL(C895)</f>
        <v/>
      </c>
      <c r="J895" s="5" t="s">
        <v>16</v>
      </c>
    </row>
    <row r="896" spans="1:10" hidden="1">
      <c r="A896" s="20">
        <v>895</v>
      </c>
      <c r="B896" s="19" t="s">
        <v>888</v>
      </c>
      <c r="C896" s="19" t="s">
        <v>898</v>
      </c>
      <c r="D896" s="19">
        <v>1904</v>
      </c>
      <c r="E896" s="19">
        <v>204</v>
      </c>
      <c r="F896" s="19">
        <v>0.98</v>
      </c>
      <c r="G896" s="19">
        <v>20260331</v>
      </c>
      <c r="H896" s="20" t="b">
        <f t="shared" si="13"/>
        <v>0</v>
      </c>
      <c r="I896" s="21" t="str" cm="1">
        <f t="array" ref="I896">GET_TICKER_FINAL(C896)</f>
        <v/>
      </c>
      <c r="J896" s="5" t="s">
        <v>16</v>
      </c>
    </row>
    <row r="897" spans="1:10">
      <c r="A897" s="23">
        <v>896</v>
      </c>
      <c r="B897" s="22" t="s">
        <v>888</v>
      </c>
      <c r="C897" s="22" t="s">
        <v>899</v>
      </c>
      <c r="D897" s="22">
        <v>1878</v>
      </c>
      <c r="E897" s="22">
        <v>538</v>
      </c>
      <c r="F897" s="22">
        <v>0.89</v>
      </c>
      <c r="G897" s="22">
        <v>20260327</v>
      </c>
      <c r="H897" s="23" t="b">
        <f t="shared" si="13"/>
        <v>0</v>
      </c>
      <c r="I897" s="24" t="str" cm="1">
        <f t="array" ref="I897">GET_TICKER_FINAL(C897)</f>
        <v>PLTR</v>
      </c>
      <c r="J897" s="5" t="s">
        <v>16</v>
      </c>
    </row>
    <row r="898" spans="1:10" hidden="1">
      <c r="A898" s="20">
        <v>897</v>
      </c>
      <c r="B898" s="19" t="s">
        <v>888</v>
      </c>
      <c r="C898" s="19" t="s">
        <v>900</v>
      </c>
      <c r="D898" s="19">
        <v>1728</v>
      </c>
      <c r="E898" s="19">
        <v>684</v>
      </c>
      <c r="F898" s="19">
        <v>0.95</v>
      </c>
      <c r="G898" s="19">
        <v>20260401</v>
      </c>
      <c r="H898" s="20" t="b">
        <f t="shared" si="13"/>
        <v>0</v>
      </c>
      <c r="I898" s="21" t="str" cm="1">
        <f t="array" ref="I898">GET_TICKER_FINAL(C898)</f>
        <v/>
      </c>
      <c r="J898" s="5" t="s">
        <v>16</v>
      </c>
    </row>
    <row r="899" spans="1:10" hidden="1">
      <c r="A899" s="23">
        <v>898</v>
      </c>
      <c r="B899" s="22" t="s">
        <v>888</v>
      </c>
      <c r="C899" s="22" t="s">
        <v>901</v>
      </c>
      <c r="D899" s="22">
        <v>1628</v>
      </c>
      <c r="E899" s="22">
        <v>323</v>
      </c>
      <c r="F899" s="22">
        <v>0.94</v>
      </c>
      <c r="G899" s="22">
        <v>20260323</v>
      </c>
      <c r="H899" s="23" t="b">
        <f t="shared" ref="H899:H962" si="14">OR(ISNUMBER(SEARCH("$A",C899)),ISNUMBER(SEARCH("$B",C899)),ISNUMBER(SEARCH("$C",C899)),ISNUMBER(SEARCH("$D",C899)),ISNUMBER(SEARCH("$E",C899)),ISNUMBER(SEARCH("$F",C899)),ISNUMBER(SEARCH("$G",C899)),ISNUMBER(SEARCH("$H",C899)),ISNUMBER(SEARCH("$I",C899)),ISNUMBER(SEARCH("$J",C899)),ISNUMBER(SEARCH("$K",C899)),ISNUMBER(SEARCH("$L",C899)),ISNUMBER(SEARCH("$M",C899)),ISNUMBER(SEARCH("$N",C899)),ISNUMBER(SEARCH("$O",C899)),ISNUMBER(SEARCH("$P",C899)),ISNUMBER(SEARCH("$Q",C899)),ISNUMBER(SEARCH("$R",C899)),ISNUMBER(SEARCH("$S",C899)),ISNUMBER(SEARCH("$T",C899)),ISNUMBER(SEARCH("$U",C899)),ISNUMBER(SEARCH("$V",C899)),ISNUMBER(SEARCH("$W",C899)),ISNUMBER(SEARCH("$X",C899)),ISNUMBER(SEARCH("$Y",C899)),ISNUMBER(SEARCH("$Z",C899)))</f>
        <v>0</v>
      </c>
      <c r="I899" s="24" t="str" cm="1">
        <f t="array" ref="I899">GET_TICKER_FINAL(C899)</f>
        <v/>
      </c>
      <c r="J899" s="5" t="s">
        <v>16</v>
      </c>
    </row>
    <row r="900" spans="1:10" hidden="1">
      <c r="A900" s="20">
        <v>899</v>
      </c>
      <c r="B900" s="19" t="s">
        <v>888</v>
      </c>
      <c r="C900" s="19" t="s">
        <v>902</v>
      </c>
      <c r="D900" s="19">
        <v>1607</v>
      </c>
      <c r="E900" s="19">
        <v>275</v>
      </c>
      <c r="F900" s="19">
        <v>0.95</v>
      </c>
      <c r="G900" s="19">
        <v>20260330</v>
      </c>
      <c r="H900" s="20" t="b">
        <f t="shared" si="14"/>
        <v>0</v>
      </c>
      <c r="I900" s="21" t="str" cm="1">
        <f t="array" ref="I900">GET_TICKER_FINAL(C900)</f>
        <v/>
      </c>
      <c r="J900" s="5" t="s">
        <v>16</v>
      </c>
    </row>
    <row r="901" spans="1:10" hidden="1">
      <c r="A901" s="23">
        <v>900</v>
      </c>
      <c r="B901" s="22" t="s">
        <v>888</v>
      </c>
      <c r="C901" s="22" t="s">
        <v>903</v>
      </c>
      <c r="D901" s="22">
        <v>1579</v>
      </c>
      <c r="E901" s="22">
        <v>325</v>
      </c>
      <c r="F901" s="22">
        <v>0.9</v>
      </c>
      <c r="G901" s="22">
        <v>20260402</v>
      </c>
      <c r="H901" s="23" t="b">
        <f t="shared" si="14"/>
        <v>0</v>
      </c>
      <c r="I901" s="24" t="str" cm="1">
        <f t="array" ref="I901">GET_TICKER_FINAL(C901)</f>
        <v/>
      </c>
      <c r="J901" s="5" t="s">
        <v>25</v>
      </c>
    </row>
    <row r="902" spans="1:10" hidden="1">
      <c r="A902" s="20">
        <v>901</v>
      </c>
      <c r="B902" s="19" t="s">
        <v>888</v>
      </c>
      <c r="C902" s="19" t="s">
        <v>904</v>
      </c>
      <c r="D902" s="19">
        <v>1528</v>
      </c>
      <c r="E902" s="19">
        <v>341</v>
      </c>
      <c r="F902" s="19">
        <v>0.93</v>
      </c>
      <c r="G902" s="19">
        <v>20260326</v>
      </c>
      <c r="H902" s="20" t="b">
        <f t="shared" si="14"/>
        <v>0</v>
      </c>
      <c r="I902" s="21" t="str" cm="1">
        <f t="array" ref="I902">GET_TICKER_FINAL(C902)</f>
        <v/>
      </c>
      <c r="J902" s="5" t="s">
        <v>28</v>
      </c>
    </row>
    <row r="903" spans="1:10" hidden="1">
      <c r="A903" s="23">
        <v>902</v>
      </c>
      <c r="B903" s="22" t="s">
        <v>888</v>
      </c>
      <c r="C903" s="22" t="s">
        <v>905</v>
      </c>
      <c r="D903" s="22">
        <v>1475</v>
      </c>
      <c r="E903" s="22">
        <v>833</v>
      </c>
      <c r="F903" s="22">
        <v>0.8</v>
      </c>
      <c r="G903" s="22">
        <v>20260327</v>
      </c>
      <c r="H903" s="23" t="b">
        <f t="shared" si="14"/>
        <v>0</v>
      </c>
      <c r="I903" s="24" t="str" cm="1">
        <f t="array" ref="I903">GET_TICKER_FINAL(C903)</f>
        <v/>
      </c>
      <c r="J903" s="5" t="s">
        <v>16</v>
      </c>
    </row>
    <row r="904" spans="1:10" hidden="1">
      <c r="A904" s="20">
        <v>903</v>
      </c>
      <c r="B904" s="19" t="s">
        <v>888</v>
      </c>
      <c r="C904" s="19" t="s">
        <v>906</v>
      </c>
      <c r="D904" s="19">
        <v>1441</v>
      </c>
      <c r="E904" s="19">
        <v>570</v>
      </c>
      <c r="F904" s="19">
        <v>0.91</v>
      </c>
      <c r="G904" s="19">
        <v>20260402</v>
      </c>
      <c r="H904" s="20" t="b">
        <f t="shared" si="14"/>
        <v>0</v>
      </c>
      <c r="I904" s="21" t="str" cm="1">
        <f t="array" ref="I904">GET_TICKER_FINAL(C904)</f>
        <v/>
      </c>
      <c r="J904" s="5" t="s">
        <v>25</v>
      </c>
    </row>
    <row r="905" spans="1:10">
      <c r="A905" s="23">
        <v>904</v>
      </c>
      <c r="B905" s="22" t="s">
        <v>888</v>
      </c>
      <c r="C905" s="22" t="s">
        <v>907</v>
      </c>
      <c r="D905" s="22">
        <v>1265</v>
      </c>
      <c r="E905" s="22">
        <v>300</v>
      </c>
      <c r="F905" s="22">
        <v>0.94</v>
      </c>
      <c r="G905" s="22">
        <v>20260331</v>
      </c>
      <c r="H905" s="23" t="b">
        <f t="shared" si="14"/>
        <v>0</v>
      </c>
      <c r="I905" s="24" t="str" cm="1">
        <f t="array" ref="I905">GET_TICKER_FINAL(C905)</f>
        <v>MSFT</v>
      </c>
      <c r="J905" s="5" t="s">
        <v>16</v>
      </c>
    </row>
    <row r="906" spans="1:10" hidden="1">
      <c r="A906" s="20">
        <v>905</v>
      </c>
      <c r="B906" s="19" t="s">
        <v>888</v>
      </c>
      <c r="C906" s="19" t="s">
        <v>908</v>
      </c>
      <c r="D906" s="19">
        <v>1198</v>
      </c>
      <c r="E906" s="19">
        <v>227</v>
      </c>
      <c r="F906" s="19">
        <v>0.93</v>
      </c>
      <c r="G906" s="19">
        <v>20260323</v>
      </c>
      <c r="H906" s="20" t="b">
        <f t="shared" si="14"/>
        <v>0</v>
      </c>
      <c r="I906" s="21" t="str" cm="1">
        <f t="array" ref="I906">GET_TICKER_FINAL(C906)</f>
        <v/>
      </c>
      <c r="J906" s="5" t="s">
        <v>16</v>
      </c>
    </row>
    <row r="907" spans="1:10" hidden="1">
      <c r="A907" s="23">
        <v>906</v>
      </c>
      <c r="B907" s="22" t="s">
        <v>888</v>
      </c>
      <c r="C907" s="22" t="s">
        <v>909</v>
      </c>
      <c r="D907" s="22">
        <v>1151</v>
      </c>
      <c r="E907" s="22">
        <v>156</v>
      </c>
      <c r="F907" s="22">
        <v>0.95</v>
      </c>
      <c r="G907" s="22">
        <v>20260331</v>
      </c>
      <c r="H907" s="23" t="b">
        <f t="shared" si="14"/>
        <v>0</v>
      </c>
      <c r="I907" s="24" t="str" cm="1">
        <f t="array" ref="I907">GET_TICKER_FINAL(C907)</f>
        <v/>
      </c>
      <c r="J907" s="5" t="s">
        <v>16</v>
      </c>
    </row>
    <row r="908" spans="1:10" hidden="1">
      <c r="A908" s="20">
        <v>907</v>
      </c>
      <c r="B908" s="19" t="s">
        <v>888</v>
      </c>
      <c r="C908" s="19" t="s">
        <v>910</v>
      </c>
      <c r="D908" s="19">
        <v>1145</v>
      </c>
      <c r="E908" s="19">
        <v>686</v>
      </c>
      <c r="F908" s="19">
        <v>0.89</v>
      </c>
      <c r="G908" s="19">
        <v>20260402</v>
      </c>
      <c r="H908" s="20" t="b">
        <f t="shared" si="14"/>
        <v>0</v>
      </c>
      <c r="I908" s="21" t="str" cm="1">
        <f t="array" ref="I908">GET_TICKER_FINAL(C908)</f>
        <v/>
      </c>
      <c r="J908" s="5" t="s">
        <v>25</v>
      </c>
    </row>
    <row r="909" spans="1:10" hidden="1">
      <c r="A909" s="23">
        <v>908</v>
      </c>
      <c r="B909" s="22" t="s">
        <v>888</v>
      </c>
      <c r="C909" s="22" t="s">
        <v>911</v>
      </c>
      <c r="D909" s="22">
        <v>1046</v>
      </c>
      <c r="E909" s="22">
        <v>620</v>
      </c>
      <c r="F909" s="22">
        <v>0.81</v>
      </c>
      <c r="G909" s="22">
        <v>20260331</v>
      </c>
      <c r="H909" s="23" t="b">
        <f t="shared" si="14"/>
        <v>0</v>
      </c>
      <c r="I909" s="24" t="str" cm="1">
        <f t="array" ref="I909">GET_TICKER_FINAL(C909)</f>
        <v/>
      </c>
      <c r="J909" s="5" t="s">
        <v>16</v>
      </c>
    </row>
    <row r="910" spans="1:10" hidden="1">
      <c r="A910" s="20">
        <v>909</v>
      </c>
      <c r="B910" s="19" t="s">
        <v>888</v>
      </c>
      <c r="C910" s="19" t="s">
        <v>912</v>
      </c>
      <c r="D910" s="19">
        <v>998</v>
      </c>
      <c r="E910" s="19">
        <v>345</v>
      </c>
      <c r="F910" s="19">
        <v>0.98</v>
      </c>
      <c r="G910" s="19">
        <v>20260323</v>
      </c>
      <c r="H910" s="20" t="b">
        <f t="shared" si="14"/>
        <v>0</v>
      </c>
      <c r="I910" s="21" t="str" cm="1">
        <f t="array" ref="I910">GET_TICKER_FINAL(C910)</f>
        <v/>
      </c>
      <c r="J910" s="5" t="s">
        <v>16</v>
      </c>
    </row>
    <row r="911" spans="1:10" hidden="1">
      <c r="A911" s="23">
        <v>910</v>
      </c>
      <c r="B911" s="22" t="s">
        <v>888</v>
      </c>
      <c r="C911" s="22" t="s">
        <v>913</v>
      </c>
      <c r="D911" s="22">
        <v>985</v>
      </c>
      <c r="E911" s="22">
        <v>235</v>
      </c>
      <c r="F911" s="22">
        <v>0.94</v>
      </c>
      <c r="G911" s="22">
        <v>20260327</v>
      </c>
      <c r="H911" s="23" t="b">
        <f t="shared" si="14"/>
        <v>0</v>
      </c>
      <c r="I911" s="24" t="str" cm="1">
        <f t="array" ref="I911">GET_TICKER_FINAL(C911)</f>
        <v/>
      </c>
      <c r="J911" s="5" t="s">
        <v>1792</v>
      </c>
    </row>
    <row r="912" spans="1:10" hidden="1">
      <c r="A912" s="20">
        <v>911</v>
      </c>
      <c r="B912" s="19" t="s">
        <v>888</v>
      </c>
      <c r="C912" s="19" t="s">
        <v>914</v>
      </c>
      <c r="D912" s="19">
        <v>984</v>
      </c>
      <c r="E912" s="19">
        <v>552</v>
      </c>
      <c r="F912" s="19">
        <v>0.86</v>
      </c>
      <c r="G912" s="19">
        <v>20260323</v>
      </c>
      <c r="H912" s="20" t="b">
        <f t="shared" si="14"/>
        <v>0</v>
      </c>
      <c r="I912" s="21" t="str" cm="1">
        <f t="array" ref="I912">GET_TICKER_FINAL(C912)</f>
        <v/>
      </c>
      <c r="J912" s="5" t="s">
        <v>25</v>
      </c>
    </row>
    <row r="913" spans="1:10" hidden="1">
      <c r="A913" s="23">
        <v>912</v>
      </c>
      <c r="B913" s="22" t="s">
        <v>888</v>
      </c>
      <c r="C913" s="22" t="s">
        <v>915</v>
      </c>
      <c r="D913" s="22">
        <v>956</v>
      </c>
      <c r="E913" s="22">
        <v>601</v>
      </c>
      <c r="F913" s="22">
        <v>0.94</v>
      </c>
      <c r="G913" s="22">
        <v>20260324</v>
      </c>
      <c r="H913" s="23" t="b">
        <f t="shared" si="14"/>
        <v>0</v>
      </c>
      <c r="I913" s="24" t="str" cm="1">
        <f t="array" ref="I913">GET_TICKER_FINAL(C913)</f>
        <v/>
      </c>
      <c r="J913" s="5" t="s">
        <v>28</v>
      </c>
    </row>
    <row r="914" spans="1:10" hidden="1">
      <c r="A914" s="20">
        <v>913</v>
      </c>
      <c r="B914" s="19" t="s">
        <v>888</v>
      </c>
      <c r="C914" s="19" t="s">
        <v>916</v>
      </c>
      <c r="D914" s="19">
        <v>951</v>
      </c>
      <c r="E914" s="19">
        <v>294</v>
      </c>
      <c r="F914" s="19">
        <v>0.88</v>
      </c>
      <c r="G914" s="19">
        <v>20260402</v>
      </c>
      <c r="H914" s="20" t="b">
        <f t="shared" si="14"/>
        <v>0</v>
      </c>
      <c r="I914" s="21" t="str" cm="1">
        <f t="array" ref="I914">GET_TICKER_FINAL(C914)</f>
        <v/>
      </c>
      <c r="J914" s="5" t="s">
        <v>25</v>
      </c>
    </row>
    <row r="915" spans="1:10" hidden="1">
      <c r="A915" s="23">
        <v>914</v>
      </c>
      <c r="B915" s="22" t="s">
        <v>888</v>
      </c>
      <c r="C915" s="22" t="s">
        <v>917</v>
      </c>
      <c r="D915" s="22">
        <v>933</v>
      </c>
      <c r="E915" s="22">
        <v>193</v>
      </c>
      <c r="F915" s="22">
        <v>0.97</v>
      </c>
      <c r="G915" s="22">
        <v>20260402</v>
      </c>
      <c r="H915" s="23" t="b">
        <f t="shared" si="14"/>
        <v>0</v>
      </c>
      <c r="I915" s="24" t="str" cm="1">
        <f t="array" ref="I915">GET_TICKER_FINAL(C915)</f>
        <v/>
      </c>
      <c r="J915" s="5" t="s">
        <v>14</v>
      </c>
    </row>
    <row r="916" spans="1:10" hidden="1">
      <c r="A916" s="20">
        <v>915</v>
      </c>
      <c r="B916" s="19" t="s">
        <v>888</v>
      </c>
      <c r="C916" s="19" t="s">
        <v>918</v>
      </c>
      <c r="D916" s="19">
        <v>885</v>
      </c>
      <c r="E916" s="19">
        <v>579</v>
      </c>
      <c r="F916" s="19">
        <v>0.86</v>
      </c>
      <c r="G916" s="19">
        <v>20260402</v>
      </c>
      <c r="H916" s="20" t="b">
        <f t="shared" si="14"/>
        <v>0</v>
      </c>
      <c r="I916" s="21" t="str" cm="1">
        <f t="array" ref="I916">GET_TICKER_FINAL(C916)</f>
        <v/>
      </c>
      <c r="J916" s="5" t="s">
        <v>1792</v>
      </c>
    </row>
    <row r="917" spans="1:10" hidden="1">
      <c r="A917" s="23">
        <v>916</v>
      </c>
      <c r="B917" s="22" t="s">
        <v>888</v>
      </c>
      <c r="C917" s="22" t="s">
        <v>919</v>
      </c>
      <c r="D917" s="22">
        <v>883</v>
      </c>
      <c r="E917" s="22">
        <v>1094</v>
      </c>
      <c r="F917" s="22">
        <v>0.9</v>
      </c>
      <c r="G917" s="22">
        <v>20260326</v>
      </c>
      <c r="H917" s="23" t="b">
        <f t="shared" si="14"/>
        <v>0</v>
      </c>
      <c r="I917" s="24" t="str" cm="1">
        <f t="array" ref="I917">GET_TICKER_FINAL(C917)</f>
        <v/>
      </c>
      <c r="J917" s="5" t="s">
        <v>25</v>
      </c>
    </row>
    <row r="918" spans="1:10">
      <c r="A918" s="20">
        <v>917</v>
      </c>
      <c r="B918" s="19" t="s">
        <v>888</v>
      </c>
      <c r="C918" s="19" t="s">
        <v>920</v>
      </c>
      <c r="D918" s="19">
        <v>881</v>
      </c>
      <c r="E918" s="19">
        <v>428</v>
      </c>
      <c r="F918" s="19">
        <v>0.81</v>
      </c>
      <c r="G918" s="19">
        <v>20260330</v>
      </c>
      <c r="H918" s="20" t="b">
        <f t="shared" si="14"/>
        <v>0</v>
      </c>
      <c r="I918" s="21" t="str" cm="1">
        <f t="array" ref="I918">GET_TICKER_FINAL(C918)</f>
        <v>SPY</v>
      </c>
      <c r="J918" s="5" t="s">
        <v>25</v>
      </c>
    </row>
    <row r="919" spans="1:10" hidden="1">
      <c r="A919" s="23">
        <v>918</v>
      </c>
      <c r="B919" s="22" t="s">
        <v>888</v>
      </c>
      <c r="C919" s="22" t="s">
        <v>921</v>
      </c>
      <c r="D919" s="22">
        <v>847</v>
      </c>
      <c r="E919" s="22">
        <v>517</v>
      </c>
      <c r="F919" s="22">
        <v>0.84</v>
      </c>
      <c r="G919" s="22">
        <v>20260331</v>
      </c>
      <c r="H919" s="23" t="b">
        <f t="shared" si="14"/>
        <v>0</v>
      </c>
      <c r="I919" s="24" t="str" cm="1">
        <f t="array" ref="I919">GET_TICKER_FINAL(C919)</f>
        <v/>
      </c>
      <c r="J919" s="5" t="s">
        <v>16</v>
      </c>
    </row>
    <row r="920" spans="1:10" hidden="1">
      <c r="A920" s="20">
        <v>919</v>
      </c>
      <c r="B920" s="19" t="s">
        <v>888</v>
      </c>
      <c r="C920" s="19" t="s">
        <v>922</v>
      </c>
      <c r="D920" s="19">
        <v>846</v>
      </c>
      <c r="E920" s="19">
        <v>396</v>
      </c>
      <c r="F920" s="19">
        <v>0.74</v>
      </c>
      <c r="G920" s="19">
        <v>20260402</v>
      </c>
      <c r="H920" s="20" t="b">
        <f t="shared" si="14"/>
        <v>0</v>
      </c>
      <c r="I920" s="21" t="str" cm="1">
        <f t="array" ref="I920">GET_TICKER_FINAL(C920)</f>
        <v/>
      </c>
      <c r="J920" s="5" t="s">
        <v>16</v>
      </c>
    </row>
    <row r="921" spans="1:10" hidden="1">
      <c r="A921" s="23">
        <v>920</v>
      </c>
      <c r="B921" s="22" t="s">
        <v>888</v>
      </c>
      <c r="C921" s="22" t="s">
        <v>923</v>
      </c>
      <c r="D921" s="22">
        <v>830</v>
      </c>
      <c r="E921" s="22">
        <v>360</v>
      </c>
      <c r="F921" s="22">
        <v>0.89</v>
      </c>
      <c r="G921" s="22">
        <v>20260323</v>
      </c>
      <c r="H921" s="23" t="b">
        <f t="shared" si="14"/>
        <v>0</v>
      </c>
      <c r="I921" s="24" t="str" cm="1">
        <f t="array" ref="I921">GET_TICKER_FINAL(C921)</f>
        <v/>
      </c>
      <c r="J921" s="5" t="s">
        <v>16</v>
      </c>
    </row>
    <row r="922" spans="1:10" hidden="1">
      <c r="A922" s="20">
        <v>921</v>
      </c>
      <c r="B922" s="19" t="s">
        <v>888</v>
      </c>
      <c r="C922" s="19" t="s">
        <v>924</v>
      </c>
      <c r="D922" s="19">
        <v>826</v>
      </c>
      <c r="E922" s="19">
        <v>159</v>
      </c>
      <c r="F922" s="19">
        <v>0.96</v>
      </c>
      <c r="G922" s="19">
        <v>20260326</v>
      </c>
      <c r="H922" s="20" t="b">
        <f t="shared" si="14"/>
        <v>0</v>
      </c>
      <c r="I922" s="21" t="str" cm="1">
        <f t="array" ref="I922">GET_TICKER_FINAL(C922)</f>
        <v/>
      </c>
      <c r="J922" s="5" t="s">
        <v>16</v>
      </c>
    </row>
    <row r="923" spans="1:10" hidden="1">
      <c r="A923" s="23">
        <v>922</v>
      </c>
      <c r="B923" s="22" t="s">
        <v>888</v>
      </c>
      <c r="C923" s="22" t="s">
        <v>925</v>
      </c>
      <c r="D923" s="22">
        <v>826</v>
      </c>
      <c r="E923" s="22">
        <v>359</v>
      </c>
      <c r="F923" s="22">
        <v>0.94</v>
      </c>
      <c r="G923" s="22">
        <v>20260323</v>
      </c>
      <c r="H923" s="23" t="b">
        <f t="shared" si="14"/>
        <v>0</v>
      </c>
      <c r="I923" s="24" t="str" cm="1">
        <f t="array" ref="I923">GET_TICKER_FINAL(C923)</f>
        <v/>
      </c>
      <c r="J923" s="5" t="s">
        <v>16</v>
      </c>
    </row>
    <row r="924" spans="1:10">
      <c r="A924" s="20">
        <v>923</v>
      </c>
      <c r="B924" s="19" t="s">
        <v>888</v>
      </c>
      <c r="C924" s="19" t="s">
        <v>926</v>
      </c>
      <c r="D924" s="19">
        <v>815</v>
      </c>
      <c r="E924" s="19">
        <v>337</v>
      </c>
      <c r="F924" s="19">
        <v>0.96</v>
      </c>
      <c r="G924" s="19">
        <v>20260327</v>
      </c>
      <c r="H924" s="20" t="b">
        <f t="shared" si="14"/>
        <v>0</v>
      </c>
      <c r="I924" s="21" t="str" cm="1">
        <f t="array" ref="I924">GET_TICKER_FINAL(C924)</f>
        <v>GOOGL</v>
      </c>
      <c r="J924" s="5" t="s">
        <v>25</v>
      </c>
    </row>
    <row r="925" spans="1:10" hidden="1">
      <c r="A925" s="23">
        <v>924</v>
      </c>
      <c r="B925" s="22" t="s">
        <v>888</v>
      </c>
      <c r="C925" s="22" t="s">
        <v>927</v>
      </c>
      <c r="D925" s="22">
        <v>813</v>
      </c>
      <c r="E925" s="22">
        <v>137</v>
      </c>
      <c r="F925" s="22">
        <v>0.98</v>
      </c>
      <c r="G925" s="22">
        <v>20260323</v>
      </c>
      <c r="H925" s="23" t="b">
        <f t="shared" si="14"/>
        <v>0</v>
      </c>
      <c r="I925" s="24" t="str" cm="1">
        <f t="array" ref="I925">GET_TICKER_FINAL(C925)</f>
        <v/>
      </c>
      <c r="J925" s="5" t="s">
        <v>16</v>
      </c>
    </row>
    <row r="926" spans="1:10" hidden="1">
      <c r="A926" s="20">
        <v>925</v>
      </c>
      <c r="B926" s="19" t="s">
        <v>888</v>
      </c>
      <c r="C926" s="19" t="s">
        <v>928</v>
      </c>
      <c r="D926" s="19">
        <v>807</v>
      </c>
      <c r="E926" s="19">
        <v>230</v>
      </c>
      <c r="F926" s="19">
        <v>0.8</v>
      </c>
      <c r="G926" s="19">
        <v>20260331</v>
      </c>
      <c r="H926" s="20" t="b">
        <f t="shared" si="14"/>
        <v>0</v>
      </c>
      <c r="I926" s="21" t="str" cm="1">
        <f t="array" ref="I926">GET_TICKER_FINAL(C926)</f>
        <v/>
      </c>
      <c r="J926" s="5" t="s">
        <v>16</v>
      </c>
    </row>
    <row r="927" spans="1:10" hidden="1">
      <c r="A927" s="23">
        <v>926</v>
      </c>
      <c r="B927" s="22" t="s">
        <v>888</v>
      </c>
      <c r="C927" s="22" t="s">
        <v>929</v>
      </c>
      <c r="D927" s="22">
        <v>805</v>
      </c>
      <c r="E927" s="22">
        <v>106</v>
      </c>
      <c r="F927" s="22">
        <v>0.94</v>
      </c>
      <c r="G927" s="22">
        <v>20260323</v>
      </c>
      <c r="H927" s="23" t="b">
        <f t="shared" si="14"/>
        <v>0</v>
      </c>
      <c r="I927" s="24" t="str" cm="1">
        <f t="array" ref="I927">GET_TICKER_FINAL(C927)</f>
        <v/>
      </c>
      <c r="J927" s="5" t="s">
        <v>16</v>
      </c>
    </row>
    <row r="928" spans="1:10" hidden="1">
      <c r="A928" s="20">
        <v>927</v>
      </c>
      <c r="B928" s="19" t="s">
        <v>888</v>
      </c>
      <c r="C928" s="19" t="s">
        <v>930</v>
      </c>
      <c r="D928" s="19">
        <v>777</v>
      </c>
      <c r="E928" s="19">
        <v>417</v>
      </c>
      <c r="F928" s="19">
        <v>0.94</v>
      </c>
      <c r="G928" s="19">
        <v>20260330</v>
      </c>
      <c r="H928" s="20" t="b">
        <f t="shared" si="14"/>
        <v>0</v>
      </c>
      <c r="I928" s="21" t="str" cm="1">
        <f t="array" ref="I928">GET_TICKER_FINAL(C928)</f>
        <v/>
      </c>
      <c r="J928" s="5" t="s">
        <v>1792</v>
      </c>
    </row>
    <row r="929" spans="1:10" hidden="1">
      <c r="A929" s="23">
        <v>928</v>
      </c>
      <c r="B929" s="22" t="s">
        <v>888</v>
      </c>
      <c r="C929" s="22" t="s">
        <v>931</v>
      </c>
      <c r="D929" s="22">
        <v>775</v>
      </c>
      <c r="E929" s="22">
        <v>496</v>
      </c>
      <c r="F929" s="22">
        <v>0.89</v>
      </c>
      <c r="G929" s="22">
        <v>20260401</v>
      </c>
      <c r="H929" s="23" t="b">
        <f t="shared" si="14"/>
        <v>0</v>
      </c>
      <c r="I929" s="24" t="str" cm="1">
        <f t="array" ref="I929">GET_TICKER_FINAL(C929)</f>
        <v/>
      </c>
      <c r="J929" s="5" t="s">
        <v>28</v>
      </c>
    </row>
    <row r="930" spans="1:10" hidden="1">
      <c r="A930" s="20">
        <v>929</v>
      </c>
      <c r="B930" s="19" t="s">
        <v>888</v>
      </c>
      <c r="C930" s="19" t="s">
        <v>932</v>
      </c>
      <c r="D930" s="19">
        <v>719</v>
      </c>
      <c r="E930" s="19">
        <v>198</v>
      </c>
      <c r="F930" s="19">
        <v>0.96</v>
      </c>
      <c r="G930" s="19">
        <v>20260330</v>
      </c>
      <c r="H930" s="20" t="b">
        <f t="shared" si="14"/>
        <v>0</v>
      </c>
      <c r="I930" s="21" t="str" cm="1">
        <f t="array" ref="I930">GET_TICKER_FINAL(C930)</f>
        <v/>
      </c>
      <c r="J930" s="5" t="s">
        <v>28</v>
      </c>
    </row>
    <row r="931" spans="1:10" hidden="1">
      <c r="A931" s="23">
        <v>930</v>
      </c>
      <c r="B931" s="22" t="s">
        <v>888</v>
      </c>
      <c r="C931" s="22" t="s">
        <v>933</v>
      </c>
      <c r="D931" s="22">
        <v>719</v>
      </c>
      <c r="E931" s="22">
        <v>71</v>
      </c>
      <c r="F931" s="22">
        <v>0.98</v>
      </c>
      <c r="G931" s="22">
        <v>20260327</v>
      </c>
      <c r="H931" s="23" t="b">
        <f t="shared" si="14"/>
        <v>0</v>
      </c>
      <c r="I931" s="24" t="str" cm="1">
        <f t="array" ref="I931">GET_TICKER_FINAL(C931)</f>
        <v/>
      </c>
      <c r="J931" s="5" t="s">
        <v>16</v>
      </c>
    </row>
    <row r="932" spans="1:10" hidden="1">
      <c r="A932" s="20">
        <v>931</v>
      </c>
      <c r="B932" s="19" t="s">
        <v>888</v>
      </c>
      <c r="C932" s="19" t="s">
        <v>37</v>
      </c>
      <c r="D932" s="19">
        <v>689</v>
      </c>
      <c r="E932" s="19">
        <v>169</v>
      </c>
      <c r="F932" s="19">
        <v>0.97</v>
      </c>
      <c r="G932" s="19">
        <v>20260402</v>
      </c>
      <c r="H932" s="20" t="b">
        <f t="shared" si="14"/>
        <v>0</v>
      </c>
      <c r="I932" s="21" t="str" cm="1">
        <f t="array" ref="I932">GET_TICKER_FINAL(C932)</f>
        <v/>
      </c>
      <c r="J932" s="5" t="s">
        <v>28</v>
      </c>
    </row>
    <row r="933" spans="1:10" hidden="1">
      <c r="A933" s="23">
        <v>932</v>
      </c>
      <c r="B933" s="22" t="s">
        <v>888</v>
      </c>
      <c r="C933" s="22" t="s">
        <v>934</v>
      </c>
      <c r="D933" s="22">
        <v>625</v>
      </c>
      <c r="E933" s="22">
        <v>487</v>
      </c>
      <c r="F933" s="22">
        <v>0.89</v>
      </c>
      <c r="G933" s="22">
        <v>20260326</v>
      </c>
      <c r="H933" s="23" t="b">
        <f t="shared" si="14"/>
        <v>0</v>
      </c>
      <c r="I933" s="24" t="str" cm="1">
        <f t="array" ref="I933">GET_TICKER_FINAL(C933)</f>
        <v/>
      </c>
      <c r="J933" s="5" t="s">
        <v>16</v>
      </c>
    </row>
    <row r="934" spans="1:10" hidden="1">
      <c r="A934" s="20">
        <v>933</v>
      </c>
      <c r="B934" s="19" t="s">
        <v>888</v>
      </c>
      <c r="C934" s="19" t="s">
        <v>935</v>
      </c>
      <c r="D934" s="19">
        <v>616</v>
      </c>
      <c r="E934" s="19">
        <v>321</v>
      </c>
      <c r="F934" s="19">
        <v>0.87</v>
      </c>
      <c r="G934" s="19">
        <v>20260402</v>
      </c>
      <c r="H934" s="20" t="b">
        <f t="shared" si="14"/>
        <v>0</v>
      </c>
      <c r="I934" s="21" t="str" cm="1">
        <f t="array" ref="I934">GET_TICKER_FINAL(C934)</f>
        <v/>
      </c>
      <c r="J934" s="5" t="s">
        <v>1792</v>
      </c>
    </row>
    <row r="935" spans="1:10" hidden="1">
      <c r="A935" s="23">
        <v>934</v>
      </c>
      <c r="B935" s="22" t="s">
        <v>888</v>
      </c>
      <c r="C935" s="22" t="s">
        <v>936</v>
      </c>
      <c r="D935" s="22">
        <v>596</v>
      </c>
      <c r="E935" s="22">
        <v>83</v>
      </c>
      <c r="F935" s="22">
        <v>0.93</v>
      </c>
      <c r="G935" s="22">
        <v>20260401</v>
      </c>
      <c r="H935" s="23" t="b">
        <f t="shared" si="14"/>
        <v>0</v>
      </c>
      <c r="I935" s="24" t="str" cm="1">
        <f t="array" ref="I935">GET_TICKER_FINAL(C935)</f>
        <v/>
      </c>
      <c r="J935" s="5" t="s">
        <v>1792</v>
      </c>
    </row>
    <row r="936" spans="1:10" hidden="1">
      <c r="A936" s="20">
        <v>935</v>
      </c>
      <c r="B936" s="19" t="s">
        <v>888</v>
      </c>
      <c r="C936" s="19" t="s">
        <v>937</v>
      </c>
      <c r="D936" s="19">
        <v>592</v>
      </c>
      <c r="E936" s="19">
        <v>203</v>
      </c>
      <c r="F936" s="19">
        <v>0.93</v>
      </c>
      <c r="G936" s="19">
        <v>20260327</v>
      </c>
      <c r="H936" s="20" t="b">
        <f t="shared" si="14"/>
        <v>0</v>
      </c>
      <c r="I936" s="21" t="str" cm="1">
        <f t="array" ref="I936">GET_TICKER_FINAL(C936)</f>
        <v/>
      </c>
      <c r="J936" s="5" t="s">
        <v>1792</v>
      </c>
    </row>
    <row r="937" spans="1:10" hidden="1">
      <c r="A937" s="23">
        <v>936</v>
      </c>
      <c r="B937" s="22" t="s">
        <v>888</v>
      </c>
      <c r="C937" s="22" t="s">
        <v>938</v>
      </c>
      <c r="D937" s="22">
        <v>585</v>
      </c>
      <c r="E937" s="22">
        <v>355</v>
      </c>
      <c r="F937" s="22">
        <v>0.76</v>
      </c>
      <c r="G937" s="22">
        <v>20260330</v>
      </c>
      <c r="H937" s="23" t="b">
        <f t="shared" si="14"/>
        <v>0</v>
      </c>
      <c r="I937" s="24" t="str" cm="1">
        <f t="array" ref="I937">GET_TICKER_FINAL(C937)</f>
        <v/>
      </c>
      <c r="J937" s="5" t="s">
        <v>1792</v>
      </c>
    </row>
    <row r="938" spans="1:10" hidden="1">
      <c r="A938" s="20">
        <v>937</v>
      </c>
      <c r="B938" s="19" t="s">
        <v>888</v>
      </c>
      <c r="C938" s="19" t="s">
        <v>939</v>
      </c>
      <c r="D938" s="19">
        <v>582</v>
      </c>
      <c r="E938" s="19">
        <v>401</v>
      </c>
      <c r="F938" s="19">
        <v>0.86</v>
      </c>
      <c r="G938" s="19">
        <v>20260402</v>
      </c>
      <c r="H938" s="20" t="b">
        <f t="shared" si="14"/>
        <v>0</v>
      </c>
      <c r="I938" s="21" t="str" cm="1">
        <f t="array" ref="I938">GET_TICKER_FINAL(C938)</f>
        <v/>
      </c>
      <c r="J938" s="5" t="s">
        <v>1792</v>
      </c>
    </row>
    <row r="939" spans="1:10">
      <c r="A939" s="23">
        <v>938</v>
      </c>
      <c r="B939" s="22" t="s">
        <v>888</v>
      </c>
      <c r="C939" s="22" t="s">
        <v>940</v>
      </c>
      <c r="D939" s="22">
        <v>570</v>
      </c>
      <c r="E939" s="22">
        <v>177</v>
      </c>
      <c r="F939" s="22">
        <v>0.97</v>
      </c>
      <c r="G939" s="22">
        <v>20260323</v>
      </c>
      <c r="H939" s="23" t="b">
        <f t="shared" si="14"/>
        <v>0</v>
      </c>
      <c r="I939" s="24" t="str" cm="1">
        <f t="array" ref="I939">GET_TICKER_FINAL(C939)</f>
        <v>MSFT</v>
      </c>
      <c r="J939" s="5" t="s">
        <v>16</v>
      </c>
    </row>
    <row r="940" spans="1:10">
      <c r="A940" s="20">
        <v>939</v>
      </c>
      <c r="B940" s="19" t="s">
        <v>888</v>
      </c>
      <c r="C940" s="19" t="s">
        <v>941</v>
      </c>
      <c r="D940" s="19">
        <v>532</v>
      </c>
      <c r="E940" s="19">
        <v>150</v>
      </c>
      <c r="F940" s="19">
        <v>0.95</v>
      </c>
      <c r="G940" s="19">
        <v>20260331</v>
      </c>
      <c r="H940" s="20" t="b">
        <f t="shared" si="14"/>
        <v>0</v>
      </c>
      <c r="I940" s="21" t="str" cm="1">
        <f t="array" ref="I940">GET_TICKER_FINAL(C940)</f>
        <v>SPY</v>
      </c>
      <c r="J940" s="5" t="s">
        <v>1792</v>
      </c>
    </row>
    <row r="941" spans="1:10" hidden="1">
      <c r="A941" s="23">
        <v>940</v>
      </c>
      <c r="B941" s="22" t="s">
        <v>888</v>
      </c>
      <c r="C941" s="22" t="s">
        <v>942</v>
      </c>
      <c r="D941" s="22">
        <v>516</v>
      </c>
      <c r="E941" s="22">
        <v>1013</v>
      </c>
      <c r="F941" s="22">
        <v>0.84</v>
      </c>
      <c r="G941" s="22">
        <v>20260320</v>
      </c>
      <c r="H941" s="23" t="b">
        <f t="shared" si="14"/>
        <v>0</v>
      </c>
      <c r="I941" s="24" t="str" cm="1">
        <f t="array" ref="I941">GET_TICKER_FINAL(C941)</f>
        <v/>
      </c>
      <c r="J941" s="5" t="s">
        <v>28</v>
      </c>
    </row>
    <row r="942" spans="1:10" hidden="1">
      <c r="A942" s="20">
        <v>941</v>
      </c>
      <c r="B942" s="19" t="s">
        <v>888</v>
      </c>
      <c r="C942" s="19" t="s">
        <v>695</v>
      </c>
      <c r="D942" s="19">
        <v>504</v>
      </c>
      <c r="E942" s="19">
        <v>173</v>
      </c>
      <c r="F942" s="19">
        <v>0.95</v>
      </c>
      <c r="G942" s="19">
        <v>20260330</v>
      </c>
      <c r="H942" s="20" t="b">
        <f t="shared" si="14"/>
        <v>0</v>
      </c>
      <c r="I942" s="21" t="str" cm="1">
        <f t="array" ref="I942">GET_TICKER_FINAL(C942)</f>
        <v/>
      </c>
      <c r="J942" s="5" t="s">
        <v>1792</v>
      </c>
    </row>
    <row r="943" spans="1:10" hidden="1">
      <c r="A943" s="23">
        <v>942</v>
      </c>
      <c r="B943" s="22" t="s">
        <v>888</v>
      </c>
      <c r="C943" s="22" t="s">
        <v>943</v>
      </c>
      <c r="D943" s="22">
        <v>499</v>
      </c>
      <c r="E943" s="22">
        <v>425</v>
      </c>
      <c r="F943" s="22">
        <v>0.82</v>
      </c>
      <c r="G943" s="22">
        <v>20260320</v>
      </c>
      <c r="H943" s="23" t="b">
        <f t="shared" si="14"/>
        <v>0</v>
      </c>
      <c r="I943" s="24" t="str" cm="1">
        <f t="array" ref="I943">GET_TICKER_FINAL(C943)</f>
        <v/>
      </c>
      <c r="J943" s="5" t="s">
        <v>1792</v>
      </c>
    </row>
    <row r="944" spans="1:10" hidden="1">
      <c r="A944" s="20">
        <v>943</v>
      </c>
      <c r="B944" s="19" t="s">
        <v>888</v>
      </c>
      <c r="C944" s="19" t="s">
        <v>944</v>
      </c>
      <c r="D944" s="19">
        <v>494</v>
      </c>
      <c r="E944" s="19">
        <v>62</v>
      </c>
      <c r="F944" s="19">
        <v>0.84</v>
      </c>
      <c r="G944" s="19">
        <v>20260327</v>
      </c>
      <c r="H944" s="20" t="b">
        <f t="shared" si="14"/>
        <v>0</v>
      </c>
      <c r="I944" s="21" t="str" cm="1">
        <f t="array" ref="I944">GET_TICKER_FINAL(C944)</f>
        <v/>
      </c>
      <c r="J944" s="5" t="s">
        <v>16</v>
      </c>
    </row>
    <row r="945" spans="1:10" hidden="1">
      <c r="A945" s="23">
        <v>944</v>
      </c>
      <c r="B945" s="22" t="s">
        <v>888</v>
      </c>
      <c r="C945" s="22" t="s">
        <v>747</v>
      </c>
      <c r="D945" s="22">
        <v>494</v>
      </c>
      <c r="E945" s="22">
        <v>111</v>
      </c>
      <c r="F945" s="22">
        <v>0.98</v>
      </c>
      <c r="G945" s="22">
        <v>20260320</v>
      </c>
      <c r="H945" s="23" t="b">
        <f t="shared" si="14"/>
        <v>0</v>
      </c>
      <c r="I945" s="24" t="str" cm="1">
        <f t="array" ref="I945">GET_TICKER_FINAL(C945)</f>
        <v/>
      </c>
      <c r="J945" s="5" t="s">
        <v>25</v>
      </c>
    </row>
    <row r="946" spans="1:10" hidden="1">
      <c r="A946" s="20">
        <v>945</v>
      </c>
      <c r="B946" s="19" t="s">
        <v>888</v>
      </c>
      <c r="C946" s="19" t="s">
        <v>945</v>
      </c>
      <c r="D946" s="19">
        <v>484</v>
      </c>
      <c r="E946" s="19">
        <v>221</v>
      </c>
      <c r="F946" s="19">
        <v>0.94</v>
      </c>
      <c r="G946" s="19">
        <v>20260331</v>
      </c>
      <c r="H946" s="20" t="b">
        <f t="shared" si="14"/>
        <v>0</v>
      </c>
      <c r="I946" s="21" t="str" cm="1">
        <f t="array" ref="I946">GET_TICKER_FINAL(C946)</f>
        <v/>
      </c>
      <c r="J946" s="5" t="s">
        <v>25</v>
      </c>
    </row>
    <row r="947" spans="1:10" hidden="1">
      <c r="A947" s="23">
        <v>946</v>
      </c>
      <c r="B947" s="22" t="s">
        <v>888</v>
      </c>
      <c r="C947" s="22" t="s">
        <v>792</v>
      </c>
      <c r="D947" s="22">
        <v>467</v>
      </c>
      <c r="E947" s="22">
        <v>134</v>
      </c>
      <c r="F947" s="22">
        <v>0.98</v>
      </c>
      <c r="G947" s="22">
        <v>20260401</v>
      </c>
      <c r="H947" s="23" t="b">
        <f t="shared" si="14"/>
        <v>0</v>
      </c>
      <c r="I947" s="24" t="str" cm="1">
        <f t="array" ref="I947">GET_TICKER_FINAL(C947)</f>
        <v/>
      </c>
      <c r="J947" s="5" t="s">
        <v>1792</v>
      </c>
    </row>
    <row r="948" spans="1:10" hidden="1">
      <c r="A948" s="20">
        <v>947</v>
      </c>
      <c r="B948" s="19" t="s">
        <v>888</v>
      </c>
      <c r="C948" s="19" t="s">
        <v>946</v>
      </c>
      <c r="D948" s="19">
        <v>439</v>
      </c>
      <c r="E948" s="19">
        <v>139</v>
      </c>
      <c r="F948" s="19">
        <v>0.85</v>
      </c>
      <c r="G948" s="19">
        <v>20260331</v>
      </c>
      <c r="H948" s="20" t="b">
        <f t="shared" si="14"/>
        <v>0</v>
      </c>
      <c r="I948" s="21" t="str" cm="1">
        <f t="array" ref="I948">GET_TICKER_FINAL(C948)</f>
        <v/>
      </c>
      <c r="J948" s="5" t="s">
        <v>25</v>
      </c>
    </row>
    <row r="949" spans="1:10" hidden="1">
      <c r="A949" s="23">
        <v>948</v>
      </c>
      <c r="B949" s="22" t="s">
        <v>888</v>
      </c>
      <c r="C949" s="22" t="s">
        <v>947</v>
      </c>
      <c r="D949" s="22">
        <v>435</v>
      </c>
      <c r="E949" s="22">
        <v>121</v>
      </c>
      <c r="F949" s="22">
        <v>0.93</v>
      </c>
      <c r="G949" s="22">
        <v>20260327</v>
      </c>
      <c r="H949" s="23" t="b">
        <f t="shared" si="14"/>
        <v>0</v>
      </c>
      <c r="I949" s="24" t="str" cm="1">
        <f t="array" ref="I949">GET_TICKER_FINAL(C949)</f>
        <v/>
      </c>
      <c r="J949" s="5" t="s">
        <v>16</v>
      </c>
    </row>
    <row r="950" spans="1:10" hidden="1">
      <c r="A950" s="20">
        <v>949</v>
      </c>
      <c r="B950" s="19" t="s">
        <v>888</v>
      </c>
      <c r="C950" s="19" t="s">
        <v>948</v>
      </c>
      <c r="D950" s="19">
        <v>433</v>
      </c>
      <c r="E950" s="19">
        <v>611</v>
      </c>
      <c r="F950" s="19">
        <v>0.73</v>
      </c>
      <c r="G950" s="19">
        <v>20260331</v>
      </c>
      <c r="H950" s="20" t="b">
        <f t="shared" si="14"/>
        <v>0</v>
      </c>
      <c r="I950" s="21" t="str" cm="1">
        <f t="array" ref="I950">GET_TICKER_FINAL(C950)</f>
        <v/>
      </c>
      <c r="J950" s="5" t="s">
        <v>28</v>
      </c>
    </row>
    <row r="951" spans="1:10">
      <c r="A951" s="23">
        <v>950</v>
      </c>
      <c r="B951" s="22" t="s">
        <v>888</v>
      </c>
      <c r="C951" s="22" t="s">
        <v>949</v>
      </c>
      <c r="D951" s="22">
        <v>430</v>
      </c>
      <c r="E951" s="22">
        <v>205</v>
      </c>
      <c r="F951" s="22">
        <v>0.86</v>
      </c>
      <c r="G951" s="22">
        <v>20260327</v>
      </c>
      <c r="H951" s="23" t="b">
        <f t="shared" si="14"/>
        <v>1</v>
      </c>
      <c r="I951" s="24" t="str" cm="1">
        <f t="array" ref="I951">GET_TICKER_FINAL(C951)</f>
        <v>GOOGL</v>
      </c>
      <c r="J951" s="5" t="s">
        <v>28</v>
      </c>
    </row>
    <row r="952" spans="1:10" hidden="1">
      <c r="A952" s="20">
        <v>951</v>
      </c>
      <c r="B952" s="19" t="s">
        <v>888</v>
      </c>
      <c r="C952" s="19" t="s">
        <v>950</v>
      </c>
      <c r="D952" s="19">
        <v>430</v>
      </c>
      <c r="E952" s="19">
        <v>120</v>
      </c>
      <c r="F952" s="19">
        <v>0.94</v>
      </c>
      <c r="G952" s="19">
        <v>20260324</v>
      </c>
      <c r="H952" s="20" t="b">
        <f t="shared" si="14"/>
        <v>0</v>
      </c>
      <c r="I952" s="21" t="str" cm="1">
        <f t="array" ref="I952">GET_TICKER_FINAL(C952)</f>
        <v/>
      </c>
      <c r="J952" s="5" t="s">
        <v>25</v>
      </c>
    </row>
    <row r="953" spans="1:10" hidden="1">
      <c r="A953" s="23">
        <v>952</v>
      </c>
      <c r="B953" s="22" t="s">
        <v>888</v>
      </c>
      <c r="C953" s="22" t="s">
        <v>951</v>
      </c>
      <c r="D953" s="22">
        <v>423</v>
      </c>
      <c r="E953" s="22">
        <v>242</v>
      </c>
      <c r="F953" s="22">
        <v>0.86</v>
      </c>
      <c r="G953" s="22">
        <v>20260402</v>
      </c>
      <c r="H953" s="23" t="b">
        <f t="shared" si="14"/>
        <v>0</v>
      </c>
      <c r="I953" s="24" t="str" cm="1">
        <f t="array" ref="I953">GET_TICKER_FINAL(C953)</f>
        <v/>
      </c>
      <c r="J953" s="5" t="s">
        <v>16</v>
      </c>
    </row>
    <row r="954" spans="1:10" hidden="1">
      <c r="A954" s="20">
        <v>953</v>
      </c>
      <c r="B954" s="19" t="s">
        <v>888</v>
      </c>
      <c r="C954" s="19" t="s">
        <v>952</v>
      </c>
      <c r="D954" s="19">
        <v>423</v>
      </c>
      <c r="E954" s="19">
        <v>147</v>
      </c>
      <c r="F954" s="19">
        <v>0.94</v>
      </c>
      <c r="G954" s="19">
        <v>20260326</v>
      </c>
      <c r="H954" s="20" t="b">
        <f t="shared" si="14"/>
        <v>0</v>
      </c>
      <c r="I954" s="21" t="str" cm="1">
        <f t="array" ref="I954">GET_TICKER_FINAL(C954)</f>
        <v/>
      </c>
      <c r="J954" s="5" t="s">
        <v>25</v>
      </c>
    </row>
    <row r="955" spans="1:10" hidden="1">
      <c r="A955" s="23">
        <v>954</v>
      </c>
      <c r="B955" s="22" t="s">
        <v>888</v>
      </c>
      <c r="C955" s="22" t="s">
        <v>953</v>
      </c>
      <c r="D955" s="22">
        <v>413</v>
      </c>
      <c r="E955" s="22">
        <v>56</v>
      </c>
      <c r="F955" s="22">
        <v>0.95</v>
      </c>
      <c r="G955" s="22">
        <v>20260326</v>
      </c>
      <c r="H955" s="23" t="b">
        <f t="shared" si="14"/>
        <v>0</v>
      </c>
      <c r="I955" s="24" t="str" cm="1">
        <f t="array" ref="I955">GET_TICKER_FINAL(C955)</f>
        <v/>
      </c>
      <c r="J955" s="5" t="s">
        <v>25</v>
      </c>
    </row>
    <row r="956" spans="1:10" hidden="1">
      <c r="A956" s="20">
        <v>955</v>
      </c>
      <c r="B956" s="19" t="s">
        <v>888</v>
      </c>
      <c r="C956" s="19" t="s">
        <v>954</v>
      </c>
      <c r="D956" s="19">
        <v>413</v>
      </c>
      <c r="E956" s="19">
        <v>168</v>
      </c>
      <c r="F956" s="19">
        <v>0.95</v>
      </c>
      <c r="G956" s="19">
        <v>20260331</v>
      </c>
      <c r="H956" s="20" t="b">
        <f t="shared" si="14"/>
        <v>0</v>
      </c>
      <c r="I956" s="21" t="str" cm="1">
        <f t="array" ref="I956">GET_TICKER_FINAL(C956)</f>
        <v/>
      </c>
      <c r="J956" s="5" t="s">
        <v>1792</v>
      </c>
    </row>
    <row r="957" spans="1:10" hidden="1">
      <c r="A957" s="23">
        <v>956</v>
      </c>
      <c r="B957" s="22" t="s">
        <v>888</v>
      </c>
      <c r="C957" s="22" t="s">
        <v>955</v>
      </c>
      <c r="D957" s="22">
        <v>401</v>
      </c>
      <c r="E957" s="22">
        <v>103</v>
      </c>
      <c r="F957" s="22">
        <v>0.96</v>
      </c>
      <c r="G957" s="22">
        <v>20260331</v>
      </c>
      <c r="H957" s="23" t="b">
        <f t="shared" si="14"/>
        <v>0</v>
      </c>
      <c r="I957" s="24" t="str" cm="1">
        <f t="array" ref="I957">GET_TICKER_FINAL(C957)</f>
        <v/>
      </c>
      <c r="J957" s="5" t="s">
        <v>16</v>
      </c>
    </row>
    <row r="958" spans="1:10" hidden="1">
      <c r="A958" s="20">
        <v>957</v>
      </c>
      <c r="B958" s="19" t="s">
        <v>888</v>
      </c>
      <c r="C958" s="19" t="s">
        <v>956</v>
      </c>
      <c r="D958" s="19">
        <v>393</v>
      </c>
      <c r="E958" s="19">
        <v>520</v>
      </c>
      <c r="F958" s="19">
        <v>0.89</v>
      </c>
      <c r="G958" s="19">
        <v>20260402</v>
      </c>
      <c r="H958" s="20" t="b">
        <f t="shared" si="14"/>
        <v>0</v>
      </c>
      <c r="I958" s="21" t="str" cm="1">
        <f t="array" ref="I958">GET_TICKER_FINAL(C958)</f>
        <v/>
      </c>
      <c r="J958" s="5" t="s">
        <v>1792</v>
      </c>
    </row>
    <row r="959" spans="1:10" hidden="1">
      <c r="A959" s="23">
        <v>958</v>
      </c>
      <c r="B959" s="22" t="s">
        <v>888</v>
      </c>
      <c r="C959" s="22" t="s">
        <v>957</v>
      </c>
      <c r="D959" s="22">
        <v>388</v>
      </c>
      <c r="E959" s="22">
        <v>352</v>
      </c>
      <c r="F959" s="22">
        <v>0.9</v>
      </c>
      <c r="G959" s="22">
        <v>20260330</v>
      </c>
      <c r="H959" s="23" t="b">
        <f t="shared" si="14"/>
        <v>0</v>
      </c>
      <c r="I959" s="24" t="str" cm="1">
        <f t="array" ref="I959">GET_TICKER_FINAL(C959)</f>
        <v/>
      </c>
      <c r="J959" s="5" t="s">
        <v>25</v>
      </c>
    </row>
    <row r="960" spans="1:10" hidden="1">
      <c r="A960" s="20">
        <v>959</v>
      </c>
      <c r="B960" s="19" t="s">
        <v>888</v>
      </c>
      <c r="C960" s="19" t="s">
        <v>958</v>
      </c>
      <c r="D960" s="19">
        <v>380</v>
      </c>
      <c r="E960" s="19">
        <v>459</v>
      </c>
      <c r="F960" s="19">
        <v>0.79</v>
      </c>
      <c r="G960" s="19">
        <v>20260401</v>
      </c>
      <c r="H960" s="20" t="b">
        <f t="shared" si="14"/>
        <v>0</v>
      </c>
      <c r="I960" s="21" t="str" cm="1">
        <f t="array" ref="I960">GET_TICKER_FINAL(C960)</f>
        <v/>
      </c>
      <c r="J960" s="5" t="s">
        <v>1792</v>
      </c>
    </row>
    <row r="961" spans="1:10">
      <c r="A961" s="23">
        <v>960</v>
      </c>
      <c r="B961" s="22" t="s">
        <v>888</v>
      </c>
      <c r="C961" s="22" t="s">
        <v>71</v>
      </c>
      <c r="D961" s="22">
        <v>378</v>
      </c>
      <c r="E961" s="22">
        <v>89</v>
      </c>
      <c r="F961" s="22">
        <v>0.94</v>
      </c>
      <c r="G961" s="22">
        <v>20260402</v>
      </c>
      <c r="H961" s="23" t="b">
        <f t="shared" si="14"/>
        <v>0</v>
      </c>
      <c r="I961" s="24" t="str" cm="1">
        <f t="array" ref="I961">GET_TICKER_FINAL(C961)</f>
        <v>TSLA</v>
      </c>
      <c r="J961" s="5" t="s">
        <v>16</v>
      </c>
    </row>
    <row r="962" spans="1:10" hidden="1">
      <c r="A962" s="20">
        <v>961</v>
      </c>
      <c r="B962" s="19" t="s">
        <v>888</v>
      </c>
      <c r="C962" s="19" t="s">
        <v>959</v>
      </c>
      <c r="D962" s="19">
        <v>356</v>
      </c>
      <c r="E962" s="19">
        <v>63</v>
      </c>
      <c r="F962" s="19">
        <v>0.98</v>
      </c>
      <c r="G962" s="19">
        <v>20260331</v>
      </c>
      <c r="H962" s="20" t="b">
        <f t="shared" si="14"/>
        <v>0</v>
      </c>
      <c r="I962" s="21" t="str" cm="1">
        <f t="array" ref="I962">GET_TICKER_FINAL(C962)</f>
        <v/>
      </c>
      <c r="J962" s="5" t="s">
        <v>16</v>
      </c>
    </row>
    <row r="963" spans="1:10" hidden="1">
      <c r="A963" s="23">
        <v>962</v>
      </c>
      <c r="B963" s="22" t="s">
        <v>888</v>
      </c>
      <c r="C963" s="22" t="s">
        <v>960</v>
      </c>
      <c r="D963" s="22">
        <v>352</v>
      </c>
      <c r="E963" s="22">
        <v>110</v>
      </c>
      <c r="F963" s="22">
        <v>0.91</v>
      </c>
      <c r="G963" s="22">
        <v>20260323</v>
      </c>
      <c r="H963" s="23" t="b">
        <f t="shared" ref="H963:H1026" si="15">OR(ISNUMBER(SEARCH("$A",C963)),ISNUMBER(SEARCH("$B",C963)),ISNUMBER(SEARCH("$C",C963)),ISNUMBER(SEARCH("$D",C963)),ISNUMBER(SEARCH("$E",C963)),ISNUMBER(SEARCH("$F",C963)),ISNUMBER(SEARCH("$G",C963)),ISNUMBER(SEARCH("$H",C963)),ISNUMBER(SEARCH("$I",C963)),ISNUMBER(SEARCH("$J",C963)),ISNUMBER(SEARCH("$K",C963)),ISNUMBER(SEARCH("$L",C963)),ISNUMBER(SEARCH("$M",C963)),ISNUMBER(SEARCH("$N",C963)),ISNUMBER(SEARCH("$O",C963)),ISNUMBER(SEARCH("$P",C963)),ISNUMBER(SEARCH("$Q",C963)),ISNUMBER(SEARCH("$R",C963)),ISNUMBER(SEARCH("$S",C963)),ISNUMBER(SEARCH("$T",C963)),ISNUMBER(SEARCH("$U",C963)),ISNUMBER(SEARCH("$V",C963)),ISNUMBER(SEARCH("$W",C963)),ISNUMBER(SEARCH("$X",C963)),ISNUMBER(SEARCH("$Y",C963)),ISNUMBER(SEARCH("$Z",C963)))</f>
        <v>0</v>
      </c>
      <c r="I963" s="24" t="str" cm="1">
        <f t="array" ref="I963">GET_TICKER_FINAL(C963)</f>
        <v/>
      </c>
      <c r="J963" s="5" t="s">
        <v>25</v>
      </c>
    </row>
    <row r="964" spans="1:10" hidden="1">
      <c r="A964" s="20">
        <v>963</v>
      </c>
      <c r="B964" s="19" t="s">
        <v>888</v>
      </c>
      <c r="C964" s="19" t="s">
        <v>961</v>
      </c>
      <c r="D964" s="19">
        <v>343</v>
      </c>
      <c r="E964" s="19">
        <v>175</v>
      </c>
      <c r="F964" s="19">
        <v>0.91</v>
      </c>
      <c r="G964" s="19">
        <v>20260402</v>
      </c>
      <c r="H964" s="20" t="b">
        <f t="shared" si="15"/>
        <v>0</v>
      </c>
      <c r="I964" s="21" t="str" cm="1">
        <f t="array" ref="I964">GET_TICKER_FINAL(C964)</f>
        <v/>
      </c>
      <c r="J964" s="5" t="s">
        <v>25</v>
      </c>
    </row>
    <row r="965" spans="1:10" hidden="1">
      <c r="A965" s="23">
        <v>964</v>
      </c>
      <c r="B965" s="22" t="s">
        <v>888</v>
      </c>
      <c r="C965" s="22" t="s">
        <v>962</v>
      </c>
      <c r="D965" s="22">
        <v>330</v>
      </c>
      <c r="E965" s="22">
        <v>216</v>
      </c>
      <c r="F965" s="22">
        <v>0.8</v>
      </c>
      <c r="G965" s="22">
        <v>20260326</v>
      </c>
      <c r="H965" s="23" t="b">
        <f t="shared" si="15"/>
        <v>0</v>
      </c>
      <c r="I965" s="24" t="str" cm="1">
        <f t="array" ref="I965">GET_TICKER_FINAL(C965)</f>
        <v/>
      </c>
      <c r="J965" s="5" t="s">
        <v>1792</v>
      </c>
    </row>
    <row r="966" spans="1:10" hidden="1">
      <c r="A966" s="20">
        <v>965</v>
      </c>
      <c r="B966" s="19" t="s">
        <v>888</v>
      </c>
      <c r="C966" s="19" t="s">
        <v>963</v>
      </c>
      <c r="D966" s="19">
        <v>327</v>
      </c>
      <c r="E966" s="19">
        <v>23</v>
      </c>
      <c r="F966" s="19">
        <v>0.98</v>
      </c>
      <c r="G966" s="19">
        <v>20260402</v>
      </c>
      <c r="H966" s="20" t="b">
        <f t="shared" si="15"/>
        <v>0</v>
      </c>
      <c r="I966" s="21" t="str" cm="1">
        <f t="array" ref="I966">GET_TICKER_FINAL(C966)</f>
        <v/>
      </c>
      <c r="J966" s="5" t="s">
        <v>28</v>
      </c>
    </row>
    <row r="967" spans="1:10" hidden="1">
      <c r="A967" s="23">
        <v>966</v>
      </c>
      <c r="B967" s="22" t="s">
        <v>888</v>
      </c>
      <c r="C967" s="22" t="s">
        <v>964</v>
      </c>
      <c r="D967" s="22">
        <v>325</v>
      </c>
      <c r="E967" s="22">
        <v>223</v>
      </c>
      <c r="F967" s="22">
        <v>0.84</v>
      </c>
      <c r="G967" s="22">
        <v>20260401</v>
      </c>
      <c r="H967" s="23" t="b">
        <f t="shared" si="15"/>
        <v>0</v>
      </c>
      <c r="I967" s="24" t="str" cm="1">
        <f t="array" ref="I967">GET_TICKER_FINAL(C967)</f>
        <v/>
      </c>
      <c r="J967" s="5" t="s">
        <v>16</v>
      </c>
    </row>
    <row r="968" spans="1:10" hidden="1">
      <c r="A968" s="20">
        <v>967</v>
      </c>
      <c r="B968" s="19" t="s">
        <v>888</v>
      </c>
      <c r="C968" s="19" t="s">
        <v>965</v>
      </c>
      <c r="D968" s="19">
        <v>322</v>
      </c>
      <c r="E968" s="19">
        <v>30</v>
      </c>
      <c r="F968" s="19">
        <v>0.99</v>
      </c>
      <c r="G968" s="19">
        <v>20260323</v>
      </c>
      <c r="H968" s="20" t="b">
        <f t="shared" si="15"/>
        <v>0</v>
      </c>
      <c r="I968" s="21" t="str" cm="1">
        <f t="array" ref="I968">GET_TICKER_FINAL(C968)</f>
        <v/>
      </c>
      <c r="J968" s="5" t="s">
        <v>16</v>
      </c>
    </row>
    <row r="969" spans="1:10" hidden="1">
      <c r="A969" s="23">
        <v>968</v>
      </c>
      <c r="B969" s="22" t="s">
        <v>888</v>
      </c>
      <c r="C969" s="22" t="s">
        <v>966</v>
      </c>
      <c r="D969" s="22">
        <v>321</v>
      </c>
      <c r="E969" s="22">
        <v>138</v>
      </c>
      <c r="F969" s="22">
        <v>0.88</v>
      </c>
      <c r="G969" s="22">
        <v>20260320</v>
      </c>
      <c r="H969" s="23" t="b">
        <f t="shared" si="15"/>
        <v>0</v>
      </c>
      <c r="I969" s="24" t="str" cm="1">
        <f t="array" ref="I969">GET_TICKER_FINAL(C969)</f>
        <v/>
      </c>
      <c r="J969" s="5" t="s">
        <v>1792</v>
      </c>
    </row>
    <row r="970" spans="1:10" hidden="1">
      <c r="A970" s="20">
        <v>969</v>
      </c>
      <c r="B970" s="19" t="s">
        <v>888</v>
      </c>
      <c r="C970" s="19" t="s">
        <v>967</v>
      </c>
      <c r="D970" s="19">
        <v>315</v>
      </c>
      <c r="E970" s="19">
        <v>69</v>
      </c>
      <c r="F970" s="19">
        <v>0.95</v>
      </c>
      <c r="G970" s="19">
        <v>20260331</v>
      </c>
      <c r="H970" s="20" t="b">
        <f t="shared" si="15"/>
        <v>0</v>
      </c>
      <c r="I970" s="21" t="str" cm="1">
        <f t="array" ref="I970">GET_TICKER_FINAL(C970)</f>
        <v/>
      </c>
      <c r="J970" s="5" t="s">
        <v>16</v>
      </c>
    </row>
    <row r="971" spans="1:10">
      <c r="A971" s="23">
        <v>970</v>
      </c>
      <c r="B971" s="22" t="s">
        <v>888</v>
      </c>
      <c r="C971" s="22" t="s">
        <v>968</v>
      </c>
      <c r="D971" s="22">
        <v>308</v>
      </c>
      <c r="E971" s="22">
        <v>257</v>
      </c>
      <c r="F971" s="22">
        <v>0.87</v>
      </c>
      <c r="G971" s="22">
        <v>20260327</v>
      </c>
      <c r="H971" s="23" t="b">
        <f t="shared" si="15"/>
        <v>0</v>
      </c>
      <c r="I971" s="24" t="str" cm="1">
        <f t="array" ref="I971">GET_TICKER_FINAL(C971)</f>
        <v>MSFT</v>
      </c>
      <c r="J971" s="5" t="s">
        <v>1792</v>
      </c>
    </row>
    <row r="972" spans="1:10" hidden="1">
      <c r="A972" s="20">
        <v>971</v>
      </c>
      <c r="B972" s="19" t="s">
        <v>888</v>
      </c>
      <c r="C972" s="19" t="s">
        <v>969</v>
      </c>
      <c r="D972" s="19">
        <v>305</v>
      </c>
      <c r="E972" s="19">
        <v>166</v>
      </c>
      <c r="F972" s="19">
        <v>0.94</v>
      </c>
      <c r="G972" s="19">
        <v>20260402</v>
      </c>
      <c r="H972" s="20" t="b">
        <f t="shared" si="15"/>
        <v>0</v>
      </c>
      <c r="I972" s="21" t="str" cm="1">
        <f t="array" ref="I972">GET_TICKER_FINAL(C972)</f>
        <v/>
      </c>
      <c r="J972" s="5" t="s">
        <v>16</v>
      </c>
    </row>
    <row r="973" spans="1:10" hidden="1">
      <c r="A973" s="23">
        <v>972</v>
      </c>
      <c r="B973" s="22" t="s">
        <v>888</v>
      </c>
      <c r="C973" s="22" t="s">
        <v>970</v>
      </c>
      <c r="D973" s="22">
        <v>304</v>
      </c>
      <c r="E973" s="22">
        <v>314</v>
      </c>
      <c r="F973" s="22">
        <v>0.8</v>
      </c>
      <c r="G973" s="22">
        <v>20260330</v>
      </c>
      <c r="H973" s="23" t="b">
        <f t="shared" si="15"/>
        <v>0</v>
      </c>
      <c r="I973" s="24" t="str" cm="1">
        <f t="array" ref="I973">GET_TICKER_FINAL(C973)</f>
        <v/>
      </c>
      <c r="J973" s="5" t="s">
        <v>16</v>
      </c>
    </row>
    <row r="974" spans="1:10" hidden="1">
      <c r="A974" s="20">
        <v>973</v>
      </c>
      <c r="B974" s="19" t="s">
        <v>888</v>
      </c>
      <c r="C974" s="19" t="s">
        <v>971</v>
      </c>
      <c r="D974" s="19">
        <v>303</v>
      </c>
      <c r="E974" s="19">
        <v>192</v>
      </c>
      <c r="F974" s="19">
        <v>0.81</v>
      </c>
      <c r="G974" s="19">
        <v>20260401</v>
      </c>
      <c r="H974" s="20" t="b">
        <f t="shared" si="15"/>
        <v>0</v>
      </c>
      <c r="I974" s="21" t="str" cm="1">
        <f t="array" ref="I974">GET_TICKER_FINAL(C974)</f>
        <v/>
      </c>
      <c r="J974" s="5" t="s">
        <v>16</v>
      </c>
    </row>
    <row r="975" spans="1:10">
      <c r="A975" s="23">
        <v>974</v>
      </c>
      <c r="B975" s="22" t="s">
        <v>888</v>
      </c>
      <c r="C975" s="22" t="s">
        <v>972</v>
      </c>
      <c r="D975" s="22">
        <v>300</v>
      </c>
      <c r="E975" s="22">
        <v>124</v>
      </c>
      <c r="F975" s="22">
        <v>0.92</v>
      </c>
      <c r="G975" s="22">
        <v>20260326</v>
      </c>
      <c r="H975" s="23" t="b">
        <f t="shared" si="15"/>
        <v>0</v>
      </c>
      <c r="I975" s="24" t="str" cm="1">
        <f t="array" ref="I975">GET_TICKER_FINAL(C975)</f>
        <v>COST</v>
      </c>
      <c r="J975" s="5" t="s">
        <v>16</v>
      </c>
    </row>
    <row r="976" spans="1:10" hidden="1">
      <c r="A976" s="20">
        <v>975</v>
      </c>
      <c r="B976" s="19" t="s">
        <v>888</v>
      </c>
      <c r="C976" s="19" t="s">
        <v>973</v>
      </c>
      <c r="D976" s="19">
        <v>294</v>
      </c>
      <c r="E976" s="19">
        <v>31</v>
      </c>
      <c r="F976" s="19">
        <v>0.98</v>
      </c>
      <c r="G976" s="19">
        <v>20260323</v>
      </c>
      <c r="H976" s="20" t="b">
        <f t="shared" si="15"/>
        <v>0</v>
      </c>
      <c r="I976" s="21" t="str" cm="1">
        <f t="array" ref="I976">GET_TICKER_FINAL(C976)</f>
        <v/>
      </c>
      <c r="J976" s="5" t="s">
        <v>16</v>
      </c>
    </row>
    <row r="977" spans="1:10" hidden="1">
      <c r="A977" s="23">
        <v>976</v>
      </c>
      <c r="B977" s="22" t="s">
        <v>888</v>
      </c>
      <c r="C977" s="22" t="s">
        <v>974</v>
      </c>
      <c r="D977" s="22">
        <v>291</v>
      </c>
      <c r="E977" s="22">
        <v>157</v>
      </c>
      <c r="F977" s="22">
        <v>0.75</v>
      </c>
      <c r="G977" s="22">
        <v>20260402</v>
      </c>
      <c r="H977" s="23" t="b">
        <f t="shared" si="15"/>
        <v>0</v>
      </c>
      <c r="I977" s="24" t="str" cm="1">
        <f t="array" ref="I977">GET_TICKER_FINAL(C977)</f>
        <v/>
      </c>
      <c r="J977" s="5" t="s">
        <v>1792</v>
      </c>
    </row>
    <row r="978" spans="1:10" hidden="1">
      <c r="A978" s="20">
        <v>977</v>
      </c>
      <c r="B978" s="19" t="s">
        <v>888</v>
      </c>
      <c r="C978" s="19" t="s">
        <v>975</v>
      </c>
      <c r="D978" s="19">
        <v>286</v>
      </c>
      <c r="E978" s="19">
        <v>791</v>
      </c>
      <c r="F978" s="19">
        <v>0.78</v>
      </c>
      <c r="G978" s="19">
        <v>20260402</v>
      </c>
      <c r="H978" s="20" t="b">
        <f t="shared" si="15"/>
        <v>0</v>
      </c>
      <c r="I978" s="21" t="str" cm="1">
        <f t="array" ref="I978">GET_TICKER_FINAL(C978)</f>
        <v/>
      </c>
      <c r="J978" s="5" t="s">
        <v>1792</v>
      </c>
    </row>
    <row r="979" spans="1:10" hidden="1">
      <c r="A979" s="23">
        <v>978</v>
      </c>
      <c r="B979" s="22" t="s">
        <v>888</v>
      </c>
      <c r="C979" s="22" t="s">
        <v>976</v>
      </c>
      <c r="D979" s="22">
        <v>284</v>
      </c>
      <c r="E979" s="22">
        <v>347</v>
      </c>
      <c r="F979" s="22">
        <v>0.9</v>
      </c>
      <c r="G979" s="22">
        <v>20260402</v>
      </c>
      <c r="H979" s="23" t="b">
        <f t="shared" si="15"/>
        <v>0</v>
      </c>
      <c r="I979" s="24" t="str" cm="1">
        <f t="array" ref="I979">GET_TICKER_FINAL(C979)</f>
        <v/>
      </c>
      <c r="J979" s="5" t="s">
        <v>16</v>
      </c>
    </row>
    <row r="980" spans="1:10" hidden="1">
      <c r="A980" s="20">
        <v>979</v>
      </c>
      <c r="B980" s="19" t="s">
        <v>888</v>
      </c>
      <c r="C980" s="19" t="s">
        <v>977</v>
      </c>
      <c r="D980" s="19">
        <v>281</v>
      </c>
      <c r="E980" s="19">
        <v>311</v>
      </c>
      <c r="F980" s="19">
        <v>0.77</v>
      </c>
      <c r="G980" s="19">
        <v>20260326</v>
      </c>
      <c r="H980" s="20" t="b">
        <f t="shared" si="15"/>
        <v>0</v>
      </c>
      <c r="I980" s="21" t="str" cm="1">
        <f t="array" ref="I980">GET_TICKER_FINAL(C980)</f>
        <v/>
      </c>
      <c r="J980" s="5" t="s">
        <v>1792</v>
      </c>
    </row>
    <row r="981" spans="1:10" hidden="1">
      <c r="A981" s="23">
        <v>980</v>
      </c>
      <c r="B981" s="22" t="s">
        <v>888</v>
      </c>
      <c r="C981" s="22" t="s">
        <v>978</v>
      </c>
      <c r="D981" s="22">
        <v>281</v>
      </c>
      <c r="E981" s="22">
        <v>26</v>
      </c>
      <c r="F981" s="22">
        <v>0.93</v>
      </c>
      <c r="G981" s="22">
        <v>20260327</v>
      </c>
      <c r="H981" s="23" t="b">
        <f t="shared" si="15"/>
        <v>0</v>
      </c>
      <c r="I981" s="24" t="str" cm="1">
        <f t="array" ref="I981">GET_TICKER_FINAL(C981)</f>
        <v/>
      </c>
      <c r="J981" s="5" t="s">
        <v>16</v>
      </c>
    </row>
    <row r="982" spans="1:10">
      <c r="A982" s="20">
        <v>981</v>
      </c>
      <c r="B982" s="19" t="s">
        <v>888</v>
      </c>
      <c r="C982" s="19" t="s">
        <v>979</v>
      </c>
      <c r="D982" s="19">
        <v>277</v>
      </c>
      <c r="E982" s="19">
        <v>296</v>
      </c>
      <c r="F982" s="19">
        <v>0.91</v>
      </c>
      <c r="G982" s="19">
        <v>20260327</v>
      </c>
      <c r="H982" s="20" t="b">
        <f t="shared" si="15"/>
        <v>0</v>
      </c>
      <c r="I982" s="21" t="str" cm="1">
        <f t="array" ref="I982">GET_TICKER_FINAL(C982)</f>
        <v>META</v>
      </c>
      <c r="J982" s="5" t="s">
        <v>16</v>
      </c>
    </row>
    <row r="983" spans="1:10" hidden="1">
      <c r="A983" s="23">
        <v>982</v>
      </c>
      <c r="B983" s="22" t="s">
        <v>888</v>
      </c>
      <c r="C983" s="22" t="s">
        <v>980</v>
      </c>
      <c r="D983" s="22">
        <v>266</v>
      </c>
      <c r="E983" s="22">
        <v>86</v>
      </c>
      <c r="F983" s="22">
        <v>0.79</v>
      </c>
      <c r="G983" s="22">
        <v>20260327</v>
      </c>
      <c r="H983" s="23" t="b">
        <f t="shared" si="15"/>
        <v>0</v>
      </c>
      <c r="I983" s="24" t="str" cm="1">
        <f t="array" ref="I983">GET_TICKER_FINAL(C983)</f>
        <v/>
      </c>
      <c r="J983" s="5" t="s">
        <v>16</v>
      </c>
    </row>
    <row r="984" spans="1:10" hidden="1">
      <c r="A984" s="20">
        <v>983</v>
      </c>
      <c r="B984" s="19" t="s">
        <v>888</v>
      </c>
      <c r="C984" s="19" t="s">
        <v>981</v>
      </c>
      <c r="D984" s="19">
        <v>265</v>
      </c>
      <c r="E984" s="19">
        <v>158</v>
      </c>
      <c r="F984" s="19">
        <v>0.9</v>
      </c>
      <c r="G984" s="19">
        <v>20260320</v>
      </c>
      <c r="H984" s="20" t="b">
        <f t="shared" si="15"/>
        <v>0</v>
      </c>
      <c r="I984" s="21" t="str" cm="1">
        <f t="array" ref="I984">GET_TICKER_FINAL(C984)</f>
        <v/>
      </c>
      <c r="J984" s="5" t="s">
        <v>1792</v>
      </c>
    </row>
    <row r="985" spans="1:10" hidden="1">
      <c r="A985" s="23">
        <v>984</v>
      </c>
      <c r="B985" s="22" t="s">
        <v>888</v>
      </c>
      <c r="C985" s="22" t="s">
        <v>982</v>
      </c>
      <c r="D985" s="22">
        <v>244</v>
      </c>
      <c r="E985" s="22">
        <v>62</v>
      </c>
      <c r="F985" s="22">
        <v>0.94</v>
      </c>
      <c r="G985" s="22">
        <v>20260402</v>
      </c>
      <c r="H985" s="23" t="b">
        <f t="shared" si="15"/>
        <v>0</v>
      </c>
      <c r="I985" s="24" t="str" cm="1">
        <f t="array" ref="I985">GET_TICKER_FINAL(C985)</f>
        <v/>
      </c>
      <c r="J985" s="5" t="s">
        <v>1792</v>
      </c>
    </row>
    <row r="986" spans="1:10" hidden="1">
      <c r="A986" s="20">
        <v>985</v>
      </c>
      <c r="B986" s="19" t="s">
        <v>888</v>
      </c>
      <c r="C986" s="19" t="s">
        <v>983</v>
      </c>
      <c r="D986" s="19">
        <v>242</v>
      </c>
      <c r="E986" s="19">
        <v>598</v>
      </c>
      <c r="F986" s="19">
        <v>0.77</v>
      </c>
      <c r="G986" s="19">
        <v>20260327</v>
      </c>
      <c r="H986" s="20" t="b">
        <f t="shared" si="15"/>
        <v>0</v>
      </c>
      <c r="I986" s="21" t="str" cm="1">
        <f t="array" ref="I986">GET_TICKER_FINAL(C986)</f>
        <v/>
      </c>
      <c r="J986" s="5" t="s">
        <v>25</v>
      </c>
    </row>
    <row r="987" spans="1:10">
      <c r="A987" s="23">
        <v>986</v>
      </c>
      <c r="B987" s="22" t="s">
        <v>888</v>
      </c>
      <c r="C987" s="22" t="s">
        <v>984</v>
      </c>
      <c r="D987" s="22">
        <v>242</v>
      </c>
      <c r="E987" s="22">
        <v>68</v>
      </c>
      <c r="F987" s="22">
        <v>0.87</v>
      </c>
      <c r="G987" s="22">
        <v>20260323</v>
      </c>
      <c r="H987" s="23" t="b">
        <f t="shared" si="15"/>
        <v>0</v>
      </c>
      <c r="I987" s="24" t="str" cm="1">
        <f t="array" ref="I987">GET_TICKER_FINAL(C987)</f>
        <v>NVO</v>
      </c>
      <c r="J987" s="5" t="s">
        <v>1792</v>
      </c>
    </row>
    <row r="988" spans="1:10" hidden="1">
      <c r="A988" s="20">
        <v>987</v>
      </c>
      <c r="B988" s="19" t="s">
        <v>888</v>
      </c>
      <c r="C988" s="19" t="s">
        <v>985</v>
      </c>
      <c r="D988" s="19">
        <v>239</v>
      </c>
      <c r="E988" s="19">
        <v>185</v>
      </c>
      <c r="F988" s="19">
        <v>0.78</v>
      </c>
      <c r="G988" s="19">
        <v>20260330</v>
      </c>
      <c r="H988" s="20" t="b">
        <f t="shared" si="15"/>
        <v>0</v>
      </c>
      <c r="I988" s="21" t="str" cm="1">
        <f t="array" ref="I988">GET_TICKER_FINAL(C988)</f>
        <v/>
      </c>
      <c r="J988" s="5" t="s">
        <v>1792</v>
      </c>
    </row>
    <row r="989" spans="1:10" hidden="1">
      <c r="A989" s="23">
        <v>988</v>
      </c>
      <c r="B989" s="22" t="s">
        <v>888</v>
      </c>
      <c r="C989" s="22" t="s">
        <v>986</v>
      </c>
      <c r="D989" s="22">
        <v>236</v>
      </c>
      <c r="E989" s="22">
        <v>306</v>
      </c>
      <c r="F989" s="22">
        <v>0.9</v>
      </c>
      <c r="G989" s="22">
        <v>20260401</v>
      </c>
      <c r="H989" s="23" t="b">
        <f t="shared" si="15"/>
        <v>0</v>
      </c>
      <c r="I989" s="24" t="str" cm="1">
        <f t="array" ref="I989">GET_TICKER_FINAL(C989)</f>
        <v/>
      </c>
      <c r="J989" s="5" t="s">
        <v>25</v>
      </c>
    </row>
    <row r="990" spans="1:10">
      <c r="A990" s="20">
        <v>989</v>
      </c>
      <c r="B990" s="19" t="s">
        <v>888</v>
      </c>
      <c r="C990" s="19" t="s">
        <v>987</v>
      </c>
      <c r="D990" s="19">
        <v>226</v>
      </c>
      <c r="E990" s="19">
        <v>149</v>
      </c>
      <c r="F990" s="19">
        <v>0.91</v>
      </c>
      <c r="G990" s="19">
        <v>20260402</v>
      </c>
      <c r="H990" s="20" t="b">
        <f t="shared" si="15"/>
        <v>0</v>
      </c>
      <c r="I990" s="21" t="str" cm="1">
        <f t="array" ref="I990">GET_TICKER_FINAL(C990)</f>
        <v>MU</v>
      </c>
      <c r="J990" s="5" t="s">
        <v>1792</v>
      </c>
    </row>
    <row r="991" spans="1:10">
      <c r="A991" s="23">
        <v>990</v>
      </c>
      <c r="B991" s="22" t="s">
        <v>888</v>
      </c>
      <c r="C991" s="22" t="s">
        <v>988</v>
      </c>
      <c r="D991" s="22">
        <v>220</v>
      </c>
      <c r="E991" s="22">
        <v>62</v>
      </c>
      <c r="F991" s="22">
        <v>0.91</v>
      </c>
      <c r="G991" s="22">
        <v>20260323</v>
      </c>
      <c r="H991" s="23" t="b">
        <f t="shared" si="15"/>
        <v>0</v>
      </c>
      <c r="I991" s="24" t="str" cm="1">
        <f t="array" ref="I991">GET_TICKER_FINAL(C991)</f>
        <v>MSFT</v>
      </c>
      <c r="J991" s="5" t="s">
        <v>16</v>
      </c>
    </row>
    <row r="992" spans="1:10" hidden="1">
      <c r="A992" s="20">
        <v>991</v>
      </c>
      <c r="B992" s="19" t="s">
        <v>888</v>
      </c>
      <c r="C992" s="19" t="s">
        <v>989</v>
      </c>
      <c r="D992" s="19">
        <v>219</v>
      </c>
      <c r="E992" s="19">
        <v>97</v>
      </c>
      <c r="F992" s="19">
        <v>0.81</v>
      </c>
      <c r="G992" s="19">
        <v>20260324</v>
      </c>
      <c r="H992" s="20" t="b">
        <f t="shared" si="15"/>
        <v>0</v>
      </c>
      <c r="I992" s="21" t="str" cm="1">
        <f t="array" ref="I992">GET_TICKER_FINAL(C992)</f>
        <v/>
      </c>
      <c r="J992" s="5" t="s">
        <v>1792</v>
      </c>
    </row>
    <row r="993" spans="1:10" hidden="1">
      <c r="A993" s="23">
        <v>992</v>
      </c>
      <c r="B993" s="22" t="s">
        <v>888</v>
      </c>
      <c r="C993" s="22" t="s">
        <v>990</v>
      </c>
      <c r="D993" s="22">
        <v>218</v>
      </c>
      <c r="E993" s="22">
        <v>381</v>
      </c>
      <c r="F993" s="22">
        <v>0.78</v>
      </c>
      <c r="G993" s="22">
        <v>20260331</v>
      </c>
      <c r="H993" s="23" t="b">
        <f t="shared" si="15"/>
        <v>0</v>
      </c>
      <c r="I993" s="24" t="str" cm="1">
        <f t="array" ref="I993">GET_TICKER_FINAL(C993)</f>
        <v/>
      </c>
      <c r="J993" s="5" t="s">
        <v>1792</v>
      </c>
    </row>
    <row r="994" spans="1:10">
      <c r="A994" s="20">
        <v>993</v>
      </c>
      <c r="B994" s="19" t="s">
        <v>888</v>
      </c>
      <c r="C994" s="19" t="s">
        <v>991</v>
      </c>
      <c r="D994" s="19">
        <v>212</v>
      </c>
      <c r="E994" s="19">
        <v>24</v>
      </c>
      <c r="F994" s="19">
        <v>0.96</v>
      </c>
      <c r="G994" s="19">
        <v>20260323</v>
      </c>
      <c r="H994" s="20" t="b">
        <f t="shared" si="15"/>
        <v>0</v>
      </c>
      <c r="I994" s="21" t="str" cm="1">
        <f t="array" ref="I994">GET_TICKER_FINAL(C994)</f>
        <v>NVDA</v>
      </c>
      <c r="J994" s="5" t="s">
        <v>16</v>
      </c>
    </row>
    <row r="995" spans="1:10">
      <c r="A995" s="23">
        <v>994</v>
      </c>
      <c r="B995" s="22" t="s">
        <v>888</v>
      </c>
      <c r="C995" s="22" t="s">
        <v>992</v>
      </c>
      <c r="D995" s="22">
        <v>206</v>
      </c>
      <c r="E995" s="22">
        <v>48</v>
      </c>
      <c r="F995" s="22">
        <v>0.97</v>
      </c>
      <c r="G995" s="22">
        <v>20260323</v>
      </c>
      <c r="H995" s="23" t="b">
        <f t="shared" si="15"/>
        <v>0</v>
      </c>
      <c r="I995" s="24" t="str" cm="1">
        <f t="array" ref="I995">GET_TICKER_FINAL(C995)</f>
        <v>NVDA</v>
      </c>
      <c r="J995" s="5" t="s">
        <v>25</v>
      </c>
    </row>
    <row r="996" spans="1:10" hidden="1">
      <c r="A996" s="20">
        <v>995</v>
      </c>
      <c r="B996" s="19" t="s">
        <v>888</v>
      </c>
      <c r="C996" s="19" t="s">
        <v>993</v>
      </c>
      <c r="D996" s="19">
        <v>205</v>
      </c>
      <c r="E996" s="19">
        <v>354</v>
      </c>
      <c r="F996" s="19">
        <v>0.92</v>
      </c>
      <c r="G996" s="19">
        <v>20260323</v>
      </c>
      <c r="H996" s="20" t="b">
        <f t="shared" si="15"/>
        <v>0</v>
      </c>
      <c r="I996" s="21" t="str" cm="1">
        <f t="array" ref="I996">GET_TICKER_FINAL(C996)</f>
        <v/>
      </c>
      <c r="J996" s="5" t="s">
        <v>1792</v>
      </c>
    </row>
    <row r="997" spans="1:10" hidden="1">
      <c r="A997" s="23">
        <v>996</v>
      </c>
      <c r="B997" s="22" t="s">
        <v>888</v>
      </c>
      <c r="C997" s="22" t="s">
        <v>994</v>
      </c>
      <c r="D997" s="22">
        <v>200</v>
      </c>
      <c r="E997" s="22">
        <v>235</v>
      </c>
      <c r="F997" s="22">
        <v>0.88</v>
      </c>
      <c r="G997" s="22">
        <v>20260324</v>
      </c>
      <c r="H997" s="23" t="b">
        <f t="shared" si="15"/>
        <v>0</v>
      </c>
      <c r="I997" s="24" t="str" cm="1">
        <f t="array" ref="I997">GET_TICKER_FINAL(C997)</f>
        <v/>
      </c>
      <c r="J997" s="5" t="s">
        <v>25</v>
      </c>
    </row>
    <row r="998" spans="1:10">
      <c r="A998" s="20">
        <v>997</v>
      </c>
      <c r="B998" s="19" t="s">
        <v>888</v>
      </c>
      <c r="C998" s="19" t="s">
        <v>995</v>
      </c>
      <c r="D998" s="19">
        <v>199</v>
      </c>
      <c r="E998" s="19">
        <v>37</v>
      </c>
      <c r="F998" s="19">
        <v>0.97</v>
      </c>
      <c r="G998" s="19">
        <v>20260323</v>
      </c>
      <c r="H998" s="20" t="b">
        <f t="shared" si="15"/>
        <v>0</v>
      </c>
      <c r="I998" s="21" t="str" cm="1">
        <f t="array" ref="I998">GET_TICKER_FINAL(C998)</f>
        <v>UBER</v>
      </c>
      <c r="J998" s="5" t="s">
        <v>16</v>
      </c>
    </row>
    <row r="999" spans="1:10" hidden="1">
      <c r="A999" s="23">
        <v>998</v>
      </c>
      <c r="B999" s="22" t="s">
        <v>888</v>
      </c>
      <c r="C999" s="22" t="s">
        <v>996</v>
      </c>
      <c r="D999" s="22">
        <v>196</v>
      </c>
      <c r="E999" s="22">
        <v>515</v>
      </c>
      <c r="F999" s="22">
        <v>0.78</v>
      </c>
      <c r="G999" s="22">
        <v>20260330</v>
      </c>
      <c r="H999" s="23" t="b">
        <f t="shared" si="15"/>
        <v>0</v>
      </c>
      <c r="I999" s="24" t="str" cm="1">
        <f t="array" ref="I999">GET_TICKER_FINAL(C999)</f>
        <v/>
      </c>
      <c r="J999" s="5" t="s">
        <v>16</v>
      </c>
    </row>
    <row r="1000" spans="1:10">
      <c r="A1000" s="20">
        <v>999</v>
      </c>
      <c r="B1000" s="19" t="s">
        <v>888</v>
      </c>
      <c r="C1000" s="19" t="s">
        <v>997</v>
      </c>
      <c r="D1000" s="19">
        <v>193</v>
      </c>
      <c r="E1000" s="19">
        <v>152</v>
      </c>
      <c r="F1000" s="19">
        <v>0.8</v>
      </c>
      <c r="G1000" s="19">
        <v>20260330</v>
      </c>
      <c r="H1000" s="20" t="b">
        <f t="shared" si="15"/>
        <v>0</v>
      </c>
      <c r="I1000" s="21" t="str" cm="1">
        <f t="array" ref="I1000">GET_TICKER_FINAL(C1000)</f>
        <v>MSFT</v>
      </c>
      <c r="J1000" s="5" t="s">
        <v>28</v>
      </c>
    </row>
    <row r="1001" spans="1:10" hidden="1">
      <c r="A1001" s="23">
        <v>1000</v>
      </c>
      <c r="B1001" s="22" t="s">
        <v>888</v>
      </c>
      <c r="C1001" s="22" t="s">
        <v>998</v>
      </c>
      <c r="D1001" s="22">
        <v>192</v>
      </c>
      <c r="E1001" s="22">
        <v>647</v>
      </c>
      <c r="F1001" s="22">
        <v>0.78</v>
      </c>
      <c r="G1001" s="22">
        <v>20260401</v>
      </c>
      <c r="H1001" s="23" t="b">
        <f t="shared" si="15"/>
        <v>0</v>
      </c>
      <c r="I1001" s="24" t="str" cm="1">
        <f t="array" ref="I1001">GET_TICKER_FINAL(C1001)</f>
        <v/>
      </c>
      <c r="J1001" s="5" t="s">
        <v>1792</v>
      </c>
    </row>
    <row r="1002" spans="1:10" hidden="1">
      <c r="A1002" s="20">
        <v>1001</v>
      </c>
      <c r="B1002" s="19" t="s">
        <v>888</v>
      </c>
      <c r="C1002" s="19" t="s">
        <v>999</v>
      </c>
      <c r="D1002" s="19">
        <v>186</v>
      </c>
      <c r="E1002" s="19">
        <v>575</v>
      </c>
      <c r="F1002" s="19">
        <v>0.85</v>
      </c>
      <c r="G1002" s="19">
        <v>20260331</v>
      </c>
      <c r="H1002" s="20" t="b">
        <f t="shared" si="15"/>
        <v>0</v>
      </c>
      <c r="I1002" s="21" t="str" cm="1">
        <f t="array" ref="I1002">GET_TICKER_FINAL(C1002)</f>
        <v/>
      </c>
      <c r="J1002" s="5" t="s">
        <v>1792</v>
      </c>
    </row>
    <row r="1003" spans="1:10">
      <c r="A1003" s="23">
        <v>1002</v>
      </c>
      <c r="B1003" s="22" t="s">
        <v>888</v>
      </c>
      <c r="C1003" s="22" t="s">
        <v>1000</v>
      </c>
      <c r="D1003" s="22">
        <v>185</v>
      </c>
      <c r="E1003" s="22">
        <v>102</v>
      </c>
      <c r="F1003" s="22">
        <v>0.93</v>
      </c>
      <c r="G1003" s="22">
        <v>20260323</v>
      </c>
      <c r="H1003" s="23" t="b">
        <f t="shared" si="15"/>
        <v>0</v>
      </c>
      <c r="I1003" s="24" t="str" cm="1">
        <f t="array" ref="I1003">GET_TICKER_FINAL(C1003)</f>
        <v>MU</v>
      </c>
      <c r="J1003" s="5" t="s">
        <v>25</v>
      </c>
    </row>
    <row r="1004" spans="1:10">
      <c r="A1004" s="20">
        <v>1003</v>
      </c>
      <c r="B1004" s="19" t="s">
        <v>888</v>
      </c>
      <c r="C1004" s="19" t="s">
        <v>1001</v>
      </c>
      <c r="D1004" s="19">
        <v>181</v>
      </c>
      <c r="E1004" s="19">
        <v>125</v>
      </c>
      <c r="F1004" s="19">
        <v>0.93</v>
      </c>
      <c r="G1004" s="19">
        <v>20260330</v>
      </c>
      <c r="H1004" s="20" t="b">
        <f t="shared" si="15"/>
        <v>0</v>
      </c>
      <c r="I1004" s="21" t="str" cm="1">
        <f t="array" ref="I1004">GET_TICKER_FINAL(C1004)</f>
        <v>META</v>
      </c>
      <c r="J1004" s="5" t="s">
        <v>1792</v>
      </c>
    </row>
    <row r="1005" spans="1:10" hidden="1">
      <c r="A1005" s="23">
        <v>1004</v>
      </c>
      <c r="B1005" s="22" t="s">
        <v>888</v>
      </c>
      <c r="C1005" s="22" t="s">
        <v>1002</v>
      </c>
      <c r="D1005" s="22">
        <v>177</v>
      </c>
      <c r="E1005" s="22">
        <v>70</v>
      </c>
      <c r="F1005" s="22">
        <v>0.91</v>
      </c>
      <c r="G1005" s="22">
        <v>20260402</v>
      </c>
      <c r="H1005" s="23" t="b">
        <f t="shared" si="15"/>
        <v>0</v>
      </c>
      <c r="I1005" s="24" t="str" cm="1">
        <f t="array" ref="I1005">GET_TICKER_FINAL(C1005)</f>
        <v/>
      </c>
      <c r="J1005" s="5" t="s">
        <v>16</v>
      </c>
    </row>
    <row r="1006" spans="1:10" hidden="1">
      <c r="A1006" s="20">
        <v>1005</v>
      </c>
      <c r="B1006" s="19" t="s">
        <v>888</v>
      </c>
      <c r="C1006" s="19" t="s">
        <v>1003</v>
      </c>
      <c r="D1006" s="19">
        <v>174</v>
      </c>
      <c r="E1006" s="19">
        <v>89</v>
      </c>
      <c r="F1006" s="19">
        <v>0.93</v>
      </c>
      <c r="G1006" s="19">
        <v>20260401</v>
      </c>
      <c r="H1006" s="20" t="b">
        <f t="shared" si="15"/>
        <v>0</v>
      </c>
      <c r="I1006" s="21" t="str" cm="1">
        <f t="array" ref="I1006">GET_TICKER_FINAL(C1006)</f>
        <v/>
      </c>
      <c r="J1006" s="5" t="s">
        <v>16</v>
      </c>
    </row>
    <row r="1007" spans="1:10">
      <c r="A1007" s="23">
        <v>1006</v>
      </c>
      <c r="B1007" s="22" t="s">
        <v>888</v>
      </c>
      <c r="C1007" s="22" t="s">
        <v>1004</v>
      </c>
      <c r="D1007" s="22">
        <v>173</v>
      </c>
      <c r="E1007" s="22">
        <v>97</v>
      </c>
      <c r="F1007" s="22">
        <v>0.95</v>
      </c>
      <c r="G1007" s="22">
        <v>20260320</v>
      </c>
      <c r="H1007" s="23" t="b">
        <f t="shared" si="15"/>
        <v>0</v>
      </c>
      <c r="I1007" s="24" t="str" cm="1">
        <f t="array" ref="I1007">GET_TICKER_FINAL(C1007)</f>
        <v>MU</v>
      </c>
      <c r="J1007" s="5" t="s">
        <v>25</v>
      </c>
    </row>
    <row r="1008" spans="1:10" hidden="1">
      <c r="A1008" s="20">
        <v>1007</v>
      </c>
      <c r="B1008" s="19" t="s">
        <v>888</v>
      </c>
      <c r="C1008" s="19" t="s">
        <v>1005</v>
      </c>
      <c r="D1008" s="19">
        <v>172</v>
      </c>
      <c r="E1008" s="19">
        <v>392</v>
      </c>
      <c r="F1008" s="19">
        <v>0.8</v>
      </c>
      <c r="G1008" s="19">
        <v>20260327</v>
      </c>
      <c r="H1008" s="20" t="b">
        <f t="shared" si="15"/>
        <v>0</v>
      </c>
      <c r="I1008" s="21" t="str" cm="1">
        <f t="array" ref="I1008">GET_TICKER_FINAL(C1008)</f>
        <v/>
      </c>
      <c r="J1008" s="5" t="s">
        <v>16</v>
      </c>
    </row>
    <row r="1009" spans="1:10">
      <c r="A1009" s="23">
        <v>1008</v>
      </c>
      <c r="B1009" s="22" t="s">
        <v>888</v>
      </c>
      <c r="C1009" s="22" t="s">
        <v>1006</v>
      </c>
      <c r="D1009" s="22">
        <v>172</v>
      </c>
      <c r="E1009" s="22">
        <v>25</v>
      </c>
      <c r="F1009" s="22">
        <v>0.98</v>
      </c>
      <c r="G1009" s="22">
        <v>20260323</v>
      </c>
      <c r="H1009" s="23" t="b">
        <f t="shared" si="15"/>
        <v>0</v>
      </c>
      <c r="I1009" s="24" t="str" cm="1">
        <f t="array" ref="I1009">GET_TICKER_FINAL(C1009)</f>
        <v>NVDA</v>
      </c>
      <c r="J1009" s="5" t="s">
        <v>16</v>
      </c>
    </row>
    <row r="1010" spans="1:10">
      <c r="A1010" s="20">
        <v>1009</v>
      </c>
      <c r="B1010" s="19" t="s">
        <v>888</v>
      </c>
      <c r="C1010" s="19" t="s">
        <v>1007</v>
      </c>
      <c r="D1010" s="19">
        <v>168</v>
      </c>
      <c r="E1010" s="19">
        <v>25</v>
      </c>
      <c r="F1010" s="19">
        <v>0.96</v>
      </c>
      <c r="G1010" s="19">
        <v>20260402</v>
      </c>
      <c r="H1010" s="20" t="b">
        <f t="shared" si="15"/>
        <v>0</v>
      </c>
      <c r="I1010" s="21" t="str" cm="1">
        <f t="array" ref="I1010">GET_TICKER_FINAL(C1010)</f>
        <v>AAPL</v>
      </c>
      <c r="J1010" s="5" t="s">
        <v>28</v>
      </c>
    </row>
    <row r="1011" spans="1:10" hidden="1">
      <c r="A1011" s="23">
        <v>1010</v>
      </c>
      <c r="B1011" s="22" t="s">
        <v>888</v>
      </c>
      <c r="C1011" s="22" t="s">
        <v>1008</v>
      </c>
      <c r="D1011" s="22">
        <v>162</v>
      </c>
      <c r="E1011" s="22">
        <v>298</v>
      </c>
      <c r="F1011" s="22">
        <v>0.76</v>
      </c>
      <c r="G1011" s="22">
        <v>20260401</v>
      </c>
      <c r="H1011" s="23" t="b">
        <f t="shared" si="15"/>
        <v>0</v>
      </c>
      <c r="I1011" s="24" t="str" cm="1">
        <f t="array" ref="I1011">GET_TICKER_FINAL(C1011)</f>
        <v/>
      </c>
      <c r="J1011" s="5" t="s">
        <v>1792</v>
      </c>
    </row>
    <row r="1012" spans="1:10" hidden="1">
      <c r="A1012" s="20">
        <v>1011</v>
      </c>
      <c r="B1012" s="19" t="s">
        <v>888</v>
      </c>
      <c r="C1012" s="19" t="s">
        <v>1009</v>
      </c>
      <c r="D1012" s="19">
        <v>156</v>
      </c>
      <c r="E1012" s="19">
        <v>221</v>
      </c>
      <c r="F1012" s="19">
        <v>0.8</v>
      </c>
      <c r="G1012" s="19">
        <v>20260320</v>
      </c>
      <c r="H1012" s="20" t="b">
        <f t="shared" si="15"/>
        <v>0</v>
      </c>
      <c r="I1012" s="21" t="str" cm="1">
        <f t="array" ref="I1012">GET_TICKER_FINAL(C1012)</f>
        <v/>
      </c>
      <c r="J1012" s="5" t="s">
        <v>1792</v>
      </c>
    </row>
    <row r="1013" spans="1:10" hidden="1">
      <c r="A1013" s="23">
        <v>1012</v>
      </c>
      <c r="B1013" s="22" t="s">
        <v>888</v>
      </c>
      <c r="C1013" s="22" t="s">
        <v>1010</v>
      </c>
      <c r="D1013" s="22">
        <v>139</v>
      </c>
      <c r="E1013" s="22">
        <v>110</v>
      </c>
      <c r="F1013" s="22">
        <v>0.77</v>
      </c>
      <c r="G1013" s="22">
        <v>20260402</v>
      </c>
      <c r="H1013" s="23" t="b">
        <f t="shared" si="15"/>
        <v>0</v>
      </c>
      <c r="I1013" s="24" t="str" cm="1">
        <f t="array" ref="I1013">GET_TICKER_FINAL(C1013)</f>
        <v/>
      </c>
      <c r="J1013" s="5" t="s">
        <v>1792</v>
      </c>
    </row>
    <row r="1014" spans="1:10">
      <c r="A1014" s="20">
        <v>1013</v>
      </c>
      <c r="B1014" s="19" t="s">
        <v>888</v>
      </c>
      <c r="C1014" s="19" t="s">
        <v>1011</v>
      </c>
      <c r="D1014" s="19">
        <v>136</v>
      </c>
      <c r="E1014" s="19">
        <v>65</v>
      </c>
      <c r="F1014" s="19">
        <v>0.94</v>
      </c>
      <c r="G1014" s="19">
        <v>20260320</v>
      </c>
      <c r="H1014" s="20" t="b">
        <f t="shared" si="15"/>
        <v>0</v>
      </c>
      <c r="I1014" s="21" t="str" cm="1">
        <f t="array" ref="I1014">GET_TICKER_FINAL(C1014)</f>
        <v>MU</v>
      </c>
      <c r="J1014" s="5" t="s">
        <v>16</v>
      </c>
    </row>
    <row r="1015" spans="1:10" hidden="1">
      <c r="A1015" s="23">
        <v>1014</v>
      </c>
      <c r="B1015" s="22" t="s">
        <v>888</v>
      </c>
      <c r="C1015" s="22" t="s">
        <v>1012</v>
      </c>
      <c r="D1015" s="22">
        <v>134</v>
      </c>
      <c r="E1015" s="22">
        <v>359</v>
      </c>
      <c r="F1015" s="22">
        <v>0.86</v>
      </c>
      <c r="G1015" s="22">
        <v>20260324</v>
      </c>
      <c r="H1015" s="23" t="b">
        <f t="shared" si="15"/>
        <v>0</v>
      </c>
      <c r="I1015" s="24" t="str" cm="1">
        <f t="array" ref="I1015">GET_TICKER_FINAL(C1015)</f>
        <v/>
      </c>
      <c r="J1015" s="5" t="s">
        <v>1792</v>
      </c>
    </row>
    <row r="1016" spans="1:10" hidden="1">
      <c r="A1016" s="20">
        <v>1015</v>
      </c>
      <c r="B1016" s="19" t="s">
        <v>888</v>
      </c>
      <c r="C1016" s="19" t="s">
        <v>1013</v>
      </c>
      <c r="D1016" s="19">
        <v>134</v>
      </c>
      <c r="E1016" s="19">
        <v>146</v>
      </c>
      <c r="F1016" s="19">
        <v>0.79</v>
      </c>
      <c r="G1016" s="19">
        <v>20260402</v>
      </c>
      <c r="H1016" s="20" t="b">
        <f t="shared" si="15"/>
        <v>0</v>
      </c>
      <c r="I1016" s="21" t="str" cm="1">
        <f t="array" ref="I1016">GET_TICKER_FINAL(C1016)</f>
        <v/>
      </c>
      <c r="J1016" s="5" t="s">
        <v>28</v>
      </c>
    </row>
    <row r="1017" spans="1:10" hidden="1">
      <c r="A1017" s="23">
        <v>1016</v>
      </c>
      <c r="B1017" s="22" t="s">
        <v>888</v>
      </c>
      <c r="C1017" s="22" t="s">
        <v>1014</v>
      </c>
      <c r="D1017" s="22">
        <v>133</v>
      </c>
      <c r="E1017" s="22">
        <v>225</v>
      </c>
      <c r="F1017" s="22">
        <v>0.73</v>
      </c>
      <c r="G1017" s="22">
        <v>20260324</v>
      </c>
      <c r="H1017" s="23" t="b">
        <f t="shared" si="15"/>
        <v>0</v>
      </c>
      <c r="I1017" s="24" t="str" cm="1">
        <f t="array" ref="I1017">GET_TICKER_FINAL(C1017)</f>
        <v/>
      </c>
      <c r="J1017" s="5" t="s">
        <v>16</v>
      </c>
    </row>
    <row r="1018" spans="1:10" hidden="1">
      <c r="A1018" s="20">
        <v>1017</v>
      </c>
      <c r="B1018" s="19" t="s">
        <v>888</v>
      </c>
      <c r="C1018" s="19" t="s">
        <v>1015</v>
      </c>
      <c r="D1018" s="19">
        <v>130</v>
      </c>
      <c r="E1018" s="19">
        <v>72</v>
      </c>
      <c r="F1018" s="19">
        <v>0.96</v>
      </c>
      <c r="G1018" s="19">
        <v>20260402</v>
      </c>
      <c r="H1018" s="20" t="b">
        <f t="shared" si="15"/>
        <v>0</v>
      </c>
      <c r="I1018" s="21" t="str" cm="1">
        <f t="array" ref="I1018">GET_TICKER_FINAL(C1018)</f>
        <v/>
      </c>
      <c r="J1018" s="5" t="s">
        <v>16</v>
      </c>
    </row>
    <row r="1019" spans="1:10" hidden="1">
      <c r="A1019" s="23">
        <v>1018</v>
      </c>
      <c r="B1019" s="22" t="s">
        <v>888</v>
      </c>
      <c r="C1019" s="22" t="s">
        <v>1016</v>
      </c>
      <c r="D1019" s="22">
        <v>129</v>
      </c>
      <c r="E1019" s="22">
        <v>80</v>
      </c>
      <c r="F1019" s="22">
        <v>0.83</v>
      </c>
      <c r="G1019" s="22">
        <v>20260323</v>
      </c>
      <c r="H1019" s="23" t="b">
        <f t="shared" si="15"/>
        <v>0</v>
      </c>
      <c r="I1019" s="24" t="str" cm="1">
        <f t="array" ref="I1019">GET_TICKER_FINAL(C1019)</f>
        <v/>
      </c>
      <c r="J1019" s="5" t="s">
        <v>1792</v>
      </c>
    </row>
    <row r="1020" spans="1:10">
      <c r="A1020" s="20">
        <v>1019</v>
      </c>
      <c r="B1020" s="19" t="s">
        <v>888</v>
      </c>
      <c r="C1020" s="19" t="s">
        <v>1017</v>
      </c>
      <c r="D1020" s="19">
        <v>128</v>
      </c>
      <c r="E1020" s="19">
        <v>56</v>
      </c>
      <c r="F1020" s="19">
        <v>0.75</v>
      </c>
      <c r="G1020" s="19">
        <v>20260323</v>
      </c>
      <c r="H1020" s="20" t="b">
        <f t="shared" si="15"/>
        <v>0</v>
      </c>
      <c r="I1020" s="21" t="str" cm="1">
        <f t="array" ref="I1020">GET_TICKER_FINAL(C1020)</f>
        <v>PLTR</v>
      </c>
      <c r="J1020" s="5" t="s">
        <v>25</v>
      </c>
    </row>
    <row r="1021" spans="1:10">
      <c r="A1021" s="23">
        <v>1020</v>
      </c>
      <c r="B1021" s="22" t="s">
        <v>888</v>
      </c>
      <c r="C1021" s="22" t="s">
        <v>1018</v>
      </c>
      <c r="D1021" s="22">
        <v>126</v>
      </c>
      <c r="E1021" s="22">
        <v>16</v>
      </c>
      <c r="F1021" s="22">
        <v>0.91</v>
      </c>
      <c r="G1021" s="22">
        <v>20260326</v>
      </c>
      <c r="H1021" s="23" t="b">
        <f t="shared" si="15"/>
        <v>0</v>
      </c>
      <c r="I1021" s="24" t="str" cm="1">
        <f t="array" ref="I1021">GET_TICKER_FINAL(C1021)</f>
        <v>BABA</v>
      </c>
      <c r="J1021" s="5" t="s">
        <v>25</v>
      </c>
    </row>
    <row r="1022" spans="1:10" hidden="1">
      <c r="A1022" s="20">
        <v>1021</v>
      </c>
      <c r="B1022" s="19" t="s">
        <v>888</v>
      </c>
      <c r="C1022" s="19" t="s">
        <v>1019</v>
      </c>
      <c r="D1022" s="19">
        <v>126</v>
      </c>
      <c r="E1022" s="19">
        <v>58</v>
      </c>
      <c r="F1022" s="19">
        <v>0.92</v>
      </c>
      <c r="G1022" s="19">
        <v>20260320</v>
      </c>
      <c r="H1022" s="20" t="b">
        <f t="shared" si="15"/>
        <v>0</v>
      </c>
      <c r="I1022" s="21" t="str" cm="1">
        <f t="array" ref="I1022">GET_TICKER_FINAL(C1022)</f>
        <v/>
      </c>
      <c r="J1022" s="5" t="s">
        <v>25</v>
      </c>
    </row>
    <row r="1023" spans="1:10" hidden="1">
      <c r="A1023" s="23">
        <v>1022</v>
      </c>
      <c r="B1023" s="22" t="s">
        <v>888</v>
      </c>
      <c r="C1023" s="22" t="s">
        <v>1020</v>
      </c>
      <c r="D1023" s="22">
        <v>120</v>
      </c>
      <c r="E1023" s="22">
        <v>114</v>
      </c>
      <c r="F1023" s="22">
        <v>0.75</v>
      </c>
      <c r="G1023" s="22">
        <v>20260327</v>
      </c>
      <c r="H1023" s="23" t="b">
        <f t="shared" si="15"/>
        <v>0</v>
      </c>
      <c r="I1023" s="24" t="str" cm="1">
        <f t="array" ref="I1023">GET_TICKER_FINAL(C1023)</f>
        <v/>
      </c>
      <c r="J1023" s="5" t="s">
        <v>16</v>
      </c>
    </row>
    <row r="1024" spans="1:10" hidden="1">
      <c r="A1024" s="20">
        <v>1023</v>
      </c>
      <c r="B1024" s="19" t="s">
        <v>888</v>
      </c>
      <c r="C1024" s="19" t="s">
        <v>1021</v>
      </c>
      <c r="D1024" s="19">
        <v>119</v>
      </c>
      <c r="E1024" s="19">
        <v>77</v>
      </c>
      <c r="F1024" s="19">
        <v>0.81</v>
      </c>
      <c r="G1024" s="19">
        <v>20260402</v>
      </c>
      <c r="H1024" s="20" t="b">
        <f t="shared" si="15"/>
        <v>0</v>
      </c>
      <c r="I1024" s="21" t="str" cm="1">
        <f t="array" ref="I1024">GET_TICKER_FINAL(C1024)</f>
        <v/>
      </c>
      <c r="J1024" s="5" t="s">
        <v>16</v>
      </c>
    </row>
    <row r="1025" spans="1:10" hidden="1">
      <c r="A1025" s="23">
        <v>1024</v>
      </c>
      <c r="B1025" s="22" t="s">
        <v>888</v>
      </c>
      <c r="C1025" s="22" t="s">
        <v>1022</v>
      </c>
      <c r="D1025" s="22">
        <v>116</v>
      </c>
      <c r="E1025" s="22">
        <v>106</v>
      </c>
      <c r="F1025" s="22">
        <v>0.81</v>
      </c>
      <c r="G1025" s="22">
        <v>20260324</v>
      </c>
      <c r="H1025" s="23" t="b">
        <f t="shared" si="15"/>
        <v>0</v>
      </c>
      <c r="I1025" s="24" t="str" cm="1">
        <f t="array" ref="I1025">GET_TICKER_FINAL(C1025)</f>
        <v/>
      </c>
      <c r="J1025" s="5" t="s">
        <v>16</v>
      </c>
    </row>
    <row r="1026" spans="1:10" hidden="1">
      <c r="A1026" s="20">
        <v>1025</v>
      </c>
      <c r="B1026" s="19" t="s">
        <v>888</v>
      </c>
      <c r="C1026" s="19" t="s">
        <v>1023</v>
      </c>
      <c r="D1026" s="19">
        <v>105</v>
      </c>
      <c r="E1026" s="19">
        <v>201</v>
      </c>
      <c r="F1026" s="19">
        <v>0.79</v>
      </c>
      <c r="G1026" s="19">
        <v>20260324</v>
      </c>
      <c r="H1026" s="20" t="b">
        <f t="shared" si="15"/>
        <v>0</v>
      </c>
      <c r="I1026" s="21" t="str" cm="1">
        <f t="array" ref="I1026">GET_TICKER_FINAL(C1026)</f>
        <v/>
      </c>
      <c r="J1026" s="5" t="s">
        <v>1792</v>
      </c>
    </row>
    <row r="1027" spans="1:10" hidden="1">
      <c r="A1027" s="23">
        <v>1026</v>
      </c>
      <c r="B1027" s="22" t="s">
        <v>888</v>
      </c>
      <c r="C1027" s="22" t="s">
        <v>1024</v>
      </c>
      <c r="D1027" s="22">
        <v>103</v>
      </c>
      <c r="E1027" s="22">
        <v>29</v>
      </c>
      <c r="F1027" s="22">
        <v>0.9</v>
      </c>
      <c r="G1027" s="22">
        <v>20260324</v>
      </c>
      <c r="H1027" s="23" t="b">
        <f t="shared" ref="H1027:H1090" si="16">OR(ISNUMBER(SEARCH("$A",C1027)),ISNUMBER(SEARCH("$B",C1027)),ISNUMBER(SEARCH("$C",C1027)),ISNUMBER(SEARCH("$D",C1027)),ISNUMBER(SEARCH("$E",C1027)),ISNUMBER(SEARCH("$F",C1027)),ISNUMBER(SEARCH("$G",C1027)),ISNUMBER(SEARCH("$H",C1027)),ISNUMBER(SEARCH("$I",C1027)),ISNUMBER(SEARCH("$J",C1027)),ISNUMBER(SEARCH("$K",C1027)),ISNUMBER(SEARCH("$L",C1027)),ISNUMBER(SEARCH("$M",C1027)),ISNUMBER(SEARCH("$N",C1027)),ISNUMBER(SEARCH("$O",C1027)),ISNUMBER(SEARCH("$P",C1027)),ISNUMBER(SEARCH("$Q",C1027)),ISNUMBER(SEARCH("$R",C1027)),ISNUMBER(SEARCH("$S",C1027)),ISNUMBER(SEARCH("$T",C1027)),ISNUMBER(SEARCH("$U",C1027)),ISNUMBER(SEARCH("$V",C1027)),ISNUMBER(SEARCH("$W",C1027)),ISNUMBER(SEARCH("$X",C1027)),ISNUMBER(SEARCH("$Y",C1027)),ISNUMBER(SEARCH("$Z",C1027)))</f>
        <v>0</v>
      </c>
      <c r="I1027" s="24" t="str" cm="1">
        <f t="array" ref="I1027">GET_TICKER_FINAL(C1027)</f>
        <v/>
      </c>
      <c r="J1027" s="5" t="s">
        <v>1792</v>
      </c>
    </row>
    <row r="1028" spans="1:10" hidden="1">
      <c r="A1028" s="20">
        <v>1027</v>
      </c>
      <c r="B1028" s="19" t="s">
        <v>888</v>
      </c>
      <c r="C1028" s="19" t="s">
        <v>1025</v>
      </c>
      <c r="D1028" s="19">
        <v>101</v>
      </c>
      <c r="E1028" s="19">
        <v>326</v>
      </c>
      <c r="F1028" s="19">
        <v>0.85</v>
      </c>
      <c r="G1028" s="19">
        <v>20260331</v>
      </c>
      <c r="H1028" s="20" t="b">
        <f t="shared" si="16"/>
        <v>0</v>
      </c>
      <c r="I1028" s="21" t="str" cm="1">
        <f t="array" ref="I1028">GET_TICKER_FINAL(C1028)</f>
        <v/>
      </c>
      <c r="J1028" s="5" t="s">
        <v>1792</v>
      </c>
    </row>
    <row r="1029" spans="1:10">
      <c r="A1029" s="23">
        <v>1028</v>
      </c>
      <c r="B1029" s="22" t="s">
        <v>888</v>
      </c>
      <c r="C1029" s="22" t="s">
        <v>1026</v>
      </c>
      <c r="D1029" s="22">
        <v>101</v>
      </c>
      <c r="E1029" s="22">
        <v>70</v>
      </c>
      <c r="F1029" s="22">
        <v>0.79</v>
      </c>
      <c r="G1029" s="22">
        <v>20260330</v>
      </c>
      <c r="H1029" s="23" t="b">
        <f t="shared" si="16"/>
        <v>0</v>
      </c>
      <c r="I1029" s="24" t="str" cm="1">
        <f t="array" ref="I1029">GET_TICKER_FINAL(C1029)</f>
        <v>AMZN</v>
      </c>
      <c r="J1029" s="5" t="s">
        <v>1792</v>
      </c>
    </row>
    <row r="1030" spans="1:10" hidden="1">
      <c r="A1030" s="20">
        <v>1029</v>
      </c>
      <c r="B1030" s="19" t="s">
        <v>888</v>
      </c>
      <c r="C1030" s="19" t="s">
        <v>1027</v>
      </c>
      <c r="D1030" s="19">
        <v>99</v>
      </c>
      <c r="E1030" s="19">
        <v>520</v>
      </c>
      <c r="F1030" s="19">
        <v>0.9</v>
      </c>
      <c r="G1030" s="19">
        <v>20260320</v>
      </c>
      <c r="H1030" s="20" t="b">
        <f t="shared" si="16"/>
        <v>0</v>
      </c>
      <c r="I1030" s="21" t="str" cm="1">
        <f t="array" ref="I1030">GET_TICKER_FINAL(C1030)</f>
        <v/>
      </c>
      <c r="J1030" s="5" t="s">
        <v>1792</v>
      </c>
    </row>
    <row r="1031" spans="1:10" hidden="1">
      <c r="A1031" s="23">
        <v>1030</v>
      </c>
      <c r="B1031" s="22" t="s">
        <v>888</v>
      </c>
      <c r="C1031" s="22" t="s">
        <v>1028</v>
      </c>
      <c r="D1031" s="22">
        <v>94</v>
      </c>
      <c r="E1031" s="22">
        <v>39</v>
      </c>
      <c r="F1031" s="22">
        <v>0.91</v>
      </c>
      <c r="G1031" s="22">
        <v>20260402</v>
      </c>
      <c r="H1031" s="23" t="b">
        <f t="shared" si="16"/>
        <v>0</v>
      </c>
      <c r="I1031" s="24" t="str" cm="1">
        <f t="array" ref="I1031">GET_TICKER_FINAL(C1031)</f>
        <v/>
      </c>
      <c r="J1031" s="5" t="s">
        <v>16</v>
      </c>
    </row>
    <row r="1032" spans="1:10" hidden="1">
      <c r="A1032" s="20">
        <v>1031</v>
      </c>
      <c r="B1032" s="19" t="s">
        <v>888</v>
      </c>
      <c r="C1032" s="19" t="s">
        <v>1029</v>
      </c>
      <c r="D1032" s="19">
        <v>94</v>
      </c>
      <c r="E1032" s="19">
        <v>55</v>
      </c>
      <c r="F1032" s="19">
        <v>0.87</v>
      </c>
      <c r="G1032" s="19">
        <v>20260402</v>
      </c>
      <c r="H1032" s="20" t="b">
        <f t="shared" si="16"/>
        <v>0</v>
      </c>
      <c r="I1032" s="21" t="str" cm="1">
        <f t="array" ref="I1032">GET_TICKER_FINAL(C1032)</f>
        <v/>
      </c>
      <c r="J1032" s="5" t="s">
        <v>1792</v>
      </c>
    </row>
    <row r="1033" spans="1:10" hidden="1">
      <c r="A1033" s="23">
        <v>1032</v>
      </c>
      <c r="B1033" s="22" t="s">
        <v>888</v>
      </c>
      <c r="C1033" s="22" t="s">
        <v>1030</v>
      </c>
      <c r="D1033" s="22">
        <v>93</v>
      </c>
      <c r="E1033" s="22">
        <v>53</v>
      </c>
      <c r="F1033" s="22">
        <v>0.82</v>
      </c>
      <c r="G1033" s="22">
        <v>20260320</v>
      </c>
      <c r="H1033" s="23" t="b">
        <f t="shared" si="16"/>
        <v>0</v>
      </c>
      <c r="I1033" s="24" t="str" cm="1">
        <f t="array" ref="I1033">GET_TICKER_FINAL(C1033)</f>
        <v/>
      </c>
      <c r="J1033" s="5" t="s">
        <v>25</v>
      </c>
    </row>
    <row r="1034" spans="1:10" hidden="1">
      <c r="A1034" s="20">
        <v>1033</v>
      </c>
      <c r="B1034" s="19" t="s">
        <v>888</v>
      </c>
      <c r="C1034" s="19" t="s">
        <v>1031</v>
      </c>
      <c r="D1034" s="19">
        <v>91</v>
      </c>
      <c r="E1034" s="19">
        <v>64</v>
      </c>
      <c r="F1034" s="19">
        <v>0.8</v>
      </c>
      <c r="G1034" s="19">
        <v>20260331</v>
      </c>
      <c r="H1034" s="20" t="b">
        <f t="shared" si="16"/>
        <v>0</v>
      </c>
      <c r="I1034" s="21" t="str" cm="1">
        <f t="array" ref="I1034">GET_TICKER_FINAL(C1034)</f>
        <v/>
      </c>
      <c r="J1034" s="5" t="s">
        <v>1792</v>
      </c>
    </row>
    <row r="1035" spans="1:10">
      <c r="A1035" s="23">
        <v>1034</v>
      </c>
      <c r="B1035" s="22" t="s">
        <v>888</v>
      </c>
      <c r="C1035" s="22" t="s">
        <v>1032</v>
      </c>
      <c r="D1035" s="22">
        <v>88</v>
      </c>
      <c r="E1035" s="22">
        <v>192</v>
      </c>
      <c r="F1035" s="22">
        <v>0.88</v>
      </c>
      <c r="G1035" s="22">
        <v>20260330</v>
      </c>
      <c r="H1035" s="23" t="b">
        <f t="shared" si="16"/>
        <v>0</v>
      </c>
      <c r="I1035" s="24" t="str" cm="1">
        <f t="array" ref="I1035">GET_TICKER_FINAL(C1035)</f>
        <v>SPY</v>
      </c>
      <c r="J1035" s="5" t="s">
        <v>16</v>
      </c>
    </row>
    <row r="1036" spans="1:10">
      <c r="A1036" s="20">
        <v>1035</v>
      </c>
      <c r="B1036" s="19" t="s">
        <v>888</v>
      </c>
      <c r="C1036" s="19" t="s">
        <v>1033</v>
      </c>
      <c r="D1036" s="19">
        <v>86</v>
      </c>
      <c r="E1036" s="19">
        <v>141</v>
      </c>
      <c r="F1036" s="19">
        <v>0.82</v>
      </c>
      <c r="G1036" s="19">
        <v>20260330</v>
      </c>
      <c r="H1036" s="20" t="b">
        <f t="shared" si="16"/>
        <v>0</v>
      </c>
      <c r="I1036" s="21" t="str" cm="1">
        <f t="array" ref="I1036">GET_TICKER_FINAL(C1036)</f>
        <v>MU</v>
      </c>
      <c r="J1036" s="5" t="s">
        <v>1792</v>
      </c>
    </row>
    <row r="1037" spans="1:10" hidden="1">
      <c r="A1037" s="23">
        <v>1036</v>
      </c>
      <c r="B1037" s="22" t="s">
        <v>888</v>
      </c>
      <c r="C1037" s="22" t="s">
        <v>733</v>
      </c>
      <c r="D1037" s="22">
        <v>81</v>
      </c>
      <c r="E1037" s="22">
        <v>30</v>
      </c>
      <c r="F1037" s="22">
        <v>0.93</v>
      </c>
      <c r="G1037" s="22">
        <v>20260320</v>
      </c>
      <c r="H1037" s="23" t="b">
        <f t="shared" si="16"/>
        <v>0</v>
      </c>
      <c r="I1037" s="24" t="str" cm="1">
        <f t="array" ref="I1037">GET_TICKER_FINAL(C1037)</f>
        <v/>
      </c>
      <c r="J1037" s="5" t="s">
        <v>16</v>
      </c>
    </row>
    <row r="1038" spans="1:10" hidden="1">
      <c r="A1038" s="20">
        <v>1037</v>
      </c>
      <c r="B1038" s="19" t="s">
        <v>888</v>
      </c>
      <c r="C1038" s="19" t="s">
        <v>1034</v>
      </c>
      <c r="D1038" s="19">
        <v>75</v>
      </c>
      <c r="E1038" s="19">
        <v>110</v>
      </c>
      <c r="F1038" s="19">
        <v>0.86</v>
      </c>
      <c r="G1038" s="19">
        <v>20260401</v>
      </c>
      <c r="H1038" s="20" t="b">
        <f t="shared" si="16"/>
        <v>0</v>
      </c>
      <c r="I1038" s="21" t="str" cm="1">
        <f t="array" ref="I1038">GET_TICKER_FINAL(C1038)</f>
        <v/>
      </c>
      <c r="J1038" s="5" t="s">
        <v>28</v>
      </c>
    </row>
    <row r="1039" spans="1:10" hidden="1">
      <c r="A1039" s="23">
        <v>1038</v>
      </c>
      <c r="B1039" s="22" t="s">
        <v>888</v>
      </c>
      <c r="C1039" s="22" t="s">
        <v>1035</v>
      </c>
      <c r="D1039" s="22">
        <v>74</v>
      </c>
      <c r="E1039" s="22">
        <v>11</v>
      </c>
      <c r="F1039" s="22">
        <v>0.93</v>
      </c>
      <c r="G1039" s="22">
        <v>20260326</v>
      </c>
      <c r="H1039" s="23" t="b">
        <f t="shared" si="16"/>
        <v>1</v>
      </c>
      <c r="I1039" s="24" t="str" cm="1">
        <f t="array" ref="I1039">GET_TICKER_FINAL(C1039)</f>
        <v/>
      </c>
      <c r="J1039" s="5" t="s">
        <v>25</v>
      </c>
    </row>
    <row r="1040" spans="1:10">
      <c r="A1040" s="20">
        <v>1039</v>
      </c>
      <c r="B1040" s="19" t="s">
        <v>888</v>
      </c>
      <c r="C1040" s="19" t="s">
        <v>1036</v>
      </c>
      <c r="D1040" s="19">
        <v>71</v>
      </c>
      <c r="E1040" s="19">
        <v>44</v>
      </c>
      <c r="F1040" s="19">
        <v>0.87</v>
      </c>
      <c r="G1040" s="19">
        <v>20260323</v>
      </c>
      <c r="H1040" s="20" t="b">
        <f t="shared" si="16"/>
        <v>0</v>
      </c>
      <c r="I1040" s="21" t="str" cm="1">
        <f t="array" ref="I1040">GET_TICKER_FINAL(C1040)</f>
        <v>GOOGL</v>
      </c>
      <c r="J1040" s="5" t="s">
        <v>28</v>
      </c>
    </row>
    <row r="1041" spans="1:10" hidden="1">
      <c r="A1041" s="23">
        <v>1040</v>
      </c>
      <c r="B1041" s="22" t="s">
        <v>888</v>
      </c>
      <c r="C1041" s="22" t="s">
        <v>1037</v>
      </c>
      <c r="D1041" s="22">
        <v>68</v>
      </c>
      <c r="E1041" s="22">
        <v>73</v>
      </c>
      <c r="F1041" s="22">
        <v>0.86</v>
      </c>
      <c r="G1041" s="22">
        <v>20260402</v>
      </c>
      <c r="H1041" s="23" t="b">
        <f t="shared" si="16"/>
        <v>0</v>
      </c>
      <c r="I1041" s="24" t="str" cm="1">
        <f t="array" ref="I1041">GET_TICKER_FINAL(C1041)</f>
        <v/>
      </c>
      <c r="J1041" s="5" t="s">
        <v>25</v>
      </c>
    </row>
    <row r="1042" spans="1:10" hidden="1">
      <c r="A1042" s="20">
        <v>1041</v>
      </c>
      <c r="B1042" s="19" t="s">
        <v>888</v>
      </c>
      <c r="C1042" s="19" t="s">
        <v>1038</v>
      </c>
      <c r="D1042" s="19">
        <v>66</v>
      </c>
      <c r="E1042" s="19">
        <v>59</v>
      </c>
      <c r="F1042" s="19">
        <v>0.83</v>
      </c>
      <c r="G1042" s="19">
        <v>20260331</v>
      </c>
      <c r="H1042" s="20" t="b">
        <f t="shared" si="16"/>
        <v>0</v>
      </c>
      <c r="I1042" s="21" t="str" cm="1">
        <f t="array" ref="I1042">GET_TICKER_FINAL(C1042)</f>
        <v/>
      </c>
      <c r="J1042" s="5" t="s">
        <v>1792</v>
      </c>
    </row>
    <row r="1043" spans="1:10" hidden="1">
      <c r="A1043" s="23">
        <v>1042</v>
      </c>
      <c r="B1043" s="22" t="s">
        <v>888</v>
      </c>
      <c r="C1043" s="22" t="s">
        <v>1039</v>
      </c>
      <c r="D1043" s="22">
        <v>65</v>
      </c>
      <c r="E1043" s="22">
        <v>64</v>
      </c>
      <c r="F1043" s="22">
        <v>0.85</v>
      </c>
      <c r="G1043" s="22">
        <v>20260401</v>
      </c>
      <c r="H1043" s="23" t="b">
        <f t="shared" si="16"/>
        <v>0</v>
      </c>
      <c r="I1043" s="24" t="str" cm="1">
        <f t="array" ref="I1043">GET_TICKER_FINAL(C1043)</f>
        <v/>
      </c>
      <c r="J1043" s="5" t="s">
        <v>16</v>
      </c>
    </row>
    <row r="1044" spans="1:10" hidden="1">
      <c r="A1044" s="20">
        <v>1043</v>
      </c>
      <c r="B1044" s="19" t="s">
        <v>888</v>
      </c>
      <c r="C1044" s="19" t="s">
        <v>1040</v>
      </c>
      <c r="D1044" s="19">
        <v>65</v>
      </c>
      <c r="E1044" s="19">
        <v>87</v>
      </c>
      <c r="F1044" s="19">
        <v>0.86</v>
      </c>
      <c r="G1044" s="19">
        <v>20260327</v>
      </c>
      <c r="H1044" s="20" t="b">
        <f t="shared" si="16"/>
        <v>1</v>
      </c>
      <c r="I1044" s="21" t="str" cm="1">
        <f t="array" ref="I1044">GET_TICKER_FINAL(C1044)</f>
        <v/>
      </c>
      <c r="J1044" s="5" t="s">
        <v>1792</v>
      </c>
    </row>
    <row r="1045" spans="1:10" hidden="1">
      <c r="A1045" s="23">
        <v>1044</v>
      </c>
      <c r="B1045" s="22" t="s">
        <v>888</v>
      </c>
      <c r="C1045" s="22" t="s">
        <v>1041</v>
      </c>
      <c r="D1045" s="22">
        <v>64</v>
      </c>
      <c r="E1045" s="22">
        <v>157</v>
      </c>
      <c r="F1045" s="22">
        <v>0.8</v>
      </c>
      <c r="G1045" s="22">
        <v>20260323</v>
      </c>
      <c r="H1045" s="23" t="b">
        <f t="shared" si="16"/>
        <v>0</v>
      </c>
      <c r="I1045" s="24" t="str" cm="1">
        <f t="array" ref="I1045">GET_TICKER_FINAL(C1045)</f>
        <v/>
      </c>
      <c r="J1045" s="5" t="s">
        <v>1792</v>
      </c>
    </row>
    <row r="1046" spans="1:10" hidden="1">
      <c r="A1046" s="20">
        <v>1045</v>
      </c>
      <c r="B1046" s="19" t="s">
        <v>888</v>
      </c>
      <c r="C1046" s="19" t="s">
        <v>1042</v>
      </c>
      <c r="D1046" s="19">
        <v>61</v>
      </c>
      <c r="E1046" s="19">
        <v>23</v>
      </c>
      <c r="F1046" s="19">
        <v>0.89</v>
      </c>
      <c r="G1046" s="19">
        <v>20260320</v>
      </c>
      <c r="H1046" s="20" t="b">
        <f t="shared" si="16"/>
        <v>0</v>
      </c>
      <c r="I1046" s="21" t="str" cm="1">
        <f t="array" ref="I1046">GET_TICKER_FINAL(C1046)</f>
        <v/>
      </c>
      <c r="J1046" s="5" t="s">
        <v>16</v>
      </c>
    </row>
    <row r="1047" spans="1:10">
      <c r="A1047" s="23">
        <v>1046</v>
      </c>
      <c r="B1047" s="22" t="s">
        <v>888</v>
      </c>
      <c r="C1047" s="22" t="s">
        <v>1043</v>
      </c>
      <c r="D1047" s="22">
        <v>58</v>
      </c>
      <c r="E1047" s="22">
        <v>7</v>
      </c>
      <c r="F1047" s="22">
        <v>0.91</v>
      </c>
      <c r="G1047" s="22">
        <v>20260402</v>
      </c>
      <c r="H1047" s="23" t="b">
        <f t="shared" si="16"/>
        <v>0</v>
      </c>
      <c r="I1047" s="24" t="str" cm="1">
        <f t="array" ref="I1047">GET_TICKER_FINAL(C1047)</f>
        <v>AMZN</v>
      </c>
      <c r="J1047" s="5" t="s">
        <v>16</v>
      </c>
    </row>
    <row r="1048" spans="1:10" hidden="1">
      <c r="A1048" s="20">
        <v>1047</v>
      </c>
      <c r="B1048" s="19" t="s">
        <v>888</v>
      </c>
      <c r="C1048" s="19" t="s">
        <v>1044</v>
      </c>
      <c r="D1048" s="19">
        <v>57</v>
      </c>
      <c r="E1048" s="19">
        <v>30</v>
      </c>
      <c r="F1048" s="19">
        <v>0.88</v>
      </c>
      <c r="G1048" s="19">
        <v>20260327</v>
      </c>
      <c r="H1048" s="20" t="b">
        <f t="shared" si="16"/>
        <v>0</v>
      </c>
      <c r="I1048" s="21" t="str" cm="1">
        <f t="array" ref="I1048">GET_TICKER_FINAL(C1048)</f>
        <v/>
      </c>
      <c r="J1048" s="5" t="s">
        <v>1792</v>
      </c>
    </row>
    <row r="1049" spans="1:10" hidden="1">
      <c r="A1049" s="23">
        <v>1048</v>
      </c>
      <c r="B1049" s="22" t="s">
        <v>888</v>
      </c>
      <c r="C1049" s="22" t="s">
        <v>1045</v>
      </c>
      <c r="D1049" s="22">
        <v>57</v>
      </c>
      <c r="E1049" s="22">
        <v>11</v>
      </c>
      <c r="F1049" s="22">
        <v>0.92</v>
      </c>
      <c r="G1049" s="22">
        <v>20260331</v>
      </c>
      <c r="H1049" s="23" t="b">
        <f t="shared" si="16"/>
        <v>0</v>
      </c>
      <c r="I1049" s="24" t="str" cm="1">
        <f t="array" ref="I1049">GET_TICKER_FINAL(C1049)</f>
        <v/>
      </c>
      <c r="J1049" s="5" t="s">
        <v>25</v>
      </c>
    </row>
    <row r="1050" spans="1:10">
      <c r="A1050" s="20">
        <v>1049</v>
      </c>
      <c r="B1050" s="19" t="s">
        <v>888</v>
      </c>
      <c r="C1050" s="19" t="s">
        <v>1046</v>
      </c>
      <c r="D1050" s="19">
        <v>57</v>
      </c>
      <c r="E1050" s="19">
        <v>28</v>
      </c>
      <c r="F1050" s="19">
        <v>0.82</v>
      </c>
      <c r="G1050" s="19">
        <v>20260330</v>
      </c>
      <c r="H1050" s="20" t="b">
        <f t="shared" si="16"/>
        <v>0</v>
      </c>
      <c r="I1050" s="21" t="str" cm="1">
        <f t="array" ref="I1050">GET_TICKER_FINAL(C1050)</f>
        <v>META</v>
      </c>
      <c r="J1050" s="5" t="s">
        <v>1792</v>
      </c>
    </row>
    <row r="1051" spans="1:10">
      <c r="A1051" s="23">
        <v>1050</v>
      </c>
      <c r="B1051" s="22" t="s">
        <v>888</v>
      </c>
      <c r="C1051" s="22" t="s">
        <v>1047</v>
      </c>
      <c r="D1051" s="22">
        <v>55</v>
      </c>
      <c r="E1051" s="22">
        <v>152</v>
      </c>
      <c r="F1051" s="22">
        <v>0.67</v>
      </c>
      <c r="G1051" s="22">
        <v>20260402</v>
      </c>
      <c r="H1051" s="23" t="b">
        <f t="shared" si="16"/>
        <v>0</v>
      </c>
      <c r="I1051" s="24" t="str" cm="1">
        <f t="array" ref="I1051">GET_TICKER_FINAL(C1051)</f>
        <v>MU</v>
      </c>
      <c r="J1051" s="5" t="s">
        <v>25</v>
      </c>
    </row>
    <row r="1052" spans="1:10" hidden="1">
      <c r="A1052" s="20">
        <v>1051</v>
      </c>
      <c r="B1052" s="19" t="s">
        <v>888</v>
      </c>
      <c r="C1052" s="19" t="s">
        <v>1048</v>
      </c>
      <c r="D1052" s="19">
        <v>55</v>
      </c>
      <c r="E1052" s="19">
        <v>21</v>
      </c>
      <c r="F1052" s="19">
        <v>0.93</v>
      </c>
      <c r="G1052" s="19">
        <v>20260330</v>
      </c>
      <c r="H1052" s="20" t="b">
        <f t="shared" si="16"/>
        <v>0</v>
      </c>
      <c r="I1052" s="21" t="str" cm="1">
        <f t="array" ref="I1052">GET_TICKER_FINAL(C1052)</f>
        <v/>
      </c>
      <c r="J1052" s="5" t="s">
        <v>1792</v>
      </c>
    </row>
    <row r="1053" spans="1:10" hidden="1">
      <c r="A1053" s="23">
        <v>1052</v>
      </c>
      <c r="B1053" s="22" t="s">
        <v>888</v>
      </c>
      <c r="C1053" s="22" t="s">
        <v>1049</v>
      </c>
      <c r="D1053" s="22">
        <v>54</v>
      </c>
      <c r="E1053" s="22">
        <v>159</v>
      </c>
      <c r="F1053" s="22">
        <v>0.7</v>
      </c>
      <c r="G1053" s="22">
        <v>20260330</v>
      </c>
      <c r="H1053" s="23" t="b">
        <f t="shared" si="16"/>
        <v>0</v>
      </c>
      <c r="I1053" s="24" t="str" cm="1">
        <f t="array" ref="I1053">GET_TICKER_FINAL(C1053)</f>
        <v/>
      </c>
      <c r="J1053" s="5" t="s">
        <v>16</v>
      </c>
    </row>
    <row r="1054" spans="1:10" hidden="1">
      <c r="A1054" s="20">
        <v>1053</v>
      </c>
      <c r="B1054" s="19" t="s">
        <v>888</v>
      </c>
      <c r="C1054" s="19" t="s">
        <v>120</v>
      </c>
      <c r="D1054" s="19">
        <v>53</v>
      </c>
      <c r="E1054" s="19">
        <v>15</v>
      </c>
      <c r="F1054" s="19">
        <v>0.93</v>
      </c>
      <c r="G1054" s="19">
        <v>20260330</v>
      </c>
      <c r="H1054" s="20" t="b">
        <f t="shared" si="16"/>
        <v>0</v>
      </c>
      <c r="I1054" s="21" t="str" cm="1">
        <f t="array" ref="I1054">GET_TICKER_FINAL(C1054)</f>
        <v/>
      </c>
      <c r="J1054" s="5" t="s">
        <v>1792</v>
      </c>
    </row>
    <row r="1055" spans="1:10">
      <c r="A1055" s="23">
        <v>1054</v>
      </c>
      <c r="B1055" s="22" t="s">
        <v>888</v>
      </c>
      <c r="C1055" s="22" t="s">
        <v>1050</v>
      </c>
      <c r="D1055" s="22">
        <v>52</v>
      </c>
      <c r="E1055" s="22">
        <v>8</v>
      </c>
      <c r="F1055" s="22">
        <v>0.96</v>
      </c>
      <c r="G1055" s="22">
        <v>20260402</v>
      </c>
      <c r="H1055" s="23" t="b">
        <f t="shared" si="16"/>
        <v>0</v>
      </c>
      <c r="I1055" s="24" t="str" cm="1">
        <f t="array" ref="I1055">GET_TICKER_FINAL(C1055)</f>
        <v>TSLA</v>
      </c>
      <c r="J1055" s="5" t="s">
        <v>1792</v>
      </c>
    </row>
    <row r="1056" spans="1:10" hidden="1">
      <c r="A1056" s="20">
        <v>1055</v>
      </c>
      <c r="B1056" s="19" t="s">
        <v>888</v>
      </c>
      <c r="C1056" s="19" t="s">
        <v>1051</v>
      </c>
      <c r="D1056" s="19">
        <v>51</v>
      </c>
      <c r="E1056" s="19">
        <v>21</v>
      </c>
      <c r="F1056" s="19">
        <v>0.87</v>
      </c>
      <c r="G1056" s="19">
        <v>20260324</v>
      </c>
      <c r="H1056" s="20" t="b">
        <f t="shared" si="16"/>
        <v>0</v>
      </c>
      <c r="I1056" s="21" t="str" cm="1">
        <f t="array" ref="I1056">GET_TICKER_FINAL(C1056)</f>
        <v/>
      </c>
      <c r="J1056" s="5" t="s">
        <v>1792</v>
      </c>
    </row>
    <row r="1057" spans="1:10" hidden="1">
      <c r="A1057" s="23">
        <v>1056</v>
      </c>
      <c r="B1057" s="22" t="s">
        <v>888</v>
      </c>
      <c r="C1057" s="22" t="s">
        <v>1052</v>
      </c>
      <c r="D1057" s="22">
        <v>51</v>
      </c>
      <c r="E1057" s="22">
        <v>68</v>
      </c>
      <c r="F1057" s="22">
        <v>0.61</v>
      </c>
      <c r="G1057" s="22">
        <v>20260330</v>
      </c>
      <c r="H1057" s="23" t="b">
        <f t="shared" si="16"/>
        <v>1</v>
      </c>
      <c r="I1057" s="24" t="str" cm="1">
        <f t="array" ref="I1057">GET_TICKER_FINAL(C1057)</f>
        <v/>
      </c>
      <c r="J1057" s="5" t="s">
        <v>16</v>
      </c>
    </row>
    <row r="1058" spans="1:10" hidden="1">
      <c r="A1058" s="20">
        <v>1057</v>
      </c>
      <c r="B1058" s="19" t="s">
        <v>888</v>
      </c>
      <c r="C1058" s="19" t="s">
        <v>1053</v>
      </c>
      <c r="D1058" s="19">
        <v>50</v>
      </c>
      <c r="E1058" s="19">
        <v>88</v>
      </c>
      <c r="F1058" s="19">
        <v>0.77</v>
      </c>
      <c r="G1058" s="19">
        <v>20260330</v>
      </c>
      <c r="H1058" s="20" t="b">
        <f t="shared" si="16"/>
        <v>0</v>
      </c>
      <c r="I1058" s="21" t="str" cm="1">
        <f t="array" ref="I1058">GET_TICKER_FINAL(C1058)</f>
        <v/>
      </c>
      <c r="J1058" s="5" t="s">
        <v>28</v>
      </c>
    </row>
    <row r="1059" spans="1:10">
      <c r="A1059" s="23">
        <v>1058</v>
      </c>
      <c r="B1059" s="22" t="s">
        <v>888</v>
      </c>
      <c r="C1059" s="22" t="s">
        <v>1054</v>
      </c>
      <c r="D1059" s="22">
        <v>50</v>
      </c>
      <c r="E1059" s="22">
        <v>13</v>
      </c>
      <c r="F1059" s="22">
        <v>0.91</v>
      </c>
      <c r="G1059" s="22">
        <v>20260323</v>
      </c>
      <c r="H1059" s="23" t="b">
        <f t="shared" si="16"/>
        <v>0</v>
      </c>
      <c r="I1059" s="24" t="str" cm="1">
        <f t="array" ref="I1059">GET_TICKER_FINAL(C1059)</f>
        <v>RKLB</v>
      </c>
      <c r="J1059" s="5" t="s">
        <v>16</v>
      </c>
    </row>
    <row r="1060" spans="1:10" hidden="1">
      <c r="A1060" s="20">
        <v>1059</v>
      </c>
      <c r="B1060" s="19" t="s">
        <v>888</v>
      </c>
      <c r="C1060" s="19" t="s">
        <v>1055</v>
      </c>
      <c r="D1060" s="19">
        <v>50</v>
      </c>
      <c r="E1060" s="19">
        <v>15</v>
      </c>
      <c r="F1060" s="19">
        <v>0.83</v>
      </c>
      <c r="G1060" s="19">
        <v>20260327</v>
      </c>
      <c r="H1060" s="20" t="b">
        <f t="shared" si="16"/>
        <v>0</v>
      </c>
      <c r="I1060" s="21" t="str" cm="1">
        <f t="array" ref="I1060">GET_TICKER_FINAL(C1060)</f>
        <v/>
      </c>
      <c r="J1060" s="5" t="s">
        <v>16</v>
      </c>
    </row>
    <row r="1061" spans="1:10">
      <c r="A1061" s="23">
        <v>1060</v>
      </c>
      <c r="B1061" s="22" t="s">
        <v>888</v>
      </c>
      <c r="C1061" s="22" t="s">
        <v>1056</v>
      </c>
      <c r="D1061" s="22">
        <v>48</v>
      </c>
      <c r="E1061" s="22">
        <v>0</v>
      </c>
      <c r="F1061" s="22">
        <v>0.91</v>
      </c>
      <c r="G1061" s="22">
        <v>20260327</v>
      </c>
      <c r="H1061" s="23" t="b">
        <f t="shared" si="16"/>
        <v>1</v>
      </c>
      <c r="I1061" s="24" t="str" cm="1">
        <f t="array" ref="I1061">GET_TICKER_FINAL(C1061)</f>
        <v>RKLB</v>
      </c>
      <c r="J1061" s="5" t="s">
        <v>1792</v>
      </c>
    </row>
    <row r="1062" spans="1:10" hidden="1">
      <c r="A1062" s="20">
        <v>1061</v>
      </c>
      <c r="B1062" s="19" t="s">
        <v>888</v>
      </c>
      <c r="C1062" s="19" t="s">
        <v>1057</v>
      </c>
      <c r="D1062" s="19">
        <v>48</v>
      </c>
      <c r="E1062" s="19">
        <v>168</v>
      </c>
      <c r="F1062" s="19">
        <v>0.79</v>
      </c>
      <c r="G1062" s="19">
        <v>20260402</v>
      </c>
      <c r="H1062" s="20" t="b">
        <f t="shared" si="16"/>
        <v>0</v>
      </c>
      <c r="I1062" s="21" t="str" cm="1">
        <f t="array" ref="I1062">GET_TICKER_FINAL(C1062)</f>
        <v/>
      </c>
      <c r="J1062" s="5" t="s">
        <v>16</v>
      </c>
    </row>
    <row r="1063" spans="1:10" hidden="1">
      <c r="A1063" s="23">
        <v>1062</v>
      </c>
      <c r="B1063" s="22" t="s">
        <v>888</v>
      </c>
      <c r="C1063" s="22" t="s">
        <v>1058</v>
      </c>
      <c r="D1063" s="22">
        <v>44</v>
      </c>
      <c r="E1063" s="22">
        <v>148</v>
      </c>
      <c r="F1063" s="22">
        <v>0.74</v>
      </c>
      <c r="G1063" s="22">
        <v>20260401</v>
      </c>
      <c r="H1063" s="23" t="b">
        <f t="shared" si="16"/>
        <v>0</v>
      </c>
      <c r="I1063" s="24" t="str" cm="1">
        <f t="array" ref="I1063">GET_TICKER_FINAL(C1063)</f>
        <v/>
      </c>
      <c r="J1063" s="5" t="s">
        <v>16</v>
      </c>
    </row>
    <row r="1064" spans="1:10" hidden="1">
      <c r="A1064" s="20">
        <v>1063</v>
      </c>
      <c r="B1064" s="19" t="s">
        <v>888</v>
      </c>
      <c r="C1064" s="19" t="s">
        <v>1059</v>
      </c>
      <c r="D1064" s="19">
        <v>43</v>
      </c>
      <c r="E1064" s="19">
        <v>14</v>
      </c>
      <c r="F1064" s="19">
        <v>0.88</v>
      </c>
      <c r="G1064" s="19">
        <v>20260330</v>
      </c>
      <c r="H1064" s="20" t="b">
        <f t="shared" si="16"/>
        <v>0</v>
      </c>
      <c r="I1064" s="21" t="str" cm="1">
        <f t="array" ref="I1064">GET_TICKER_FINAL(C1064)</f>
        <v/>
      </c>
      <c r="J1064" s="5" t="s">
        <v>1792</v>
      </c>
    </row>
    <row r="1065" spans="1:10" hidden="1">
      <c r="A1065" s="23">
        <v>1064</v>
      </c>
      <c r="B1065" s="22" t="s">
        <v>888</v>
      </c>
      <c r="C1065" s="22" t="s">
        <v>1060</v>
      </c>
      <c r="D1065" s="22">
        <v>41</v>
      </c>
      <c r="E1065" s="22">
        <v>41</v>
      </c>
      <c r="F1065" s="22">
        <v>0.82</v>
      </c>
      <c r="G1065" s="22">
        <v>20260327</v>
      </c>
      <c r="H1065" s="23" t="b">
        <f t="shared" si="16"/>
        <v>0</v>
      </c>
      <c r="I1065" s="24" t="str" cm="1">
        <f t="array" ref="I1065">GET_TICKER_FINAL(C1065)</f>
        <v/>
      </c>
      <c r="J1065" s="5" t="s">
        <v>25</v>
      </c>
    </row>
    <row r="1066" spans="1:10" hidden="1">
      <c r="A1066" s="20">
        <v>1065</v>
      </c>
      <c r="B1066" s="19" t="s">
        <v>888</v>
      </c>
      <c r="C1066" s="19" t="s">
        <v>1061</v>
      </c>
      <c r="D1066" s="19">
        <v>41</v>
      </c>
      <c r="E1066" s="19">
        <v>100</v>
      </c>
      <c r="F1066" s="19">
        <v>0.79</v>
      </c>
      <c r="G1066" s="19">
        <v>20260331</v>
      </c>
      <c r="H1066" s="20" t="b">
        <f t="shared" si="16"/>
        <v>0</v>
      </c>
      <c r="I1066" s="21" t="str" cm="1">
        <f t="array" ref="I1066">GET_TICKER_FINAL(C1066)</f>
        <v/>
      </c>
      <c r="J1066" s="5" t="s">
        <v>1792</v>
      </c>
    </row>
    <row r="1067" spans="1:10" hidden="1">
      <c r="A1067" s="23">
        <v>1066</v>
      </c>
      <c r="B1067" s="22" t="s">
        <v>888</v>
      </c>
      <c r="C1067" s="22" t="s">
        <v>1062</v>
      </c>
      <c r="D1067" s="22">
        <v>41</v>
      </c>
      <c r="E1067" s="22">
        <v>36</v>
      </c>
      <c r="F1067" s="22">
        <v>0.87</v>
      </c>
      <c r="G1067" s="22">
        <v>20260330</v>
      </c>
      <c r="H1067" s="23" t="b">
        <f t="shared" si="16"/>
        <v>0</v>
      </c>
      <c r="I1067" s="24" t="str" cm="1">
        <f t="array" ref="I1067">GET_TICKER_FINAL(C1067)</f>
        <v/>
      </c>
      <c r="J1067" s="5" t="s">
        <v>16</v>
      </c>
    </row>
    <row r="1068" spans="1:10" hidden="1">
      <c r="A1068" s="20">
        <v>1067</v>
      </c>
      <c r="B1068" s="19" t="s">
        <v>888</v>
      </c>
      <c r="C1068" s="19" t="s">
        <v>1063</v>
      </c>
      <c r="D1068" s="19">
        <v>41</v>
      </c>
      <c r="E1068" s="19">
        <v>27</v>
      </c>
      <c r="F1068" s="19">
        <v>0.9</v>
      </c>
      <c r="G1068" s="19">
        <v>20260402</v>
      </c>
      <c r="H1068" s="20" t="b">
        <f t="shared" si="16"/>
        <v>0</v>
      </c>
      <c r="I1068" s="21" t="str" cm="1">
        <f t="array" ref="I1068">GET_TICKER_FINAL(C1068)</f>
        <v/>
      </c>
      <c r="J1068" s="5" t="s">
        <v>16</v>
      </c>
    </row>
    <row r="1069" spans="1:10" hidden="1">
      <c r="A1069" s="23">
        <v>1068</v>
      </c>
      <c r="B1069" s="22" t="s">
        <v>888</v>
      </c>
      <c r="C1069" s="22" t="s">
        <v>1064</v>
      </c>
      <c r="D1069" s="22">
        <v>40</v>
      </c>
      <c r="E1069" s="22">
        <v>54</v>
      </c>
      <c r="F1069" s="22">
        <v>0.71</v>
      </c>
      <c r="G1069" s="22">
        <v>20260402</v>
      </c>
      <c r="H1069" s="23" t="b">
        <f t="shared" si="16"/>
        <v>0</v>
      </c>
      <c r="I1069" s="24" t="str" cm="1">
        <f t="array" ref="I1069">GET_TICKER_FINAL(C1069)</f>
        <v/>
      </c>
      <c r="J1069" s="5" t="s">
        <v>1792</v>
      </c>
    </row>
    <row r="1070" spans="1:10" hidden="1">
      <c r="A1070" s="20">
        <v>1069</v>
      </c>
      <c r="B1070" s="19" t="s">
        <v>888</v>
      </c>
      <c r="C1070" s="19" t="s">
        <v>1065</v>
      </c>
      <c r="D1070" s="19">
        <v>39</v>
      </c>
      <c r="E1070" s="19">
        <v>141</v>
      </c>
      <c r="F1070" s="19">
        <v>0.65</v>
      </c>
      <c r="G1070" s="19">
        <v>20260402</v>
      </c>
      <c r="H1070" s="20" t="b">
        <f t="shared" si="16"/>
        <v>0</v>
      </c>
      <c r="I1070" s="21" t="str" cm="1">
        <f t="array" ref="I1070">GET_TICKER_FINAL(C1070)</f>
        <v/>
      </c>
      <c r="J1070" s="5" t="s">
        <v>16</v>
      </c>
    </row>
    <row r="1071" spans="1:10">
      <c r="A1071" s="23">
        <v>1070</v>
      </c>
      <c r="B1071" s="22" t="s">
        <v>888</v>
      </c>
      <c r="C1071" s="22" t="s">
        <v>293</v>
      </c>
      <c r="D1071" s="22">
        <v>39</v>
      </c>
      <c r="E1071" s="22">
        <v>80</v>
      </c>
      <c r="F1071" s="22">
        <v>0.69</v>
      </c>
      <c r="G1071" s="22">
        <v>20260402</v>
      </c>
      <c r="H1071" s="23" t="b">
        <f t="shared" si="16"/>
        <v>0</v>
      </c>
      <c r="I1071" s="24" t="str" cm="1">
        <f t="array" ref="I1071">GET_TICKER_FINAL(C1071)</f>
        <v>SPY</v>
      </c>
      <c r="J1071" s="5" t="s">
        <v>1792</v>
      </c>
    </row>
    <row r="1072" spans="1:10">
      <c r="A1072" s="20">
        <v>1071</v>
      </c>
      <c r="B1072" s="19" t="s">
        <v>888</v>
      </c>
      <c r="C1072" s="19" t="s">
        <v>1066</v>
      </c>
      <c r="D1072" s="19">
        <v>39</v>
      </c>
      <c r="E1072" s="19">
        <v>9</v>
      </c>
      <c r="F1072" s="19">
        <v>0.82</v>
      </c>
      <c r="G1072" s="19">
        <v>20260320</v>
      </c>
      <c r="H1072" s="20" t="b">
        <f t="shared" si="16"/>
        <v>0</v>
      </c>
      <c r="I1072" s="21" t="str" cm="1">
        <f t="array" ref="I1072">GET_TICKER_FINAL(C1072)</f>
        <v>SOFI</v>
      </c>
      <c r="J1072" s="5" t="s">
        <v>1792</v>
      </c>
    </row>
    <row r="1073" spans="1:10" hidden="1">
      <c r="A1073" s="23">
        <v>1072</v>
      </c>
      <c r="B1073" s="22" t="s">
        <v>888</v>
      </c>
      <c r="C1073" s="22" t="s">
        <v>1067</v>
      </c>
      <c r="D1073" s="22">
        <v>38</v>
      </c>
      <c r="E1073" s="22">
        <v>14</v>
      </c>
      <c r="F1073" s="22">
        <v>0.74</v>
      </c>
      <c r="G1073" s="22">
        <v>20260324</v>
      </c>
      <c r="H1073" s="23" t="b">
        <f t="shared" si="16"/>
        <v>0</v>
      </c>
      <c r="I1073" s="24" t="str" cm="1">
        <f t="array" ref="I1073">GET_TICKER_FINAL(C1073)</f>
        <v/>
      </c>
      <c r="J1073" s="5" t="s">
        <v>25</v>
      </c>
    </row>
    <row r="1074" spans="1:10">
      <c r="A1074" s="20">
        <v>1073</v>
      </c>
      <c r="B1074" s="19" t="s">
        <v>888</v>
      </c>
      <c r="C1074" s="19" t="s">
        <v>1068</v>
      </c>
      <c r="D1074" s="19">
        <v>37</v>
      </c>
      <c r="E1074" s="19">
        <v>5</v>
      </c>
      <c r="F1074" s="19">
        <v>0.84</v>
      </c>
      <c r="G1074" s="19">
        <v>20260330</v>
      </c>
      <c r="H1074" s="20" t="b">
        <f t="shared" si="16"/>
        <v>0</v>
      </c>
      <c r="I1074" s="21" t="str" cm="1">
        <f t="array" ref="I1074">GET_TICKER_FINAL(C1074)</f>
        <v>META</v>
      </c>
      <c r="J1074" s="5" t="s">
        <v>16</v>
      </c>
    </row>
    <row r="1075" spans="1:10" hidden="1">
      <c r="A1075" s="23">
        <v>1074</v>
      </c>
      <c r="B1075" s="22" t="s">
        <v>888</v>
      </c>
      <c r="C1075" s="22" t="s">
        <v>1069</v>
      </c>
      <c r="D1075" s="22">
        <v>36</v>
      </c>
      <c r="E1075" s="22">
        <v>28</v>
      </c>
      <c r="F1075" s="22">
        <v>0.76</v>
      </c>
      <c r="G1075" s="22">
        <v>20260320</v>
      </c>
      <c r="H1075" s="23" t="b">
        <f t="shared" si="16"/>
        <v>0</v>
      </c>
      <c r="I1075" s="24" t="str" cm="1">
        <f t="array" ref="I1075">GET_TICKER_FINAL(C1075)</f>
        <v/>
      </c>
      <c r="J1075" s="5" t="s">
        <v>1792</v>
      </c>
    </row>
    <row r="1076" spans="1:10" hidden="1">
      <c r="A1076" s="20">
        <v>1075</v>
      </c>
      <c r="B1076" s="19" t="s">
        <v>888</v>
      </c>
      <c r="C1076" s="19" t="s">
        <v>1070</v>
      </c>
      <c r="D1076" s="19">
        <v>35</v>
      </c>
      <c r="E1076" s="19">
        <v>18</v>
      </c>
      <c r="F1076" s="19">
        <v>0.82</v>
      </c>
      <c r="G1076" s="19">
        <v>20260327</v>
      </c>
      <c r="H1076" s="20" t="b">
        <f t="shared" si="16"/>
        <v>0</v>
      </c>
      <c r="I1076" s="21" t="str" cm="1">
        <f t="array" ref="I1076">GET_TICKER_FINAL(C1076)</f>
        <v/>
      </c>
      <c r="J1076" s="5" t="s">
        <v>1792</v>
      </c>
    </row>
    <row r="1077" spans="1:10" hidden="1">
      <c r="A1077" s="23">
        <v>1076</v>
      </c>
      <c r="B1077" s="22" t="s">
        <v>888</v>
      </c>
      <c r="C1077" s="22" t="s">
        <v>1071</v>
      </c>
      <c r="D1077" s="22">
        <v>34</v>
      </c>
      <c r="E1077" s="22">
        <v>24</v>
      </c>
      <c r="F1077" s="22">
        <v>0.82</v>
      </c>
      <c r="G1077" s="22">
        <v>20260402</v>
      </c>
      <c r="H1077" s="23" t="b">
        <f t="shared" si="16"/>
        <v>0</v>
      </c>
      <c r="I1077" s="24" t="str" cm="1">
        <f t="array" ref="I1077">GET_TICKER_FINAL(C1077)</f>
        <v/>
      </c>
      <c r="J1077" s="5" t="s">
        <v>16</v>
      </c>
    </row>
    <row r="1078" spans="1:10" hidden="1">
      <c r="A1078" s="20">
        <v>1077</v>
      </c>
      <c r="B1078" s="19" t="s">
        <v>888</v>
      </c>
      <c r="C1078" s="19" t="s">
        <v>86</v>
      </c>
      <c r="D1078" s="19">
        <v>34</v>
      </c>
      <c r="E1078" s="19">
        <v>70</v>
      </c>
      <c r="F1078" s="19">
        <v>0.85</v>
      </c>
      <c r="G1078" s="19">
        <v>20260323</v>
      </c>
      <c r="H1078" s="20" t="b">
        <f t="shared" si="16"/>
        <v>0</v>
      </c>
      <c r="I1078" s="21" t="str" cm="1">
        <f t="array" ref="I1078">GET_TICKER_FINAL(C1078)</f>
        <v/>
      </c>
      <c r="J1078" s="5" t="s">
        <v>16</v>
      </c>
    </row>
    <row r="1079" spans="1:10" hidden="1">
      <c r="A1079" s="23">
        <v>1078</v>
      </c>
      <c r="B1079" s="22" t="s">
        <v>888</v>
      </c>
      <c r="C1079" s="22" t="s">
        <v>1072</v>
      </c>
      <c r="D1079" s="22">
        <v>32</v>
      </c>
      <c r="E1079" s="22">
        <v>20</v>
      </c>
      <c r="F1079" s="22">
        <v>0.74</v>
      </c>
      <c r="G1079" s="22">
        <v>20260327</v>
      </c>
      <c r="H1079" s="23" t="b">
        <f t="shared" si="16"/>
        <v>0</v>
      </c>
      <c r="I1079" s="24" t="str" cm="1">
        <f t="array" ref="I1079">GET_TICKER_FINAL(C1079)</f>
        <v/>
      </c>
      <c r="J1079" s="5" t="s">
        <v>1792</v>
      </c>
    </row>
    <row r="1080" spans="1:10">
      <c r="A1080" s="20">
        <v>1079</v>
      </c>
      <c r="B1080" s="19" t="s">
        <v>888</v>
      </c>
      <c r="C1080" s="19" t="s">
        <v>1073</v>
      </c>
      <c r="D1080" s="19">
        <v>32</v>
      </c>
      <c r="E1080" s="19">
        <v>8</v>
      </c>
      <c r="F1080" s="19">
        <v>0.9</v>
      </c>
      <c r="G1080" s="19">
        <v>20260323</v>
      </c>
      <c r="H1080" s="20" t="b">
        <f t="shared" si="16"/>
        <v>0</v>
      </c>
      <c r="I1080" s="21" t="str" cm="1">
        <f t="array" ref="I1080">GET_TICKER_FINAL(C1080)</f>
        <v>NVDA</v>
      </c>
      <c r="J1080" s="5" t="s">
        <v>25</v>
      </c>
    </row>
    <row r="1081" spans="1:10" hidden="1">
      <c r="A1081" s="23">
        <v>1080</v>
      </c>
      <c r="B1081" s="22" t="s">
        <v>888</v>
      </c>
      <c r="C1081" s="22" t="s">
        <v>1074</v>
      </c>
      <c r="D1081" s="22">
        <v>30</v>
      </c>
      <c r="E1081" s="22">
        <v>34</v>
      </c>
      <c r="F1081" s="22">
        <v>0.78</v>
      </c>
      <c r="G1081" s="22">
        <v>20260323</v>
      </c>
      <c r="H1081" s="23" t="b">
        <f t="shared" si="16"/>
        <v>0</v>
      </c>
      <c r="I1081" s="24" t="str" cm="1">
        <f t="array" ref="I1081">GET_TICKER_FINAL(C1081)</f>
        <v/>
      </c>
      <c r="J1081" s="5" t="s">
        <v>16</v>
      </c>
    </row>
    <row r="1082" spans="1:10" hidden="1">
      <c r="A1082" s="20">
        <v>1081</v>
      </c>
      <c r="B1082" s="19" t="s">
        <v>888</v>
      </c>
      <c r="C1082" s="19" t="s">
        <v>1075</v>
      </c>
      <c r="D1082" s="19">
        <v>30</v>
      </c>
      <c r="E1082" s="19">
        <v>8</v>
      </c>
      <c r="F1082" s="19">
        <v>0.82</v>
      </c>
      <c r="G1082" s="19">
        <v>20260326</v>
      </c>
      <c r="H1082" s="20" t="b">
        <f t="shared" si="16"/>
        <v>0</v>
      </c>
      <c r="I1082" s="21" t="str" cm="1">
        <f t="array" ref="I1082">GET_TICKER_FINAL(C1082)</f>
        <v/>
      </c>
      <c r="J1082" s="5" t="s">
        <v>1792</v>
      </c>
    </row>
    <row r="1083" spans="1:10" hidden="1">
      <c r="A1083" s="23">
        <v>1082</v>
      </c>
      <c r="B1083" s="22" t="s">
        <v>888</v>
      </c>
      <c r="C1083" s="22" t="s">
        <v>1076</v>
      </c>
      <c r="D1083" s="22">
        <v>30</v>
      </c>
      <c r="E1083" s="22">
        <v>17</v>
      </c>
      <c r="F1083" s="22">
        <v>0.79</v>
      </c>
      <c r="G1083" s="22">
        <v>20260326</v>
      </c>
      <c r="H1083" s="23" t="b">
        <f t="shared" si="16"/>
        <v>0</v>
      </c>
      <c r="I1083" s="24" t="str" cm="1">
        <f t="array" ref="I1083">GET_TICKER_FINAL(C1083)</f>
        <v/>
      </c>
      <c r="J1083" s="5" t="s">
        <v>25</v>
      </c>
    </row>
    <row r="1084" spans="1:10" hidden="1">
      <c r="A1084" s="20">
        <v>1083</v>
      </c>
      <c r="B1084" s="19" t="s">
        <v>888</v>
      </c>
      <c r="C1084" s="19" t="s">
        <v>1077</v>
      </c>
      <c r="D1084" s="19">
        <v>29</v>
      </c>
      <c r="E1084" s="19">
        <v>13</v>
      </c>
      <c r="F1084" s="19">
        <v>0.88</v>
      </c>
      <c r="G1084" s="19">
        <v>20260323</v>
      </c>
      <c r="H1084" s="20" t="b">
        <f t="shared" si="16"/>
        <v>0</v>
      </c>
      <c r="I1084" s="21" t="str" cm="1">
        <f t="array" ref="I1084">GET_TICKER_FINAL(C1084)</f>
        <v/>
      </c>
      <c r="J1084" s="5" t="s">
        <v>16</v>
      </c>
    </row>
    <row r="1085" spans="1:10" hidden="1">
      <c r="A1085" s="23">
        <v>1084</v>
      </c>
      <c r="B1085" s="22" t="s">
        <v>888</v>
      </c>
      <c r="C1085" s="22" t="s">
        <v>1078</v>
      </c>
      <c r="D1085" s="22">
        <v>28</v>
      </c>
      <c r="E1085" s="22">
        <v>4</v>
      </c>
      <c r="F1085" s="22">
        <v>0.92</v>
      </c>
      <c r="G1085" s="22">
        <v>20260326</v>
      </c>
      <c r="H1085" s="23" t="b">
        <f t="shared" si="16"/>
        <v>0</v>
      </c>
      <c r="I1085" s="24" t="str" cm="1">
        <f t="array" ref="I1085">GET_TICKER_FINAL(C1085)</f>
        <v/>
      </c>
      <c r="J1085" s="5" t="s">
        <v>1792</v>
      </c>
    </row>
    <row r="1086" spans="1:10" hidden="1">
      <c r="A1086" s="20">
        <v>1085</v>
      </c>
      <c r="B1086" s="19" t="s">
        <v>888</v>
      </c>
      <c r="C1086" s="19" t="s">
        <v>1079</v>
      </c>
      <c r="D1086" s="19">
        <v>28</v>
      </c>
      <c r="E1086" s="19">
        <v>16</v>
      </c>
      <c r="F1086" s="19">
        <v>0.71</v>
      </c>
      <c r="G1086" s="19">
        <v>20260320</v>
      </c>
      <c r="H1086" s="20" t="b">
        <f t="shared" si="16"/>
        <v>0</v>
      </c>
      <c r="I1086" s="21" t="str" cm="1">
        <f t="array" ref="I1086">GET_TICKER_FINAL(C1086)</f>
        <v/>
      </c>
      <c r="J1086" s="5" t="s">
        <v>25</v>
      </c>
    </row>
    <row r="1087" spans="1:10" hidden="1">
      <c r="A1087" s="23">
        <v>1086</v>
      </c>
      <c r="B1087" s="22" t="s">
        <v>888</v>
      </c>
      <c r="C1087" s="22" t="s">
        <v>1080</v>
      </c>
      <c r="D1087" s="22">
        <v>28</v>
      </c>
      <c r="E1087" s="22">
        <v>28</v>
      </c>
      <c r="F1087" s="22">
        <v>0.7</v>
      </c>
      <c r="G1087" s="22">
        <v>20260323</v>
      </c>
      <c r="H1087" s="23" t="b">
        <f t="shared" si="16"/>
        <v>0</v>
      </c>
      <c r="I1087" s="24" t="str" cm="1">
        <f t="array" ref="I1087">GET_TICKER_FINAL(C1087)</f>
        <v/>
      </c>
      <c r="J1087" s="5" t="s">
        <v>16</v>
      </c>
    </row>
    <row r="1088" spans="1:10">
      <c r="A1088" s="20">
        <v>1087</v>
      </c>
      <c r="B1088" s="19" t="s">
        <v>888</v>
      </c>
      <c r="C1088" s="19" t="s">
        <v>1081</v>
      </c>
      <c r="D1088" s="19">
        <v>28</v>
      </c>
      <c r="E1088" s="19">
        <v>14</v>
      </c>
      <c r="F1088" s="19">
        <v>0.79</v>
      </c>
      <c r="G1088" s="19">
        <v>20260323</v>
      </c>
      <c r="H1088" s="20" t="b">
        <f t="shared" si="16"/>
        <v>0</v>
      </c>
      <c r="I1088" s="21" t="str" cm="1">
        <f t="array" ref="I1088">GET_TICKER_FINAL(C1088)</f>
        <v>NFLX</v>
      </c>
      <c r="J1088" s="5" t="s">
        <v>1792</v>
      </c>
    </row>
    <row r="1089" spans="1:10" hidden="1">
      <c r="A1089" s="23">
        <v>1088</v>
      </c>
      <c r="B1089" s="22" t="s">
        <v>888</v>
      </c>
      <c r="C1089" s="22" t="s">
        <v>1082</v>
      </c>
      <c r="D1089" s="22">
        <v>26</v>
      </c>
      <c r="E1089" s="22">
        <v>14</v>
      </c>
      <c r="F1089" s="22">
        <v>0.8</v>
      </c>
      <c r="G1089" s="22">
        <v>20260330</v>
      </c>
      <c r="H1089" s="23" t="b">
        <f t="shared" si="16"/>
        <v>0</v>
      </c>
      <c r="I1089" s="24" t="str" cm="1">
        <f t="array" ref="I1089">GET_TICKER_FINAL(C1089)</f>
        <v/>
      </c>
      <c r="J1089" s="5" t="s">
        <v>25</v>
      </c>
    </row>
    <row r="1090" spans="1:10" hidden="1">
      <c r="A1090" s="20">
        <v>1089</v>
      </c>
      <c r="B1090" s="19" t="s">
        <v>888</v>
      </c>
      <c r="C1090" s="19" t="s">
        <v>1083</v>
      </c>
      <c r="D1090" s="19">
        <v>24</v>
      </c>
      <c r="E1090" s="19">
        <v>10</v>
      </c>
      <c r="F1090" s="19">
        <v>0.85</v>
      </c>
      <c r="G1090" s="19">
        <v>20260327</v>
      </c>
      <c r="H1090" s="20" t="b">
        <f t="shared" si="16"/>
        <v>0</v>
      </c>
      <c r="I1090" s="21" t="str" cm="1">
        <f t="array" ref="I1090">GET_TICKER_FINAL(C1090)</f>
        <v/>
      </c>
      <c r="J1090" s="5" t="s">
        <v>1792</v>
      </c>
    </row>
    <row r="1091" spans="1:10" hidden="1">
      <c r="A1091" s="23">
        <v>1090</v>
      </c>
      <c r="B1091" s="22" t="s">
        <v>888</v>
      </c>
      <c r="C1091" s="22" t="s">
        <v>527</v>
      </c>
      <c r="D1091" s="22">
        <v>24</v>
      </c>
      <c r="E1091" s="22">
        <v>30</v>
      </c>
      <c r="F1091" s="22">
        <v>0.85</v>
      </c>
      <c r="G1091" s="22">
        <v>20260326</v>
      </c>
      <c r="H1091" s="23" t="b">
        <f t="shared" ref="H1091:H1154" si="17">OR(ISNUMBER(SEARCH("$A",C1091)),ISNUMBER(SEARCH("$B",C1091)),ISNUMBER(SEARCH("$C",C1091)),ISNUMBER(SEARCH("$D",C1091)),ISNUMBER(SEARCH("$E",C1091)),ISNUMBER(SEARCH("$F",C1091)),ISNUMBER(SEARCH("$G",C1091)),ISNUMBER(SEARCH("$H",C1091)),ISNUMBER(SEARCH("$I",C1091)),ISNUMBER(SEARCH("$J",C1091)),ISNUMBER(SEARCH("$K",C1091)),ISNUMBER(SEARCH("$L",C1091)),ISNUMBER(SEARCH("$M",C1091)),ISNUMBER(SEARCH("$N",C1091)),ISNUMBER(SEARCH("$O",C1091)),ISNUMBER(SEARCH("$P",C1091)),ISNUMBER(SEARCH("$Q",C1091)),ISNUMBER(SEARCH("$R",C1091)),ISNUMBER(SEARCH("$S",C1091)),ISNUMBER(SEARCH("$T",C1091)),ISNUMBER(SEARCH("$U",C1091)),ISNUMBER(SEARCH("$V",C1091)),ISNUMBER(SEARCH("$W",C1091)),ISNUMBER(SEARCH("$X",C1091)),ISNUMBER(SEARCH("$Y",C1091)),ISNUMBER(SEARCH("$Z",C1091)))</f>
        <v>0</v>
      </c>
      <c r="I1091" s="24" t="str" cm="1">
        <f t="array" ref="I1091">GET_TICKER_FINAL(C1091)</f>
        <v/>
      </c>
      <c r="J1091" s="5" t="s">
        <v>16</v>
      </c>
    </row>
    <row r="1092" spans="1:10" hidden="1">
      <c r="A1092" s="20">
        <v>1091</v>
      </c>
      <c r="B1092" s="19" t="s">
        <v>888</v>
      </c>
      <c r="C1092" s="19" t="s">
        <v>1084</v>
      </c>
      <c r="D1092" s="19">
        <v>23</v>
      </c>
      <c r="E1092" s="19">
        <v>2</v>
      </c>
      <c r="F1092" s="19">
        <v>0.93</v>
      </c>
      <c r="G1092" s="19">
        <v>20260330</v>
      </c>
      <c r="H1092" s="20" t="b">
        <f t="shared" si="17"/>
        <v>0</v>
      </c>
      <c r="I1092" s="21" t="str" cm="1">
        <f t="array" ref="I1092">GET_TICKER_FINAL(C1092)</f>
        <v/>
      </c>
      <c r="J1092" s="5" t="s">
        <v>25</v>
      </c>
    </row>
    <row r="1093" spans="1:10" hidden="1">
      <c r="A1093" s="23">
        <v>1092</v>
      </c>
      <c r="B1093" s="22" t="s">
        <v>888</v>
      </c>
      <c r="C1093" s="22" t="s">
        <v>1085</v>
      </c>
      <c r="D1093" s="22">
        <v>23</v>
      </c>
      <c r="E1093" s="22">
        <v>714</v>
      </c>
      <c r="F1093" s="22">
        <v>0.95</v>
      </c>
      <c r="G1093" s="22">
        <v>20260331</v>
      </c>
      <c r="H1093" s="23" t="b">
        <f t="shared" si="17"/>
        <v>0</v>
      </c>
      <c r="I1093" s="24" t="str" cm="1">
        <f t="array" ref="I1093">GET_TICKER_FINAL(C1093)</f>
        <v/>
      </c>
      <c r="J1093" s="5" t="s">
        <v>16</v>
      </c>
    </row>
    <row r="1094" spans="1:10">
      <c r="A1094" s="20">
        <v>1093</v>
      </c>
      <c r="B1094" s="19" t="s">
        <v>888</v>
      </c>
      <c r="C1094" s="19" t="s">
        <v>1086</v>
      </c>
      <c r="D1094" s="19">
        <v>22</v>
      </c>
      <c r="E1094" s="19">
        <v>13</v>
      </c>
      <c r="F1094" s="19">
        <v>0.75</v>
      </c>
      <c r="G1094" s="19">
        <v>20260402</v>
      </c>
      <c r="H1094" s="20" t="b">
        <f t="shared" si="17"/>
        <v>0</v>
      </c>
      <c r="I1094" s="21" t="str" cm="1">
        <f t="array" ref="I1094">GET_TICKER_FINAL(C1094)</f>
        <v>TSLA</v>
      </c>
      <c r="J1094" s="5" t="s">
        <v>1792</v>
      </c>
    </row>
    <row r="1095" spans="1:10" hidden="1">
      <c r="A1095" s="23">
        <v>1094</v>
      </c>
      <c r="B1095" s="22" t="s">
        <v>888</v>
      </c>
      <c r="C1095" s="22" t="s">
        <v>1087</v>
      </c>
      <c r="D1095" s="22">
        <v>22</v>
      </c>
      <c r="E1095" s="22">
        <v>19</v>
      </c>
      <c r="F1095" s="22">
        <v>0.78</v>
      </c>
      <c r="G1095" s="22">
        <v>20260402</v>
      </c>
      <c r="H1095" s="23" t="b">
        <f t="shared" si="17"/>
        <v>0</v>
      </c>
      <c r="I1095" s="24" t="str" cm="1">
        <f t="array" ref="I1095">GET_TICKER_FINAL(C1095)</f>
        <v/>
      </c>
      <c r="J1095" s="5" t="s">
        <v>16</v>
      </c>
    </row>
    <row r="1096" spans="1:10" hidden="1">
      <c r="A1096" s="20">
        <v>1095</v>
      </c>
      <c r="B1096" s="19" t="s">
        <v>888</v>
      </c>
      <c r="C1096" s="19" t="s">
        <v>1088</v>
      </c>
      <c r="D1096" s="19">
        <v>21</v>
      </c>
      <c r="E1096" s="19">
        <v>35</v>
      </c>
      <c r="F1096" s="19">
        <v>0.74</v>
      </c>
      <c r="G1096" s="19">
        <v>20260330</v>
      </c>
      <c r="H1096" s="20" t="b">
        <f t="shared" si="17"/>
        <v>0</v>
      </c>
      <c r="I1096" s="21" t="str" cm="1">
        <f t="array" ref="I1096">GET_TICKER_FINAL(C1096)</f>
        <v/>
      </c>
      <c r="J1096" s="5" t="s">
        <v>16</v>
      </c>
    </row>
    <row r="1097" spans="1:10" hidden="1">
      <c r="A1097" s="23">
        <v>1096</v>
      </c>
      <c r="B1097" s="22" t="s">
        <v>888</v>
      </c>
      <c r="C1097" s="22" t="s">
        <v>166</v>
      </c>
      <c r="D1097" s="22">
        <v>21</v>
      </c>
      <c r="E1097" s="22">
        <v>29</v>
      </c>
      <c r="F1097" s="22">
        <v>0.96</v>
      </c>
      <c r="G1097" s="22">
        <v>20260326</v>
      </c>
      <c r="H1097" s="23" t="b">
        <f t="shared" si="17"/>
        <v>0</v>
      </c>
      <c r="I1097" s="24" t="str" cm="1">
        <f t="array" ref="I1097">GET_TICKER_FINAL(C1097)</f>
        <v/>
      </c>
      <c r="J1097" s="5" t="s">
        <v>1792</v>
      </c>
    </row>
    <row r="1098" spans="1:10" hidden="1">
      <c r="A1098" s="20">
        <v>1097</v>
      </c>
      <c r="B1098" s="19" t="s">
        <v>888</v>
      </c>
      <c r="C1098" s="19" t="s">
        <v>1089</v>
      </c>
      <c r="D1098" s="19">
        <v>21</v>
      </c>
      <c r="E1098" s="19">
        <v>15</v>
      </c>
      <c r="F1098" s="19">
        <v>0.85</v>
      </c>
      <c r="G1098" s="19">
        <v>20260326</v>
      </c>
      <c r="H1098" s="20" t="b">
        <f t="shared" si="17"/>
        <v>0</v>
      </c>
      <c r="I1098" s="21" t="str" cm="1">
        <f t="array" ref="I1098">GET_TICKER_FINAL(C1098)</f>
        <v/>
      </c>
      <c r="J1098" s="5" t="s">
        <v>16</v>
      </c>
    </row>
    <row r="1099" spans="1:10" hidden="1">
      <c r="A1099" s="23">
        <v>1098</v>
      </c>
      <c r="B1099" s="22" t="s">
        <v>888</v>
      </c>
      <c r="C1099" s="22" t="s">
        <v>1090</v>
      </c>
      <c r="D1099" s="22">
        <v>21</v>
      </c>
      <c r="E1099" s="22">
        <v>36</v>
      </c>
      <c r="F1099" s="22">
        <v>0.83</v>
      </c>
      <c r="G1099" s="22">
        <v>20260401</v>
      </c>
      <c r="H1099" s="23" t="b">
        <f t="shared" si="17"/>
        <v>0</v>
      </c>
      <c r="I1099" s="24" t="str" cm="1">
        <f t="array" ref="I1099">GET_TICKER_FINAL(C1099)</f>
        <v/>
      </c>
      <c r="J1099" s="5" t="s">
        <v>1792</v>
      </c>
    </row>
    <row r="1100" spans="1:10">
      <c r="A1100" s="20">
        <v>1099</v>
      </c>
      <c r="B1100" s="19" t="s">
        <v>888</v>
      </c>
      <c r="C1100" s="19" t="s">
        <v>1091</v>
      </c>
      <c r="D1100" s="19">
        <v>20</v>
      </c>
      <c r="E1100" s="19">
        <v>42</v>
      </c>
      <c r="F1100" s="19">
        <v>0.7</v>
      </c>
      <c r="G1100" s="19">
        <v>20260330</v>
      </c>
      <c r="H1100" s="20" t="b">
        <f t="shared" si="17"/>
        <v>1</v>
      </c>
      <c r="I1100" s="21" t="str" cm="1">
        <f t="array" ref="I1100">GET_TICKER_FINAL(C1100)</f>
        <v>SPY</v>
      </c>
      <c r="J1100" s="5" t="s">
        <v>25</v>
      </c>
    </row>
    <row r="1101" spans="1:10" hidden="1">
      <c r="A1101" s="23">
        <v>1100</v>
      </c>
      <c r="B1101" s="22" t="s">
        <v>888</v>
      </c>
      <c r="C1101" s="22" t="s">
        <v>1092</v>
      </c>
      <c r="D1101" s="22">
        <v>19</v>
      </c>
      <c r="E1101" s="22">
        <v>6</v>
      </c>
      <c r="F1101" s="22">
        <v>0.95</v>
      </c>
      <c r="G1101" s="22">
        <v>20260327</v>
      </c>
      <c r="H1101" s="23" t="b">
        <f t="shared" si="17"/>
        <v>0</v>
      </c>
      <c r="I1101" s="24" t="str" cm="1">
        <f t="array" ref="I1101">GET_TICKER_FINAL(C1101)</f>
        <v/>
      </c>
      <c r="J1101" s="5" t="s">
        <v>1792</v>
      </c>
    </row>
    <row r="1102" spans="1:10" hidden="1">
      <c r="A1102" s="20">
        <v>1101</v>
      </c>
      <c r="B1102" s="19" t="s">
        <v>888</v>
      </c>
      <c r="C1102" s="19" t="s">
        <v>1093</v>
      </c>
      <c r="D1102" s="19">
        <v>19</v>
      </c>
      <c r="E1102" s="19">
        <v>3</v>
      </c>
      <c r="F1102" s="19">
        <v>0.95</v>
      </c>
      <c r="G1102" s="19">
        <v>20260323</v>
      </c>
      <c r="H1102" s="20" t="b">
        <f t="shared" si="17"/>
        <v>0</v>
      </c>
      <c r="I1102" s="21" t="str" cm="1">
        <f t="array" ref="I1102">GET_TICKER_FINAL(C1102)</f>
        <v/>
      </c>
      <c r="J1102" s="5" t="s">
        <v>25</v>
      </c>
    </row>
    <row r="1103" spans="1:10">
      <c r="A1103" s="23">
        <v>1102</v>
      </c>
      <c r="B1103" s="22" t="s">
        <v>888</v>
      </c>
      <c r="C1103" s="22" t="s">
        <v>1094</v>
      </c>
      <c r="D1103" s="22">
        <v>19</v>
      </c>
      <c r="E1103" s="22">
        <v>17</v>
      </c>
      <c r="F1103" s="22">
        <v>0.71</v>
      </c>
      <c r="G1103" s="22">
        <v>20260323</v>
      </c>
      <c r="H1103" s="23" t="b">
        <f t="shared" si="17"/>
        <v>0</v>
      </c>
      <c r="I1103" s="24" t="str" cm="1">
        <f t="array" ref="I1103">GET_TICKER_FINAL(C1103)</f>
        <v>RKLB</v>
      </c>
      <c r="J1103" s="5" t="s">
        <v>25</v>
      </c>
    </row>
    <row r="1104" spans="1:10" hidden="1">
      <c r="A1104" s="20">
        <v>1103</v>
      </c>
      <c r="B1104" s="19" t="s">
        <v>888</v>
      </c>
      <c r="C1104" s="19" t="s">
        <v>1095</v>
      </c>
      <c r="D1104" s="19">
        <v>18</v>
      </c>
      <c r="E1104" s="19">
        <v>7</v>
      </c>
      <c r="F1104" s="19">
        <v>0.75</v>
      </c>
      <c r="G1104" s="19">
        <v>20260324</v>
      </c>
      <c r="H1104" s="20" t="b">
        <f t="shared" si="17"/>
        <v>0</v>
      </c>
      <c r="I1104" s="21" t="str" cm="1">
        <f t="array" ref="I1104">GET_TICKER_FINAL(C1104)</f>
        <v/>
      </c>
      <c r="J1104" s="5" t="s">
        <v>1792</v>
      </c>
    </row>
    <row r="1105" spans="1:10" hidden="1">
      <c r="A1105" s="23">
        <v>1104</v>
      </c>
      <c r="B1105" s="22" t="s">
        <v>888</v>
      </c>
      <c r="C1105" s="22" t="s">
        <v>1096</v>
      </c>
      <c r="D1105" s="22">
        <v>18</v>
      </c>
      <c r="E1105" s="22">
        <v>69</v>
      </c>
      <c r="F1105" s="22">
        <v>0.72</v>
      </c>
      <c r="G1105" s="22">
        <v>20260331</v>
      </c>
      <c r="H1105" s="23" t="b">
        <f t="shared" si="17"/>
        <v>0</v>
      </c>
      <c r="I1105" s="24" t="str" cm="1">
        <f t="array" ref="I1105">GET_TICKER_FINAL(C1105)</f>
        <v/>
      </c>
      <c r="J1105" s="5" t="s">
        <v>1792</v>
      </c>
    </row>
    <row r="1106" spans="1:10" hidden="1">
      <c r="A1106" s="20">
        <v>1105</v>
      </c>
      <c r="B1106" s="19" t="s">
        <v>888</v>
      </c>
      <c r="C1106" s="19" t="s">
        <v>1097</v>
      </c>
      <c r="D1106" s="19">
        <v>18</v>
      </c>
      <c r="E1106" s="19">
        <v>627</v>
      </c>
      <c r="F1106" s="19">
        <v>0.95</v>
      </c>
      <c r="G1106" s="19">
        <v>20260402</v>
      </c>
      <c r="H1106" s="20" t="b">
        <f t="shared" si="17"/>
        <v>0</v>
      </c>
      <c r="I1106" s="21" t="str" cm="1">
        <f t="array" ref="I1106">GET_TICKER_FINAL(C1106)</f>
        <v/>
      </c>
      <c r="J1106" s="5" t="s">
        <v>1792</v>
      </c>
    </row>
    <row r="1107" spans="1:10" hidden="1">
      <c r="A1107" s="23">
        <v>1106</v>
      </c>
      <c r="B1107" s="22" t="s">
        <v>888</v>
      </c>
      <c r="C1107" s="22" t="s">
        <v>1098</v>
      </c>
      <c r="D1107" s="22">
        <v>18</v>
      </c>
      <c r="E1107" s="22">
        <v>723</v>
      </c>
      <c r="F1107" s="22">
        <v>0.91</v>
      </c>
      <c r="G1107" s="22">
        <v>20260401</v>
      </c>
      <c r="H1107" s="23" t="b">
        <f t="shared" si="17"/>
        <v>0</v>
      </c>
      <c r="I1107" s="24" t="str" cm="1">
        <f t="array" ref="I1107">GET_TICKER_FINAL(C1107)</f>
        <v/>
      </c>
      <c r="J1107" s="5" t="s">
        <v>1792</v>
      </c>
    </row>
    <row r="1108" spans="1:10" hidden="1">
      <c r="A1108" s="20">
        <v>1107</v>
      </c>
      <c r="B1108" s="19" t="s">
        <v>888</v>
      </c>
      <c r="C1108" s="19" t="s">
        <v>1099</v>
      </c>
      <c r="D1108" s="19">
        <v>18</v>
      </c>
      <c r="E1108" s="19">
        <v>9</v>
      </c>
      <c r="F1108" s="19">
        <v>0.83</v>
      </c>
      <c r="G1108" s="19">
        <v>20260330</v>
      </c>
      <c r="H1108" s="20" t="b">
        <f t="shared" si="17"/>
        <v>0</v>
      </c>
      <c r="I1108" s="21" t="str" cm="1">
        <f t="array" ref="I1108">GET_TICKER_FINAL(C1108)</f>
        <v/>
      </c>
      <c r="J1108" s="5" t="s">
        <v>25</v>
      </c>
    </row>
    <row r="1109" spans="1:10" hidden="1">
      <c r="A1109" s="23">
        <v>1108</v>
      </c>
      <c r="B1109" s="22" t="s">
        <v>888</v>
      </c>
      <c r="C1109" s="22" t="s">
        <v>1100</v>
      </c>
      <c r="D1109" s="22">
        <v>16</v>
      </c>
      <c r="E1109" s="22">
        <v>3</v>
      </c>
      <c r="F1109" s="22">
        <v>0.77</v>
      </c>
      <c r="G1109" s="22">
        <v>20260401</v>
      </c>
      <c r="H1109" s="23" t="b">
        <f t="shared" si="17"/>
        <v>0</v>
      </c>
      <c r="I1109" s="24" t="str" cm="1">
        <f t="array" ref="I1109">GET_TICKER_FINAL(C1109)</f>
        <v/>
      </c>
      <c r="J1109" s="5" t="s">
        <v>1792</v>
      </c>
    </row>
    <row r="1110" spans="1:10" hidden="1">
      <c r="A1110" s="20">
        <v>1109</v>
      </c>
      <c r="B1110" s="19" t="s">
        <v>888</v>
      </c>
      <c r="C1110" s="19" t="s">
        <v>1101</v>
      </c>
      <c r="D1110" s="19">
        <v>16</v>
      </c>
      <c r="E1110" s="19">
        <v>33</v>
      </c>
      <c r="F1110" s="19">
        <v>0.72</v>
      </c>
      <c r="G1110" s="19">
        <v>20260324</v>
      </c>
      <c r="H1110" s="20" t="b">
        <f t="shared" si="17"/>
        <v>0</v>
      </c>
      <c r="I1110" s="21" t="str" cm="1">
        <f t="array" ref="I1110">GET_TICKER_FINAL(C1110)</f>
        <v/>
      </c>
      <c r="J1110" s="5" t="s">
        <v>1792</v>
      </c>
    </row>
    <row r="1111" spans="1:10">
      <c r="A1111" s="23">
        <v>1110</v>
      </c>
      <c r="B1111" s="22" t="s">
        <v>888</v>
      </c>
      <c r="C1111" s="22" t="s">
        <v>1102</v>
      </c>
      <c r="D1111" s="22">
        <v>15</v>
      </c>
      <c r="E1111" s="22">
        <v>12</v>
      </c>
      <c r="F1111" s="22">
        <v>0.78</v>
      </c>
      <c r="G1111" s="22">
        <v>20260401</v>
      </c>
      <c r="H1111" s="23" t="b">
        <f t="shared" si="17"/>
        <v>0</v>
      </c>
      <c r="I1111" s="24" t="str" cm="1">
        <f t="array" ref="I1111">GET_TICKER_FINAL(C1111)</f>
        <v>META</v>
      </c>
      <c r="J1111" s="5" t="s">
        <v>1792</v>
      </c>
    </row>
    <row r="1112" spans="1:10" hidden="1">
      <c r="A1112" s="20">
        <v>1111</v>
      </c>
      <c r="B1112" s="19" t="s">
        <v>888</v>
      </c>
      <c r="C1112" s="19" t="s">
        <v>1103</v>
      </c>
      <c r="D1112" s="19">
        <v>15</v>
      </c>
      <c r="E1112" s="19">
        <v>510</v>
      </c>
      <c r="F1112" s="19">
        <v>0.84</v>
      </c>
      <c r="G1112" s="19">
        <v>20260320</v>
      </c>
      <c r="H1112" s="20" t="b">
        <f t="shared" si="17"/>
        <v>0</v>
      </c>
      <c r="I1112" s="21" t="str" cm="1">
        <f t="array" ref="I1112">GET_TICKER_FINAL(C1112)</f>
        <v/>
      </c>
      <c r="J1112" s="5" t="s">
        <v>1792</v>
      </c>
    </row>
    <row r="1113" spans="1:10">
      <c r="A1113" s="23">
        <v>1112</v>
      </c>
      <c r="B1113" s="22" t="s">
        <v>888</v>
      </c>
      <c r="C1113" s="22" t="s">
        <v>1104</v>
      </c>
      <c r="D1113" s="22">
        <v>15</v>
      </c>
      <c r="E1113" s="22">
        <v>23</v>
      </c>
      <c r="F1113" s="22">
        <v>0.78</v>
      </c>
      <c r="G1113" s="22">
        <v>20260327</v>
      </c>
      <c r="H1113" s="23" t="b">
        <f t="shared" si="17"/>
        <v>0</v>
      </c>
      <c r="I1113" s="24" t="str" cm="1">
        <f t="array" ref="I1113">GET_TICKER_FINAL(C1113)</f>
        <v>USO</v>
      </c>
      <c r="J1113" s="5" t="s">
        <v>1792</v>
      </c>
    </row>
    <row r="1114" spans="1:10" hidden="1">
      <c r="A1114" s="20">
        <v>1113</v>
      </c>
      <c r="B1114" s="19" t="s">
        <v>888</v>
      </c>
      <c r="C1114" s="19" t="s">
        <v>1105</v>
      </c>
      <c r="D1114" s="19">
        <v>15</v>
      </c>
      <c r="E1114" s="19">
        <v>20</v>
      </c>
      <c r="F1114" s="19">
        <v>0.67</v>
      </c>
      <c r="G1114" s="19">
        <v>20260327</v>
      </c>
      <c r="H1114" s="20" t="b">
        <f t="shared" si="17"/>
        <v>0</v>
      </c>
      <c r="I1114" s="21" t="str" cm="1">
        <f t="array" ref="I1114">GET_TICKER_FINAL(C1114)</f>
        <v/>
      </c>
      <c r="J1114" s="5" t="s">
        <v>16</v>
      </c>
    </row>
    <row r="1115" spans="1:10" hidden="1">
      <c r="A1115" s="23">
        <v>1114</v>
      </c>
      <c r="B1115" s="22" t="s">
        <v>888</v>
      </c>
      <c r="C1115" s="22" t="s">
        <v>1106</v>
      </c>
      <c r="D1115" s="22">
        <v>15</v>
      </c>
      <c r="E1115" s="22">
        <v>479</v>
      </c>
      <c r="F1115" s="22">
        <v>0.8</v>
      </c>
      <c r="G1115" s="22">
        <v>20260326</v>
      </c>
      <c r="H1115" s="23" t="b">
        <f t="shared" si="17"/>
        <v>0</v>
      </c>
      <c r="I1115" s="24" t="str" cm="1">
        <f t="array" ref="I1115">GET_TICKER_FINAL(C1115)</f>
        <v/>
      </c>
      <c r="J1115" s="5" t="s">
        <v>1792</v>
      </c>
    </row>
    <row r="1116" spans="1:10">
      <c r="A1116" s="20">
        <v>1115</v>
      </c>
      <c r="B1116" s="19" t="s">
        <v>888</v>
      </c>
      <c r="C1116" s="19" t="s">
        <v>1107</v>
      </c>
      <c r="D1116" s="19">
        <v>15</v>
      </c>
      <c r="E1116" s="19">
        <v>17</v>
      </c>
      <c r="F1116" s="19">
        <v>0.78</v>
      </c>
      <c r="G1116" s="19">
        <v>20260324</v>
      </c>
      <c r="H1116" s="20" t="b">
        <f t="shared" si="17"/>
        <v>0</v>
      </c>
      <c r="I1116" s="21" t="str" cm="1">
        <f t="array" ref="I1116">GET_TICKER_FINAL(C1116)</f>
        <v>MU</v>
      </c>
      <c r="J1116" s="5" t="s">
        <v>1792</v>
      </c>
    </row>
    <row r="1117" spans="1:10" hidden="1">
      <c r="A1117" s="23">
        <v>1116</v>
      </c>
      <c r="B1117" s="22" t="s">
        <v>888</v>
      </c>
      <c r="C1117" s="22" t="s">
        <v>1108</v>
      </c>
      <c r="D1117" s="22">
        <v>15</v>
      </c>
      <c r="E1117" s="22">
        <v>12</v>
      </c>
      <c r="F1117" s="22">
        <v>0.83</v>
      </c>
      <c r="G1117" s="22">
        <v>20260327</v>
      </c>
      <c r="H1117" s="23" t="b">
        <f t="shared" si="17"/>
        <v>0</v>
      </c>
      <c r="I1117" s="24" t="str" cm="1">
        <f t="array" ref="I1117">GET_TICKER_FINAL(C1117)</f>
        <v/>
      </c>
      <c r="J1117" s="5" t="s">
        <v>1792</v>
      </c>
    </row>
    <row r="1118" spans="1:10" hidden="1">
      <c r="A1118" s="20">
        <v>1117</v>
      </c>
      <c r="B1118" s="19" t="s">
        <v>888</v>
      </c>
      <c r="C1118" s="19" t="s">
        <v>1109</v>
      </c>
      <c r="D1118" s="19">
        <v>14</v>
      </c>
      <c r="E1118" s="19">
        <v>35</v>
      </c>
      <c r="F1118" s="19">
        <v>0.84</v>
      </c>
      <c r="G1118" s="19">
        <v>20260402</v>
      </c>
      <c r="H1118" s="20" t="b">
        <f t="shared" si="17"/>
        <v>0</v>
      </c>
      <c r="I1118" s="21" t="str" cm="1">
        <f t="array" ref="I1118">GET_TICKER_FINAL(C1118)</f>
        <v/>
      </c>
      <c r="J1118" s="5" t="s">
        <v>1792</v>
      </c>
    </row>
    <row r="1119" spans="1:10" hidden="1">
      <c r="A1119" s="23">
        <v>1118</v>
      </c>
      <c r="B1119" s="22" t="s">
        <v>888</v>
      </c>
      <c r="C1119" s="22" t="s">
        <v>1110</v>
      </c>
      <c r="D1119" s="22">
        <v>14</v>
      </c>
      <c r="E1119" s="22">
        <v>3</v>
      </c>
      <c r="F1119" s="22">
        <v>0.72</v>
      </c>
      <c r="G1119" s="22">
        <v>20260402</v>
      </c>
      <c r="H1119" s="23" t="b">
        <f t="shared" si="17"/>
        <v>0</v>
      </c>
      <c r="I1119" s="24" t="str" cm="1">
        <f t="array" ref="I1119">GET_TICKER_FINAL(C1119)</f>
        <v/>
      </c>
      <c r="J1119" s="5" t="s">
        <v>25</v>
      </c>
    </row>
    <row r="1120" spans="1:10" hidden="1">
      <c r="A1120" s="20">
        <v>1119</v>
      </c>
      <c r="B1120" s="19" t="s">
        <v>888</v>
      </c>
      <c r="C1120" s="19" t="s">
        <v>1111</v>
      </c>
      <c r="D1120" s="19">
        <v>14</v>
      </c>
      <c r="E1120" s="19">
        <v>34</v>
      </c>
      <c r="F1120" s="19">
        <v>0.77</v>
      </c>
      <c r="G1120" s="19">
        <v>20260324</v>
      </c>
      <c r="H1120" s="20" t="b">
        <f t="shared" si="17"/>
        <v>0</v>
      </c>
      <c r="I1120" s="21" t="str" cm="1">
        <f t="array" ref="I1120">GET_TICKER_FINAL(C1120)</f>
        <v/>
      </c>
      <c r="J1120" s="5" t="s">
        <v>1792</v>
      </c>
    </row>
    <row r="1121" spans="1:10">
      <c r="A1121" s="23">
        <v>1120</v>
      </c>
      <c r="B1121" s="22" t="s">
        <v>888</v>
      </c>
      <c r="C1121" s="22" t="s">
        <v>1112</v>
      </c>
      <c r="D1121" s="22">
        <v>14</v>
      </c>
      <c r="E1121" s="22">
        <v>11</v>
      </c>
      <c r="F1121" s="22">
        <v>0.77</v>
      </c>
      <c r="G1121" s="22">
        <v>20260327</v>
      </c>
      <c r="H1121" s="23" t="b">
        <f t="shared" si="17"/>
        <v>0</v>
      </c>
      <c r="I1121" s="24" t="str" cm="1">
        <f t="array" ref="I1121">GET_TICKER_FINAL(C1121)</f>
        <v>ARM</v>
      </c>
      <c r="J1121" s="5" t="s">
        <v>25</v>
      </c>
    </row>
    <row r="1122" spans="1:10" hidden="1">
      <c r="A1122" s="20">
        <v>1121</v>
      </c>
      <c r="B1122" s="19" t="s">
        <v>888</v>
      </c>
      <c r="C1122" s="19" t="s">
        <v>1113</v>
      </c>
      <c r="D1122" s="19">
        <v>14</v>
      </c>
      <c r="E1122" s="19">
        <v>16</v>
      </c>
      <c r="F1122" s="19">
        <v>0.85</v>
      </c>
      <c r="G1122" s="19">
        <v>20260324</v>
      </c>
      <c r="H1122" s="20" t="b">
        <f t="shared" si="17"/>
        <v>0</v>
      </c>
      <c r="I1122" s="21" t="str" cm="1">
        <f t="array" ref="I1122">GET_TICKER_FINAL(C1122)</f>
        <v/>
      </c>
      <c r="J1122" s="5" t="s">
        <v>1792</v>
      </c>
    </row>
    <row r="1123" spans="1:10" hidden="1">
      <c r="A1123" s="23">
        <v>1122</v>
      </c>
      <c r="B1123" s="22" t="s">
        <v>888</v>
      </c>
      <c r="C1123" s="22" t="s">
        <v>1114</v>
      </c>
      <c r="D1123" s="22">
        <v>13</v>
      </c>
      <c r="E1123" s="22">
        <v>725</v>
      </c>
      <c r="F1123" s="22">
        <v>0.85</v>
      </c>
      <c r="G1123" s="22">
        <v>20260327</v>
      </c>
      <c r="H1123" s="23" t="b">
        <f t="shared" si="17"/>
        <v>0</v>
      </c>
      <c r="I1123" s="24" t="str" cm="1">
        <f t="array" ref="I1123">GET_TICKER_FINAL(C1123)</f>
        <v/>
      </c>
      <c r="J1123" s="5" t="s">
        <v>1792</v>
      </c>
    </row>
    <row r="1124" spans="1:10" hidden="1">
      <c r="A1124" s="20">
        <v>1123</v>
      </c>
      <c r="B1124" s="19" t="s">
        <v>888</v>
      </c>
      <c r="C1124" s="19" t="s">
        <v>1115</v>
      </c>
      <c r="D1124" s="19">
        <v>13</v>
      </c>
      <c r="E1124" s="19">
        <v>27</v>
      </c>
      <c r="F1124" s="19">
        <v>0.63</v>
      </c>
      <c r="G1124" s="19">
        <v>20260330</v>
      </c>
      <c r="H1124" s="20" t="b">
        <f t="shared" si="17"/>
        <v>0</v>
      </c>
      <c r="I1124" s="21" t="str" cm="1">
        <f t="array" ref="I1124">GET_TICKER_FINAL(C1124)</f>
        <v/>
      </c>
      <c r="J1124" s="5" t="s">
        <v>1792</v>
      </c>
    </row>
    <row r="1125" spans="1:10" hidden="1">
      <c r="A1125" s="23">
        <v>1124</v>
      </c>
      <c r="B1125" s="22" t="s">
        <v>888</v>
      </c>
      <c r="C1125" s="22" t="s">
        <v>1116</v>
      </c>
      <c r="D1125" s="22">
        <v>13</v>
      </c>
      <c r="E1125" s="22">
        <v>26</v>
      </c>
      <c r="F1125" s="22">
        <v>0.62</v>
      </c>
      <c r="G1125" s="22">
        <v>20260330</v>
      </c>
      <c r="H1125" s="23" t="b">
        <f t="shared" si="17"/>
        <v>0</v>
      </c>
      <c r="I1125" s="24" t="str" cm="1">
        <f t="array" ref="I1125">GET_TICKER_FINAL(C1125)</f>
        <v/>
      </c>
      <c r="J1125" s="5" t="s">
        <v>1792</v>
      </c>
    </row>
    <row r="1126" spans="1:10" hidden="1">
      <c r="A1126" s="20">
        <v>1125</v>
      </c>
      <c r="B1126" s="19" t="s">
        <v>888</v>
      </c>
      <c r="C1126" s="19" t="s">
        <v>1117</v>
      </c>
      <c r="D1126" s="19">
        <v>12</v>
      </c>
      <c r="E1126" s="19">
        <v>14</v>
      </c>
      <c r="F1126" s="19">
        <v>0.8</v>
      </c>
      <c r="G1126" s="19">
        <v>20260401</v>
      </c>
      <c r="H1126" s="20" t="b">
        <f t="shared" si="17"/>
        <v>0</v>
      </c>
      <c r="I1126" s="21" t="str" cm="1">
        <f t="array" ref="I1126">GET_TICKER_FINAL(C1126)</f>
        <v/>
      </c>
      <c r="J1126" s="5" t="s">
        <v>28</v>
      </c>
    </row>
    <row r="1127" spans="1:10" hidden="1">
      <c r="A1127" s="23">
        <v>1126</v>
      </c>
      <c r="B1127" s="22" t="s">
        <v>888</v>
      </c>
      <c r="C1127" s="22" t="s">
        <v>1118</v>
      </c>
      <c r="D1127" s="22">
        <v>12</v>
      </c>
      <c r="E1127" s="22">
        <v>29</v>
      </c>
      <c r="F1127" s="22">
        <v>0.88</v>
      </c>
      <c r="G1127" s="22">
        <v>20260331</v>
      </c>
      <c r="H1127" s="23" t="b">
        <f t="shared" si="17"/>
        <v>0</v>
      </c>
      <c r="I1127" s="24" t="str" cm="1">
        <f t="array" ref="I1127">GET_TICKER_FINAL(C1127)</f>
        <v/>
      </c>
      <c r="J1127" s="5" t="s">
        <v>1792</v>
      </c>
    </row>
    <row r="1128" spans="1:10" hidden="1">
      <c r="A1128" s="20">
        <v>1127</v>
      </c>
      <c r="B1128" s="19" t="s">
        <v>888</v>
      </c>
      <c r="C1128" s="19" t="s">
        <v>1119</v>
      </c>
      <c r="D1128" s="19">
        <v>12</v>
      </c>
      <c r="E1128" s="19">
        <v>15</v>
      </c>
      <c r="F1128" s="19">
        <v>0.84</v>
      </c>
      <c r="G1128" s="19">
        <v>20260323</v>
      </c>
      <c r="H1128" s="20" t="b">
        <f t="shared" si="17"/>
        <v>0</v>
      </c>
      <c r="I1128" s="21" t="str" cm="1">
        <f t="array" ref="I1128">GET_TICKER_FINAL(C1128)</f>
        <v/>
      </c>
      <c r="J1128" s="5" t="s">
        <v>1792</v>
      </c>
    </row>
    <row r="1129" spans="1:10" hidden="1">
      <c r="A1129" s="23">
        <v>1128</v>
      </c>
      <c r="B1129" s="22" t="s">
        <v>888</v>
      </c>
      <c r="C1129" s="22" t="s">
        <v>1120</v>
      </c>
      <c r="D1129" s="22">
        <v>12</v>
      </c>
      <c r="E1129" s="22">
        <v>10</v>
      </c>
      <c r="F1129" s="22">
        <v>0.75</v>
      </c>
      <c r="G1129" s="22">
        <v>20260331</v>
      </c>
      <c r="H1129" s="23" t="b">
        <f t="shared" si="17"/>
        <v>0</v>
      </c>
      <c r="I1129" s="24" t="str" cm="1">
        <f t="array" ref="I1129">GET_TICKER_FINAL(C1129)</f>
        <v/>
      </c>
      <c r="J1129" s="5" t="s">
        <v>1792</v>
      </c>
    </row>
    <row r="1130" spans="1:10" hidden="1">
      <c r="A1130" s="20">
        <v>1129</v>
      </c>
      <c r="B1130" s="19" t="s">
        <v>888</v>
      </c>
      <c r="C1130" s="19" t="s">
        <v>1121</v>
      </c>
      <c r="D1130" s="19">
        <v>12</v>
      </c>
      <c r="E1130" s="19">
        <v>6</v>
      </c>
      <c r="F1130" s="19">
        <v>0.66</v>
      </c>
      <c r="G1130" s="19">
        <v>20260402</v>
      </c>
      <c r="H1130" s="20" t="b">
        <f t="shared" si="17"/>
        <v>0</v>
      </c>
      <c r="I1130" s="21" t="str" cm="1">
        <f t="array" ref="I1130">GET_TICKER_FINAL(C1130)</f>
        <v/>
      </c>
      <c r="J1130" s="5" t="s">
        <v>1792</v>
      </c>
    </row>
    <row r="1131" spans="1:10" hidden="1">
      <c r="A1131" s="23">
        <v>1130</v>
      </c>
      <c r="B1131" s="22" t="s">
        <v>888</v>
      </c>
      <c r="C1131" s="22" t="s">
        <v>1122</v>
      </c>
      <c r="D1131" s="22">
        <v>12</v>
      </c>
      <c r="E1131" s="22">
        <v>544</v>
      </c>
      <c r="F1131" s="22">
        <v>0.83</v>
      </c>
      <c r="G1131" s="22">
        <v>20260326</v>
      </c>
      <c r="H1131" s="23" t="b">
        <f t="shared" si="17"/>
        <v>0</v>
      </c>
      <c r="I1131" s="24" t="str" cm="1">
        <f t="array" ref="I1131">GET_TICKER_FINAL(C1131)</f>
        <v/>
      </c>
      <c r="J1131" s="5" t="s">
        <v>1792</v>
      </c>
    </row>
    <row r="1132" spans="1:10">
      <c r="A1132" s="20">
        <v>1131</v>
      </c>
      <c r="B1132" s="19" t="s">
        <v>888</v>
      </c>
      <c r="C1132" s="19" t="s">
        <v>1123</v>
      </c>
      <c r="D1132" s="19">
        <v>12</v>
      </c>
      <c r="E1132" s="19">
        <v>10</v>
      </c>
      <c r="F1132" s="19">
        <v>0.75</v>
      </c>
      <c r="G1132" s="19">
        <v>20260323</v>
      </c>
      <c r="H1132" s="20" t="b">
        <f t="shared" si="17"/>
        <v>0</v>
      </c>
      <c r="I1132" s="21" t="str" cm="1">
        <f t="array" ref="I1132">GET_TICKER_FINAL(C1132)</f>
        <v>NVDA</v>
      </c>
      <c r="J1132" s="5" t="s">
        <v>25</v>
      </c>
    </row>
    <row r="1133" spans="1:10" hidden="1">
      <c r="A1133" s="23">
        <v>1132</v>
      </c>
      <c r="B1133" s="22" t="s">
        <v>888</v>
      </c>
      <c r="C1133" s="22" t="s">
        <v>1124</v>
      </c>
      <c r="D1133" s="22">
        <v>11</v>
      </c>
      <c r="E1133" s="22">
        <v>8</v>
      </c>
      <c r="F1133" s="22">
        <v>0.67</v>
      </c>
      <c r="G1133" s="22">
        <v>20260402</v>
      </c>
      <c r="H1133" s="23" t="b">
        <f t="shared" si="17"/>
        <v>0</v>
      </c>
      <c r="I1133" s="24" t="str" cm="1">
        <f t="array" ref="I1133">GET_TICKER_FINAL(C1133)</f>
        <v/>
      </c>
      <c r="J1133" s="5" t="s">
        <v>16</v>
      </c>
    </row>
    <row r="1134" spans="1:10" hidden="1">
      <c r="A1134" s="20">
        <v>1133</v>
      </c>
      <c r="B1134" s="19" t="s">
        <v>888</v>
      </c>
      <c r="C1134" s="19" t="s">
        <v>1125</v>
      </c>
      <c r="D1134" s="19">
        <v>11</v>
      </c>
      <c r="E1134" s="19">
        <v>21</v>
      </c>
      <c r="F1134" s="19">
        <v>0.79</v>
      </c>
      <c r="G1134" s="19">
        <v>20260401</v>
      </c>
      <c r="H1134" s="20" t="b">
        <f t="shared" si="17"/>
        <v>0</v>
      </c>
      <c r="I1134" s="21" t="str" cm="1">
        <f t="array" ref="I1134">GET_TICKER_FINAL(C1134)</f>
        <v/>
      </c>
      <c r="J1134" s="5" t="s">
        <v>1792</v>
      </c>
    </row>
    <row r="1135" spans="1:10" hidden="1">
      <c r="A1135" s="23">
        <v>1134</v>
      </c>
      <c r="B1135" s="22" t="s">
        <v>888</v>
      </c>
      <c r="C1135" s="22" t="s">
        <v>1126</v>
      </c>
      <c r="D1135" s="22">
        <v>11</v>
      </c>
      <c r="E1135" s="22">
        <v>30</v>
      </c>
      <c r="F1135" s="22">
        <v>0.87</v>
      </c>
      <c r="G1135" s="22">
        <v>20260331</v>
      </c>
      <c r="H1135" s="23" t="b">
        <f t="shared" si="17"/>
        <v>0</v>
      </c>
      <c r="I1135" s="24" t="str" cm="1">
        <f t="array" ref="I1135">GET_TICKER_FINAL(C1135)</f>
        <v/>
      </c>
      <c r="J1135" s="5" t="s">
        <v>25</v>
      </c>
    </row>
    <row r="1136" spans="1:10" hidden="1">
      <c r="A1136" s="20">
        <v>1135</v>
      </c>
      <c r="B1136" s="19" t="s">
        <v>888</v>
      </c>
      <c r="C1136" s="19" t="s">
        <v>1127</v>
      </c>
      <c r="D1136" s="19">
        <v>11</v>
      </c>
      <c r="E1136" s="19">
        <v>338</v>
      </c>
      <c r="F1136" s="19">
        <v>0.87</v>
      </c>
      <c r="G1136" s="19">
        <v>20260330</v>
      </c>
      <c r="H1136" s="20" t="b">
        <f t="shared" si="17"/>
        <v>0</v>
      </c>
      <c r="I1136" s="21" t="str" cm="1">
        <f t="array" ref="I1136">GET_TICKER_FINAL(C1136)</f>
        <v/>
      </c>
      <c r="J1136" s="5" t="s">
        <v>1792</v>
      </c>
    </row>
    <row r="1137" spans="1:10" hidden="1">
      <c r="A1137" s="23">
        <v>1136</v>
      </c>
      <c r="B1137" s="22" t="s">
        <v>888</v>
      </c>
      <c r="C1137" s="22" t="s">
        <v>1128</v>
      </c>
      <c r="D1137" s="22">
        <v>11</v>
      </c>
      <c r="E1137" s="22">
        <v>20</v>
      </c>
      <c r="F1137" s="22">
        <v>0.74</v>
      </c>
      <c r="G1137" s="22">
        <v>20260330</v>
      </c>
      <c r="H1137" s="23" t="b">
        <f t="shared" si="17"/>
        <v>0</v>
      </c>
      <c r="I1137" s="24" t="str" cm="1">
        <f t="array" ref="I1137">GET_TICKER_FINAL(C1137)</f>
        <v/>
      </c>
      <c r="J1137" s="5" t="s">
        <v>1792</v>
      </c>
    </row>
    <row r="1138" spans="1:10" hidden="1">
      <c r="A1138" s="20">
        <v>1137</v>
      </c>
      <c r="B1138" s="19" t="s">
        <v>888</v>
      </c>
      <c r="C1138" s="19" t="s">
        <v>841</v>
      </c>
      <c r="D1138" s="19">
        <v>11</v>
      </c>
      <c r="E1138" s="19">
        <v>18</v>
      </c>
      <c r="F1138" s="19">
        <v>0.74</v>
      </c>
      <c r="G1138" s="19">
        <v>20260320</v>
      </c>
      <c r="H1138" s="20" t="b">
        <f t="shared" si="17"/>
        <v>0</v>
      </c>
      <c r="I1138" s="21" t="str" cm="1">
        <f t="array" ref="I1138">GET_TICKER_FINAL(C1138)</f>
        <v/>
      </c>
      <c r="J1138" s="5" t="s">
        <v>1792</v>
      </c>
    </row>
    <row r="1139" spans="1:10">
      <c r="A1139" s="23">
        <v>1138</v>
      </c>
      <c r="B1139" s="22" t="s">
        <v>888</v>
      </c>
      <c r="C1139" s="22" t="s">
        <v>1129</v>
      </c>
      <c r="D1139" s="22">
        <v>10</v>
      </c>
      <c r="E1139" s="22">
        <v>9</v>
      </c>
      <c r="F1139" s="22">
        <v>0.7</v>
      </c>
      <c r="G1139" s="22">
        <v>20260320</v>
      </c>
      <c r="H1139" s="23" t="b">
        <f t="shared" si="17"/>
        <v>0</v>
      </c>
      <c r="I1139" s="24" t="str" cm="1">
        <f t="array" ref="I1139">GET_TICKER_FINAL(C1139)</f>
        <v>NVDA</v>
      </c>
      <c r="J1139" s="5" t="s">
        <v>16</v>
      </c>
    </row>
    <row r="1140" spans="1:10">
      <c r="A1140" s="20">
        <v>1139</v>
      </c>
      <c r="B1140" s="19" t="s">
        <v>888</v>
      </c>
      <c r="C1140" s="19" t="s">
        <v>1130</v>
      </c>
      <c r="D1140" s="19">
        <v>10</v>
      </c>
      <c r="E1140" s="19">
        <v>1</v>
      </c>
      <c r="F1140" s="19">
        <v>0.81</v>
      </c>
      <c r="G1140" s="19">
        <v>20260326</v>
      </c>
      <c r="H1140" s="20" t="b">
        <f t="shared" si="17"/>
        <v>0</v>
      </c>
      <c r="I1140" s="21" t="str" cm="1">
        <f t="array" ref="I1140">GET_TICKER_FINAL(C1140)</f>
        <v>UBER</v>
      </c>
      <c r="J1140" s="5" t="s">
        <v>25</v>
      </c>
    </row>
    <row r="1141" spans="1:10" hidden="1">
      <c r="A1141" s="23">
        <v>1140</v>
      </c>
      <c r="B1141" s="22" t="s">
        <v>888</v>
      </c>
      <c r="C1141" s="22" t="s">
        <v>1131</v>
      </c>
      <c r="D1141" s="22">
        <v>10</v>
      </c>
      <c r="E1141" s="22">
        <v>5</v>
      </c>
      <c r="F1141" s="22">
        <v>0.92</v>
      </c>
      <c r="G1141" s="22">
        <v>20260320</v>
      </c>
      <c r="H1141" s="23" t="b">
        <f t="shared" si="17"/>
        <v>0</v>
      </c>
      <c r="I1141" s="24" t="str" cm="1">
        <f t="array" ref="I1141">GET_TICKER_FINAL(C1141)</f>
        <v/>
      </c>
      <c r="J1141" s="5" t="s">
        <v>1792</v>
      </c>
    </row>
    <row r="1142" spans="1:10" hidden="1">
      <c r="A1142" s="20">
        <v>1141</v>
      </c>
      <c r="B1142" s="19" t="s">
        <v>888</v>
      </c>
      <c r="C1142" s="19" t="s">
        <v>1132</v>
      </c>
      <c r="D1142" s="19">
        <v>10</v>
      </c>
      <c r="E1142" s="19">
        <v>2</v>
      </c>
      <c r="F1142" s="19">
        <v>0.86</v>
      </c>
      <c r="G1142" s="19">
        <v>20260324</v>
      </c>
      <c r="H1142" s="20" t="b">
        <f t="shared" si="17"/>
        <v>0</v>
      </c>
      <c r="I1142" s="21" t="str" cm="1">
        <f t="array" ref="I1142">GET_TICKER_FINAL(C1142)</f>
        <v/>
      </c>
      <c r="J1142" s="5" t="s">
        <v>1792</v>
      </c>
    </row>
    <row r="1143" spans="1:10" hidden="1">
      <c r="A1143" s="23">
        <v>1142</v>
      </c>
      <c r="B1143" s="22" t="s">
        <v>888</v>
      </c>
      <c r="C1143" s="22" t="s">
        <v>1133</v>
      </c>
      <c r="D1143" s="22">
        <v>10</v>
      </c>
      <c r="E1143" s="22">
        <v>19</v>
      </c>
      <c r="F1143" s="22">
        <v>0.79</v>
      </c>
      <c r="G1143" s="22">
        <v>20260324</v>
      </c>
      <c r="H1143" s="23" t="b">
        <f t="shared" si="17"/>
        <v>0</v>
      </c>
      <c r="I1143" s="24" t="str" cm="1">
        <f t="array" ref="I1143">GET_TICKER_FINAL(C1143)</f>
        <v/>
      </c>
      <c r="J1143" s="5" t="s">
        <v>1792</v>
      </c>
    </row>
    <row r="1144" spans="1:10" hidden="1">
      <c r="A1144" s="20">
        <v>1143</v>
      </c>
      <c r="B1144" s="19" t="s">
        <v>888</v>
      </c>
      <c r="C1144" s="19" t="s">
        <v>1134</v>
      </c>
      <c r="D1144" s="19">
        <v>10</v>
      </c>
      <c r="E1144" s="19">
        <v>371</v>
      </c>
      <c r="F1144" s="19">
        <v>0.75</v>
      </c>
      <c r="G1144" s="19">
        <v>20260323</v>
      </c>
      <c r="H1144" s="20" t="b">
        <f t="shared" si="17"/>
        <v>0</v>
      </c>
      <c r="I1144" s="21" t="str" cm="1">
        <f t="array" ref="I1144">GET_TICKER_FINAL(C1144)</f>
        <v/>
      </c>
      <c r="J1144" s="5" t="s">
        <v>1792</v>
      </c>
    </row>
    <row r="1145" spans="1:10" hidden="1">
      <c r="A1145" s="23">
        <v>1144</v>
      </c>
      <c r="B1145" s="22" t="s">
        <v>888</v>
      </c>
      <c r="C1145" s="22" t="s">
        <v>1135</v>
      </c>
      <c r="D1145" s="22">
        <v>10</v>
      </c>
      <c r="E1145" s="22">
        <v>8</v>
      </c>
      <c r="F1145" s="22">
        <v>0.81</v>
      </c>
      <c r="G1145" s="22">
        <v>20260323</v>
      </c>
      <c r="H1145" s="23" t="b">
        <f t="shared" si="17"/>
        <v>1</v>
      </c>
      <c r="I1145" s="24" t="str" cm="1">
        <f t="array" ref="I1145">GET_TICKER_FINAL(C1145)</f>
        <v/>
      </c>
      <c r="J1145" s="5" t="s">
        <v>1792</v>
      </c>
    </row>
    <row r="1146" spans="1:10" hidden="1">
      <c r="A1146" s="20">
        <v>1145</v>
      </c>
      <c r="B1146" s="19" t="s">
        <v>888</v>
      </c>
      <c r="C1146" s="19" t="s">
        <v>1136</v>
      </c>
      <c r="D1146" s="19">
        <v>9</v>
      </c>
      <c r="E1146" s="19">
        <v>5</v>
      </c>
      <c r="F1146" s="19">
        <v>0.91</v>
      </c>
      <c r="G1146" s="19">
        <v>20260326</v>
      </c>
      <c r="H1146" s="20" t="b">
        <f t="shared" si="17"/>
        <v>1</v>
      </c>
      <c r="I1146" s="21" t="str" cm="1">
        <f t="array" ref="I1146">GET_TICKER_FINAL(C1146)</f>
        <v/>
      </c>
      <c r="J1146" s="5" t="s">
        <v>25</v>
      </c>
    </row>
    <row r="1147" spans="1:10" hidden="1">
      <c r="A1147" s="23">
        <v>1146</v>
      </c>
      <c r="B1147" s="22" t="s">
        <v>888</v>
      </c>
      <c r="C1147" s="22" t="s">
        <v>1137</v>
      </c>
      <c r="D1147" s="22">
        <v>9</v>
      </c>
      <c r="E1147" s="22">
        <v>21</v>
      </c>
      <c r="F1147" s="22">
        <v>0.72</v>
      </c>
      <c r="G1147" s="22">
        <v>20260331</v>
      </c>
      <c r="H1147" s="23" t="b">
        <f t="shared" si="17"/>
        <v>0</v>
      </c>
      <c r="I1147" s="24" t="str" cm="1">
        <f t="array" ref="I1147">GET_TICKER_FINAL(C1147)</f>
        <v/>
      </c>
      <c r="J1147" s="5" t="s">
        <v>1792</v>
      </c>
    </row>
    <row r="1148" spans="1:10" hidden="1">
      <c r="A1148" s="20">
        <v>1147</v>
      </c>
      <c r="B1148" s="19" t="s">
        <v>888</v>
      </c>
      <c r="C1148" s="19" t="s">
        <v>1138</v>
      </c>
      <c r="D1148" s="19">
        <v>9</v>
      </c>
      <c r="E1148" s="19">
        <v>4</v>
      </c>
      <c r="F1148" s="19">
        <v>0.77</v>
      </c>
      <c r="G1148" s="19">
        <v>20260401</v>
      </c>
      <c r="H1148" s="20" t="b">
        <f t="shared" si="17"/>
        <v>0</v>
      </c>
      <c r="I1148" s="21" t="str" cm="1">
        <f t="array" ref="I1148">GET_TICKER_FINAL(C1148)</f>
        <v/>
      </c>
      <c r="J1148" s="5" t="s">
        <v>1792</v>
      </c>
    </row>
    <row r="1149" spans="1:10" hidden="1">
      <c r="A1149" s="23">
        <v>1148</v>
      </c>
      <c r="B1149" s="22" t="s">
        <v>888</v>
      </c>
      <c r="C1149" s="22" t="s">
        <v>1139</v>
      </c>
      <c r="D1149" s="22">
        <v>9</v>
      </c>
      <c r="E1149" s="22">
        <v>53</v>
      </c>
      <c r="F1149" s="22">
        <v>0.84</v>
      </c>
      <c r="G1149" s="22">
        <v>20260326</v>
      </c>
      <c r="H1149" s="23" t="b">
        <f t="shared" si="17"/>
        <v>0</v>
      </c>
      <c r="I1149" s="24" t="str" cm="1">
        <f t="array" ref="I1149">GET_TICKER_FINAL(C1149)</f>
        <v/>
      </c>
      <c r="J1149" s="5" t="s">
        <v>1792</v>
      </c>
    </row>
    <row r="1150" spans="1:10" hidden="1">
      <c r="A1150" s="20">
        <v>1149</v>
      </c>
      <c r="B1150" s="19" t="s">
        <v>888</v>
      </c>
      <c r="C1150" s="19" t="s">
        <v>1140</v>
      </c>
      <c r="D1150" s="19">
        <v>9</v>
      </c>
      <c r="E1150" s="19">
        <v>21</v>
      </c>
      <c r="F1150" s="19">
        <v>0.59</v>
      </c>
      <c r="G1150" s="19">
        <v>20260320</v>
      </c>
      <c r="H1150" s="20" t="b">
        <f t="shared" si="17"/>
        <v>0</v>
      </c>
      <c r="I1150" s="21" t="str" cm="1">
        <f t="array" ref="I1150">GET_TICKER_FINAL(C1150)</f>
        <v/>
      </c>
      <c r="J1150" s="5" t="s">
        <v>1792</v>
      </c>
    </row>
    <row r="1151" spans="1:10" hidden="1">
      <c r="A1151" s="23">
        <v>1150</v>
      </c>
      <c r="B1151" s="22" t="s">
        <v>888</v>
      </c>
      <c r="C1151" s="22" t="s">
        <v>1141</v>
      </c>
      <c r="D1151" s="22">
        <v>9</v>
      </c>
      <c r="E1151" s="22">
        <v>407</v>
      </c>
      <c r="F1151" s="22">
        <v>0.91</v>
      </c>
      <c r="G1151" s="22">
        <v>20260327</v>
      </c>
      <c r="H1151" s="23" t="b">
        <f t="shared" si="17"/>
        <v>0</v>
      </c>
      <c r="I1151" s="24" t="str" cm="1">
        <f t="array" ref="I1151">GET_TICKER_FINAL(C1151)</f>
        <v/>
      </c>
      <c r="J1151" s="5" t="s">
        <v>1792</v>
      </c>
    </row>
    <row r="1152" spans="1:10">
      <c r="A1152" s="20">
        <v>1151</v>
      </c>
      <c r="B1152" s="19" t="s">
        <v>888</v>
      </c>
      <c r="C1152" s="19" t="s">
        <v>1142</v>
      </c>
      <c r="D1152" s="19">
        <v>9</v>
      </c>
      <c r="E1152" s="19">
        <v>8</v>
      </c>
      <c r="F1152" s="19">
        <v>0.85</v>
      </c>
      <c r="G1152" s="19">
        <v>20260402</v>
      </c>
      <c r="H1152" s="20" t="b">
        <f t="shared" si="17"/>
        <v>0</v>
      </c>
      <c r="I1152" s="21" t="str" cm="1">
        <f t="array" ref="I1152">GET_TICKER_FINAL(C1152)</f>
        <v>META</v>
      </c>
      <c r="J1152" s="5" t="s">
        <v>1792</v>
      </c>
    </row>
    <row r="1153" spans="1:10" hidden="1">
      <c r="A1153" s="23">
        <v>1152</v>
      </c>
      <c r="B1153" s="22" t="s">
        <v>888</v>
      </c>
      <c r="C1153" s="22" t="s">
        <v>1143</v>
      </c>
      <c r="D1153" s="22">
        <v>9</v>
      </c>
      <c r="E1153" s="22">
        <v>4</v>
      </c>
      <c r="F1153" s="22">
        <v>0.7</v>
      </c>
      <c r="G1153" s="22">
        <v>20260327</v>
      </c>
      <c r="H1153" s="23" t="b">
        <f t="shared" si="17"/>
        <v>0</v>
      </c>
      <c r="I1153" s="24" t="str" cm="1">
        <f t="array" ref="I1153">GET_TICKER_FINAL(C1153)</f>
        <v/>
      </c>
      <c r="J1153" s="5" t="s">
        <v>1792</v>
      </c>
    </row>
    <row r="1154" spans="1:10" hidden="1">
      <c r="A1154" s="20">
        <v>1153</v>
      </c>
      <c r="B1154" s="19" t="s">
        <v>888</v>
      </c>
      <c r="C1154" s="19" t="s">
        <v>1144</v>
      </c>
      <c r="D1154" s="19">
        <v>9</v>
      </c>
      <c r="E1154" s="19">
        <v>8</v>
      </c>
      <c r="F1154" s="19">
        <v>1</v>
      </c>
      <c r="G1154" s="19">
        <v>20260402</v>
      </c>
      <c r="H1154" s="20" t="b">
        <f t="shared" si="17"/>
        <v>0</v>
      </c>
      <c r="I1154" s="21" t="str" cm="1">
        <f t="array" ref="I1154">GET_TICKER_FINAL(C1154)</f>
        <v/>
      </c>
      <c r="J1154" s="5" t="s">
        <v>1792</v>
      </c>
    </row>
    <row r="1155" spans="1:10" hidden="1">
      <c r="A1155" s="23">
        <v>1154</v>
      </c>
      <c r="B1155" s="22" t="s">
        <v>888</v>
      </c>
      <c r="C1155" s="22" t="s">
        <v>1145</v>
      </c>
      <c r="D1155" s="22">
        <v>8</v>
      </c>
      <c r="E1155" s="22">
        <v>21</v>
      </c>
      <c r="F1155" s="22">
        <v>0.78</v>
      </c>
      <c r="G1155" s="22">
        <v>20260327</v>
      </c>
      <c r="H1155" s="23" t="b">
        <f t="shared" ref="H1155:H1218" si="18">OR(ISNUMBER(SEARCH("$A",C1155)),ISNUMBER(SEARCH("$B",C1155)),ISNUMBER(SEARCH("$C",C1155)),ISNUMBER(SEARCH("$D",C1155)),ISNUMBER(SEARCH("$E",C1155)),ISNUMBER(SEARCH("$F",C1155)),ISNUMBER(SEARCH("$G",C1155)),ISNUMBER(SEARCH("$H",C1155)),ISNUMBER(SEARCH("$I",C1155)),ISNUMBER(SEARCH("$J",C1155)),ISNUMBER(SEARCH("$K",C1155)),ISNUMBER(SEARCH("$L",C1155)),ISNUMBER(SEARCH("$M",C1155)),ISNUMBER(SEARCH("$N",C1155)),ISNUMBER(SEARCH("$O",C1155)),ISNUMBER(SEARCH("$P",C1155)),ISNUMBER(SEARCH("$Q",C1155)),ISNUMBER(SEARCH("$R",C1155)),ISNUMBER(SEARCH("$S",C1155)),ISNUMBER(SEARCH("$T",C1155)),ISNUMBER(SEARCH("$U",C1155)),ISNUMBER(SEARCH("$V",C1155)),ISNUMBER(SEARCH("$W",C1155)),ISNUMBER(SEARCH("$X",C1155)),ISNUMBER(SEARCH("$Y",C1155)),ISNUMBER(SEARCH("$Z",C1155)))</f>
        <v>0</v>
      </c>
      <c r="I1155" s="24" t="str" cm="1">
        <f t="array" ref="I1155">GET_TICKER_FINAL(C1155)</f>
        <v/>
      </c>
      <c r="J1155" s="5" t="s">
        <v>1792</v>
      </c>
    </row>
    <row r="1156" spans="1:10" hidden="1">
      <c r="A1156" s="20">
        <v>1155</v>
      </c>
      <c r="B1156" s="19" t="s">
        <v>888</v>
      </c>
      <c r="C1156" s="19" t="s">
        <v>1146</v>
      </c>
      <c r="D1156" s="19">
        <v>8</v>
      </c>
      <c r="E1156" s="19">
        <v>4</v>
      </c>
      <c r="F1156" s="19">
        <v>0.83</v>
      </c>
      <c r="G1156" s="19">
        <v>20260326</v>
      </c>
      <c r="H1156" s="20" t="b">
        <f t="shared" si="18"/>
        <v>0</v>
      </c>
      <c r="I1156" s="21" t="str" cm="1">
        <f t="array" ref="I1156">GET_TICKER_FINAL(C1156)</f>
        <v/>
      </c>
      <c r="J1156" s="5" t="s">
        <v>1792</v>
      </c>
    </row>
    <row r="1157" spans="1:10" hidden="1">
      <c r="A1157" s="23">
        <v>1156</v>
      </c>
      <c r="B1157" s="22" t="s">
        <v>888</v>
      </c>
      <c r="C1157" s="22" t="s">
        <v>1147</v>
      </c>
      <c r="D1157" s="22">
        <v>8</v>
      </c>
      <c r="E1157" s="22">
        <v>3</v>
      </c>
      <c r="F1157" s="22">
        <v>0.76</v>
      </c>
      <c r="G1157" s="22">
        <v>20260327</v>
      </c>
      <c r="H1157" s="23" t="b">
        <f t="shared" si="18"/>
        <v>0</v>
      </c>
      <c r="I1157" s="24" t="str" cm="1">
        <f t="array" ref="I1157">GET_TICKER_FINAL(C1157)</f>
        <v/>
      </c>
      <c r="J1157" s="5" t="s">
        <v>1792</v>
      </c>
    </row>
    <row r="1158" spans="1:10" hidden="1">
      <c r="A1158" s="20">
        <v>1157</v>
      </c>
      <c r="B1158" s="19" t="s">
        <v>888</v>
      </c>
      <c r="C1158" s="19" t="s">
        <v>1148</v>
      </c>
      <c r="D1158" s="19">
        <v>8</v>
      </c>
      <c r="E1158" s="19">
        <v>9</v>
      </c>
      <c r="F1158" s="19">
        <v>0.9</v>
      </c>
      <c r="G1158" s="19">
        <v>20260402</v>
      </c>
      <c r="H1158" s="20" t="b">
        <f t="shared" si="18"/>
        <v>0</v>
      </c>
      <c r="I1158" s="21" t="str" cm="1">
        <f t="array" ref="I1158">GET_TICKER_FINAL(C1158)</f>
        <v/>
      </c>
      <c r="J1158" s="5" t="s">
        <v>1792</v>
      </c>
    </row>
    <row r="1159" spans="1:10" hidden="1">
      <c r="A1159" s="23">
        <v>1158</v>
      </c>
      <c r="B1159" s="22" t="s">
        <v>888</v>
      </c>
      <c r="C1159" s="22" t="s">
        <v>1149</v>
      </c>
      <c r="D1159" s="22">
        <v>8</v>
      </c>
      <c r="E1159" s="22">
        <v>5</v>
      </c>
      <c r="F1159" s="22">
        <v>0.79</v>
      </c>
      <c r="G1159" s="22">
        <v>20260327</v>
      </c>
      <c r="H1159" s="23" t="b">
        <f t="shared" si="18"/>
        <v>0</v>
      </c>
      <c r="I1159" s="24" t="str" cm="1">
        <f t="array" ref="I1159">GET_TICKER_FINAL(C1159)</f>
        <v/>
      </c>
      <c r="J1159" s="5" t="s">
        <v>1792</v>
      </c>
    </row>
    <row r="1160" spans="1:10" hidden="1">
      <c r="A1160" s="20">
        <v>1159</v>
      </c>
      <c r="B1160" s="19" t="s">
        <v>888</v>
      </c>
      <c r="C1160" s="19" t="s">
        <v>1150</v>
      </c>
      <c r="D1160" s="19">
        <v>8</v>
      </c>
      <c r="E1160" s="19">
        <v>723</v>
      </c>
      <c r="F1160" s="19">
        <v>0.83</v>
      </c>
      <c r="G1160" s="19">
        <v>20260320</v>
      </c>
      <c r="H1160" s="20" t="b">
        <f t="shared" si="18"/>
        <v>0</v>
      </c>
      <c r="I1160" s="21" t="str" cm="1">
        <f t="array" ref="I1160">GET_TICKER_FINAL(C1160)</f>
        <v/>
      </c>
      <c r="J1160" s="5" t="s">
        <v>1792</v>
      </c>
    </row>
    <row r="1161" spans="1:10">
      <c r="A1161" s="23">
        <v>1160</v>
      </c>
      <c r="B1161" s="22" t="s">
        <v>888</v>
      </c>
      <c r="C1161" s="22" t="s">
        <v>1151</v>
      </c>
      <c r="D1161" s="22">
        <v>8</v>
      </c>
      <c r="E1161" s="22">
        <v>13</v>
      </c>
      <c r="F1161" s="22">
        <v>0.75</v>
      </c>
      <c r="G1161" s="22">
        <v>20260326</v>
      </c>
      <c r="H1161" s="23" t="b">
        <f t="shared" si="18"/>
        <v>0</v>
      </c>
      <c r="I1161" s="24" t="str" cm="1">
        <f t="array" ref="I1161">GET_TICKER_FINAL(C1161)</f>
        <v>COST</v>
      </c>
      <c r="J1161" s="5" t="s">
        <v>1792</v>
      </c>
    </row>
    <row r="1162" spans="1:10" hidden="1">
      <c r="A1162" s="20">
        <v>1161</v>
      </c>
      <c r="B1162" s="19" t="s">
        <v>888</v>
      </c>
      <c r="C1162" s="19" t="s">
        <v>1152</v>
      </c>
      <c r="D1162" s="19">
        <v>8</v>
      </c>
      <c r="E1162" s="19">
        <v>13</v>
      </c>
      <c r="F1162" s="19">
        <v>0.69</v>
      </c>
      <c r="G1162" s="19">
        <v>20260323</v>
      </c>
      <c r="H1162" s="20" t="b">
        <f t="shared" si="18"/>
        <v>1</v>
      </c>
      <c r="I1162" s="21" t="str" cm="1">
        <f t="array" ref="I1162">GET_TICKER_FINAL(C1162)</f>
        <v/>
      </c>
      <c r="J1162" s="5" t="s">
        <v>28</v>
      </c>
    </row>
    <row r="1163" spans="1:10" hidden="1">
      <c r="A1163" s="23">
        <v>1162</v>
      </c>
      <c r="B1163" s="22" t="s">
        <v>888</v>
      </c>
      <c r="C1163" s="22" t="s">
        <v>1153</v>
      </c>
      <c r="D1163" s="22">
        <v>7</v>
      </c>
      <c r="E1163" s="22">
        <v>4</v>
      </c>
      <c r="F1163" s="22">
        <v>1</v>
      </c>
      <c r="G1163" s="22">
        <v>20260323</v>
      </c>
      <c r="H1163" s="23" t="b">
        <f t="shared" si="18"/>
        <v>0</v>
      </c>
      <c r="I1163" s="24" t="str" cm="1">
        <f t="array" ref="I1163">GET_TICKER_FINAL(C1163)</f>
        <v/>
      </c>
      <c r="J1163" s="5" t="s">
        <v>1792</v>
      </c>
    </row>
    <row r="1164" spans="1:10" hidden="1">
      <c r="A1164" s="20">
        <v>1163</v>
      </c>
      <c r="B1164" s="19" t="s">
        <v>888</v>
      </c>
      <c r="C1164" s="19" t="s">
        <v>1154</v>
      </c>
      <c r="D1164" s="19">
        <v>7</v>
      </c>
      <c r="E1164" s="19">
        <v>2</v>
      </c>
      <c r="F1164" s="19">
        <v>0.9</v>
      </c>
      <c r="G1164" s="19">
        <v>20260331</v>
      </c>
      <c r="H1164" s="20" t="b">
        <f t="shared" si="18"/>
        <v>0</v>
      </c>
      <c r="I1164" s="21" t="str" cm="1">
        <f t="array" ref="I1164">GET_TICKER_FINAL(C1164)</f>
        <v/>
      </c>
      <c r="J1164" s="5" t="s">
        <v>16</v>
      </c>
    </row>
    <row r="1165" spans="1:10" hidden="1">
      <c r="A1165" s="23">
        <v>1164</v>
      </c>
      <c r="B1165" s="22" t="s">
        <v>888</v>
      </c>
      <c r="C1165" s="22" t="s">
        <v>1155</v>
      </c>
      <c r="D1165" s="22">
        <v>7</v>
      </c>
      <c r="E1165" s="22">
        <v>1</v>
      </c>
      <c r="F1165" s="22">
        <v>0.82</v>
      </c>
      <c r="G1165" s="22">
        <v>20260324</v>
      </c>
      <c r="H1165" s="23" t="b">
        <f t="shared" si="18"/>
        <v>0</v>
      </c>
      <c r="I1165" s="24" t="str" cm="1">
        <f t="array" ref="I1165">GET_TICKER_FINAL(C1165)</f>
        <v/>
      </c>
      <c r="J1165" s="5" t="s">
        <v>1792</v>
      </c>
    </row>
    <row r="1166" spans="1:10" hidden="1">
      <c r="A1166" s="20">
        <v>1165</v>
      </c>
      <c r="B1166" s="19" t="s">
        <v>888</v>
      </c>
      <c r="C1166" s="19" t="s">
        <v>1156</v>
      </c>
      <c r="D1166" s="19">
        <v>7</v>
      </c>
      <c r="E1166" s="19">
        <v>0</v>
      </c>
      <c r="F1166" s="19">
        <v>0.89</v>
      </c>
      <c r="G1166" s="19">
        <v>20260327</v>
      </c>
      <c r="H1166" s="20" t="b">
        <f t="shared" si="18"/>
        <v>0</v>
      </c>
      <c r="I1166" s="21" t="str" cm="1">
        <f t="array" ref="I1166">GET_TICKER_FINAL(C1166)</f>
        <v/>
      </c>
      <c r="J1166" s="5" t="s">
        <v>25</v>
      </c>
    </row>
    <row r="1167" spans="1:10" hidden="1">
      <c r="A1167" s="23">
        <v>1166</v>
      </c>
      <c r="B1167" s="22" t="s">
        <v>888</v>
      </c>
      <c r="C1167" s="22" t="s">
        <v>1157</v>
      </c>
      <c r="D1167" s="22">
        <v>7</v>
      </c>
      <c r="E1167" s="22">
        <v>4</v>
      </c>
      <c r="F1167" s="22">
        <v>0.65</v>
      </c>
      <c r="G1167" s="22">
        <v>20260327</v>
      </c>
      <c r="H1167" s="23" t="b">
        <f t="shared" si="18"/>
        <v>0</v>
      </c>
      <c r="I1167" s="24" t="str" cm="1">
        <f t="array" ref="I1167">GET_TICKER_FINAL(C1167)</f>
        <v/>
      </c>
      <c r="J1167" s="5" t="s">
        <v>1792</v>
      </c>
    </row>
    <row r="1168" spans="1:10" hidden="1">
      <c r="A1168" s="20">
        <v>1167</v>
      </c>
      <c r="B1168" s="19" t="s">
        <v>888</v>
      </c>
      <c r="C1168" s="19" t="s">
        <v>1158</v>
      </c>
      <c r="D1168" s="19">
        <v>7</v>
      </c>
      <c r="E1168" s="19">
        <v>13</v>
      </c>
      <c r="F1168" s="19">
        <v>0.69</v>
      </c>
      <c r="G1168" s="19">
        <v>20260320</v>
      </c>
      <c r="H1168" s="20" t="b">
        <f t="shared" si="18"/>
        <v>0</v>
      </c>
      <c r="I1168" s="21" t="str" cm="1">
        <f t="array" ref="I1168">GET_TICKER_FINAL(C1168)</f>
        <v/>
      </c>
      <c r="J1168" s="5" t="s">
        <v>1792</v>
      </c>
    </row>
    <row r="1169" spans="1:10" hidden="1">
      <c r="A1169" s="23">
        <v>1168</v>
      </c>
      <c r="B1169" s="22" t="s">
        <v>888</v>
      </c>
      <c r="C1169" s="22" t="s">
        <v>1159</v>
      </c>
      <c r="D1169" s="22">
        <v>7</v>
      </c>
      <c r="E1169" s="22">
        <v>3</v>
      </c>
      <c r="F1169" s="22">
        <v>0.82</v>
      </c>
      <c r="G1169" s="22">
        <v>20260327</v>
      </c>
      <c r="H1169" s="23" t="b">
        <f t="shared" si="18"/>
        <v>0</v>
      </c>
      <c r="I1169" s="24" t="str" cm="1">
        <f t="array" ref="I1169">GET_TICKER_FINAL(C1169)</f>
        <v/>
      </c>
      <c r="J1169" s="5" t="s">
        <v>1792</v>
      </c>
    </row>
    <row r="1170" spans="1:10" hidden="1">
      <c r="A1170" s="20">
        <v>1169</v>
      </c>
      <c r="B1170" s="19" t="s">
        <v>888</v>
      </c>
      <c r="C1170" s="19" t="s">
        <v>1160</v>
      </c>
      <c r="D1170" s="19">
        <v>7</v>
      </c>
      <c r="E1170" s="19">
        <v>13</v>
      </c>
      <c r="F1170" s="19">
        <v>0.74</v>
      </c>
      <c r="G1170" s="19">
        <v>20260320</v>
      </c>
      <c r="H1170" s="20" t="b">
        <f t="shared" si="18"/>
        <v>0</v>
      </c>
      <c r="I1170" s="21" t="str" cm="1">
        <f t="array" ref="I1170">GET_TICKER_FINAL(C1170)</f>
        <v/>
      </c>
      <c r="J1170" s="5" t="s">
        <v>1792</v>
      </c>
    </row>
    <row r="1171" spans="1:10">
      <c r="A1171" s="23">
        <v>1170</v>
      </c>
      <c r="B1171" s="22" t="s">
        <v>888</v>
      </c>
      <c r="C1171" s="22" t="s">
        <v>1161</v>
      </c>
      <c r="D1171" s="22">
        <v>6</v>
      </c>
      <c r="E1171" s="22">
        <v>2</v>
      </c>
      <c r="F1171" s="22">
        <v>0.8</v>
      </c>
      <c r="G1171" s="22">
        <v>20260401</v>
      </c>
      <c r="H1171" s="23" t="b">
        <f t="shared" si="18"/>
        <v>0</v>
      </c>
      <c r="I1171" s="24" t="str" cm="1">
        <f t="array" ref="I1171">GET_TICKER_FINAL(C1171)</f>
        <v>GOOGL</v>
      </c>
      <c r="J1171" s="5" t="s">
        <v>25</v>
      </c>
    </row>
    <row r="1172" spans="1:10" hidden="1">
      <c r="A1172" s="20">
        <v>1171</v>
      </c>
      <c r="B1172" s="19" t="s">
        <v>888</v>
      </c>
      <c r="C1172" s="19" t="s">
        <v>1162</v>
      </c>
      <c r="D1172" s="19">
        <v>6</v>
      </c>
      <c r="E1172" s="19">
        <v>21</v>
      </c>
      <c r="F1172" s="19">
        <v>0.67</v>
      </c>
      <c r="G1172" s="19">
        <v>20260402</v>
      </c>
      <c r="H1172" s="20" t="b">
        <f t="shared" si="18"/>
        <v>0</v>
      </c>
      <c r="I1172" s="21" t="str" cm="1">
        <f t="array" ref="I1172">GET_TICKER_FINAL(C1172)</f>
        <v/>
      </c>
      <c r="J1172" s="5" t="s">
        <v>1792</v>
      </c>
    </row>
    <row r="1173" spans="1:10" hidden="1">
      <c r="A1173" s="23">
        <v>1172</v>
      </c>
      <c r="B1173" s="22" t="s">
        <v>888</v>
      </c>
      <c r="C1173" s="22" t="s">
        <v>303</v>
      </c>
      <c r="D1173" s="22">
        <v>6</v>
      </c>
      <c r="E1173" s="22">
        <v>18</v>
      </c>
      <c r="F1173" s="22">
        <v>0.64</v>
      </c>
      <c r="G1173" s="22">
        <v>20260323</v>
      </c>
      <c r="H1173" s="23" t="b">
        <f t="shared" si="18"/>
        <v>0</v>
      </c>
      <c r="I1173" s="24" t="str" cm="1">
        <f t="array" ref="I1173">GET_TICKER_FINAL(C1173)</f>
        <v/>
      </c>
      <c r="J1173" s="5" t="s">
        <v>1792</v>
      </c>
    </row>
    <row r="1174" spans="1:10" hidden="1">
      <c r="A1174" s="20">
        <v>1173</v>
      </c>
      <c r="B1174" s="19" t="s">
        <v>888</v>
      </c>
      <c r="C1174" s="19" t="s">
        <v>1163</v>
      </c>
      <c r="D1174" s="19">
        <v>6</v>
      </c>
      <c r="E1174" s="19">
        <v>28</v>
      </c>
      <c r="F1174" s="19">
        <v>0.62</v>
      </c>
      <c r="G1174" s="19">
        <v>20260323</v>
      </c>
      <c r="H1174" s="20" t="b">
        <f t="shared" si="18"/>
        <v>0</v>
      </c>
      <c r="I1174" s="21" t="str" cm="1">
        <f t="array" ref="I1174">GET_TICKER_FINAL(C1174)</f>
        <v/>
      </c>
      <c r="J1174" s="5" t="s">
        <v>1792</v>
      </c>
    </row>
    <row r="1175" spans="1:10" hidden="1">
      <c r="A1175" s="23">
        <v>1174</v>
      </c>
      <c r="B1175" s="22" t="s">
        <v>888</v>
      </c>
      <c r="C1175" s="22" t="s">
        <v>1164</v>
      </c>
      <c r="D1175" s="22">
        <v>6</v>
      </c>
      <c r="E1175" s="22">
        <v>30</v>
      </c>
      <c r="F1175" s="22">
        <v>0.62</v>
      </c>
      <c r="G1175" s="22">
        <v>20260331</v>
      </c>
      <c r="H1175" s="23" t="b">
        <f t="shared" si="18"/>
        <v>0</v>
      </c>
      <c r="I1175" s="24" t="str" cm="1">
        <f t="array" ref="I1175">GET_TICKER_FINAL(C1175)</f>
        <v/>
      </c>
      <c r="J1175" s="5" t="s">
        <v>16</v>
      </c>
    </row>
    <row r="1176" spans="1:10">
      <c r="A1176" s="20">
        <v>1175</v>
      </c>
      <c r="B1176" s="19" t="s">
        <v>888</v>
      </c>
      <c r="C1176" s="19" t="s">
        <v>1165</v>
      </c>
      <c r="D1176" s="19">
        <v>6</v>
      </c>
      <c r="E1176" s="19">
        <v>83</v>
      </c>
      <c r="F1176" s="19">
        <v>0.55000000000000004</v>
      </c>
      <c r="G1176" s="19">
        <v>20260401</v>
      </c>
      <c r="H1176" s="20" t="b">
        <f t="shared" si="18"/>
        <v>0</v>
      </c>
      <c r="I1176" s="21" t="str" cm="1">
        <f t="array" ref="I1176">GET_TICKER_FINAL(C1176)</f>
        <v>MU</v>
      </c>
      <c r="J1176" s="5" t="s">
        <v>16</v>
      </c>
    </row>
    <row r="1177" spans="1:10" hidden="1">
      <c r="A1177" s="23">
        <v>1176</v>
      </c>
      <c r="B1177" s="22" t="s">
        <v>888</v>
      </c>
      <c r="C1177" s="22" t="s">
        <v>1166</v>
      </c>
      <c r="D1177" s="22">
        <v>6</v>
      </c>
      <c r="E1177" s="22">
        <v>219</v>
      </c>
      <c r="F1177" s="22">
        <v>0.8</v>
      </c>
      <c r="G1177" s="22">
        <v>20260402</v>
      </c>
      <c r="H1177" s="23" t="b">
        <f t="shared" si="18"/>
        <v>0</v>
      </c>
      <c r="I1177" s="24" t="str" cm="1">
        <f t="array" ref="I1177">GET_TICKER_FINAL(C1177)</f>
        <v/>
      </c>
      <c r="J1177" s="5" t="s">
        <v>1792</v>
      </c>
    </row>
    <row r="1178" spans="1:10">
      <c r="A1178" s="20">
        <v>1177</v>
      </c>
      <c r="B1178" s="19" t="s">
        <v>888</v>
      </c>
      <c r="C1178" s="19" t="s">
        <v>1167</v>
      </c>
      <c r="D1178" s="19">
        <v>6</v>
      </c>
      <c r="E1178" s="19">
        <v>2</v>
      </c>
      <c r="F1178" s="19">
        <v>0.75</v>
      </c>
      <c r="G1178" s="19">
        <v>20260401</v>
      </c>
      <c r="H1178" s="20" t="b">
        <f t="shared" si="18"/>
        <v>0</v>
      </c>
      <c r="I1178" s="21" t="str" cm="1">
        <f t="array" ref="I1178">GET_TICKER_FINAL(C1178)</f>
        <v>NVO</v>
      </c>
      <c r="J1178" s="5" t="s">
        <v>16</v>
      </c>
    </row>
    <row r="1179" spans="1:10" hidden="1">
      <c r="A1179" s="23">
        <v>1178</v>
      </c>
      <c r="B1179" s="22" t="s">
        <v>888</v>
      </c>
      <c r="C1179" s="22" t="s">
        <v>1168</v>
      </c>
      <c r="D1179" s="22">
        <v>6</v>
      </c>
      <c r="E1179" s="22">
        <v>9</v>
      </c>
      <c r="F1179" s="22">
        <v>0.63</v>
      </c>
      <c r="G1179" s="22">
        <v>20260326</v>
      </c>
      <c r="H1179" s="23" t="b">
        <f t="shared" si="18"/>
        <v>0</v>
      </c>
      <c r="I1179" s="24" t="str" cm="1">
        <f t="array" ref="I1179">GET_TICKER_FINAL(C1179)</f>
        <v/>
      </c>
      <c r="J1179" s="5" t="s">
        <v>1792</v>
      </c>
    </row>
    <row r="1180" spans="1:10" hidden="1">
      <c r="A1180" s="20">
        <v>1179</v>
      </c>
      <c r="B1180" s="19" t="s">
        <v>888</v>
      </c>
      <c r="C1180" s="19" t="s">
        <v>1169</v>
      </c>
      <c r="D1180" s="19">
        <v>6</v>
      </c>
      <c r="E1180" s="19">
        <v>12</v>
      </c>
      <c r="F1180" s="19">
        <v>0.81</v>
      </c>
      <c r="G1180" s="19">
        <v>20260330</v>
      </c>
      <c r="H1180" s="20" t="b">
        <f t="shared" si="18"/>
        <v>0</v>
      </c>
      <c r="I1180" s="21" t="str" cm="1">
        <f t="array" ref="I1180">GET_TICKER_FINAL(C1180)</f>
        <v/>
      </c>
      <c r="J1180" s="5" t="s">
        <v>1792</v>
      </c>
    </row>
    <row r="1181" spans="1:10" hidden="1">
      <c r="A1181" s="23">
        <v>1180</v>
      </c>
      <c r="B1181" s="22" t="s">
        <v>888</v>
      </c>
      <c r="C1181" s="22" t="s">
        <v>1170</v>
      </c>
      <c r="D1181" s="22">
        <v>6</v>
      </c>
      <c r="E1181" s="22">
        <v>342</v>
      </c>
      <c r="F1181" s="22">
        <v>0.88</v>
      </c>
      <c r="G1181" s="22">
        <v>20260327</v>
      </c>
      <c r="H1181" s="23" t="b">
        <f t="shared" si="18"/>
        <v>0</v>
      </c>
      <c r="I1181" s="24" t="str" cm="1">
        <f t="array" ref="I1181">GET_TICKER_FINAL(C1181)</f>
        <v/>
      </c>
      <c r="J1181" s="5" t="s">
        <v>1792</v>
      </c>
    </row>
    <row r="1182" spans="1:10" hidden="1">
      <c r="A1182" s="20">
        <v>1181</v>
      </c>
      <c r="B1182" s="19" t="s">
        <v>888</v>
      </c>
      <c r="C1182" s="19" t="s">
        <v>1171</v>
      </c>
      <c r="D1182" s="19">
        <v>6</v>
      </c>
      <c r="E1182" s="19">
        <v>9</v>
      </c>
      <c r="F1182" s="19">
        <v>0.88</v>
      </c>
      <c r="G1182" s="19">
        <v>20260326</v>
      </c>
      <c r="H1182" s="20" t="b">
        <f t="shared" si="18"/>
        <v>0</v>
      </c>
      <c r="I1182" s="21" t="str" cm="1">
        <f t="array" ref="I1182">GET_TICKER_FINAL(C1182)</f>
        <v/>
      </c>
      <c r="J1182" s="5" t="s">
        <v>1792</v>
      </c>
    </row>
    <row r="1183" spans="1:10" hidden="1">
      <c r="A1183" s="23">
        <v>1182</v>
      </c>
      <c r="B1183" s="22" t="s">
        <v>888</v>
      </c>
      <c r="C1183" s="22" t="s">
        <v>1172</v>
      </c>
      <c r="D1183" s="22">
        <v>5</v>
      </c>
      <c r="E1183" s="22">
        <v>8</v>
      </c>
      <c r="F1183" s="22">
        <v>0.67</v>
      </c>
      <c r="G1183" s="22">
        <v>20260327</v>
      </c>
      <c r="H1183" s="23" t="b">
        <f t="shared" si="18"/>
        <v>0</v>
      </c>
      <c r="I1183" s="24" t="str" cm="1">
        <f t="array" ref="I1183">GET_TICKER_FINAL(C1183)</f>
        <v/>
      </c>
      <c r="J1183" s="5" t="s">
        <v>1792</v>
      </c>
    </row>
    <row r="1184" spans="1:10" hidden="1">
      <c r="A1184" s="20">
        <v>1183</v>
      </c>
      <c r="B1184" s="19" t="s">
        <v>888</v>
      </c>
      <c r="C1184" s="19" t="s">
        <v>1173</v>
      </c>
      <c r="D1184" s="19">
        <v>5</v>
      </c>
      <c r="E1184" s="19">
        <v>6</v>
      </c>
      <c r="F1184" s="19">
        <v>0.54</v>
      </c>
      <c r="G1184" s="19">
        <v>20260324</v>
      </c>
      <c r="H1184" s="20" t="b">
        <f t="shared" si="18"/>
        <v>0</v>
      </c>
      <c r="I1184" s="21" t="str" cm="1">
        <f t="array" ref="I1184">GET_TICKER_FINAL(C1184)</f>
        <v/>
      </c>
      <c r="J1184" s="5" t="s">
        <v>25</v>
      </c>
    </row>
    <row r="1185" spans="1:10" hidden="1">
      <c r="A1185" s="23">
        <v>1184</v>
      </c>
      <c r="B1185" s="22" t="s">
        <v>888</v>
      </c>
      <c r="C1185" s="22" t="s">
        <v>1174</v>
      </c>
      <c r="D1185" s="22">
        <v>5</v>
      </c>
      <c r="E1185" s="22">
        <v>3</v>
      </c>
      <c r="F1185" s="22">
        <v>0.73</v>
      </c>
      <c r="G1185" s="22">
        <v>20260401</v>
      </c>
      <c r="H1185" s="23" t="b">
        <f t="shared" si="18"/>
        <v>0</v>
      </c>
      <c r="I1185" s="24" t="str" cm="1">
        <f t="array" ref="I1185">GET_TICKER_FINAL(C1185)</f>
        <v/>
      </c>
      <c r="J1185" s="5" t="s">
        <v>1792</v>
      </c>
    </row>
    <row r="1186" spans="1:10" hidden="1">
      <c r="A1186" s="20">
        <v>1185</v>
      </c>
      <c r="B1186" s="19" t="s">
        <v>888</v>
      </c>
      <c r="C1186" s="19" t="s">
        <v>1175</v>
      </c>
      <c r="D1186" s="19">
        <v>5</v>
      </c>
      <c r="E1186" s="19">
        <v>38</v>
      </c>
      <c r="F1186" s="19">
        <v>0.57999999999999996</v>
      </c>
      <c r="G1186" s="19">
        <v>20260331</v>
      </c>
      <c r="H1186" s="20" t="b">
        <f t="shared" si="18"/>
        <v>0</v>
      </c>
      <c r="I1186" s="21" t="str" cm="1">
        <f t="array" ref="I1186">GET_TICKER_FINAL(C1186)</f>
        <v/>
      </c>
      <c r="J1186" s="5" t="s">
        <v>28</v>
      </c>
    </row>
    <row r="1187" spans="1:10">
      <c r="A1187" s="23">
        <v>1186</v>
      </c>
      <c r="B1187" s="22" t="s">
        <v>888</v>
      </c>
      <c r="C1187" s="22" t="s">
        <v>775</v>
      </c>
      <c r="D1187" s="22">
        <v>5</v>
      </c>
      <c r="E1187" s="22">
        <v>11</v>
      </c>
      <c r="F1187" s="22">
        <v>0.69</v>
      </c>
      <c r="G1187" s="22">
        <v>20260323</v>
      </c>
      <c r="H1187" s="23" t="b">
        <f t="shared" si="18"/>
        <v>0</v>
      </c>
      <c r="I1187" s="24" t="str" cm="1">
        <f t="array" ref="I1187">GET_TICKER_FINAL(C1187)</f>
        <v>SPY</v>
      </c>
      <c r="J1187" s="5" t="s">
        <v>25</v>
      </c>
    </row>
    <row r="1188" spans="1:10" hidden="1">
      <c r="A1188" s="20">
        <v>1187</v>
      </c>
      <c r="B1188" s="19" t="s">
        <v>888</v>
      </c>
      <c r="C1188" s="19" t="s">
        <v>1176</v>
      </c>
      <c r="D1188" s="19">
        <v>4</v>
      </c>
      <c r="E1188" s="19">
        <v>53</v>
      </c>
      <c r="F1188" s="19">
        <v>0.63</v>
      </c>
      <c r="G1188" s="19">
        <v>20260401</v>
      </c>
      <c r="H1188" s="20" t="b">
        <f t="shared" si="18"/>
        <v>0</v>
      </c>
      <c r="I1188" s="21" t="str" cm="1">
        <f t="array" ref="I1188">GET_TICKER_FINAL(C1188)</f>
        <v/>
      </c>
      <c r="J1188" s="5" t="s">
        <v>1792</v>
      </c>
    </row>
    <row r="1189" spans="1:10" hidden="1">
      <c r="A1189" s="23">
        <v>1188</v>
      </c>
      <c r="B1189" s="22" t="s">
        <v>888</v>
      </c>
      <c r="C1189" s="22" t="s">
        <v>1177</v>
      </c>
      <c r="D1189" s="22">
        <v>4</v>
      </c>
      <c r="E1189" s="22">
        <v>6</v>
      </c>
      <c r="F1189" s="22">
        <v>0.75</v>
      </c>
      <c r="G1189" s="22">
        <v>20260324</v>
      </c>
      <c r="H1189" s="23" t="b">
        <f t="shared" si="18"/>
        <v>0</v>
      </c>
      <c r="I1189" s="24" t="str" cm="1">
        <f t="array" ref="I1189">GET_TICKER_FINAL(C1189)</f>
        <v/>
      </c>
      <c r="J1189" s="5" t="s">
        <v>1792</v>
      </c>
    </row>
    <row r="1190" spans="1:10" hidden="1">
      <c r="A1190" s="20">
        <v>1189</v>
      </c>
      <c r="B1190" s="19" t="s">
        <v>888</v>
      </c>
      <c r="C1190" s="19" t="s">
        <v>1178</v>
      </c>
      <c r="D1190" s="19">
        <v>4</v>
      </c>
      <c r="E1190" s="19">
        <v>8</v>
      </c>
      <c r="F1190" s="19">
        <v>0.75</v>
      </c>
      <c r="G1190" s="19">
        <v>20260331</v>
      </c>
      <c r="H1190" s="20" t="b">
        <f t="shared" si="18"/>
        <v>0</v>
      </c>
      <c r="I1190" s="21" t="str" cm="1">
        <f t="array" ref="I1190">GET_TICKER_FINAL(C1190)</f>
        <v/>
      </c>
      <c r="J1190" s="5" t="s">
        <v>25</v>
      </c>
    </row>
    <row r="1191" spans="1:10" hidden="1">
      <c r="A1191" s="23">
        <v>1190</v>
      </c>
      <c r="B1191" s="22" t="s">
        <v>888</v>
      </c>
      <c r="C1191" s="22" t="s">
        <v>1179</v>
      </c>
      <c r="D1191" s="22">
        <v>4</v>
      </c>
      <c r="E1191" s="22">
        <v>9</v>
      </c>
      <c r="F1191" s="22">
        <v>0.67</v>
      </c>
      <c r="G1191" s="22">
        <v>20260401</v>
      </c>
      <c r="H1191" s="23" t="b">
        <f t="shared" si="18"/>
        <v>0</v>
      </c>
      <c r="I1191" s="24" t="str" cm="1">
        <f t="array" ref="I1191">GET_TICKER_FINAL(C1191)</f>
        <v/>
      </c>
      <c r="J1191" s="5" t="s">
        <v>16</v>
      </c>
    </row>
    <row r="1192" spans="1:10" hidden="1">
      <c r="A1192" s="20">
        <v>1191</v>
      </c>
      <c r="B1192" s="19" t="s">
        <v>888</v>
      </c>
      <c r="C1192" s="19" t="s">
        <v>1180</v>
      </c>
      <c r="D1192" s="19">
        <v>4</v>
      </c>
      <c r="E1192" s="19">
        <v>4</v>
      </c>
      <c r="F1192" s="19">
        <v>0.7</v>
      </c>
      <c r="G1192" s="19">
        <v>20260330</v>
      </c>
      <c r="H1192" s="20" t="b">
        <f t="shared" si="18"/>
        <v>0</v>
      </c>
      <c r="I1192" s="21" t="str" cm="1">
        <f t="array" ref="I1192">GET_TICKER_FINAL(C1192)</f>
        <v/>
      </c>
      <c r="J1192" s="5" t="s">
        <v>1792</v>
      </c>
    </row>
    <row r="1193" spans="1:10" hidden="1">
      <c r="A1193" s="23">
        <v>1192</v>
      </c>
      <c r="B1193" s="22" t="s">
        <v>888</v>
      </c>
      <c r="C1193" s="22" t="s">
        <v>1181</v>
      </c>
      <c r="D1193" s="22">
        <v>3</v>
      </c>
      <c r="E1193" s="22">
        <v>9</v>
      </c>
      <c r="F1193" s="22">
        <v>0.67</v>
      </c>
      <c r="G1193" s="22">
        <v>20260402</v>
      </c>
      <c r="H1193" s="23" t="b">
        <f t="shared" si="18"/>
        <v>0</v>
      </c>
      <c r="I1193" s="24" t="str" cm="1">
        <f t="array" ref="I1193">GET_TICKER_FINAL(C1193)</f>
        <v/>
      </c>
      <c r="J1193" s="5" t="s">
        <v>1792</v>
      </c>
    </row>
    <row r="1194" spans="1:10" hidden="1">
      <c r="A1194" s="20">
        <v>1193</v>
      </c>
      <c r="B1194" s="19" t="s">
        <v>888</v>
      </c>
      <c r="C1194" s="19" t="s">
        <v>1182</v>
      </c>
      <c r="D1194" s="19">
        <v>3</v>
      </c>
      <c r="E1194" s="19">
        <v>9</v>
      </c>
      <c r="F1194" s="19">
        <v>0.67</v>
      </c>
      <c r="G1194" s="19">
        <v>20260324</v>
      </c>
      <c r="H1194" s="20" t="b">
        <f t="shared" si="18"/>
        <v>0</v>
      </c>
      <c r="I1194" s="21" t="str" cm="1">
        <f t="array" ref="I1194">GET_TICKER_FINAL(C1194)</f>
        <v/>
      </c>
      <c r="J1194" s="5" t="s">
        <v>1792</v>
      </c>
    </row>
    <row r="1195" spans="1:10" hidden="1">
      <c r="A1195" s="23">
        <v>1194</v>
      </c>
      <c r="B1195" s="22" t="s">
        <v>888</v>
      </c>
      <c r="C1195" s="22" t="s">
        <v>1183</v>
      </c>
      <c r="D1195" s="22">
        <v>3</v>
      </c>
      <c r="E1195" s="22">
        <v>4</v>
      </c>
      <c r="F1195" s="22">
        <v>0.71</v>
      </c>
      <c r="G1195" s="22">
        <v>20260324</v>
      </c>
      <c r="H1195" s="23" t="b">
        <f t="shared" si="18"/>
        <v>0</v>
      </c>
      <c r="I1195" s="24" t="str" cm="1">
        <f t="array" ref="I1195">GET_TICKER_FINAL(C1195)</f>
        <v/>
      </c>
      <c r="J1195" s="5" t="s">
        <v>1792</v>
      </c>
    </row>
    <row r="1196" spans="1:10" hidden="1">
      <c r="A1196" s="20">
        <v>1195</v>
      </c>
      <c r="B1196" s="19" t="s">
        <v>888</v>
      </c>
      <c r="C1196" s="19" t="s">
        <v>1184</v>
      </c>
      <c r="D1196" s="19">
        <v>3</v>
      </c>
      <c r="E1196" s="19">
        <v>18</v>
      </c>
      <c r="F1196" s="19">
        <v>0.8</v>
      </c>
      <c r="G1196" s="19">
        <v>20260324</v>
      </c>
      <c r="H1196" s="20" t="b">
        <f t="shared" si="18"/>
        <v>0</v>
      </c>
      <c r="I1196" s="21" t="str" cm="1">
        <f t="array" ref="I1196">GET_TICKER_FINAL(C1196)</f>
        <v/>
      </c>
      <c r="J1196" s="5" t="s">
        <v>1792</v>
      </c>
    </row>
    <row r="1197" spans="1:10" hidden="1">
      <c r="A1197" s="23">
        <v>1196</v>
      </c>
      <c r="B1197" s="22" t="s">
        <v>888</v>
      </c>
      <c r="C1197" s="22" t="s">
        <v>1185</v>
      </c>
      <c r="D1197" s="22">
        <v>3</v>
      </c>
      <c r="E1197" s="22">
        <v>15</v>
      </c>
      <c r="F1197" s="22">
        <v>0.64</v>
      </c>
      <c r="G1197" s="22">
        <v>20260327</v>
      </c>
      <c r="H1197" s="23" t="b">
        <f t="shared" si="18"/>
        <v>0</v>
      </c>
      <c r="I1197" s="24" t="str" cm="1">
        <f t="array" ref="I1197">GET_TICKER_FINAL(C1197)</f>
        <v/>
      </c>
      <c r="J1197" s="5" t="s">
        <v>1792</v>
      </c>
    </row>
    <row r="1198" spans="1:10" hidden="1">
      <c r="A1198" s="20">
        <v>1197</v>
      </c>
      <c r="B1198" s="19" t="s">
        <v>888</v>
      </c>
      <c r="C1198" s="19" t="s">
        <v>1186</v>
      </c>
      <c r="D1198" s="19">
        <v>3</v>
      </c>
      <c r="E1198" s="19">
        <v>11</v>
      </c>
      <c r="F1198" s="19">
        <v>0.62</v>
      </c>
      <c r="G1198" s="19">
        <v>20260326</v>
      </c>
      <c r="H1198" s="20" t="b">
        <f t="shared" si="18"/>
        <v>0</v>
      </c>
      <c r="I1198" s="21" t="str" cm="1">
        <f t="array" ref="I1198">GET_TICKER_FINAL(C1198)</f>
        <v/>
      </c>
      <c r="J1198" s="5" t="s">
        <v>16</v>
      </c>
    </row>
    <row r="1199" spans="1:10" hidden="1">
      <c r="A1199" s="23">
        <v>1198</v>
      </c>
      <c r="B1199" s="22" t="s">
        <v>888</v>
      </c>
      <c r="C1199" s="22" t="s">
        <v>1187</v>
      </c>
      <c r="D1199" s="22">
        <v>3</v>
      </c>
      <c r="E1199" s="22">
        <v>4</v>
      </c>
      <c r="F1199" s="22">
        <v>0.8</v>
      </c>
      <c r="G1199" s="22">
        <v>20260402</v>
      </c>
      <c r="H1199" s="23" t="b">
        <f t="shared" si="18"/>
        <v>0</v>
      </c>
      <c r="I1199" s="24" t="str" cm="1">
        <f t="array" ref="I1199">GET_TICKER_FINAL(C1199)</f>
        <v/>
      </c>
      <c r="J1199" s="5" t="s">
        <v>1792</v>
      </c>
    </row>
    <row r="1200" spans="1:10" hidden="1">
      <c r="A1200" s="20">
        <v>1199</v>
      </c>
      <c r="B1200" s="19" t="s">
        <v>888</v>
      </c>
      <c r="C1200" s="19" t="s">
        <v>1188</v>
      </c>
      <c r="D1200" s="19">
        <v>3</v>
      </c>
      <c r="E1200" s="19">
        <v>7</v>
      </c>
      <c r="F1200" s="19">
        <v>0.8</v>
      </c>
      <c r="G1200" s="19">
        <v>20260402</v>
      </c>
      <c r="H1200" s="20" t="b">
        <f t="shared" si="18"/>
        <v>0</v>
      </c>
      <c r="I1200" s="21" t="str" cm="1">
        <f t="array" ref="I1200">GET_TICKER_FINAL(C1200)</f>
        <v/>
      </c>
      <c r="J1200" s="5" t="s">
        <v>1792</v>
      </c>
    </row>
    <row r="1201" spans="1:10" hidden="1">
      <c r="A1201" s="23">
        <v>1200</v>
      </c>
      <c r="B1201" s="22" t="s">
        <v>888</v>
      </c>
      <c r="C1201" s="22" t="s">
        <v>1189</v>
      </c>
      <c r="D1201" s="22">
        <v>3</v>
      </c>
      <c r="E1201" s="22">
        <v>34</v>
      </c>
      <c r="F1201" s="22">
        <v>0.56999999999999995</v>
      </c>
      <c r="G1201" s="22">
        <v>20260326</v>
      </c>
      <c r="H1201" s="23" t="b">
        <f t="shared" si="18"/>
        <v>0</v>
      </c>
      <c r="I1201" s="24" t="str" cm="1">
        <f t="array" ref="I1201">GET_TICKER_FINAL(C1201)</f>
        <v/>
      </c>
      <c r="J1201" s="5" t="s">
        <v>1792</v>
      </c>
    </row>
    <row r="1202" spans="1:10" hidden="1">
      <c r="A1202" s="20">
        <v>1201</v>
      </c>
      <c r="B1202" s="19" t="s">
        <v>888</v>
      </c>
      <c r="C1202" s="19" t="s">
        <v>1190</v>
      </c>
      <c r="D1202" s="19">
        <v>3</v>
      </c>
      <c r="E1202" s="19">
        <v>40</v>
      </c>
      <c r="F1202" s="19">
        <v>0.6</v>
      </c>
      <c r="G1202" s="19">
        <v>20260402</v>
      </c>
      <c r="H1202" s="20" t="b">
        <f t="shared" si="18"/>
        <v>0</v>
      </c>
      <c r="I1202" s="21" t="str" cm="1">
        <f t="array" ref="I1202">GET_TICKER_FINAL(C1202)</f>
        <v/>
      </c>
      <c r="J1202" s="5" t="s">
        <v>1792</v>
      </c>
    </row>
    <row r="1203" spans="1:10" hidden="1">
      <c r="A1203" s="23">
        <v>1202</v>
      </c>
      <c r="B1203" s="22" t="s">
        <v>888</v>
      </c>
      <c r="C1203" s="22" t="s">
        <v>1191</v>
      </c>
      <c r="D1203" s="22">
        <v>3</v>
      </c>
      <c r="E1203" s="22">
        <v>0</v>
      </c>
      <c r="F1203" s="22">
        <v>1</v>
      </c>
      <c r="G1203" s="22">
        <v>20260323</v>
      </c>
      <c r="H1203" s="23" t="b">
        <f t="shared" si="18"/>
        <v>0</v>
      </c>
      <c r="I1203" s="24" t="str" cm="1">
        <f t="array" ref="I1203">GET_TICKER_FINAL(C1203)</f>
        <v/>
      </c>
      <c r="J1203" s="5" t="s">
        <v>1792</v>
      </c>
    </row>
    <row r="1204" spans="1:10" hidden="1">
      <c r="A1204" s="20">
        <v>1203</v>
      </c>
      <c r="B1204" s="19" t="s">
        <v>888</v>
      </c>
      <c r="C1204" s="19" t="s">
        <v>1192</v>
      </c>
      <c r="D1204" s="19">
        <v>3</v>
      </c>
      <c r="E1204" s="19">
        <v>0</v>
      </c>
      <c r="F1204" s="19">
        <v>1</v>
      </c>
      <c r="G1204" s="19">
        <v>20260331</v>
      </c>
      <c r="H1204" s="20" t="b">
        <f t="shared" si="18"/>
        <v>0</v>
      </c>
      <c r="I1204" s="21" t="str" cm="1">
        <f t="array" ref="I1204">GET_TICKER_FINAL(C1204)</f>
        <v/>
      </c>
      <c r="J1204" s="5" t="s">
        <v>25</v>
      </c>
    </row>
    <row r="1205" spans="1:10" hidden="1">
      <c r="A1205" s="23">
        <v>1204</v>
      </c>
      <c r="B1205" s="22" t="s">
        <v>888</v>
      </c>
      <c r="C1205" s="22" t="s">
        <v>1193</v>
      </c>
      <c r="D1205" s="22">
        <v>2</v>
      </c>
      <c r="E1205" s="22">
        <v>11</v>
      </c>
      <c r="F1205" s="22">
        <v>0.57999999999999996</v>
      </c>
      <c r="G1205" s="22">
        <v>20260401</v>
      </c>
      <c r="H1205" s="23" t="b">
        <f t="shared" si="18"/>
        <v>0</v>
      </c>
      <c r="I1205" s="24" t="str" cm="1">
        <f t="array" ref="I1205">GET_TICKER_FINAL(C1205)</f>
        <v/>
      </c>
      <c r="J1205" s="5" t="s">
        <v>1792</v>
      </c>
    </row>
    <row r="1206" spans="1:10" hidden="1">
      <c r="A1206" s="20">
        <v>1205</v>
      </c>
      <c r="B1206" s="19" t="s">
        <v>888</v>
      </c>
      <c r="C1206" s="19" t="s">
        <v>1194</v>
      </c>
      <c r="D1206" s="19">
        <v>2</v>
      </c>
      <c r="E1206" s="19">
        <v>18</v>
      </c>
      <c r="F1206" s="19">
        <v>0.6</v>
      </c>
      <c r="G1206" s="19">
        <v>20260401</v>
      </c>
      <c r="H1206" s="20" t="b">
        <f t="shared" si="18"/>
        <v>0</v>
      </c>
      <c r="I1206" s="21" t="str" cm="1">
        <f t="array" ref="I1206">GET_TICKER_FINAL(C1206)</f>
        <v/>
      </c>
      <c r="J1206" s="5" t="s">
        <v>1792</v>
      </c>
    </row>
    <row r="1207" spans="1:10" hidden="1">
      <c r="A1207" s="23">
        <v>1206</v>
      </c>
      <c r="B1207" s="22" t="s">
        <v>888</v>
      </c>
      <c r="C1207" s="22" t="s">
        <v>1195</v>
      </c>
      <c r="D1207" s="22">
        <v>2</v>
      </c>
      <c r="E1207" s="22">
        <v>5</v>
      </c>
      <c r="F1207" s="22">
        <v>0.55000000000000004</v>
      </c>
      <c r="G1207" s="22">
        <v>20260320</v>
      </c>
      <c r="H1207" s="23" t="b">
        <f t="shared" si="18"/>
        <v>0</v>
      </c>
      <c r="I1207" s="24" t="str" cm="1">
        <f t="array" ref="I1207">GET_TICKER_FINAL(C1207)</f>
        <v/>
      </c>
      <c r="J1207" s="5" t="s">
        <v>1792</v>
      </c>
    </row>
    <row r="1208" spans="1:10" hidden="1">
      <c r="A1208" s="20">
        <v>1207</v>
      </c>
      <c r="B1208" s="19" t="s">
        <v>888</v>
      </c>
      <c r="C1208" s="19" t="s">
        <v>1196</v>
      </c>
      <c r="D1208" s="19">
        <v>2</v>
      </c>
      <c r="E1208" s="19">
        <v>8</v>
      </c>
      <c r="F1208" s="19">
        <v>0.75</v>
      </c>
      <c r="G1208" s="19">
        <v>20260401</v>
      </c>
      <c r="H1208" s="20" t="b">
        <f t="shared" si="18"/>
        <v>0</v>
      </c>
      <c r="I1208" s="21" t="str" cm="1">
        <f t="array" ref="I1208">GET_TICKER_FINAL(C1208)</f>
        <v/>
      </c>
      <c r="J1208" s="5" t="s">
        <v>1792</v>
      </c>
    </row>
    <row r="1209" spans="1:10" hidden="1">
      <c r="A1209" s="23">
        <v>1208</v>
      </c>
      <c r="B1209" s="22" t="s">
        <v>888</v>
      </c>
      <c r="C1209" s="22" t="s">
        <v>1197</v>
      </c>
      <c r="D1209" s="22">
        <v>2</v>
      </c>
      <c r="E1209" s="22">
        <v>3</v>
      </c>
      <c r="F1209" s="22">
        <v>0.67</v>
      </c>
      <c r="G1209" s="22">
        <v>20260401</v>
      </c>
      <c r="H1209" s="23" t="b">
        <f t="shared" si="18"/>
        <v>0</v>
      </c>
      <c r="I1209" s="24" t="str" cm="1">
        <f t="array" ref="I1209">GET_TICKER_FINAL(C1209)</f>
        <v/>
      </c>
      <c r="J1209" s="5" t="s">
        <v>1792</v>
      </c>
    </row>
    <row r="1210" spans="1:10" hidden="1">
      <c r="A1210" s="20">
        <v>1209</v>
      </c>
      <c r="B1210" s="19" t="s">
        <v>888</v>
      </c>
      <c r="C1210" s="19" t="s">
        <v>1198</v>
      </c>
      <c r="D1210" s="19">
        <v>2</v>
      </c>
      <c r="E1210" s="19">
        <v>4</v>
      </c>
      <c r="F1210" s="19">
        <v>0.67</v>
      </c>
      <c r="G1210" s="19">
        <v>20260320</v>
      </c>
      <c r="H1210" s="20" t="b">
        <f t="shared" si="18"/>
        <v>0</v>
      </c>
      <c r="I1210" s="21" t="str" cm="1">
        <f t="array" ref="I1210">GET_TICKER_FINAL(C1210)</f>
        <v/>
      </c>
      <c r="J1210" s="5" t="s">
        <v>25</v>
      </c>
    </row>
    <row r="1211" spans="1:10" hidden="1">
      <c r="A1211" s="23">
        <v>1210</v>
      </c>
      <c r="B1211" s="22" t="s">
        <v>888</v>
      </c>
      <c r="C1211" s="22" t="s">
        <v>1199</v>
      </c>
      <c r="D1211" s="22">
        <v>2</v>
      </c>
      <c r="E1211" s="22">
        <v>13</v>
      </c>
      <c r="F1211" s="22">
        <v>0.63</v>
      </c>
      <c r="G1211" s="22">
        <v>20260331</v>
      </c>
      <c r="H1211" s="23" t="b">
        <f t="shared" si="18"/>
        <v>0</v>
      </c>
      <c r="I1211" s="24" t="str" cm="1">
        <f t="array" ref="I1211">GET_TICKER_FINAL(C1211)</f>
        <v/>
      </c>
      <c r="J1211" s="5" t="s">
        <v>1792</v>
      </c>
    </row>
    <row r="1212" spans="1:10" hidden="1">
      <c r="A1212" s="20">
        <v>1211</v>
      </c>
      <c r="B1212" s="19" t="s">
        <v>888</v>
      </c>
      <c r="C1212" s="19" t="s">
        <v>1200</v>
      </c>
      <c r="D1212" s="19">
        <v>2</v>
      </c>
      <c r="E1212" s="19">
        <v>9</v>
      </c>
      <c r="F1212" s="19">
        <v>0.6</v>
      </c>
      <c r="G1212" s="19">
        <v>20260402</v>
      </c>
      <c r="H1212" s="20" t="b">
        <f t="shared" si="18"/>
        <v>0</v>
      </c>
      <c r="I1212" s="21" t="str" cm="1">
        <f t="array" ref="I1212">GET_TICKER_FINAL(C1212)</f>
        <v/>
      </c>
      <c r="J1212" s="5" t="s">
        <v>1792</v>
      </c>
    </row>
    <row r="1213" spans="1:10" hidden="1">
      <c r="A1213" s="23">
        <v>1212</v>
      </c>
      <c r="B1213" s="22" t="s">
        <v>888</v>
      </c>
      <c r="C1213" s="22" t="s">
        <v>1201</v>
      </c>
      <c r="D1213" s="22">
        <v>2</v>
      </c>
      <c r="E1213" s="22">
        <v>0</v>
      </c>
      <c r="F1213" s="22">
        <v>1</v>
      </c>
      <c r="G1213" s="22">
        <v>20260323</v>
      </c>
      <c r="H1213" s="23" t="b">
        <f t="shared" si="18"/>
        <v>0</v>
      </c>
      <c r="I1213" s="24" t="str" cm="1">
        <f t="array" ref="I1213">GET_TICKER_FINAL(C1213)</f>
        <v/>
      </c>
      <c r="J1213" s="5" t="s">
        <v>1792</v>
      </c>
    </row>
    <row r="1214" spans="1:10" hidden="1">
      <c r="A1214" s="20">
        <v>1213</v>
      </c>
      <c r="B1214" s="19" t="s">
        <v>888</v>
      </c>
      <c r="C1214" s="19" t="s">
        <v>1202</v>
      </c>
      <c r="D1214" s="19">
        <v>2</v>
      </c>
      <c r="E1214" s="19">
        <v>13</v>
      </c>
      <c r="F1214" s="19">
        <v>0.53</v>
      </c>
      <c r="G1214" s="19">
        <v>20260323</v>
      </c>
      <c r="H1214" s="20" t="b">
        <f t="shared" si="18"/>
        <v>0</v>
      </c>
      <c r="I1214" s="21" t="str" cm="1">
        <f t="array" ref="I1214">GET_TICKER_FINAL(C1214)</f>
        <v/>
      </c>
      <c r="J1214" s="5" t="s">
        <v>1792</v>
      </c>
    </row>
    <row r="1215" spans="1:10" hidden="1">
      <c r="A1215" s="23">
        <v>1214</v>
      </c>
      <c r="B1215" s="22" t="s">
        <v>888</v>
      </c>
      <c r="C1215" s="22" t="s">
        <v>1203</v>
      </c>
      <c r="D1215" s="22">
        <v>2</v>
      </c>
      <c r="E1215" s="22">
        <v>1</v>
      </c>
      <c r="F1215" s="22">
        <v>0.6</v>
      </c>
      <c r="G1215" s="22">
        <v>20260326</v>
      </c>
      <c r="H1215" s="23" t="b">
        <f t="shared" si="18"/>
        <v>1</v>
      </c>
      <c r="I1215" s="24" t="str" cm="1">
        <f t="array" ref="I1215">GET_TICKER_FINAL(C1215)</f>
        <v/>
      </c>
      <c r="J1215" s="5" t="s">
        <v>25</v>
      </c>
    </row>
    <row r="1216" spans="1:10" hidden="1">
      <c r="A1216" s="20">
        <v>1215</v>
      </c>
      <c r="B1216" s="19" t="s">
        <v>888</v>
      </c>
      <c r="C1216" s="19" t="s">
        <v>280</v>
      </c>
      <c r="D1216" s="19">
        <v>2</v>
      </c>
      <c r="E1216" s="19">
        <v>1</v>
      </c>
      <c r="F1216" s="19">
        <v>0.75</v>
      </c>
      <c r="G1216" s="19">
        <v>20260331</v>
      </c>
      <c r="H1216" s="20" t="b">
        <f t="shared" si="18"/>
        <v>0</v>
      </c>
      <c r="I1216" s="21" t="str" cm="1">
        <f t="array" ref="I1216">GET_TICKER_FINAL(C1216)</f>
        <v/>
      </c>
      <c r="J1216" s="5" t="s">
        <v>1792</v>
      </c>
    </row>
    <row r="1217" spans="1:10" hidden="1">
      <c r="A1217" s="23">
        <v>1216</v>
      </c>
      <c r="B1217" s="22" t="s">
        <v>888</v>
      </c>
      <c r="C1217" s="22" t="s">
        <v>1204</v>
      </c>
      <c r="D1217" s="22">
        <v>2</v>
      </c>
      <c r="E1217" s="22">
        <v>11</v>
      </c>
      <c r="F1217" s="22">
        <v>0.57999999999999996</v>
      </c>
      <c r="G1217" s="22">
        <v>20260324</v>
      </c>
      <c r="H1217" s="23" t="b">
        <f t="shared" si="18"/>
        <v>0</v>
      </c>
      <c r="I1217" s="24" t="str" cm="1">
        <f t="array" ref="I1217">GET_TICKER_FINAL(C1217)</f>
        <v/>
      </c>
      <c r="J1217" s="5" t="s">
        <v>1792</v>
      </c>
    </row>
    <row r="1218" spans="1:10" hidden="1">
      <c r="A1218" s="20">
        <v>1217</v>
      </c>
      <c r="B1218" s="19" t="s">
        <v>888</v>
      </c>
      <c r="C1218" s="19" t="s">
        <v>1205</v>
      </c>
      <c r="D1218" s="19">
        <v>2</v>
      </c>
      <c r="E1218" s="19">
        <v>4</v>
      </c>
      <c r="F1218" s="19">
        <v>0.75</v>
      </c>
      <c r="G1218" s="19">
        <v>20260324</v>
      </c>
      <c r="H1218" s="20" t="b">
        <f t="shared" si="18"/>
        <v>0</v>
      </c>
      <c r="I1218" s="21" t="str" cm="1">
        <f t="array" ref="I1218">GET_TICKER_FINAL(C1218)</f>
        <v/>
      </c>
      <c r="J1218" s="5" t="s">
        <v>16</v>
      </c>
    </row>
    <row r="1219" spans="1:10" hidden="1">
      <c r="A1219" s="23">
        <v>1218</v>
      </c>
      <c r="B1219" s="22" t="s">
        <v>888</v>
      </c>
      <c r="C1219" s="22" t="s">
        <v>1206</v>
      </c>
      <c r="D1219" s="22">
        <v>2</v>
      </c>
      <c r="E1219" s="22">
        <v>1</v>
      </c>
      <c r="F1219" s="22">
        <v>0.75</v>
      </c>
      <c r="G1219" s="22">
        <v>20260324</v>
      </c>
      <c r="H1219" s="23" t="b">
        <f t="shared" ref="H1219:H1282" si="19">OR(ISNUMBER(SEARCH("$A",C1219)),ISNUMBER(SEARCH("$B",C1219)),ISNUMBER(SEARCH("$C",C1219)),ISNUMBER(SEARCH("$D",C1219)),ISNUMBER(SEARCH("$E",C1219)),ISNUMBER(SEARCH("$F",C1219)),ISNUMBER(SEARCH("$G",C1219)),ISNUMBER(SEARCH("$H",C1219)),ISNUMBER(SEARCH("$I",C1219)),ISNUMBER(SEARCH("$J",C1219)),ISNUMBER(SEARCH("$K",C1219)),ISNUMBER(SEARCH("$L",C1219)),ISNUMBER(SEARCH("$M",C1219)),ISNUMBER(SEARCH("$N",C1219)),ISNUMBER(SEARCH("$O",C1219)),ISNUMBER(SEARCH("$P",C1219)),ISNUMBER(SEARCH("$Q",C1219)),ISNUMBER(SEARCH("$R",C1219)),ISNUMBER(SEARCH("$S",C1219)),ISNUMBER(SEARCH("$T",C1219)),ISNUMBER(SEARCH("$U",C1219)),ISNUMBER(SEARCH("$V",C1219)),ISNUMBER(SEARCH("$W",C1219)),ISNUMBER(SEARCH("$X",C1219)),ISNUMBER(SEARCH("$Y",C1219)),ISNUMBER(SEARCH("$Z",C1219)))</f>
        <v>0</v>
      </c>
      <c r="I1219" s="24" t="str" cm="1">
        <f t="array" ref="I1219">GET_TICKER_FINAL(C1219)</f>
        <v/>
      </c>
      <c r="J1219" s="5" t="s">
        <v>1792</v>
      </c>
    </row>
    <row r="1220" spans="1:10" hidden="1">
      <c r="A1220" s="20">
        <v>1219</v>
      </c>
      <c r="B1220" s="19" t="s">
        <v>888</v>
      </c>
      <c r="C1220" s="19" t="s">
        <v>1207</v>
      </c>
      <c r="D1220" s="19">
        <v>2</v>
      </c>
      <c r="E1220" s="19">
        <v>0</v>
      </c>
      <c r="F1220" s="19">
        <v>1</v>
      </c>
      <c r="G1220" s="19">
        <v>20260402</v>
      </c>
      <c r="H1220" s="20" t="b">
        <f t="shared" si="19"/>
        <v>0</v>
      </c>
      <c r="I1220" s="21" t="str" cm="1">
        <f t="array" ref="I1220">GET_TICKER_FINAL(C1220)</f>
        <v/>
      </c>
      <c r="J1220" s="5" t="s">
        <v>16</v>
      </c>
    </row>
    <row r="1221" spans="1:10" hidden="1">
      <c r="A1221" s="23">
        <v>1220</v>
      </c>
      <c r="B1221" s="22" t="s">
        <v>888</v>
      </c>
      <c r="C1221" s="22" t="s">
        <v>1208</v>
      </c>
      <c r="D1221" s="22">
        <v>2</v>
      </c>
      <c r="E1221" s="22">
        <v>7</v>
      </c>
      <c r="F1221" s="22">
        <v>0.62</v>
      </c>
      <c r="G1221" s="22">
        <v>20260327</v>
      </c>
      <c r="H1221" s="23" t="b">
        <f t="shared" si="19"/>
        <v>0</v>
      </c>
      <c r="I1221" s="24" t="str" cm="1">
        <f t="array" ref="I1221">GET_TICKER_FINAL(C1221)</f>
        <v/>
      </c>
      <c r="J1221" s="5" t="s">
        <v>1792</v>
      </c>
    </row>
    <row r="1222" spans="1:10" hidden="1">
      <c r="A1222" s="20">
        <v>1221</v>
      </c>
      <c r="B1222" s="19" t="s">
        <v>888</v>
      </c>
      <c r="C1222" s="19" t="s">
        <v>1209</v>
      </c>
      <c r="D1222" s="19">
        <v>2</v>
      </c>
      <c r="E1222" s="19">
        <v>7</v>
      </c>
      <c r="F1222" s="19">
        <v>0.67</v>
      </c>
      <c r="G1222" s="19">
        <v>20260320</v>
      </c>
      <c r="H1222" s="20" t="b">
        <f t="shared" si="19"/>
        <v>0</v>
      </c>
      <c r="I1222" s="21" t="str" cm="1">
        <f t="array" ref="I1222">GET_TICKER_FINAL(C1222)</f>
        <v/>
      </c>
      <c r="J1222" s="5" t="s">
        <v>16</v>
      </c>
    </row>
    <row r="1223" spans="1:10" hidden="1">
      <c r="A1223" s="23">
        <v>1222</v>
      </c>
      <c r="B1223" s="22" t="s">
        <v>888</v>
      </c>
      <c r="C1223" s="22" t="s">
        <v>1210</v>
      </c>
      <c r="D1223" s="22">
        <v>2</v>
      </c>
      <c r="E1223" s="22">
        <v>11</v>
      </c>
      <c r="F1223" s="22">
        <v>0.57999999999999996</v>
      </c>
      <c r="G1223" s="22">
        <v>20260323</v>
      </c>
      <c r="H1223" s="23" t="b">
        <f t="shared" si="19"/>
        <v>1</v>
      </c>
      <c r="I1223" s="24" t="str" cm="1">
        <f t="array" ref="I1223">GET_TICKER_FINAL(C1223)</f>
        <v/>
      </c>
      <c r="J1223" s="5" t="s">
        <v>25</v>
      </c>
    </row>
    <row r="1224" spans="1:10" hidden="1">
      <c r="A1224" s="20">
        <v>1223</v>
      </c>
      <c r="B1224" s="19" t="s">
        <v>888</v>
      </c>
      <c r="C1224" s="19" t="s">
        <v>1211</v>
      </c>
      <c r="D1224" s="19">
        <v>2</v>
      </c>
      <c r="E1224" s="19">
        <v>5</v>
      </c>
      <c r="F1224" s="19">
        <v>0.57999999999999996</v>
      </c>
      <c r="G1224" s="19">
        <v>20260327</v>
      </c>
      <c r="H1224" s="20" t="b">
        <f t="shared" si="19"/>
        <v>0</v>
      </c>
      <c r="I1224" s="21" t="str" cm="1">
        <f t="array" ref="I1224">GET_TICKER_FINAL(C1224)</f>
        <v/>
      </c>
      <c r="J1224" s="5" t="s">
        <v>1792</v>
      </c>
    </row>
    <row r="1225" spans="1:10" hidden="1">
      <c r="A1225" s="23">
        <v>1224</v>
      </c>
      <c r="B1225" s="22" t="s">
        <v>888</v>
      </c>
      <c r="C1225" s="22" t="s">
        <v>1212</v>
      </c>
      <c r="D1225" s="22">
        <v>1</v>
      </c>
      <c r="E1225" s="22">
        <v>2</v>
      </c>
      <c r="F1225" s="22">
        <v>1</v>
      </c>
      <c r="G1225" s="22">
        <v>20260402</v>
      </c>
      <c r="H1225" s="23" t="b">
        <f t="shared" si="19"/>
        <v>0</v>
      </c>
      <c r="I1225" s="24" t="str" cm="1">
        <f t="array" ref="I1225">GET_TICKER_FINAL(C1225)</f>
        <v/>
      </c>
      <c r="J1225" s="5" t="s">
        <v>25</v>
      </c>
    </row>
    <row r="1226" spans="1:10" hidden="1">
      <c r="A1226" s="20">
        <v>1225</v>
      </c>
      <c r="B1226" s="19" t="s">
        <v>888</v>
      </c>
      <c r="C1226" s="19" t="s">
        <v>164</v>
      </c>
      <c r="D1226" s="19">
        <v>1</v>
      </c>
      <c r="E1226" s="19">
        <v>3</v>
      </c>
      <c r="F1226" s="19">
        <v>0.6</v>
      </c>
      <c r="G1226" s="19">
        <v>20260402</v>
      </c>
      <c r="H1226" s="20" t="b">
        <f t="shared" si="19"/>
        <v>0</v>
      </c>
      <c r="I1226" s="21" t="str" cm="1">
        <f t="array" ref="I1226">GET_TICKER_FINAL(C1226)</f>
        <v/>
      </c>
      <c r="J1226" s="5" t="s">
        <v>1792</v>
      </c>
    </row>
    <row r="1227" spans="1:10" hidden="1">
      <c r="A1227" s="23">
        <v>1226</v>
      </c>
      <c r="B1227" s="22" t="s">
        <v>888</v>
      </c>
      <c r="C1227" s="22" t="s">
        <v>1213</v>
      </c>
      <c r="D1227" s="22">
        <v>1</v>
      </c>
      <c r="E1227" s="22">
        <v>74</v>
      </c>
      <c r="F1227" s="22">
        <v>0.51</v>
      </c>
      <c r="G1227" s="22">
        <v>20260401</v>
      </c>
      <c r="H1227" s="23" t="b">
        <f t="shared" si="19"/>
        <v>0</v>
      </c>
      <c r="I1227" s="24" t="str" cm="1">
        <f t="array" ref="I1227">GET_TICKER_FINAL(C1227)</f>
        <v/>
      </c>
      <c r="J1227" s="5" t="s">
        <v>16</v>
      </c>
    </row>
    <row r="1228" spans="1:10" hidden="1">
      <c r="A1228" s="20">
        <v>1227</v>
      </c>
      <c r="B1228" s="19" t="s">
        <v>888</v>
      </c>
      <c r="C1228" s="19" t="s">
        <v>1214</v>
      </c>
      <c r="D1228" s="19">
        <v>1</v>
      </c>
      <c r="E1228" s="19">
        <v>2</v>
      </c>
      <c r="F1228" s="19">
        <v>0.56999999999999995</v>
      </c>
      <c r="G1228" s="19">
        <v>20260323</v>
      </c>
      <c r="H1228" s="20" t="b">
        <f t="shared" si="19"/>
        <v>0</v>
      </c>
      <c r="I1228" s="21" t="str" cm="1">
        <f t="array" ref="I1228">GET_TICKER_FINAL(C1228)</f>
        <v/>
      </c>
      <c r="J1228" s="5" t="s">
        <v>1792</v>
      </c>
    </row>
    <row r="1229" spans="1:10" hidden="1">
      <c r="A1229" s="23">
        <v>1228</v>
      </c>
      <c r="B1229" s="22" t="s">
        <v>888</v>
      </c>
      <c r="C1229" s="22" t="s">
        <v>1215</v>
      </c>
      <c r="D1229" s="22">
        <v>1</v>
      </c>
      <c r="E1229" s="22">
        <v>5</v>
      </c>
      <c r="F1229" s="22">
        <v>0.67</v>
      </c>
      <c r="G1229" s="22">
        <v>20260320</v>
      </c>
      <c r="H1229" s="23" t="b">
        <f t="shared" si="19"/>
        <v>0</v>
      </c>
      <c r="I1229" s="24" t="str" cm="1">
        <f t="array" ref="I1229">GET_TICKER_FINAL(C1229)</f>
        <v/>
      </c>
      <c r="J1229" s="5" t="s">
        <v>16</v>
      </c>
    </row>
    <row r="1230" spans="1:10" hidden="1">
      <c r="A1230" s="20">
        <v>1229</v>
      </c>
      <c r="B1230" s="19" t="s">
        <v>888</v>
      </c>
      <c r="C1230" s="19" t="s">
        <v>1216</v>
      </c>
      <c r="D1230" s="19">
        <v>1</v>
      </c>
      <c r="E1230" s="19">
        <v>6</v>
      </c>
      <c r="F1230" s="19">
        <v>0.67</v>
      </c>
      <c r="G1230" s="19">
        <v>20260320</v>
      </c>
      <c r="H1230" s="20" t="b">
        <f t="shared" si="19"/>
        <v>0</v>
      </c>
      <c r="I1230" s="21" t="str" cm="1">
        <f t="array" ref="I1230">GET_TICKER_FINAL(C1230)</f>
        <v/>
      </c>
      <c r="J1230" s="5" t="s">
        <v>28</v>
      </c>
    </row>
    <row r="1231" spans="1:10" hidden="1">
      <c r="A1231" s="23">
        <v>1230</v>
      </c>
      <c r="B1231" s="22" t="s">
        <v>888</v>
      </c>
      <c r="C1231" s="22" t="s">
        <v>1217</v>
      </c>
      <c r="D1231" s="22">
        <v>1</v>
      </c>
      <c r="E1231" s="22">
        <v>0</v>
      </c>
      <c r="F1231" s="22">
        <v>1</v>
      </c>
      <c r="G1231" s="22">
        <v>20260320</v>
      </c>
      <c r="H1231" s="23" t="b">
        <f t="shared" si="19"/>
        <v>0</v>
      </c>
      <c r="I1231" s="24" t="str" cm="1">
        <f t="array" ref="I1231">GET_TICKER_FINAL(C1231)</f>
        <v/>
      </c>
      <c r="J1231" s="5" t="s">
        <v>1792</v>
      </c>
    </row>
    <row r="1232" spans="1:10">
      <c r="A1232" s="20">
        <v>1231</v>
      </c>
      <c r="B1232" s="19" t="s">
        <v>888</v>
      </c>
      <c r="C1232" s="19" t="s">
        <v>1218</v>
      </c>
      <c r="D1232" s="19">
        <v>1</v>
      </c>
      <c r="E1232" s="19">
        <v>26</v>
      </c>
      <c r="F1232" s="19">
        <v>0.52</v>
      </c>
      <c r="G1232" s="19">
        <v>20260331</v>
      </c>
      <c r="H1232" s="20" t="b">
        <f t="shared" si="19"/>
        <v>0</v>
      </c>
      <c r="I1232" s="21" t="str" cm="1">
        <f t="array" ref="I1232">GET_TICKER_FINAL(C1232)</f>
        <v>DUOL</v>
      </c>
      <c r="J1232" s="5" t="s">
        <v>1792</v>
      </c>
    </row>
    <row r="1233" spans="1:10">
      <c r="A1233" s="23">
        <v>1232</v>
      </c>
      <c r="B1233" s="22" t="s">
        <v>888</v>
      </c>
      <c r="C1233" s="22" t="s">
        <v>1219</v>
      </c>
      <c r="D1233" s="22">
        <v>1</v>
      </c>
      <c r="E1233" s="22">
        <v>11</v>
      </c>
      <c r="F1233" s="22">
        <v>0.55000000000000004</v>
      </c>
      <c r="G1233" s="22">
        <v>20260330</v>
      </c>
      <c r="H1233" s="23" t="b">
        <f t="shared" si="19"/>
        <v>0</v>
      </c>
      <c r="I1233" s="24" t="str" cm="1">
        <f t="array" ref="I1233">GET_TICKER_FINAL(C1233)</f>
        <v>OKLO</v>
      </c>
      <c r="J1233" s="5" t="s">
        <v>1792</v>
      </c>
    </row>
    <row r="1234" spans="1:10" hidden="1">
      <c r="A1234" s="20">
        <v>1233</v>
      </c>
      <c r="B1234" s="19" t="s">
        <v>888</v>
      </c>
      <c r="C1234" s="19" t="s">
        <v>1220</v>
      </c>
      <c r="D1234" s="19">
        <v>1</v>
      </c>
      <c r="E1234" s="19">
        <v>7</v>
      </c>
      <c r="F1234" s="19">
        <v>0.6</v>
      </c>
      <c r="G1234" s="19">
        <v>20260331</v>
      </c>
      <c r="H1234" s="20" t="b">
        <f t="shared" si="19"/>
        <v>0</v>
      </c>
      <c r="I1234" s="21" t="str" cm="1">
        <f t="array" ref="I1234">GET_TICKER_FINAL(C1234)</f>
        <v/>
      </c>
      <c r="J1234" s="5" t="s">
        <v>25</v>
      </c>
    </row>
    <row r="1235" spans="1:10" hidden="1">
      <c r="A1235" s="23">
        <v>1234</v>
      </c>
      <c r="B1235" s="22" t="s">
        <v>888</v>
      </c>
      <c r="C1235" s="22" t="s">
        <v>1221</v>
      </c>
      <c r="D1235" s="22">
        <v>1</v>
      </c>
      <c r="E1235" s="22">
        <v>17</v>
      </c>
      <c r="F1235" s="22">
        <v>0.52</v>
      </c>
      <c r="G1235" s="22">
        <v>20260327</v>
      </c>
      <c r="H1235" s="23" t="b">
        <f t="shared" si="19"/>
        <v>0</v>
      </c>
      <c r="I1235" s="24" t="str" cm="1">
        <f t="array" ref="I1235">GET_TICKER_FINAL(C1235)</f>
        <v/>
      </c>
      <c r="J1235" s="5" t="s">
        <v>16</v>
      </c>
    </row>
    <row r="1236" spans="1:10" hidden="1">
      <c r="A1236" s="20">
        <v>1235</v>
      </c>
      <c r="B1236" s="19" t="s">
        <v>888</v>
      </c>
      <c r="C1236" s="19" t="s">
        <v>1222</v>
      </c>
      <c r="D1236" s="19">
        <v>1</v>
      </c>
      <c r="E1236" s="19">
        <v>8</v>
      </c>
      <c r="F1236" s="19">
        <v>0.55000000000000004</v>
      </c>
      <c r="G1236" s="19">
        <v>20260327</v>
      </c>
      <c r="H1236" s="20" t="b">
        <f t="shared" si="19"/>
        <v>0</v>
      </c>
      <c r="I1236" s="21" t="str" cm="1">
        <f t="array" ref="I1236">GET_TICKER_FINAL(C1236)</f>
        <v/>
      </c>
      <c r="J1236" s="5" t="s">
        <v>1792</v>
      </c>
    </row>
    <row r="1237" spans="1:10" hidden="1">
      <c r="A1237" s="23">
        <v>1236</v>
      </c>
      <c r="B1237" s="22" t="s">
        <v>888</v>
      </c>
      <c r="C1237" s="22" t="s">
        <v>1223</v>
      </c>
      <c r="D1237" s="22">
        <v>1</v>
      </c>
      <c r="E1237" s="22">
        <v>19</v>
      </c>
      <c r="F1237" s="22">
        <v>0.52</v>
      </c>
      <c r="G1237" s="22">
        <v>20260330</v>
      </c>
      <c r="H1237" s="23" t="b">
        <f t="shared" si="19"/>
        <v>0</v>
      </c>
      <c r="I1237" s="24" t="str" cm="1">
        <f t="array" ref="I1237">GET_TICKER_FINAL(C1237)</f>
        <v/>
      </c>
      <c r="J1237" s="5" t="s">
        <v>1792</v>
      </c>
    </row>
    <row r="1238" spans="1:10" hidden="1">
      <c r="A1238" s="20">
        <v>1237</v>
      </c>
      <c r="B1238" s="19" t="s">
        <v>888</v>
      </c>
      <c r="C1238" s="19" t="s">
        <v>1224</v>
      </c>
      <c r="D1238" s="19">
        <v>1</v>
      </c>
      <c r="E1238" s="19">
        <v>1</v>
      </c>
      <c r="F1238" s="19">
        <v>0.67</v>
      </c>
      <c r="G1238" s="19">
        <v>20260327</v>
      </c>
      <c r="H1238" s="20" t="b">
        <f t="shared" si="19"/>
        <v>0</v>
      </c>
      <c r="I1238" s="21" t="str" cm="1">
        <f t="array" ref="I1238">GET_TICKER_FINAL(C1238)</f>
        <v/>
      </c>
      <c r="J1238" s="5" t="s">
        <v>1792</v>
      </c>
    </row>
    <row r="1239" spans="1:10" hidden="1">
      <c r="A1239" s="23">
        <v>1238</v>
      </c>
      <c r="B1239" s="22" t="s">
        <v>888</v>
      </c>
      <c r="C1239" s="22" t="s">
        <v>1225</v>
      </c>
      <c r="D1239" s="22">
        <v>1</v>
      </c>
      <c r="E1239" s="22">
        <v>1</v>
      </c>
      <c r="F1239" s="22">
        <v>0.67</v>
      </c>
      <c r="G1239" s="22">
        <v>20260330</v>
      </c>
      <c r="H1239" s="23" t="b">
        <f t="shared" si="19"/>
        <v>1</v>
      </c>
      <c r="I1239" s="24" t="str" cm="1">
        <f t="array" ref="I1239">GET_TICKER_FINAL(C1239)</f>
        <v/>
      </c>
      <c r="J1239" s="5" t="s">
        <v>1792</v>
      </c>
    </row>
    <row r="1240" spans="1:10" hidden="1">
      <c r="A1240" s="20">
        <v>1239</v>
      </c>
      <c r="B1240" s="19" t="s">
        <v>888</v>
      </c>
      <c r="C1240" s="19" t="s">
        <v>1226</v>
      </c>
      <c r="D1240" s="19">
        <v>1</v>
      </c>
      <c r="E1240" s="19">
        <v>5</v>
      </c>
      <c r="F1240" s="19">
        <v>0.56999999999999995</v>
      </c>
      <c r="G1240" s="19">
        <v>20260331</v>
      </c>
      <c r="H1240" s="20" t="b">
        <f t="shared" si="19"/>
        <v>0</v>
      </c>
      <c r="I1240" s="21" t="str" cm="1">
        <f t="array" ref="I1240">GET_TICKER_FINAL(C1240)</f>
        <v/>
      </c>
      <c r="J1240" s="5" t="s">
        <v>1792</v>
      </c>
    </row>
    <row r="1241" spans="1:10">
      <c r="A1241" s="23">
        <v>1240</v>
      </c>
      <c r="B1241" s="22" t="s">
        <v>888</v>
      </c>
      <c r="C1241" s="22" t="s">
        <v>1227</v>
      </c>
      <c r="D1241" s="22">
        <v>1</v>
      </c>
      <c r="E1241" s="22">
        <v>3</v>
      </c>
      <c r="F1241" s="22">
        <v>1</v>
      </c>
      <c r="G1241" s="22">
        <v>20260327</v>
      </c>
      <c r="H1241" s="23" t="b">
        <f t="shared" si="19"/>
        <v>0</v>
      </c>
      <c r="I1241" s="24" t="str" cm="1">
        <f t="array" ref="I1241">GET_TICKER_FINAL(C1241)</f>
        <v>COST</v>
      </c>
      <c r="J1241" s="5" t="s">
        <v>1792</v>
      </c>
    </row>
    <row r="1242" spans="1:10">
      <c r="A1242" s="20">
        <v>1241</v>
      </c>
      <c r="B1242" s="19" t="s">
        <v>888</v>
      </c>
      <c r="C1242" s="19" t="s">
        <v>1228</v>
      </c>
      <c r="D1242" s="19">
        <v>1</v>
      </c>
      <c r="E1242" s="19">
        <v>3</v>
      </c>
      <c r="F1242" s="19">
        <v>0.67</v>
      </c>
      <c r="G1242" s="19">
        <v>20260401</v>
      </c>
      <c r="H1242" s="20" t="b">
        <f t="shared" si="19"/>
        <v>0</v>
      </c>
      <c r="I1242" s="21" t="str" cm="1">
        <f t="array" ref="I1242">GET_TICKER_FINAL(C1242)</f>
        <v>MSFT</v>
      </c>
      <c r="J1242" s="5" t="s">
        <v>25</v>
      </c>
    </row>
    <row r="1243" spans="1:10" hidden="1">
      <c r="A1243" s="23">
        <v>1242</v>
      </c>
      <c r="B1243" s="22" t="s">
        <v>888</v>
      </c>
      <c r="C1243" s="22" t="s">
        <v>1229</v>
      </c>
      <c r="D1243" s="22">
        <v>1</v>
      </c>
      <c r="E1243" s="22">
        <v>10</v>
      </c>
      <c r="F1243" s="22">
        <v>0.56999999999999995</v>
      </c>
      <c r="G1243" s="22">
        <v>20260401</v>
      </c>
      <c r="H1243" s="23" t="b">
        <f t="shared" si="19"/>
        <v>0</v>
      </c>
      <c r="I1243" s="24" t="str" cm="1">
        <f t="array" ref="I1243">GET_TICKER_FINAL(C1243)</f>
        <v/>
      </c>
      <c r="J1243" s="5" t="s">
        <v>28</v>
      </c>
    </row>
    <row r="1244" spans="1:10" hidden="1">
      <c r="A1244" s="20">
        <v>1243</v>
      </c>
      <c r="B1244" s="19" t="s">
        <v>888</v>
      </c>
      <c r="C1244" s="19" t="s">
        <v>1230</v>
      </c>
      <c r="D1244" s="19">
        <v>0</v>
      </c>
      <c r="E1244" s="19">
        <v>31</v>
      </c>
      <c r="F1244" s="19">
        <v>0.47</v>
      </c>
      <c r="G1244" s="19">
        <v>20260330</v>
      </c>
      <c r="H1244" s="20" t="b">
        <f t="shared" si="19"/>
        <v>0</v>
      </c>
      <c r="I1244" s="21" t="str" cm="1">
        <f t="array" ref="I1244">GET_TICKER_FINAL(C1244)</f>
        <v/>
      </c>
      <c r="J1244" s="5" t="s">
        <v>1792</v>
      </c>
    </row>
    <row r="1245" spans="1:10" hidden="1">
      <c r="A1245" s="23">
        <v>1244</v>
      </c>
      <c r="B1245" s="22" t="s">
        <v>888</v>
      </c>
      <c r="C1245" s="22" t="s">
        <v>1231</v>
      </c>
      <c r="D1245" s="22">
        <v>0</v>
      </c>
      <c r="E1245" s="22">
        <v>35</v>
      </c>
      <c r="F1245" s="22">
        <v>0.32</v>
      </c>
      <c r="G1245" s="22">
        <v>20260330</v>
      </c>
      <c r="H1245" s="23" t="b">
        <f t="shared" si="19"/>
        <v>0</v>
      </c>
      <c r="I1245" s="24" t="str" cm="1">
        <f t="array" ref="I1245">GET_TICKER_FINAL(C1245)</f>
        <v/>
      </c>
      <c r="J1245" s="5" t="s">
        <v>1792</v>
      </c>
    </row>
    <row r="1246" spans="1:10" hidden="1">
      <c r="A1246" s="20">
        <v>1245</v>
      </c>
      <c r="B1246" s="19" t="s">
        <v>888</v>
      </c>
      <c r="C1246" s="19" t="s">
        <v>1232</v>
      </c>
      <c r="D1246" s="19">
        <v>0</v>
      </c>
      <c r="E1246" s="19">
        <v>1</v>
      </c>
      <c r="F1246" s="19">
        <v>0.5</v>
      </c>
      <c r="G1246" s="19">
        <v>20260402</v>
      </c>
      <c r="H1246" s="20" t="b">
        <f t="shared" si="19"/>
        <v>0</v>
      </c>
      <c r="I1246" s="21" t="str" cm="1">
        <f t="array" ref="I1246">GET_TICKER_FINAL(C1246)</f>
        <v/>
      </c>
      <c r="J1246" s="5" t="s">
        <v>1792</v>
      </c>
    </row>
    <row r="1247" spans="1:10" hidden="1">
      <c r="A1247" s="23">
        <v>1246</v>
      </c>
      <c r="B1247" s="22" t="s">
        <v>888</v>
      </c>
      <c r="C1247" s="22" t="s">
        <v>1233</v>
      </c>
      <c r="D1247" s="22">
        <v>0</v>
      </c>
      <c r="E1247" s="22">
        <v>168</v>
      </c>
      <c r="F1247" s="22">
        <v>0.43</v>
      </c>
      <c r="G1247" s="22">
        <v>20260330</v>
      </c>
      <c r="H1247" s="23" t="b">
        <f t="shared" si="19"/>
        <v>0</v>
      </c>
      <c r="I1247" s="24" t="str" cm="1">
        <f t="array" ref="I1247">GET_TICKER_FINAL(C1247)</f>
        <v/>
      </c>
      <c r="J1247" s="5" t="s">
        <v>1792</v>
      </c>
    </row>
    <row r="1248" spans="1:10" hidden="1">
      <c r="A1248" s="20">
        <v>1247</v>
      </c>
      <c r="B1248" s="19" t="s">
        <v>888</v>
      </c>
      <c r="C1248" s="19" t="s">
        <v>1234</v>
      </c>
      <c r="D1248" s="19">
        <v>0</v>
      </c>
      <c r="E1248" s="19">
        <v>0</v>
      </c>
      <c r="F1248" s="19">
        <v>0.25</v>
      </c>
      <c r="G1248" s="19">
        <v>20260330</v>
      </c>
      <c r="H1248" s="20" t="b">
        <f t="shared" si="19"/>
        <v>0</v>
      </c>
      <c r="I1248" s="21" t="str" cm="1">
        <f t="array" ref="I1248">GET_TICKER_FINAL(C1248)</f>
        <v/>
      </c>
      <c r="J1248" s="5" t="s">
        <v>1792</v>
      </c>
    </row>
    <row r="1249" spans="1:10" hidden="1">
      <c r="A1249" s="23">
        <v>1248</v>
      </c>
      <c r="B1249" s="22" t="s">
        <v>888</v>
      </c>
      <c r="C1249" s="22" t="s">
        <v>1235</v>
      </c>
      <c r="D1249" s="22">
        <v>0</v>
      </c>
      <c r="E1249" s="22">
        <v>15</v>
      </c>
      <c r="F1249" s="22">
        <v>0.36</v>
      </c>
      <c r="G1249" s="22">
        <v>20260330</v>
      </c>
      <c r="H1249" s="23" t="b">
        <f t="shared" si="19"/>
        <v>0</v>
      </c>
      <c r="I1249" s="24" t="str" cm="1">
        <f t="array" ref="I1249">GET_TICKER_FINAL(C1249)</f>
        <v/>
      </c>
      <c r="J1249" s="5" t="s">
        <v>25</v>
      </c>
    </row>
    <row r="1250" spans="1:10" hidden="1">
      <c r="A1250" s="20">
        <v>1249</v>
      </c>
      <c r="B1250" s="19" t="s">
        <v>888</v>
      </c>
      <c r="C1250" s="19" t="s">
        <v>1236</v>
      </c>
      <c r="D1250" s="19">
        <v>0</v>
      </c>
      <c r="E1250" s="19">
        <v>13</v>
      </c>
      <c r="F1250" s="19">
        <v>0.25</v>
      </c>
      <c r="G1250" s="19">
        <v>20260330</v>
      </c>
      <c r="H1250" s="20" t="b">
        <f t="shared" si="19"/>
        <v>0</v>
      </c>
      <c r="I1250" s="21" t="str" cm="1">
        <f t="array" ref="I1250">GET_TICKER_FINAL(C1250)</f>
        <v/>
      </c>
      <c r="J1250" s="5" t="s">
        <v>1792</v>
      </c>
    </row>
    <row r="1251" spans="1:10" hidden="1">
      <c r="A1251" s="23">
        <v>1250</v>
      </c>
      <c r="B1251" s="22" t="s">
        <v>888</v>
      </c>
      <c r="C1251" s="22" t="s">
        <v>1237</v>
      </c>
      <c r="D1251" s="22">
        <v>0</v>
      </c>
      <c r="E1251" s="22">
        <v>10</v>
      </c>
      <c r="F1251" s="22">
        <v>0.4</v>
      </c>
      <c r="G1251" s="22">
        <v>20260330</v>
      </c>
      <c r="H1251" s="23" t="b">
        <f t="shared" si="19"/>
        <v>0</v>
      </c>
      <c r="I1251" s="24" t="str" cm="1">
        <f t="array" ref="I1251">GET_TICKER_FINAL(C1251)</f>
        <v/>
      </c>
      <c r="J1251" s="5" t="s">
        <v>16</v>
      </c>
    </row>
    <row r="1252" spans="1:10" hidden="1">
      <c r="A1252" s="20">
        <v>1251</v>
      </c>
      <c r="B1252" s="19" t="s">
        <v>888</v>
      </c>
      <c r="C1252" s="19" t="s">
        <v>1238</v>
      </c>
      <c r="D1252" s="19">
        <v>0</v>
      </c>
      <c r="E1252" s="19">
        <v>18</v>
      </c>
      <c r="F1252" s="19">
        <v>0.28999999999999998</v>
      </c>
      <c r="G1252" s="19">
        <v>20260330</v>
      </c>
      <c r="H1252" s="20" t="b">
        <f t="shared" si="19"/>
        <v>0</v>
      </c>
      <c r="I1252" s="21" t="str" cm="1">
        <f t="array" ref="I1252">GET_TICKER_FINAL(C1252)</f>
        <v/>
      </c>
      <c r="J1252" s="5" t="s">
        <v>1792</v>
      </c>
    </row>
    <row r="1253" spans="1:10" hidden="1">
      <c r="A1253" s="23">
        <v>1252</v>
      </c>
      <c r="B1253" s="22" t="s">
        <v>888</v>
      </c>
      <c r="C1253" s="22" t="s">
        <v>1239</v>
      </c>
      <c r="D1253" s="22">
        <v>0</v>
      </c>
      <c r="E1253" s="22">
        <v>9</v>
      </c>
      <c r="F1253" s="22">
        <v>0.25</v>
      </c>
      <c r="G1253" s="22">
        <v>20260330</v>
      </c>
      <c r="H1253" s="23" t="b">
        <f t="shared" si="19"/>
        <v>0</v>
      </c>
      <c r="I1253" s="24" t="str" cm="1">
        <f t="array" ref="I1253">GET_TICKER_FINAL(C1253)</f>
        <v/>
      </c>
      <c r="J1253" s="5" t="s">
        <v>16</v>
      </c>
    </row>
    <row r="1254" spans="1:10" ht="57.6" hidden="1">
      <c r="A1254" s="20">
        <v>1253</v>
      </c>
      <c r="B1254" s="19" t="s">
        <v>888</v>
      </c>
      <c r="C1254" s="25" t="s">
        <v>1240</v>
      </c>
      <c r="D1254" s="19">
        <v>0</v>
      </c>
      <c r="E1254" s="19">
        <v>13</v>
      </c>
      <c r="F1254" s="19">
        <v>0.33</v>
      </c>
      <c r="G1254" s="19">
        <v>20260330</v>
      </c>
      <c r="H1254" s="20" t="b">
        <f t="shared" si="19"/>
        <v>0</v>
      </c>
      <c r="I1254" s="21" t="str" cm="1">
        <f t="array" ref="I1254">GET_TICKER_FINAL(C1254)</f>
        <v/>
      </c>
      <c r="J1254" s="5" t="s">
        <v>1792</v>
      </c>
    </row>
    <row r="1255" spans="1:10" hidden="1">
      <c r="A1255" s="23">
        <v>1254</v>
      </c>
      <c r="B1255" s="22" t="s">
        <v>888</v>
      </c>
      <c r="C1255" s="22" t="s">
        <v>1241</v>
      </c>
      <c r="D1255" s="22">
        <v>0</v>
      </c>
      <c r="E1255" s="22">
        <v>8</v>
      </c>
      <c r="F1255" s="22">
        <v>0.31</v>
      </c>
      <c r="G1255" s="22">
        <v>20260330</v>
      </c>
      <c r="H1255" s="23" t="b">
        <f t="shared" si="19"/>
        <v>1</v>
      </c>
      <c r="I1255" s="24" t="str" cm="1">
        <f t="array" ref="I1255">GET_TICKER_FINAL(C1255)</f>
        <v/>
      </c>
      <c r="J1255" s="5" t="s">
        <v>25</v>
      </c>
    </row>
    <row r="1256" spans="1:10" hidden="1">
      <c r="A1256" s="20">
        <v>1255</v>
      </c>
      <c r="B1256" s="19" t="s">
        <v>888</v>
      </c>
      <c r="C1256" s="19" t="s">
        <v>1242</v>
      </c>
      <c r="D1256" s="19">
        <v>0</v>
      </c>
      <c r="E1256" s="19">
        <v>33</v>
      </c>
      <c r="F1256" s="19">
        <v>0.27</v>
      </c>
      <c r="G1256" s="19">
        <v>20260330</v>
      </c>
      <c r="H1256" s="20" t="b">
        <f t="shared" si="19"/>
        <v>0</v>
      </c>
      <c r="I1256" s="21" t="str" cm="1">
        <f t="array" ref="I1256">GET_TICKER_FINAL(C1256)</f>
        <v/>
      </c>
      <c r="J1256" s="5" t="s">
        <v>1792</v>
      </c>
    </row>
    <row r="1257" spans="1:10" hidden="1">
      <c r="A1257" s="23">
        <v>1256</v>
      </c>
      <c r="B1257" s="22" t="s">
        <v>888</v>
      </c>
      <c r="C1257" s="22" t="s">
        <v>1243</v>
      </c>
      <c r="D1257" s="22">
        <v>0</v>
      </c>
      <c r="E1257" s="22">
        <v>11</v>
      </c>
      <c r="F1257" s="22">
        <v>0.46</v>
      </c>
      <c r="G1257" s="22">
        <v>20260402</v>
      </c>
      <c r="H1257" s="23" t="b">
        <f t="shared" si="19"/>
        <v>0</v>
      </c>
      <c r="I1257" s="24" t="str" cm="1">
        <f t="array" ref="I1257">GET_TICKER_FINAL(C1257)</f>
        <v/>
      </c>
      <c r="J1257" s="5" t="s">
        <v>25</v>
      </c>
    </row>
    <row r="1258" spans="1:10" hidden="1">
      <c r="A1258" s="20">
        <v>1257</v>
      </c>
      <c r="B1258" s="19" t="s">
        <v>888</v>
      </c>
      <c r="C1258" s="19" t="s">
        <v>1244</v>
      </c>
      <c r="D1258" s="19">
        <v>0</v>
      </c>
      <c r="E1258" s="19">
        <v>28</v>
      </c>
      <c r="F1258" s="19">
        <v>0.32</v>
      </c>
      <c r="G1258" s="19">
        <v>20260330</v>
      </c>
      <c r="H1258" s="20" t="b">
        <f t="shared" si="19"/>
        <v>0</v>
      </c>
      <c r="I1258" s="21" t="str" cm="1">
        <f t="array" ref="I1258">GET_TICKER_FINAL(C1258)</f>
        <v/>
      </c>
      <c r="J1258" s="5" t="s">
        <v>1792</v>
      </c>
    </row>
    <row r="1259" spans="1:10" hidden="1">
      <c r="A1259" s="23">
        <v>1258</v>
      </c>
      <c r="B1259" s="22" t="s">
        <v>888</v>
      </c>
      <c r="C1259" s="22" t="s">
        <v>1245</v>
      </c>
      <c r="D1259" s="22">
        <v>0</v>
      </c>
      <c r="E1259" s="22">
        <v>48</v>
      </c>
      <c r="F1259" s="22">
        <v>0.28000000000000003</v>
      </c>
      <c r="G1259" s="22">
        <v>20260330</v>
      </c>
      <c r="H1259" s="23" t="b">
        <f t="shared" si="19"/>
        <v>0</v>
      </c>
      <c r="I1259" s="24" t="str" cm="1">
        <f t="array" ref="I1259">GET_TICKER_FINAL(C1259)</f>
        <v/>
      </c>
      <c r="J1259" s="5" t="s">
        <v>16</v>
      </c>
    </row>
    <row r="1260" spans="1:10">
      <c r="A1260" s="20">
        <v>1259</v>
      </c>
      <c r="B1260" s="19" t="s">
        <v>888</v>
      </c>
      <c r="C1260" s="19" t="s">
        <v>1246</v>
      </c>
      <c r="D1260" s="19">
        <v>0</v>
      </c>
      <c r="E1260" s="19">
        <v>51</v>
      </c>
      <c r="F1260" s="19">
        <v>0.26</v>
      </c>
      <c r="G1260" s="19">
        <v>20260330</v>
      </c>
      <c r="H1260" s="20" t="b">
        <f t="shared" si="19"/>
        <v>0</v>
      </c>
      <c r="I1260" s="21" t="str" cm="1">
        <f t="array" ref="I1260">GET_TICKER_FINAL(C1260)</f>
        <v>SPY</v>
      </c>
      <c r="J1260" s="5" t="s">
        <v>16</v>
      </c>
    </row>
    <row r="1261" spans="1:10">
      <c r="A1261" s="23">
        <v>1260</v>
      </c>
      <c r="B1261" s="22" t="s">
        <v>888</v>
      </c>
      <c r="C1261" s="22" t="s">
        <v>1247</v>
      </c>
      <c r="D1261" s="22">
        <v>0</v>
      </c>
      <c r="E1261" s="22">
        <v>26</v>
      </c>
      <c r="F1261" s="22">
        <v>0.2</v>
      </c>
      <c r="G1261" s="22">
        <v>20260402</v>
      </c>
      <c r="H1261" s="23" t="b">
        <f t="shared" si="19"/>
        <v>0</v>
      </c>
      <c r="I1261" s="24" t="str" cm="1">
        <f t="array" ref="I1261">GET_TICKER_FINAL(C1261)</f>
        <v>MU</v>
      </c>
      <c r="J1261" s="5" t="s">
        <v>1792</v>
      </c>
    </row>
    <row r="1262" spans="1:10" hidden="1">
      <c r="A1262" s="20">
        <v>1261</v>
      </c>
      <c r="B1262" s="19" t="s">
        <v>888</v>
      </c>
      <c r="C1262" s="19" t="s">
        <v>1248</v>
      </c>
      <c r="D1262" s="19">
        <v>0</v>
      </c>
      <c r="E1262" s="19">
        <v>11</v>
      </c>
      <c r="F1262" s="19">
        <v>0.33</v>
      </c>
      <c r="G1262" s="19">
        <v>20260402</v>
      </c>
      <c r="H1262" s="20" t="b">
        <f t="shared" si="19"/>
        <v>0</v>
      </c>
      <c r="I1262" s="21" t="str" cm="1">
        <f t="array" ref="I1262">GET_TICKER_FINAL(C1262)</f>
        <v/>
      </c>
      <c r="J1262" s="5" t="s">
        <v>1792</v>
      </c>
    </row>
    <row r="1263" spans="1:10">
      <c r="A1263" s="23">
        <v>1262</v>
      </c>
      <c r="B1263" s="22" t="s">
        <v>888</v>
      </c>
      <c r="C1263" s="22" t="s">
        <v>1249</v>
      </c>
      <c r="D1263" s="22">
        <v>0</v>
      </c>
      <c r="E1263" s="22">
        <v>6</v>
      </c>
      <c r="F1263" s="22">
        <v>0.28999999999999998</v>
      </c>
      <c r="G1263" s="22">
        <v>20260402</v>
      </c>
      <c r="H1263" s="23" t="b">
        <f t="shared" si="19"/>
        <v>0</v>
      </c>
      <c r="I1263" s="24" t="str" cm="1">
        <f t="array" ref="I1263">GET_TICKER_FINAL(C1263)</f>
        <v>AAPL</v>
      </c>
      <c r="J1263" s="5" t="s">
        <v>1792</v>
      </c>
    </row>
    <row r="1264" spans="1:10" hidden="1">
      <c r="A1264" s="20">
        <v>1263</v>
      </c>
      <c r="B1264" s="19" t="s">
        <v>888</v>
      </c>
      <c r="C1264" s="19" t="s">
        <v>1250</v>
      </c>
      <c r="D1264" s="19">
        <v>0</v>
      </c>
      <c r="E1264" s="19">
        <v>8</v>
      </c>
      <c r="F1264" s="19">
        <v>0.42</v>
      </c>
      <c r="G1264" s="19">
        <v>20260402</v>
      </c>
      <c r="H1264" s="20" t="b">
        <f t="shared" si="19"/>
        <v>0</v>
      </c>
      <c r="I1264" s="21" t="str" cm="1">
        <f t="array" ref="I1264">GET_TICKER_FINAL(C1264)</f>
        <v/>
      </c>
      <c r="J1264" s="5" t="s">
        <v>1792</v>
      </c>
    </row>
    <row r="1265" spans="1:10" hidden="1">
      <c r="A1265" s="23">
        <v>1264</v>
      </c>
      <c r="B1265" s="22" t="s">
        <v>888</v>
      </c>
      <c r="C1265" s="22" t="s">
        <v>1251</v>
      </c>
      <c r="D1265" s="22">
        <v>0</v>
      </c>
      <c r="E1265" s="22">
        <v>4</v>
      </c>
      <c r="F1265" s="22">
        <v>0.23</v>
      </c>
      <c r="G1265" s="22">
        <v>20260402</v>
      </c>
      <c r="H1265" s="23" t="b">
        <f t="shared" si="19"/>
        <v>0</v>
      </c>
      <c r="I1265" s="24" t="str" cm="1">
        <f t="array" ref="I1265">GET_TICKER_FINAL(C1265)</f>
        <v/>
      </c>
      <c r="J1265" s="5" t="s">
        <v>1792</v>
      </c>
    </row>
    <row r="1266" spans="1:10" hidden="1">
      <c r="A1266" s="20">
        <v>1265</v>
      </c>
      <c r="B1266" s="19" t="s">
        <v>888</v>
      </c>
      <c r="C1266" s="19" t="s">
        <v>1252</v>
      </c>
      <c r="D1266" s="19">
        <v>0</v>
      </c>
      <c r="E1266" s="19">
        <v>29</v>
      </c>
      <c r="F1266" s="19">
        <v>0.38</v>
      </c>
      <c r="G1266" s="19">
        <v>20260330</v>
      </c>
      <c r="H1266" s="20" t="b">
        <f t="shared" si="19"/>
        <v>0</v>
      </c>
      <c r="I1266" s="21" t="str" cm="1">
        <f t="array" ref="I1266">GET_TICKER_FINAL(C1266)</f>
        <v/>
      </c>
      <c r="J1266" s="5" t="s">
        <v>25</v>
      </c>
    </row>
    <row r="1267" spans="1:10" hidden="1">
      <c r="A1267" s="23">
        <v>1266</v>
      </c>
      <c r="B1267" s="22" t="s">
        <v>888</v>
      </c>
      <c r="C1267" s="22" t="s">
        <v>1253</v>
      </c>
      <c r="D1267" s="22">
        <v>0</v>
      </c>
      <c r="E1267" s="22">
        <v>10</v>
      </c>
      <c r="F1267" s="22">
        <v>0.17</v>
      </c>
      <c r="G1267" s="22">
        <v>20260402</v>
      </c>
      <c r="H1267" s="23" t="b">
        <f t="shared" si="19"/>
        <v>0</v>
      </c>
      <c r="I1267" s="24" t="str" cm="1">
        <f t="array" ref="I1267">GET_TICKER_FINAL(C1267)</f>
        <v/>
      </c>
      <c r="J1267" s="5" t="s">
        <v>25</v>
      </c>
    </row>
    <row r="1268" spans="1:10" hidden="1">
      <c r="A1268" s="20">
        <v>1267</v>
      </c>
      <c r="B1268" s="19" t="s">
        <v>888</v>
      </c>
      <c r="C1268" s="19" t="s">
        <v>1254</v>
      </c>
      <c r="D1268" s="19">
        <v>0</v>
      </c>
      <c r="E1268" s="19">
        <v>81</v>
      </c>
      <c r="F1268" s="19">
        <v>0.43</v>
      </c>
      <c r="G1268" s="19">
        <v>20260402</v>
      </c>
      <c r="H1268" s="20" t="b">
        <f t="shared" si="19"/>
        <v>0</v>
      </c>
      <c r="I1268" s="21" t="str" cm="1">
        <f t="array" ref="I1268">GET_TICKER_FINAL(C1268)</f>
        <v/>
      </c>
      <c r="J1268" s="5" t="s">
        <v>16</v>
      </c>
    </row>
    <row r="1269" spans="1:10" hidden="1">
      <c r="A1269" s="23">
        <v>1268</v>
      </c>
      <c r="B1269" s="22" t="s">
        <v>888</v>
      </c>
      <c r="C1269" s="22" t="s">
        <v>1255</v>
      </c>
      <c r="D1269" s="22">
        <v>0</v>
      </c>
      <c r="E1269" s="22">
        <v>33</v>
      </c>
      <c r="F1269" s="22">
        <v>0.37</v>
      </c>
      <c r="G1269" s="22">
        <v>20260402</v>
      </c>
      <c r="H1269" s="23" t="b">
        <f t="shared" si="19"/>
        <v>0</v>
      </c>
      <c r="I1269" s="24" t="str" cm="1">
        <f t="array" ref="I1269">GET_TICKER_FINAL(C1269)</f>
        <v/>
      </c>
      <c r="J1269" s="5" t="s">
        <v>16</v>
      </c>
    </row>
    <row r="1270" spans="1:10" hidden="1">
      <c r="A1270" s="20">
        <v>1269</v>
      </c>
      <c r="B1270" s="19" t="s">
        <v>888</v>
      </c>
      <c r="C1270" s="19" t="s">
        <v>1256</v>
      </c>
      <c r="D1270" s="19">
        <v>0</v>
      </c>
      <c r="E1270" s="19">
        <v>119</v>
      </c>
      <c r="F1270" s="19">
        <v>0.48</v>
      </c>
      <c r="G1270" s="19">
        <v>20260402</v>
      </c>
      <c r="H1270" s="20" t="b">
        <f t="shared" si="19"/>
        <v>0</v>
      </c>
      <c r="I1270" s="21" t="str" cm="1">
        <f t="array" ref="I1270">GET_TICKER_FINAL(C1270)</f>
        <v/>
      </c>
      <c r="J1270" s="5" t="s">
        <v>25</v>
      </c>
    </row>
    <row r="1271" spans="1:10" hidden="1">
      <c r="A1271" s="23">
        <v>1270</v>
      </c>
      <c r="B1271" s="22" t="s">
        <v>888</v>
      </c>
      <c r="C1271" s="22" t="s">
        <v>1257</v>
      </c>
      <c r="D1271" s="22">
        <v>0</v>
      </c>
      <c r="E1271" s="22">
        <v>7</v>
      </c>
      <c r="F1271" s="22">
        <v>0.37</v>
      </c>
      <c r="G1271" s="22">
        <v>20260402</v>
      </c>
      <c r="H1271" s="23" t="b">
        <f t="shared" si="19"/>
        <v>0</v>
      </c>
      <c r="I1271" s="24" t="str" cm="1">
        <f t="array" ref="I1271">GET_TICKER_FINAL(C1271)</f>
        <v/>
      </c>
      <c r="J1271" s="5" t="s">
        <v>16</v>
      </c>
    </row>
    <row r="1272" spans="1:10" hidden="1">
      <c r="A1272" s="20">
        <v>1271</v>
      </c>
      <c r="B1272" s="19" t="s">
        <v>888</v>
      </c>
      <c r="C1272" s="19" t="s">
        <v>1258</v>
      </c>
      <c r="D1272" s="19">
        <v>0</v>
      </c>
      <c r="E1272" s="19">
        <v>16</v>
      </c>
      <c r="F1272" s="19">
        <v>0.33</v>
      </c>
      <c r="G1272" s="19">
        <v>20260402</v>
      </c>
      <c r="H1272" s="20" t="b">
        <f t="shared" si="19"/>
        <v>0</v>
      </c>
      <c r="I1272" s="21" t="str" cm="1">
        <f t="array" ref="I1272">GET_TICKER_FINAL(C1272)</f>
        <v/>
      </c>
      <c r="J1272" s="5" t="s">
        <v>16</v>
      </c>
    </row>
    <row r="1273" spans="1:10" hidden="1">
      <c r="A1273" s="23">
        <v>1272</v>
      </c>
      <c r="B1273" s="22" t="s">
        <v>888</v>
      </c>
      <c r="C1273" s="22" t="s">
        <v>1259</v>
      </c>
      <c r="D1273" s="22">
        <v>0</v>
      </c>
      <c r="E1273" s="22">
        <v>49</v>
      </c>
      <c r="F1273" s="22">
        <v>0.33</v>
      </c>
      <c r="G1273" s="22">
        <v>20260402</v>
      </c>
      <c r="H1273" s="23" t="b">
        <f t="shared" si="19"/>
        <v>0</v>
      </c>
      <c r="I1273" s="24" t="str" cm="1">
        <f t="array" ref="I1273">GET_TICKER_FINAL(C1273)</f>
        <v/>
      </c>
      <c r="J1273" s="5" t="s">
        <v>16</v>
      </c>
    </row>
    <row r="1274" spans="1:10">
      <c r="A1274" s="20">
        <v>1273</v>
      </c>
      <c r="B1274" s="19" t="s">
        <v>888</v>
      </c>
      <c r="C1274" s="19" t="s">
        <v>1260</v>
      </c>
      <c r="D1274" s="19">
        <v>0</v>
      </c>
      <c r="E1274" s="19">
        <v>28</v>
      </c>
      <c r="F1274" s="19">
        <v>0.19</v>
      </c>
      <c r="G1274" s="19">
        <v>20260402</v>
      </c>
      <c r="H1274" s="20" t="b">
        <f t="shared" si="19"/>
        <v>0</v>
      </c>
      <c r="I1274" s="21" t="str" cm="1">
        <f t="array" ref="I1274">GET_TICKER_FINAL(C1274)</f>
        <v>SNAP</v>
      </c>
      <c r="J1274" s="5" t="s">
        <v>25</v>
      </c>
    </row>
    <row r="1275" spans="1:10" hidden="1">
      <c r="A1275" s="23">
        <v>1274</v>
      </c>
      <c r="B1275" s="22" t="s">
        <v>888</v>
      </c>
      <c r="C1275" s="22" t="s">
        <v>1261</v>
      </c>
      <c r="D1275" s="22">
        <v>0</v>
      </c>
      <c r="E1275" s="22">
        <v>8</v>
      </c>
      <c r="F1275" s="22">
        <v>0.27</v>
      </c>
      <c r="G1275" s="22">
        <v>20260402</v>
      </c>
      <c r="H1275" s="23" t="b">
        <f t="shared" si="19"/>
        <v>0</v>
      </c>
      <c r="I1275" s="24" t="str" cm="1">
        <f t="array" ref="I1275">GET_TICKER_FINAL(C1275)</f>
        <v/>
      </c>
      <c r="J1275" s="5" t="s">
        <v>1792</v>
      </c>
    </row>
    <row r="1276" spans="1:10" hidden="1">
      <c r="A1276" s="20">
        <v>1275</v>
      </c>
      <c r="B1276" s="19" t="s">
        <v>888</v>
      </c>
      <c r="C1276" s="19" t="s">
        <v>1262</v>
      </c>
      <c r="D1276" s="19">
        <v>0</v>
      </c>
      <c r="E1276" s="19">
        <v>1</v>
      </c>
      <c r="F1276" s="19">
        <v>0.19</v>
      </c>
      <c r="G1276" s="19">
        <v>20260402</v>
      </c>
      <c r="H1276" s="20" t="b">
        <f t="shared" si="19"/>
        <v>0</v>
      </c>
      <c r="I1276" s="21" t="str" cm="1">
        <f t="array" ref="I1276">GET_TICKER_FINAL(C1276)</f>
        <v/>
      </c>
      <c r="J1276" s="5" t="s">
        <v>1792</v>
      </c>
    </row>
    <row r="1277" spans="1:10" hidden="1">
      <c r="A1277" s="23">
        <v>1276</v>
      </c>
      <c r="B1277" s="22" t="s">
        <v>888</v>
      </c>
      <c r="C1277" s="22" t="s">
        <v>1263</v>
      </c>
      <c r="D1277" s="22">
        <v>0</v>
      </c>
      <c r="E1277" s="22">
        <v>12</v>
      </c>
      <c r="F1277" s="22">
        <v>0.33</v>
      </c>
      <c r="G1277" s="22">
        <v>20260402</v>
      </c>
      <c r="H1277" s="23" t="b">
        <f t="shared" si="19"/>
        <v>0</v>
      </c>
      <c r="I1277" s="24" t="str" cm="1">
        <f t="array" ref="I1277">GET_TICKER_FINAL(C1277)</f>
        <v/>
      </c>
      <c r="J1277" s="5" t="s">
        <v>1792</v>
      </c>
    </row>
    <row r="1278" spans="1:10">
      <c r="A1278" s="20">
        <v>1277</v>
      </c>
      <c r="B1278" s="19" t="s">
        <v>888</v>
      </c>
      <c r="C1278" s="19" t="s">
        <v>1264</v>
      </c>
      <c r="D1278" s="19">
        <v>0</v>
      </c>
      <c r="E1278" s="19">
        <v>4</v>
      </c>
      <c r="F1278" s="19">
        <v>0.2</v>
      </c>
      <c r="G1278" s="19">
        <v>20260330</v>
      </c>
      <c r="H1278" s="20" t="b">
        <f t="shared" si="19"/>
        <v>0</v>
      </c>
      <c r="I1278" s="21" t="str" cm="1">
        <f t="array" ref="I1278">GET_TICKER_FINAL(C1278)</f>
        <v>SPY</v>
      </c>
      <c r="J1278" s="5" t="s">
        <v>1792</v>
      </c>
    </row>
    <row r="1279" spans="1:10" hidden="1">
      <c r="A1279" s="23">
        <v>1278</v>
      </c>
      <c r="B1279" s="22" t="s">
        <v>888</v>
      </c>
      <c r="C1279" s="22" t="s">
        <v>226</v>
      </c>
      <c r="D1279" s="22">
        <v>0</v>
      </c>
      <c r="E1279" s="22">
        <v>33</v>
      </c>
      <c r="F1279" s="22">
        <v>0.41</v>
      </c>
      <c r="G1279" s="22">
        <v>20260402</v>
      </c>
      <c r="H1279" s="23" t="b">
        <f t="shared" si="19"/>
        <v>0</v>
      </c>
      <c r="I1279" s="24" t="str" cm="1">
        <f t="array" ref="I1279">GET_TICKER_FINAL(C1279)</f>
        <v/>
      </c>
      <c r="J1279" s="5" t="s">
        <v>1792</v>
      </c>
    </row>
    <row r="1280" spans="1:10" hidden="1">
      <c r="A1280" s="20">
        <v>1279</v>
      </c>
      <c r="B1280" s="19" t="s">
        <v>888</v>
      </c>
      <c r="C1280" s="19" t="s">
        <v>1265</v>
      </c>
      <c r="D1280" s="19">
        <v>0</v>
      </c>
      <c r="E1280" s="19">
        <v>32</v>
      </c>
      <c r="F1280" s="19">
        <v>0.39</v>
      </c>
      <c r="G1280" s="19">
        <v>20260402</v>
      </c>
      <c r="H1280" s="20" t="b">
        <f t="shared" si="19"/>
        <v>0</v>
      </c>
      <c r="I1280" s="21" t="str" cm="1">
        <f t="array" ref="I1280">GET_TICKER_FINAL(C1280)</f>
        <v/>
      </c>
      <c r="J1280" s="5" t="s">
        <v>25</v>
      </c>
    </row>
    <row r="1281" spans="1:10" hidden="1">
      <c r="A1281" s="23">
        <v>1280</v>
      </c>
      <c r="B1281" s="22" t="s">
        <v>888</v>
      </c>
      <c r="C1281" s="22" t="s">
        <v>1266</v>
      </c>
      <c r="D1281" s="22">
        <v>0</v>
      </c>
      <c r="E1281" s="22">
        <v>11</v>
      </c>
      <c r="F1281" s="22">
        <v>0.33</v>
      </c>
      <c r="G1281" s="22">
        <v>20260330</v>
      </c>
      <c r="H1281" s="23" t="b">
        <f t="shared" si="19"/>
        <v>0</v>
      </c>
      <c r="I1281" s="24" t="str" cm="1">
        <f t="array" ref="I1281">GET_TICKER_FINAL(C1281)</f>
        <v/>
      </c>
      <c r="J1281" s="5" t="s">
        <v>16</v>
      </c>
    </row>
    <row r="1282" spans="1:10" hidden="1">
      <c r="A1282" s="20">
        <v>1281</v>
      </c>
      <c r="B1282" s="19" t="s">
        <v>888</v>
      </c>
      <c r="C1282" s="19" t="s">
        <v>1267</v>
      </c>
      <c r="D1282" s="19">
        <v>0</v>
      </c>
      <c r="E1282" s="19">
        <v>29</v>
      </c>
      <c r="F1282" s="19">
        <v>0.43</v>
      </c>
      <c r="G1282" s="19">
        <v>20260402</v>
      </c>
      <c r="H1282" s="20" t="b">
        <f t="shared" si="19"/>
        <v>0</v>
      </c>
      <c r="I1282" s="21" t="str" cm="1">
        <f t="array" ref="I1282">GET_TICKER_FINAL(C1282)</f>
        <v/>
      </c>
      <c r="J1282" s="5" t="s">
        <v>16</v>
      </c>
    </row>
    <row r="1283" spans="1:10">
      <c r="A1283" s="23">
        <v>1282</v>
      </c>
      <c r="B1283" s="22" t="s">
        <v>888</v>
      </c>
      <c r="C1283" s="22" t="s">
        <v>1268</v>
      </c>
      <c r="D1283" s="22">
        <v>0</v>
      </c>
      <c r="E1283" s="22">
        <v>40</v>
      </c>
      <c r="F1283" s="22">
        <v>0.33</v>
      </c>
      <c r="G1283" s="22">
        <v>20260402</v>
      </c>
      <c r="H1283" s="23" t="b">
        <f t="shared" ref="H1283:H1346" si="20">OR(ISNUMBER(SEARCH("$A",C1283)),ISNUMBER(SEARCH("$B",C1283)),ISNUMBER(SEARCH("$C",C1283)),ISNUMBER(SEARCH("$D",C1283)),ISNUMBER(SEARCH("$E",C1283)),ISNUMBER(SEARCH("$F",C1283)),ISNUMBER(SEARCH("$G",C1283)),ISNUMBER(SEARCH("$H",C1283)),ISNUMBER(SEARCH("$I",C1283)),ISNUMBER(SEARCH("$J",C1283)),ISNUMBER(SEARCH("$K",C1283)),ISNUMBER(SEARCH("$L",C1283)),ISNUMBER(SEARCH("$M",C1283)),ISNUMBER(SEARCH("$N",C1283)),ISNUMBER(SEARCH("$O",C1283)),ISNUMBER(SEARCH("$P",C1283)),ISNUMBER(SEARCH("$Q",C1283)),ISNUMBER(SEARCH("$R",C1283)),ISNUMBER(SEARCH("$S",C1283)),ISNUMBER(SEARCH("$T",C1283)),ISNUMBER(SEARCH("$U",C1283)),ISNUMBER(SEARCH("$V",C1283)),ISNUMBER(SEARCH("$W",C1283)),ISNUMBER(SEARCH("$X",C1283)),ISNUMBER(SEARCH("$Y",C1283)),ISNUMBER(SEARCH("$Z",C1283)))</f>
        <v>0</v>
      </c>
      <c r="I1283" s="24" t="str" cm="1">
        <f t="array" ref="I1283">GET_TICKER_FINAL(C1283)</f>
        <v>MSFT</v>
      </c>
      <c r="J1283" s="5" t="s">
        <v>1792</v>
      </c>
    </row>
    <row r="1284" spans="1:10" hidden="1">
      <c r="A1284" s="20">
        <v>1283</v>
      </c>
      <c r="B1284" s="19" t="s">
        <v>888</v>
      </c>
      <c r="C1284" s="19" t="s">
        <v>1269</v>
      </c>
      <c r="D1284" s="19">
        <v>0</v>
      </c>
      <c r="E1284" s="19">
        <v>65</v>
      </c>
      <c r="F1284" s="19">
        <v>0.46</v>
      </c>
      <c r="G1284" s="19">
        <v>20260402</v>
      </c>
      <c r="H1284" s="20" t="b">
        <f t="shared" si="20"/>
        <v>0</v>
      </c>
      <c r="I1284" s="21" t="str" cm="1">
        <f t="array" ref="I1284">GET_TICKER_FINAL(C1284)</f>
        <v/>
      </c>
      <c r="J1284" s="5" t="s">
        <v>16</v>
      </c>
    </row>
    <row r="1285" spans="1:10">
      <c r="A1285" s="23">
        <v>1284</v>
      </c>
      <c r="B1285" s="22" t="s">
        <v>888</v>
      </c>
      <c r="C1285" s="22" t="s">
        <v>1270</v>
      </c>
      <c r="D1285" s="22">
        <v>0</v>
      </c>
      <c r="E1285" s="22">
        <v>30</v>
      </c>
      <c r="F1285" s="22">
        <v>0.38</v>
      </c>
      <c r="G1285" s="22">
        <v>20260402</v>
      </c>
      <c r="H1285" s="23" t="b">
        <f t="shared" si="20"/>
        <v>0</v>
      </c>
      <c r="I1285" s="24" t="str" cm="1">
        <f t="array" ref="I1285">GET_TICKER_FINAL(C1285)</f>
        <v>TSLA</v>
      </c>
      <c r="J1285" s="5" t="s">
        <v>16</v>
      </c>
    </row>
    <row r="1286" spans="1:10" hidden="1">
      <c r="A1286" s="20">
        <v>1285</v>
      </c>
      <c r="B1286" s="19" t="s">
        <v>888</v>
      </c>
      <c r="C1286" s="19" t="s">
        <v>1271</v>
      </c>
      <c r="D1286" s="19">
        <v>0</v>
      </c>
      <c r="E1286" s="19">
        <v>19</v>
      </c>
      <c r="F1286" s="19">
        <v>0.21</v>
      </c>
      <c r="G1286" s="19">
        <v>20260402</v>
      </c>
      <c r="H1286" s="20" t="b">
        <f t="shared" si="20"/>
        <v>0</v>
      </c>
      <c r="I1286" s="21" t="str" cm="1">
        <f t="array" ref="I1286">GET_TICKER_FINAL(C1286)</f>
        <v/>
      </c>
      <c r="J1286" s="5" t="s">
        <v>1792</v>
      </c>
    </row>
    <row r="1287" spans="1:10" hidden="1">
      <c r="A1287" s="23">
        <v>1286</v>
      </c>
      <c r="B1287" s="22" t="s">
        <v>888</v>
      </c>
      <c r="C1287" s="22" t="s">
        <v>1272</v>
      </c>
      <c r="D1287" s="22">
        <v>0</v>
      </c>
      <c r="E1287" s="22">
        <v>23</v>
      </c>
      <c r="F1287" s="22">
        <v>0.33</v>
      </c>
      <c r="G1287" s="22">
        <v>20260401</v>
      </c>
      <c r="H1287" s="23" t="b">
        <f t="shared" si="20"/>
        <v>0</v>
      </c>
      <c r="I1287" s="24" t="str" cm="1">
        <f t="array" ref="I1287">GET_TICKER_FINAL(C1287)</f>
        <v/>
      </c>
      <c r="J1287" s="5" t="s">
        <v>1792</v>
      </c>
    </row>
    <row r="1288" spans="1:10" hidden="1">
      <c r="A1288" s="20">
        <v>1287</v>
      </c>
      <c r="B1288" s="19" t="s">
        <v>888</v>
      </c>
      <c r="C1288" s="19" t="s">
        <v>1273</v>
      </c>
      <c r="D1288" s="19">
        <v>0</v>
      </c>
      <c r="E1288" s="19">
        <v>18</v>
      </c>
      <c r="F1288" s="19">
        <v>0.25</v>
      </c>
      <c r="G1288" s="19">
        <v>20260320</v>
      </c>
      <c r="H1288" s="20" t="b">
        <f t="shared" si="20"/>
        <v>0</v>
      </c>
      <c r="I1288" s="21" t="str" cm="1">
        <f t="array" ref="I1288">GET_TICKER_FINAL(C1288)</f>
        <v/>
      </c>
      <c r="J1288" s="5" t="s">
        <v>25</v>
      </c>
    </row>
    <row r="1289" spans="1:10" hidden="1">
      <c r="A1289" s="23">
        <v>1288</v>
      </c>
      <c r="B1289" s="22" t="s">
        <v>888</v>
      </c>
      <c r="C1289" s="22" t="s">
        <v>1274</v>
      </c>
      <c r="D1289" s="22">
        <v>0</v>
      </c>
      <c r="E1289" s="22">
        <v>26</v>
      </c>
      <c r="F1289" s="22">
        <v>0.5</v>
      </c>
      <c r="G1289" s="22">
        <v>20260320</v>
      </c>
      <c r="H1289" s="23" t="b">
        <f t="shared" si="20"/>
        <v>0</v>
      </c>
      <c r="I1289" s="24" t="str" cm="1">
        <f t="array" ref="I1289">GET_TICKER_FINAL(C1289)</f>
        <v/>
      </c>
      <c r="J1289" s="5" t="s">
        <v>25</v>
      </c>
    </row>
    <row r="1290" spans="1:10" hidden="1">
      <c r="A1290" s="20">
        <v>1289</v>
      </c>
      <c r="B1290" s="19" t="s">
        <v>888</v>
      </c>
      <c r="C1290" s="19" t="s">
        <v>1275</v>
      </c>
      <c r="D1290" s="19">
        <v>0</v>
      </c>
      <c r="E1290" s="19">
        <v>25</v>
      </c>
      <c r="F1290" s="19">
        <v>0.5</v>
      </c>
      <c r="G1290" s="19">
        <v>20260320</v>
      </c>
      <c r="H1290" s="20" t="b">
        <f t="shared" si="20"/>
        <v>0</v>
      </c>
      <c r="I1290" s="21" t="str" cm="1">
        <f t="array" ref="I1290">GET_TICKER_FINAL(C1290)</f>
        <v/>
      </c>
      <c r="J1290" s="5" t="s">
        <v>1792</v>
      </c>
    </row>
    <row r="1291" spans="1:10" hidden="1">
      <c r="A1291" s="23">
        <v>1290</v>
      </c>
      <c r="B1291" s="22" t="s">
        <v>888</v>
      </c>
      <c r="C1291" s="22" t="s">
        <v>1276</v>
      </c>
      <c r="D1291" s="22">
        <v>0</v>
      </c>
      <c r="E1291" s="22">
        <v>31</v>
      </c>
      <c r="F1291" s="22">
        <v>0.47</v>
      </c>
      <c r="G1291" s="22">
        <v>20260320</v>
      </c>
      <c r="H1291" s="23" t="b">
        <f t="shared" si="20"/>
        <v>0</v>
      </c>
      <c r="I1291" s="24" t="str" cm="1">
        <f t="array" ref="I1291">GET_TICKER_FINAL(C1291)</f>
        <v/>
      </c>
      <c r="J1291" s="5" t="s">
        <v>1792</v>
      </c>
    </row>
    <row r="1292" spans="1:10" hidden="1">
      <c r="A1292" s="20">
        <v>1291</v>
      </c>
      <c r="B1292" s="19" t="s">
        <v>888</v>
      </c>
      <c r="C1292" s="19" t="s">
        <v>1277</v>
      </c>
      <c r="D1292" s="19">
        <v>0</v>
      </c>
      <c r="E1292" s="19">
        <v>73</v>
      </c>
      <c r="F1292" s="19">
        <v>0.31</v>
      </c>
      <c r="G1292" s="19">
        <v>20260320</v>
      </c>
      <c r="H1292" s="20" t="b">
        <f t="shared" si="20"/>
        <v>0</v>
      </c>
      <c r="I1292" s="21" t="str" cm="1">
        <f t="array" ref="I1292">GET_TICKER_FINAL(C1292)</f>
        <v/>
      </c>
      <c r="J1292" s="5" t="s">
        <v>25</v>
      </c>
    </row>
    <row r="1293" spans="1:10">
      <c r="A1293" s="23">
        <v>1292</v>
      </c>
      <c r="B1293" s="22" t="s">
        <v>888</v>
      </c>
      <c r="C1293" s="22" t="s">
        <v>1278</v>
      </c>
      <c r="D1293" s="22">
        <v>0</v>
      </c>
      <c r="E1293" s="22">
        <v>8</v>
      </c>
      <c r="F1293" s="22">
        <v>0.13</v>
      </c>
      <c r="G1293" s="22">
        <v>20260320</v>
      </c>
      <c r="H1293" s="23" t="b">
        <f t="shared" si="20"/>
        <v>0</v>
      </c>
      <c r="I1293" s="24" t="str" cm="1">
        <f t="array" ref="I1293">GET_TICKER_FINAL(C1293)</f>
        <v>SNAP</v>
      </c>
      <c r="J1293" s="5" t="s">
        <v>28</v>
      </c>
    </row>
    <row r="1294" spans="1:10" hidden="1">
      <c r="A1294" s="20">
        <v>1293</v>
      </c>
      <c r="B1294" s="19" t="s">
        <v>888</v>
      </c>
      <c r="C1294" s="19" t="s">
        <v>1279</v>
      </c>
      <c r="D1294" s="19">
        <v>0</v>
      </c>
      <c r="E1294" s="19">
        <v>1</v>
      </c>
      <c r="F1294" s="19">
        <v>0.36</v>
      </c>
      <c r="G1294" s="19">
        <v>20260320</v>
      </c>
      <c r="H1294" s="20" t="b">
        <f t="shared" si="20"/>
        <v>0</v>
      </c>
      <c r="I1294" s="21" t="str" cm="1">
        <f t="array" ref="I1294">GET_TICKER_FINAL(C1294)</f>
        <v/>
      </c>
      <c r="J1294" s="5" t="s">
        <v>1792</v>
      </c>
    </row>
    <row r="1295" spans="1:10" hidden="1">
      <c r="A1295" s="23">
        <v>1294</v>
      </c>
      <c r="B1295" s="22" t="s">
        <v>888</v>
      </c>
      <c r="C1295" s="22" t="s">
        <v>1280</v>
      </c>
      <c r="D1295" s="22">
        <v>0</v>
      </c>
      <c r="E1295" s="22">
        <v>16</v>
      </c>
      <c r="F1295" s="22">
        <v>0.23</v>
      </c>
      <c r="G1295" s="22">
        <v>20260320</v>
      </c>
      <c r="H1295" s="23" t="b">
        <f t="shared" si="20"/>
        <v>0</v>
      </c>
      <c r="I1295" s="24" t="str" cm="1">
        <f t="array" ref="I1295">GET_TICKER_FINAL(C1295)</f>
        <v/>
      </c>
      <c r="J1295" s="5" t="s">
        <v>1792</v>
      </c>
    </row>
    <row r="1296" spans="1:10" hidden="1">
      <c r="A1296" s="20">
        <v>1295</v>
      </c>
      <c r="B1296" s="19" t="s">
        <v>888</v>
      </c>
      <c r="C1296" s="19" t="s">
        <v>1281</v>
      </c>
      <c r="D1296" s="19">
        <v>0</v>
      </c>
      <c r="E1296" s="19">
        <v>71</v>
      </c>
      <c r="F1296" s="19">
        <v>0.21</v>
      </c>
      <c r="G1296" s="19">
        <v>20260320</v>
      </c>
      <c r="H1296" s="20" t="b">
        <f t="shared" si="20"/>
        <v>0</v>
      </c>
      <c r="I1296" s="21" t="str" cm="1">
        <f t="array" ref="I1296">GET_TICKER_FINAL(C1296)</f>
        <v/>
      </c>
      <c r="J1296" s="5" t="s">
        <v>16</v>
      </c>
    </row>
    <row r="1297" spans="1:10" hidden="1">
      <c r="A1297" s="23">
        <v>1296</v>
      </c>
      <c r="B1297" s="22" t="s">
        <v>888</v>
      </c>
      <c r="C1297" s="22" t="s">
        <v>1282</v>
      </c>
      <c r="D1297" s="22">
        <v>0</v>
      </c>
      <c r="E1297" s="22">
        <v>0</v>
      </c>
      <c r="F1297" s="22">
        <v>0.4</v>
      </c>
      <c r="G1297" s="22">
        <v>20260320</v>
      </c>
      <c r="H1297" s="23" t="b">
        <f t="shared" si="20"/>
        <v>0</v>
      </c>
      <c r="I1297" s="24" t="str" cm="1">
        <f t="array" ref="I1297">GET_TICKER_FINAL(C1297)</f>
        <v/>
      </c>
      <c r="J1297" s="5" t="s">
        <v>1792</v>
      </c>
    </row>
    <row r="1298" spans="1:10" hidden="1">
      <c r="A1298" s="20">
        <v>1297</v>
      </c>
      <c r="B1298" s="19" t="s">
        <v>888</v>
      </c>
      <c r="C1298" s="19" t="s">
        <v>1283</v>
      </c>
      <c r="D1298" s="19">
        <v>0</v>
      </c>
      <c r="E1298" s="19">
        <v>47</v>
      </c>
      <c r="F1298" s="19">
        <v>0.42</v>
      </c>
      <c r="G1298" s="19">
        <v>20260320</v>
      </c>
      <c r="H1298" s="20" t="b">
        <f t="shared" si="20"/>
        <v>0</v>
      </c>
      <c r="I1298" s="21" t="str" cm="1">
        <f t="array" ref="I1298">GET_TICKER_FINAL(C1298)</f>
        <v/>
      </c>
      <c r="J1298" s="5" t="s">
        <v>1792</v>
      </c>
    </row>
    <row r="1299" spans="1:10" hidden="1">
      <c r="A1299" s="23">
        <v>1298</v>
      </c>
      <c r="B1299" s="22" t="s">
        <v>888</v>
      </c>
      <c r="C1299" s="22" t="s">
        <v>1284</v>
      </c>
      <c r="D1299" s="22">
        <v>0</v>
      </c>
      <c r="E1299" s="22">
        <v>15</v>
      </c>
      <c r="F1299" s="22">
        <v>0.43</v>
      </c>
      <c r="G1299" s="22">
        <v>20260327</v>
      </c>
      <c r="H1299" s="23" t="b">
        <f t="shared" si="20"/>
        <v>0</v>
      </c>
      <c r="I1299" s="24" t="str" cm="1">
        <f t="array" ref="I1299">GET_TICKER_FINAL(C1299)</f>
        <v/>
      </c>
      <c r="J1299" s="5" t="s">
        <v>28</v>
      </c>
    </row>
    <row r="1300" spans="1:10">
      <c r="A1300" s="20">
        <v>1299</v>
      </c>
      <c r="B1300" s="19" t="s">
        <v>888</v>
      </c>
      <c r="C1300" s="19" t="s">
        <v>1285</v>
      </c>
      <c r="D1300" s="19">
        <v>0</v>
      </c>
      <c r="E1300" s="19">
        <v>28</v>
      </c>
      <c r="F1300" s="19">
        <v>0.41</v>
      </c>
      <c r="G1300" s="19">
        <v>20260327</v>
      </c>
      <c r="H1300" s="20" t="b">
        <f t="shared" si="20"/>
        <v>0</v>
      </c>
      <c r="I1300" s="21" t="str" cm="1">
        <f t="array" ref="I1300">GET_TICKER_FINAL(C1300)</f>
        <v>SNAP</v>
      </c>
      <c r="J1300" s="5" t="s">
        <v>16</v>
      </c>
    </row>
    <row r="1301" spans="1:10" hidden="1">
      <c r="A1301" s="23">
        <v>1300</v>
      </c>
      <c r="B1301" s="22" t="s">
        <v>888</v>
      </c>
      <c r="C1301" s="22" t="s">
        <v>1286</v>
      </c>
      <c r="D1301" s="22">
        <v>0</v>
      </c>
      <c r="E1301" s="22">
        <v>4</v>
      </c>
      <c r="F1301" s="22">
        <v>0.43</v>
      </c>
      <c r="G1301" s="22">
        <v>20260320</v>
      </c>
      <c r="H1301" s="23" t="b">
        <f t="shared" si="20"/>
        <v>0</v>
      </c>
      <c r="I1301" s="24" t="str" cm="1">
        <f t="array" ref="I1301">GET_TICKER_FINAL(C1301)</f>
        <v/>
      </c>
      <c r="J1301" s="5" t="s">
        <v>28</v>
      </c>
    </row>
    <row r="1302" spans="1:10" hidden="1">
      <c r="A1302" s="20">
        <v>1301</v>
      </c>
      <c r="B1302" s="19" t="s">
        <v>888</v>
      </c>
      <c r="C1302" s="19" t="s">
        <v>1287</v>
      </c>
      <c r="D1302" s="19">
        <v>0</v>
      </c>
      <c r="E1302" s="19">
        <v>7</v>
      </c>
      <c r="F1302" s="19">
        <v>0.23</v>
      </c>
      <c r="G1302" s="19">
        <v>20260320</v>
      </c>
      <c r="H1302" s="20" t="b">
        <f t="shared" si="20"/>
        <v>0</v>
      </c>
      <c r="I1302" s="21" t="str" cm="1">
        <f t="array" ref="I1302">GET_TICKER_FINAL(C1302)</f>
        <v/>
      </c>
      <c r="J1302" s="5" t="s">
        <v>16</v>
      </c>
    </row>
    <row r="1303" spans="1:10" hidden="1">
      <c r="A1303" s="23">
        <v>1302</v>
      </c>
      <c r="B1303" s="22" t="s">
        <v>888</v>
      </c>
      <c r="C1303" s="22" t="s">
        <v>1288</v>
      </c>
      <c r="D1303" s="22">
        <v>0</v>
      </c>
      <c r="E1303" s="22">
        <v>64</v>
      </c>
      <c r="F1303" s="22">
        <v>0.4</v>
      </c>
      <c r="G1303" s="22">
        <v>20260327</v>
      </c>
      <c r="H1303" s="23" t="b">
        <f t="shared" si="20"/>
        <v>0</v>
      </c>
      <c r="I1303" s="24" t="str" cm="1">
        <f t="array" ref="I1303">GET_TICKER_FINAL(C1303)</f>
        <v/>
      </c>
      <c r="J1303" s="5" t="s">
        <v>16</v>
      </c>
    </row>
    <row r="1304" spans="1:10" hidden="1">
      <c r="A1304" s="20">
        <v>1303</v>
      </c>
      <c r="B1304" s="19" t="s">
        <v>888</v>
      </c>
      <c r="C1304" s="19" t="s">
        <v>1289</v>
      </c>
      <c r="D1304" s="19">
        <v>0</v>
      </c>
      <c r="E1304" s="19">
        <v>45</v>
      </c>
      <c r="F1304" s="19">
        <v>0.36</v>
      </c>
      <c r="G1304" s="19">
        <v>20260320</v>
      </c>
      <c r="H1304" s="20" t="b">
        <f t="shared" si="20"/>
        <v>0</v>
      </c>
      <c r="I1304" s="21" t="str" cm="1">
        <f t="array" ref="I1304">GET_TICKER_FINAL(C1304)</f>
        <v/>
      </c>
      <c r="J1304" s="5" t="s">
        <v>1792</v>
      </c>
    </row>
    <row r="1305" spans="1:10" hidden="1">
      <c r="A1305" s="23">
        <v>1304</v>
      </c>
      <c r="B1305" s="22" t="s">
        <v>888</v>
      </c>
      <c r="C1305" s="22" t="s">
        <v>1290</v>
      </c>
      <c r="D1305" s="22">
        <v>0</v>
      </c>
      <c r="E1305" s="22">
        <v>0</v>
      </c>
      <c r="F1305" s="22">
        <v>0.2</v>
      </c>
      <c r="G1305" s="22">
        <v>20260320</v>
      </c>
      <c r="H1305" s="23" t="b">
        <f t="shared" si="20"/>
        <v>0</v>
      </c>
      <c r="I1305" s="24" t="str" cm="1">
        <f t="array" ref="I1305">GET_TICKER_FINAL(C1305)</f>
        <v/>
      </c>
      <c r="J1305" s="5" t="s">
        <v>1792</v>
      </c>
    </row>
    <row r="1306" spans="1:10" hidden="1">
      <c r="A1306" s="20">
        <v>1305</v>
      </c>
      <c r="B1306" s="19" t="s">
        <v>888</v>
      </c>
      <c r="C1306" s="19" t="s">
        <v>1291</v>
      </c>
      <c r="D1306" s="19">
        <v>0</v>
      </c>
      <c r="E1306" s="19">
        <v>36</v>
      </c>
      <c r="F1306" s="19">
        <v>0.33</v>
      </c>
      <c r="G1306" s="19">
        <v>20260320</v>
      </c>
      <c r="H1306" s="20" t="b">
        <f t="shared" si="20"/>
        <v>0</v>
      </c>
      <c r="I1306" s="21" t="str" cm="1">
        <f t="array" ref="I1306">GET_TICKER_FINAL(C1306)</f>
        <v/>
      </c>
      <c r="J1306" s="5" t="s">
        <v>1792</v>
      </c>
    </row>
    <row r="1307" spans="1:10" hidden="1">
      <c r="A1307" s="23">
        <v>1306</v>
      </c>
      <c r="B1307" s="22" t="s">
        <v>888</v>
      </c>
      <c r="C1307" s="22" t="s">
        <v>1292</v>
      </c>
      <c r="D1307" s="22">
        <v>0</v>
      </c>
      <c r="E1307" s="22">
        <v>164</v>
      </c>
      <c r="F1307" s="22">
        <v>0.47</v>
      </c>
      <c r="G1307" s="22">
        <v>20260320</v>
      </c>
      <c r="H1307" s="23" t="b">
        <f t="shared" si="20"/>
        <v>0</v>
      </c>
      <c r="I1307" s="24" t="str" cm="1">
        <f t="array" ref="I1307">GET_TICKER_FINAL(C1307)</f>
        <v/>
      </c>
      <c r="J1307" s="5" t="s">
        <v>16</v>
      </c>
    </row>
    <row r="1308" spans="1:10">
      <c r="A1308" s="20">
        <v>1307</v>
      </c>
      <c r="B1308" s="19" t="s">
        <v>888</v>
      </c>
      <c r="C1308" s="19" t="s">
        <v>1293</v>
      </c>
      <c r="D1308" s="19">
        <v>0</v>
      </c>
      <c r="E1308" s="19">
        <v>7</v>
      </c>
      <c r="F1308" s="19">
        <v>0.28999999999999998</v>
      </c>
      <c r="G1308" s="19">
        <v>20260320</v>
      </c>
      <c r="H1308" s="20" t="b">
        <f t="shared" si="20"/>
        <v>0</v>
      </c>
      <c r="I1308" s="21" t="str" cm="1">
        <f t="array" ref="I1308">GET_TICKER_FINAL(C1308)</f>
        <v>MU</v>
      </c>
      <c r="J1308" s="5" t="s">
        <v>25</v>
      </c>
    </row>
    <row r="1309" spans="1:10">
      <c r="A1309" s="23">
        <v>1308</v>
      </c>
      <c r="B1309" s="22" t="s">
        <v>888</v>
      </c>
      <c r="C1309" s="22" t="s">
        <v>1294</v>
      </c>
      <c r="D1309" s="22">
        <v>0</v>
      </c>
      <c r="E1309" s="22">
        <v>9</v>
      </c>
      <c r="F1309" s="22">
        <v>0.18</v>
      </c>
      <c r="G1309" s="22">
        <v>20260320</v>
      </c>
      <c r="H1309" s="23" t="b">
        <f t="shared" si="20"/>
        <v>0</v>
      </c>
      <c r="I1309" s="24" t="str" cm="1">
        <f t="array" ref="I1309">GET_TICKER_FINAL(C1309)</f>
        <v>COST</v>
      </c>
      <c r="J1309" s="5" t="s">
        <v>25</v>
      </c>
    </row>
    <row r="1310" spans="1:10" hidden="1">
      <c r="A1310" s="20">
        <v>1309</v>
      </c>
      <c r="B1310" s="19" t="s">
        <v>888</v>
      </c>
      <c r="C1310" s="19" t="s">
        <v>1295</v>
      </c>
      <c r="D1310" s="19">
        <v>0</v>
      </c>
      <c r="E1310" s="19">
        <v>17</v>
      </c>
      <c r="F1310" s="19">
        <v>0.28999999999999998</v>
      </c>
      <c r="G1310" s="19">
        <v>20260320</v>
      </c>
      <c r="H1310" s="20" t="b">
        <f t="shared" si="20"/>
        <v>0</v>
      </c>
      <c r="I1310" s="21" t="str" cm="1">
        <f t="array" ref="I1310">GET_TICKER_FINAL(C1310)</f>
        <v/>
      </c>
      <c r="J1310" s="5" t="s">
        <v>16</v>
      </c>
    </row>
    <row r="1311" spans="1:10" hidden="1">
      <c r="A1311" s="23">
        <v>1310</v>
      </c>
      <c r="B1311" s="22" t="s">
        <v>888</v>
      </c>
      <c r="C1311" s="22" t="s">
        <v>1296</v>
      </c>
      <c r="D1311" s="22">
        <v>0</v>
      </c>
      <c r="E1311" s="22">
        <v>24</v>
      </c>
      <c r="F1311" s="22">
        <v>0.21</v>
      </c>
      <c r="G1311" s="22">
        <v>20260320</v>
      </c>
      <c r="H1311" s="23" t="b">
        <f t="shared" si="20"/>
        <v>0</v>
      </c>
      <c r="I1311" s="24" t="str" cm="1">
        <f t="array" ref="I1311">GET_TICKER_FINAL(C1311)</f>
        <v/>
      </c>
      <c r="J1311" s="5" t="s">
        <v>1792</v>
      </c>
    </row>
    <row r="1312" spans="1:10" hidden="1">
      <c r="A1312" s="20">
        <v>1311</v>
      </c>
      <c r="B1312" s="19" t="s">
        <v>888</v>
      </c>
      <c r="C1312" s="19" t="s">
        <v>1297</v>
      </c>
      <c r="D1312" s="19">
        <v>0</v>
      </c>
      <c r="E1312" s="19">
        <v>0</v>
      </c>
      <c r="F1312" s="19">
        <v>0.33</v>
      </c>
      <c r="G1312" s="19">
        <v>20260320</v>
      </c>
      <c r="H1312" s="20" t="b">
        <f t="shared" si="20"/>
        <v>0</v>
      </c>
      <c r="I1312" s="21" t="str" cm="1">
        <f t="array" ref="I1312">GET_TICKER_FINAL(C1312)</f>
        <v/>
      </c>
      <c r="J1312" s="5" t="s">
        <v>1792</v>
      </c>
    </row>
    <row r="1313" spans="1:10" hidden="1">
      <c r="A1313" s="23">
        <v>1312</v>
      </c>
      <c r="B1313" s="22" t="s">
        <v>888</v>
      </c>
      <c r="C1313" s="22" t="s">
        <v>1298</v>
      </c>
      <c r="D1313" s="22">
        <v>0</v>
      </c>
      <c r="E1313" s="22">
        <v>9</v>
      </c>
      <c r="F1313" s="22">
        <v>0.27</v>
      </c>
      <c r="G1313" s="22">
        <v>20260320</v>
      </c>
      <c r="H1313" s="23" t="b">
        <f t="shared" si="20"/>
        <v>0</v>
      </c>
      <c r="I1313" s="24" t="str" cm="1">
        <f t="array" ref="I1313">GET_TICKER_FINAL(C1313)</f>
        <v/>
      </c>
      <c r="J1313" s="5" t="s">
        <v>1792</v>
      </c>
    </row>
    <row r="1314" spans="1:10" hidden="1">
      <c r="A1314" s="20">
        <v>1313</v>
      </c>
      <c r="B1314" s="19" t="s">
        <v>888</v>
      </c>
      <c r="C1314" s="19" t="s">
        <v>1299</v>
      </c>
      <c r="D1314" s="19">
        <v>0</v>
      </c>
      <c r="E1314" s="19">
        <v>4</v>
      </c>
      <c r="F1314" s="19">
        <v>0.38</v>
      </c>
      <c r="G1314" s="19">
        <v>20260330</v>
      </c>
      <c r="H1314" s="20" t="b">
        <f t="shared" si="20"/>
        <v>0</v>
      </c>
      <c r="I1314" s="21" t="str" cm="1">
        <f t="array" ref="I1314">GET_TICKER_FINAL(C1314)</f>
        <v/>
      </c>
      <c r="J1314" s="5" t="s">
        <v>1792</v>
      </c>
    </row>
    <row r="1315" spans="1:10" hidden="1">
      <c r="A1315" s="23">
        <v>1314</v>
      </c>
      <c r="B1315" s="22" t="s">
        <v>888</v>
      </c>
      <c r="C1315" s="22" t="s">
        <v>1300</v>
      </c>
      <c r="D1315" s="22">
        <v>0</v>
      </c>
      <c r="E1315" s="22">
        <v>64</v>
      </c>
      <c r="F1315" s="22">
        <v>0.42</v>
      </c>
      <c r="G1315" s="22">
        <v>20260330</v>
      </c>
      <c r="H1315" s="23" t="b">
        <f t="shared" si="20"/>
        <v>0</v>
      </c>
      <c r="I1315" s="24" t="str" cm="1">
        <f t="array" ref="I1315">GET_TICKER_FINAL(C1315)</f>
        <v/>
      </c>
      <c r="J1315" s="5" t="s">
        <v>16</v>
      </c>
    </row>
    <row r="1316" spans="1:10" hidden="1">
      <c r="A1316" s="20">
        <v>1315</v>
      </c>
      <c r="B1316" s="19" t="s">
        <v>888</v>
      </c>
      <c r="C1316" s="19" t="s">
        <v>1301</v>
      </c>
      <c r="D1316" s="19">
        <v>0</v>
      </c>
      <c r="E1316" s="19">
        <v>27</v>
      </c>
      <c r="F1316" s="19">
        <v>0.33</v>
      </c>
      <c r="G1316" s="19">
        <v>20260330</v>
      </c>
      <c r="H1316" s="20" t="b">
        <f t="shared" si="20"/>
        <v>0</v>
      </c>
      <c r="I1316" s="21" t="str" cm="1">
        <f t="array" ref="I1316">GET_TICKER_FINAL(C1316)</f>
        <v/>
      </c>
      <c r="J1316" s="5" t="s">
        <v>1792</v>
      </c>
    </row>
    <row r="1317" spans="1:10" hidden="1">
      <c r="A1317" s="23">
        <v>1316</v>
      </c>
      <c r="B1317" s="22" t="s">
        <v>888</v>
      </c>
      <c r="C1317" s="22" t="s">
        <v>1302</v>
      </c>
      <c r="D1317" s="22">
        <v>0</v>
      </c>
      <c r="E1317" s="22">
        <v>8</v>
      </c>
      <c r="F1317" s="22">
        <v>0.46</v>
      </c>
      <c r="G1317" s="22">
        <v>20260330</v>
      </c>
      <c r="H1317" s="23" t="b">
        <f t="shared" si="20"/>
        <v>0</v>
      </c>
      <c r="I1317" s="24" t="str" cm="1">
        <f t="array" ref="I1317">GET_TICKER_FINAL(C1317)</f>
        <v/>
      </c>
      <c r="J1317" s="5" t="s">
        <v>28</v>
      </c>
    </row>
    <row r="1318" spans="1:10" hidden="1">
      <c r="A1318" s="20">
        <v>1317</v>
      </c>
      <c r="B1318" s="19" t="s">
        <v>888</v>
      </c>
      <c r="C1318" s="19" t="s">
        <v>1303</v>
      </c>
      <c r="D1318" s="19">
        <v>0</v>
      </c>
      <c r="E1318" s="19">
        <v>20</v>
      </c>
      <c r="F1318" s="19">
        <v>0.36</v>
      </c>
      <c r="G1318" s="19">
        <v>20260330</v>
      </c>
      <c r="H1318" s="20" t="b">
        <f t="shared" si="20"/>
        <v>0</v>
      </c>
      <c r="I1318" s="21" t="str" cm="1">
        <f t="array" ref="I1318">GET_TICKER_FINAL(C1318)</f>
        <v/>
      </c>
      <c r="J1318" s="5" t="s">
        <v>25</v>
      </c>
    </row>
    <row r="1319" spans="1:10" hidden="1">
      <c r="A1319" s="23">
        <v>1318</v>
      </c>
      <c r="B1319" s="22" t="s">
        <v>888</v>
      </c>
      <c r="C1319" s="22" t="s">
        <v>1304</v>
      </c>
      <c r="D1319" s="22">
        <v>0</v>
      </c>
      <c r="E1319" s="22">
        <v>2</v>
      </c>
      <c r="F1319" s="22">
        <v>0.33</v>
      </c>
      <c r="G1319" s="22">
        <v>20260330</v>
      </c>
      <c r="H1319" s="23" t="b">
        <f t="shared" si="20"/>
        <v>0</v>
      </c>
      <c r="I1319" s="24" t="str" cm="1">
        <f t="array" ref="I1319">GET_TICKER_FINAL(C1319)</f>
        <v/>
      </c>
      <c r="J1319" s="5" t="s">
        <v>25</v>
      </c>
    </row>
    <row r="1320" spans="1:10" hidden="1">
      <c r="A1320" s="20">
        <v>1319</v>
      </c>
      <c r="B1320" s="19" t="s">
        <v>888</v>
      </c>
      <c r="C1320" s="19" t="s">
        <v>1305</v>
      </c>
      <c r="D1320" s="19">
        <v>0</v>
      </c>
      <c r="E1320" s="19">
        <v>32</v>
      </c>
      <c r="F1320" s="19">
        <v>0.44</v>
      </c>
      <c r="G1320" s="19">
        <v>20260327</v>
      </c>
      <c r="H1320" s="20" t="b">
        <f t="shared" si="20"/>
        <v>0</v>
      </c>
      <c r="I1320" s="21" t="str" cm="1">
        <f t="array" ref="I1320">GET_TICKER_FINAL(C1320)</f>
        <v/>
      </c>
      <c r="J1320" s="5" t="s">
        <v>1792</v>
      </c>
    </row>
    <row r="1321" spans="1:10" hidden="1">
      <c r="A1321" s="23">
        <v>1320</v>
      </c>
      <c r="B1321" s="22" t="s">
        <v>888</v>
      </c>
      <c r="C1321" s="22" t="s">
        <v>1306</v>
      </c>
      <c r="D1321" s="22">
        <v>0</v>
      </c>
      <c r="E1321" s="22">
        <v>10</v>
      </c>
      <c r="F1321" s="22">
        <v>0.31</v>
      </c>
      <c r="G1321" s="22">
        <v>20260327</v>
      </c>
      <c r="H1321" s="23" t="b">
        <f t="shared" si="20"/>
        <v>0</v>
      </c>
      <c r="I1321" s="24" t="str" cm="1">
        <f t="array" ref="I1321">GET_TICKER_FINAL(C1321)</f>
        <v/>
      </c>
      <c r="J1321" s="5" t="s">
        <v>25</v>
      </c>
    </row>
    <row r="1322" spans="1:10" hidden="1">
      <c r="A1322" s="20">
        <v>1321</v>
      </c>
      <c r="B1322" s="19" t="s">
        <v>888</v>
      </c>
      <c r="C1322" s="19" t="s">
        <v>1307</v>
      </c>
      <c r="D1322" s="19">
        <v>0</v>
      </c>
      <c r="E1322" s="19">
        <v>23</v>
      </c>
      <c r="F1322" s="19">
        <v>0.31</v>
      </c>
      <c r="G1322" s="19">
        <v>20260327</v>
      </c>
      <c r="H1322" s="20" t="b">
        <f t="shared" si="20"/>
        <v>0</v>
      </c>
      <c r="I1322" s="21" t="str" cm="1">
        <f t="array" ref="I1322">GET_TICKER_FINAL(C1322)</f>
        <v/>
      </c>
      <c r="J1322" s="5" t="s">
        <v>1792</v>
      </c>
    </row>
    <row r="1323" spans="1:10">
      <c r="A1323" s="23">
        <v>1322</v>
      </c>
      <c r="B1323" s="22" t="s">
        <v>888</v>
      </c>
      <c r="C1323" s="22" t="s">
        <v>1308</v>
      </c>
      <c r="D1323" s="22">
        <v>0</v>
      </c>
      <c r="E1323" s="22">
        <v>84</v>
      </c>
      <c r="F1323" s="22">
        <v>0.44</v>
      </c>
      <c r="G1323" s="22">
        <v>20260327</v>
      </c>
      <c r="H1323" s="23" t="b">
        <f t="shared" si="20"/>
        <v>0</v>
      </c>
      <c r="I1323" s="24" t="str" cm="1">
        <f t="array" ref="I1323">GET_TICKER_FINAL(C1323)</f>
        <v>MSFT</v>
      </c>
      <c r="J1323" s="5" t="s">
        <v>1792</v>
      </c>
    </row>
    <row r="1324" spans="1:10" hidden="1">
      <c r="A1324" s="20">
        <v>1323</v>
      </c>
      <c r="B1324" s="19" t="s">
        <v>888</v>
      </c>
      <c r="C1324" s="19" t="s">
        <v>1309</v>
      </c>
      <c r="D1324" s="19">
        <v>0</v>
      </c>
      <c r="E1324" s="19">
        <v>28</v>
      </c>
      <c r="F1324" s="19">
        <v>0.36</v>
      </c>
      <c r="G1324" s="19">
        <v>20260327</v>
      </c>
      <c r="H1324" s="20" t="b">
        <f t="shared" si="20"/>
        <v>0</v>
      </c>
      <c r="I1324" s="21" t="str" cm="1">
        <f t="array" ref="I1324">GET_TICKER_FINAL(C1324)</f>
        <v/>
      </c>
      <c r="J1324" s="5" t="s">
        <v>1792</v>
      </c>
    </row>
    <row r="1325" spans="1:10" hidden="1">
      <c r="A1325" s="23">
        <v>1324</v>
      </c>
      <c r="B1325" s="22" t="s">
        <v>888</v>
      </c>
      <c r="C1325" s="22" t="s">
        <v>1310</v>
      </c>
      <c r="D1325" s="22">
        <v>0</v>
      </c>
      <c r="E1325" s="22">
        <v>11</v>
      </c>
      <c r="F1325" s="22">
        <v>0.31</v>
      </c>
      <c r="G1325" s="22">
        <v>20260327</v>
      </c>
      <c r="H1325" s="23" t="b">
        <f t="shared" si="20"/>
        <v>0</v>
      </c>
      <c r="I1325" s="24" t="str" cm="1">
        <f t="array" ref="I1325">GET_TICKER_FINAL(C1325)</f>
        <v/>
      </c>
      <c r="J1325" s="5" t="s">
        <v>25</v>
      </c>
    </row>
    <row r="1326" spans="1:10">
      <c r="A1326" s="20">
        <v>1325</v>
      </c>
      <c r="B1326" s="19" t="s">
        <v>888</v>
      </c>
      <c r="C1326" s="19" t="s">
        <v>1311</v>
      </c>
      <c r="D1326" s="19">
        <v>0</v>
      </c>
      <c r="E1326" s="19">
        <v>71</v>
      </c>
      <c r="F1326" s="19">
        <v>0.46</v>
      </c>
      <c r="G1326" s="19">
        <v>20260327</v>
      </c>
      <c r="H1326" s="20" t="b">
        <f t="shared" si="20"/>
        <v>0</v>
      </c>
      <c r="I1326" s="21" t="str" cm="1">
        <f t="array" ref="I1326">GET_TICKER_FINAL(C1326)</f>
        <v>SPY</v>
      </c>
      <c r="J1326" s="5" t="s">
        <v>25</v>
      </c>
    </row>
    <row r="1327" spans="1:10" hidden="1">
      <c r="A1327" s="23">
        <v>1326</v>
      </c>
      <c r="B1327" s="22" t="s">
        <v>888</v>
      </c>
      <c r="C1327" s="22" t="s">
        <v>1312</v>
      </c>
      <c r="D1327" s="22">
        <v>0</v>
      </c>
      <c r="E1327" s="22">
        <v>111</v>
      </c>
      <c r="F1327" s="22">
        <v>0.47</v>
      </c>
      <c r="G1327" s="22">
        <v>20260327</v>
      </c>
      <c r="H1327" s="23" t="b">
        <f t="shared" si="20"/>
        <v>0</v>
      </c>
      <c r="I1327" s="24" t="str" cm="1">
        <f t="array" ref="I1327">GET_TICKER_FINAL(C1327)</f>
        <v/>
      </c>
      <c r="J1327" s="5" t="s">
        <v>16</v>
      </c>
    </row>
    <row r="1328" spans="1:10" hidden="1">
      <c r="A1328" s="20">
        <v>1327</v>
      </c>
      <c r="B1328" s="19" t="s">
        <v>888</v>
      </c>
      <c r="C1328" s="19" t="s">
        <v>1313</v>
      </c>
      <c r="D1328" s="19">
        <v>0</v>
      </c>
      <c r="E1328" s="19">
        <v>167</v>
      </c>
      <c r="F1328" s="19">
        <v>0.47</v>
      </c>
      <c r="G1328" s="19">
        <v>20260327</v>
      </c>
      <c r="H1328" s="20" t="b">
        <f t="shared" si="20"/>
        <v>0</v>
      </c>
      <c r="I1328" s="21" t="str" cm="1">
        <f t="array" ref="I1328">GET_TICKER_FINAL(C1328)</f>
        <v/>
      </c>
      <c r="J1328" s="5" t="s">
        <v>1792</v>
      </c>
    </row>
    <row r="1329" spans="1:10" hidden="1">
      <c r="A1329" s="23">
        <v>1328</v>
      </c>
      <c r="B1329" s="22" t="s">
        <v>888</v>
      </c>
      <c r="C1329" s="22" t="s">
        <v>1314</v>
      </c>
      <c r="D1329" s="22">
        <v>0</v>
      </c>
      <c r="E1329" s="22">
        <v>8</v>
      </c>
      <c r="F1329" s="22">
        <v>0.12</v>
      </c>
      <c r="G1329" s="22">
        <v>20260327</v>
      </c>
      <c r="H1329" s="23" t="b">
        <f t="shared" si="20"/>
        <v>0</v>
      </c>
      <c r="I1329" s="24" t="str" cm="1">
        <f t="array" ref="I1329">GET_TICKER_FINAL(C1329)</f>
        <v/>
      </c>
      <c r="J1329" s="5" t="s">
        <v>25</v>
      </c>
    </row>
    <row r="1330" spans="1:10" hidden="1">
      <c r="A1330" s="20">
        <v>1329</v>
      </c>
      <c r="B1330" s="19" t="s">
        <v>888</v>
      </c>
      <c r="C1330" s="19" t="s">
        <v>1315</v>
      </c>
      <c r="D1330" s="19">
        <v>0</v>
      </c>
      <c r="E1330" s="19">
        <v>141</v>
      </c>
      <c r="F1330" s="19">
        <v>0.45</v>
      </c>
      <c r="G1330" s="19">
        <v>20260327</v>
      </c>
      <c r="H1330" s="20" t="b">
        <f t="shared" si="20"/>
        <v>0</v>
      </c>
      <c r="I1330" s="21" t="str" cm="1">
        <f t="array" ref="I1330">GET_TICKER_FINAL(C1330)</f>
        <v/>
      </c>
      <c r="J1330" s="5" t="s">
        <v>16</v>
      </c>
    </row>
    <row r="1331" spans="1:10" hidden="1">
      <c r="A1331" s="23">
        <v>1330</v>
      </c>
      <c r="B1331" s="22" t="s">
        <v>888</v>
      </c>
      <c r="C1331" s="22" t="s">
        <v>1316</v>
      </c>
      <c r="D1331" s="22">
        <v>0</v>
      </c>
      <c r="E1331" s="22">
        <v>56</v>
      </c>
      <c r="F1331" s="22">
        <v>0.28999999999999998</v>
      </c>
      <c r="G1331" s="22">
        <v>20260327</v>
      </c>
      <c r="H1331" s="23" t="b">
        <f t="shared" si="20"/>
        <v>0</v>
      </c>
      <c r="I1331" s="24" t="str" cm="1">
        <f t="array" ref="I1331">GET_TICKER_FINAL(C1331)</f>
        <v/>
      </c>
      <c r="J1331" s="5" t="s">
        <v>16</v>
      </c>
    </row>
    <row r="1332" spans="1:10" hidden="1">
      <c r="A1332" s="20">
        <v>1331</v>
      </c>
      <c r="B1332" s="19" t="s">
        <v>888</v>
      </c>
      <c r="C1332" s="19" t="s">
        <v>1317</v>
      </c>
      <c r="D1332" s="19">
        <v>0</v>
      </c>
      <c r="E1332" s="19">
        <v>10</v>
      </c>
      <c r="F1332" s="19">
        <v>0.4</v>
      </c>
      <c r="G1332" s="19">
        <v>20260327</v>
      </c>
      <c r="H1332" s="20" t="b">
        <f t="shared" si="20"/>
        <v>0</v>
      </c>
      <c r="I1332" s="21" t="str" cm="1">
        <f t="array" ref="I1332">GET_TICKER_FINAL(C1332)</f>
        <v/>
      </c>
      <c r="J1332" s="5" t="s">
        <v>1792</v>
      </c>
    </row>
    <row r="1333" spans="1:10" hidden="1">
      <c r="A1333" s="23">
        <v>1332</v>
      </c>
      <c r="B1333" s="22" t="s">
        <v>888</v>
      </c>
      <c r="C1333" s="22" t="s">
        <v>1318</v>
      </c>
      <c r="D1333" s="22">
        <v>0</v>
      </c>
      <c r="E1333" s="22">
        <v>8</v>
      </c>
      <c r="F1333" s="22">
        <v>0.25</v>
      </c>
      <c r="G1333" s="22">
        <v>20260327</v>
      </c>
      <c r="H1333" s="23" t="b">
        <f t="shared" si="20"/>
        <v>0</v>
      </c>
      <c r="I1333" s="24" t="str" cm="1">
        <f t="array" ref="I1333">GET_TICKER_FINAL(C1333)</f>
        <v/>
      </c>
      <c r="J1333" s="5" t="s">
        <v>1792</v>
      </c>
    </row>
    <row r="1334" spans="1:10" hidden="1">
      <c r="A1334" s="20">
        <v>1333</v>
      </c>
      <c r="B1334" s="19" t="s">
        <v>888</v>
      </c>
      <c r="C1334" s="19" t="s">
        <v>1319</v>
      </c>
      <c r="D1334" s="19">
        <v>0</v>
      </c>
      <c r="E1334" s="19">
        <v>1</v>
      </c>
      <c r="F1334" s="19">
        <v>0.25</v>
      </c>
      <c r="G1334" s="19">
        <v>20260327</v>
      </c>
      <c r="H1334" s="20" t="b">
        <f t="shared" si="20"/>
        <v>0</v>
      </c>
      <c r="I1334" s="21" t="str" cm="1">
        <f t="array" ref="I1334">GET_TICKER_FINAL(C1334)</f>
        <v/>
      </c>
      <c r="J1334" s="5" t="s">
        <v>25</v>
      </c>
    </row>
    <row r="1335" spans="1:10">
      <c r="A1335" s="23">
        <v>1334</v>
      </c>
      <c r="B1335" s="22" t="s">
        <v>888</v>
      </c>
      <c r="C1335" s="22" t="s">
        <v>1320</v>
      </c>
      <c r="D1335" s="22">
        <v>0</v>
      </c>
      <c r="E1335" s="22">
        <v>5</v>
      </c>
      <c r="F1335" s="22">
        <v>0.3</v>
      </c>
      <c r="G1335" s="22">
        <v>20260327</v>
      </c>
      <c r="H1335" s="23" t="b">
        <f t="shared" si="20"/>
        <v>0</v>
      </c>
      <c r="I1335" s="24" t="str" cm="1">
        <f t="array" ref="I1335">GET_TICKER_FINAL(C1335)</f>
        <v>TSLA</v>
      </c>
      <c r="J1335" s="5" t="s">
        <v>28</v>
      </c>
    </row>
    <row r="1336" spans="1:10" hidden="1">
      <c r="A1336" s="20">
        <v>1335</v>
      </c>
      <c r="B1336" s="19" t="s">
        <v>888</v>
      </c>
      <c r="C1336" s="19" t="s">
        <v>1321</v>
      </c>
      <c r="D1336" s="19">
        <v>0</v>
      </c>
      <c r="E1336" s="19">
        <v>26</v>
      </c>
      <c r="F1336" s="19">
        <v>0.35</v>
      </c>
      <c r="G1336" s="19">
        <v>20260327</v>
      </c>
      <c r="H1336" s="20" t="b">
        <f t="shared" si="20"/>
        <v>0</v>
      </c>
      <c r="I1336" s="21" t="str" cm="1">
        <f t="array" ref="I1336">GET_TICKER_FINAL(C1336)</f>
        <v/>
      </c>
      <c r="J1336" s="5" t="s">
        <v>1792</v>
      </c>
    </row>
    <row r="1337" spans="1:10" hidden="1">
      <c r="A1337" s="23">
        <v>1336</v>
      </c>
      <c r="B1337" s="22" t="s">
        <v>888</v>
      </c>
      <c r="C1337" s="22" t="s">
        <v>1322</v>
      </c>
      <c r="D1337" s="22">
        <v>0</v>
      </c>
      <c r="E1337" s="22">
        <v>28</v>
      </c>
      <c r="F1337" s="22">
        <v>0.37</v>
      </c>
      <c r="G1337" s="22">
        <v>20260327</v>
      </c>
      <c r="H1337" s="23" t="b">
        <f t="shared" si="20"/>
        <v>0</v>
      </c>
      <c r="I1337" s="24" t="str" cm="1">
        <f t="array" ref="I1337">GET_TICKER_FINAL(C1337)</f>
        <v/>
      </c>
      <c r="J1337" s="5" t="s">
        <v>1792</v>
      </c>
    </row>
    <row r="1338" spans="1:10" hidden="1">
      <c r="A1338" s="20">
        <v>1337</v>
      </c>
      <c r="B1338" s="19" t="s">
        <v>888</v>
      </c>
      <c r="C1338" s="19" t="s">
        <v>1323</v>
      </c>
      <c r="D1338" s="19">
        <v>0</v>
      </c>
      <c r="E1338" s="19">
        <v>42</v>
      </c>
      <c r="F1338" s="19">
        <v>0.36</v>
      </c>
      <c r="G1338" s="19">
        <v>20260327</v>
      </c>
      <c r="H1338" s="20" t="b">
        <f t="shared" si="20"/>
        <v>0</v>
      </c>
      <c r="I1338" s="21" t="str" cm="1">
        <f t="array" ref="I1338">GET_TICKER_FINAL(C1338)</f>
        <v/>
      </c>
      <c r="J1338" s="5" t="s">
        <v>1792</v>
      </c>
    </row>
    <row r="1339" spans="1:10" hidden="1">
      <c r="A1339" s="23">
        <v>1338</v>
      </c>
      <c r="B1339" s="22" t="s">
        <v>888</v>
      </c>
      <c r="C1339" s="22" t="s">
        <v>330</v>
      </c>
      <c r="D1339" s="22">
        <v>0</v>
      </c>
      <c r="E1339" s="22">
        <v>22</v>
      </c>
      <c r="F1339" s="22">
        <v>0.35</v>
      </c>
      <c r="G1339" s="22">
        <v>20260324</v>
      </c>
      <c r="H1339" s="23" t="b">
        <f t="shared" si="20"/>
        <v>0</v>
      </c>
      <c r="I1339" s="24" t="str" cm="1">
        <f t="array" ref="I1339">GET_TICKER_FINAL(C1339)</f>
        <v/>
      </c>
      <c r="J1339" s="5" t="s">
        <v>16</v>
      </c>
    </row>
    <row r="1340" spans="1:10" hidden="1">
      <c r="A1340" s="20">
        <v>1339</v>
      </c>
      <c r="B1340" s="19" t="s">
        <v>888</v>
      </c>
      <c r="C1340" s="19" t="s">
        <v>1324</v>
      </c>
      <c r="D1340" s="19">
        <v>0</v>
      </c>
      <c r="E1340" s="19">
        <v>8</v>
      </c>
      <c r="F1340" s="19">
        <v>0.25</v>
      </c>
      <c r="G1340" s="19">
        <v>20260324</v>
      </c>
      <c r="H1340" s="20" t="b">
        <f t="shared" si="20"/>
        <v>0</v>
      </c>
      <c r="I1340" s="21" t="str" cm="1">
        <f t="array" ref="I1340">GET_TICKER_FINAL(C1340)</f>
        <v/>
      </c>
      <c r="J1340" s="5" t="s">
        <v>1792</v>
      </c>
    </row>
    <row r="1341" spans="1:10" hidden="1">
      <c r="A1341" s="23">
        <v>1340</v>
      </c>
      <c r="B1341" s="22" t="s">
        <v>888</v>
      </c>
      <c r="C1341" s="22" t="s">
        <v>1325</v>
      </c>
      <c r="D1341" s="22">
        <v>0</v>
      </c>
      <c r="E1341" s="22">
        <v>8</v>
      </c>
      <c r="F1341" s="22">
        <v>0.15</v>
      </c>
      <c r="G1341" s="22">
        <v>20260324</v>
      </c>
      <c r="H1341" s="23" t="b">
        <f t="shared" si="20"/>
        <v>0</v>
      </c>
      <c r="I1341" s="24" t="str" cm="1">
        <f t="array" ref="I1341">GET_TICKER_FINAL(C1341)</f>
        <v/>
      </c>
      <c r="J1341" s="5" t="s">
        <v>1792</v>
      </c>
    </row>
    <row r="1342" spans="1:10">
      <c r="A1342" s="20">
        <v>1341</v>
      </c>
      <c r="B1342" s="19" t="s">
        <v>888</v>
      </c>
      <c r="C1342" s="19" t="s">
        <v>1326</v>
      </c>
      <c r="D1342" s="19">
        <v>0</v>
      </c>
      <c r="E1342" s="19">
        <v>6</v>
      </c>
      <c r="F1342" s="19">
        <v>0.28999999999999998</v>
      </c>
      <c r="G1342" s="19">
        <v>20260324</v>
      </c>
      <c r="H1342" s="20" t="b">
        <f t="shared" si="20"/>
        <v>0</v>
      </c>
      <c r="I1342" s="21" t="str" cm="1">
        <f t="array" ref="I1342">GET_TICKER_FINAL(C1342)</f>
        <v>SPY</v>
      </c>
      <c r="J1342" s="5" t="s">
        <v>25</v>
      </c>
    </row>
    <row r="1343" spans="1:10" hidden="1">
      <c r="A1343" s="23">
        <v>1342</v>
      </c>
      <c r="B1343" s="22" t="s">
        <v>888</v>
      </c>
      <c r="C1343" s="22" t="s">
        <v>1327</v>
      </c>
      <c r="D1343" s="22">
        <v>0</v>
      </c>
      <c r="E1343" s="22">
        <v>61</v>
      </c>
      <c r="F1343" s="22">
        <v>0.43</v>
      </c>
      <c r="G1343" s="22">
        <v>20260324</v>
      </c>
      <c r="H1343" s="23" t="b">
        <f t="shared" si="20"/>
        <v>0</v>
      </c>
      <c r="I1343" s="24" t="str" cm="1">
        <f t="array" ref="I1343">GET_TICKER_FINAL(C1343)</f>
        <v/>
      </c>
      <c r="J1343" s="5" t="s">
        <v>16</v>
      </c>
    </row>
    <row r="1344" spans="1:10" hidden="1">
      <c r="A1344" s="20">
        <v>1343</v>
      </c>
      <c r="B1344" s="19" t="s">
        <v>888</v>
      </c>
      <c r="C1344" s="19" t="s">
        <v>1328</v>
      </c>
      <c r="D1344" s="19">
        <v>0</v>
      </c>
      <c r="E1344" s="19">
        <v>6</v>
      </c>
      <c r="F1344" s="19">
        <v>0.2</v>
      </c>
      <c r="G1344" s="19">
        <v>20260324</v>
      </c>
      <c r="H1344" s="20" t="b">
        <f t="shared" si="20"/>
        <v>0</v>
      </c>
      <c r="I1344" s="21" t="str" cm="1">
        <f t="array" ref="I1344">GET_TICKER_FINAL(C1344)</f>
        <v/>
      </c>
      <c r="J1344" s="5" t="s">
        <v>25</v>
      </c>
    </row>
    <row r="1345" spans="1:10" hidden="1">
      <c r="A1345" s="23">
        <v>1344</v>
      </c>
      <c r="B1345" s="22" t="s">
        <v>888</v>
      </c>
      <c r="C1345" s="22" t="s">
        <v>317</v>
      </c>
      <c r="D1345" s="22">
        <v>0</v>
      </c>
      <c r="E1345" s="22">
        <v>6</v>
      </c>
      <c r="F1345" s="22">
        <v>0.35</v>
      </c>
      <c r="G1345" s="22">
        <v>20260324</v>
      </c>
      <c r="H1345" s="23" t="b">
        <f t="shared" si="20"/>
        <v>0</v>
      </c>
      <c r="I1345" s="24" t="str" cm="1">
        <f t="array" ref="I1345">GET_TICKER_FINAL(C1345)</f>
        <v/>
      </c>
      <c r="J1345" s="5" t="s">
        <v>1792</v>
      </c>
    </row>
    <row r="1346" spans="1:10" hidden="1">
      <c r="A1346" s="20">
        <v>1345</v>
      </c>
      <c r="B1346" s="19" t="s">
        <v>888</v>
      </c>
      <c r="C1346" s="19" t="s">
        <v>1329</v>
      </c>
      <c r="D1346" s="19">
        <v>0</v>
      </c>
      <c r="E1346" s="19">
        <v>27</v>
      </c>
      <c r="F1346" s="19">
        <v>0.44</v>
      </c>
      <c r="G1346" s="19">
        <v>20260324</v>
      </c>
      <c r="H1346" s="20" t="b">
        <f t="shared" si="20"/>
        <v>0</v>
      </c>
      <c r="I1346" s="21" t="str" cm="1">
        <f t="array" ref="I1346">GET_TICKER_FINAL(C1346)</f>
        <v/>
      </c>
      <c r="J1346" s="5" t="s">
        <v>25</v>
      </c>
    </row>
    <row r="1347" spans="1:10">
      <c r="A1347" s="23">
        <v>1346</v>
      </c>
      <c r="B1347" s="22" t="s">
        <v>888</v>
      </c>
      <c r="C1347" s="22" t="s">
        <v>1330</v>
      </c>
      <c r="D1347" s="22">
        <v>0</v>
      </c>
      <c r="E1347" s="22">
        <v>37</v>
      </c>
      <c r="F1347" s="22">
        <v>0.4</v>
      </c>
      <c r="G1347" s="22">
        <v>20260324</v>
      </c>
      <c r="H1347" s="23" t="b">
        <f t="shared" ref="H1347:H1410" si="21">OR(ISNUMBER(SEARCH("$A",C1347)),ISNUMBER(SEARCH("$B",C1347)),ISNUMBER(SEARCH("$C",C1347)),ISNUMBER(SEARCH("$D",C1347)),ISNUMBER(SEARCH("$E",C1347)),ISNUMBER(SEARCH("$F",C1347)),ISNUMBER(SEARCH("$G",C1347)),ISNUMBER(SEARCH("$H",C1347)),ISNUMBER(SEARCH("$I",C1347)),ISNUMBER(SEARCH("$J",C1347)),ISNUMBER(SEARCH("$K",C1347)),ISNUMBER(SEARCH("$L",C1347)),ISNUMBER(SEARCH("$M",C1347)),ISNUMBER(SEARCH("$N",C1347)),ISNUMBER(SEARCH("$O",C1347)),ISNUMBER(SEARCH("$P",C1347)),ISNUMBER(SEARCH("$Q",C1347)),ISNUMBER(SEARCH("$R",C1347)),ISNUMBER(SEARCH("$S",C1347)),ISNUMBER(SEARCH("$T",C1347)),ISNUMBER(SEARCH("$U",C1347)),ISNUMBER(SEARCH("$V",C1347)),ISNUMBER(SEARCH("$W",C1347)),ISNUMBER(SEARCH("$X",C1347)),ISNUMBER(SEARCH("$Y",C1347)),ISNUMBER(SEARCH("$Z",C1347)))</f>
        <v>0</v>
      </c>
      <c r="I1347" s="24" t="str" cm="1">
        <f t="array" ref="I1347">GET_TICKER_FINAL(C1347)</f>
        <v>GOOGL</v>
      </c>
      <c r="J1347" s="5" t="s">
        <v>1792</v>
      </c>
    </row>
    <row r="1348" spans="1:10" hidden="1">
      <c r="A1348" s="20">
        <v>1347</v>
      </c>
      <c r="B1348" s="19" t="s">
        <v>888</v>
      </c>
      <c r="C1348" s="19" t="s">
        <v>1331</v>
      </c>
      <c r="D1348" s="19">
        <v>0</v>
      </c>
      <c r="E1348" s="19">
        <v>4</v>
      </c>
      <c r="F1348" s="19">
        <v>0.43</v>
      </c>
      <c r="G1348" s="19">
        <v>20260324</v>
      </c>
      <c r="H1348" s="20" t="b">
        <f t="shared" si="21"/>
        <v>0</v>
      </c>
      <c r="I1348" s="21" t="str" cm="1">
        <f t="array" ref="I1348">GET_TICKER_FINAL(C1348)</f>
        <v/>
      </c>
      <c r="J1348" s="5" t="s">
        <v>1792</v>
      </c>
    </row>
    <row r="1349" spans="1:10" hidden="1">
      <c r="A1349" s="23">
        <v>1348</v>
      </c>
      <c r="B1349" s="22" t="s">
        <v>888</v>
      </c>
      <c r="C1349" s="22" t="s">
        <v>1332</v>
      </c>
      <c r="D1349" s="22">
        <v>0</v>
      </c>
      <c r="E1349" s="22">
        <v>19</v>
      </c>
      <c r="F1349" s="22">
        <v>0.35</v>
      </c>
      <c r="G1349" s="22">
        <v>20260324</v>
      </c>
      <c r="H1349" s="23" t="b">
        <f t="shared" si="21"/>
        <v>0</v>
      </c>
      <c r="I1349" s="24" t="str" cm="1">
        <f t="array" ref="I1349">GET_TICKER_FINAL(C1349)</f>
        <v/>
      </c>
      <c r="J1349" s="5" t="s">
        <v>1792</v>
      </c>
    </row>
    <row r="1350" spans="1:10">
      <c r="A1350" s="20">
        <v>1349</v>
      </c>
      <c r="B1350" s="19" t="s">
        <v>888</v>
      </c>
      <c r="C1350" s="19" t="s">
        <v>1333</v>
      </c>
      <c r="D1350" s="19">
        <v>0</v>
      </c>
      <c r="E1350" s="19">
        <v>32</v>
      </c>
      <c r="F1350" s="19">
        <v>0.39</v>
      </c>
      <c r="G1350" s="19">
        <v>20260324</v>
      </c>
      <c r="H1350" s="20" t="b">
        <f t="shared" si="21"/>
        <v>0</v>
      </c>
      <c r="I1350" s="21" t="str" cm="1">
        <f t="array" ref="I1350">GET_TICKER_FINAL(C1350)</f>
        <v>SNAP</v>
      </c>
      <c r="J1350" s="5" t="s">
        <v>16</v>
      </c>
    </row>
    <row r="1351" spans="1:10" hidden="1">
      <c r="A1351" s="23">
        <v>1350</v>
      </c>
      <c r="B1351" s="22" t="s">
        <v>888</v>
      </c>
      <c r="C1351" s="22" t="s">
        <v>1334</v>
      </c>
      <c r="D1351" s="22">
        <v>0</v>
      </c>
      <c r="E1351" s="22">
        <v>24</v>
      </c>
      <c r="F1351" s="22">
        <v>0.35</v>
      </c>
      <c r="G1351" s="22">
        <v>20260324</v>
      </c>
      <c r="H1351" s="23" t="b">
        <f t="shared" si="21"/>
        <v>0</v>
      </c>
      <c r="I1351" s="24" t="str" cm="1">
        <f t="array" ref="I1351">GET_TICKER_FINAL(C1351)</f>
        <v/>
      </c>
      <c r="J1351" s="5" t="s">
        <v>1792</v>
      </c>
    </row>
    <row r="1352" spans="1:10" hidden="1">
      <c r="A1352" s="20">
        <v>1351</v>
      </c>
      <c r="B1352" s="19" t="s">
        <v>888</v>
      </c>
      <c r="C1352" s="19" t="s">
        <v>1335</v>
      </c>
      <c r="D1352" s="19">
        <v>0</v>
      </c>
      <c r="E1352" s="19">
        <v>110</v>
      </c>
      <c r="F1352" s="19">
        <v>0.43</v>
      </c>
      <c r="G1352" s="19">
        <v>20260324</v>
      </c>
      <c r="H1352" s="20" t="b">
        <f t="shared" si="21"/>
        <v>0</v>
      </c>
      <c r="I1352" s="21" t="str" cm="1">
        <f t="array" ref="I1352">GET_TICKER_FINAL(C1352)</f>
        <v/>
      </c>
      <c r="J1352" s="5" t="s">
        <v>16</v>
      </c>
    </row>
    <row r="1353" spans="1:10" hidden="1">
      <c r="A1353" s="23">
        <v>1352</v>
      </c>
      <c r="B1353" s="22" t="s">
        <v>888</v>
      </c>
      <c r="C1353" s="22" t="s">
        <v>1336</v>
      </c>
      <c r="D1353" s="22">
        <v>0</v>
      </c>
      <c r="E1353" s="22">
        <v>23</v>
      </c>
      <c r="F1353" s="22">
        <v>0.33</v>
      </c>
      <c r="G1353" s="22">
        <v>20260324</v>
      </c>
      <c r="H1353" s="23" t="b">
        <f t="shared" si="21"/>
        <v>0</v>
      </c>
      <c r="I1353" s="24" t="str" cm="1">
        <f t="array" ref="I1353">GET_TICKER_FINAL(C1353)</f>
        <v/>
      </c>
      <c r="J1353" s="5" t="s">
        <v>1792</v>
      </c>
    </row>
    <row r="1354" spans="1:10" hidden="1">
      <c r="A1354" s="20">
        <v>1353</v>
      </c>
      <c r="B1354" s="19" t="s">
        <v>888</v>
      </c>
      <c r="C1354" s="19" t="s">
        <v>1337</v>
      </c>
      <c r="D1354" s="19">
        <v>0</v>
      </c>
      <c r="E1354" s="19">
        <v>20</v>
      </c>
      <c r="F1354" s="19">
        <v>0.41</v>
      </c>
      <c r="G1354" s="19">
        <v>20260324</v>
      </c>
      <c r="H1354" s="20" t="b">
        <f t="shared" si="21"/>
        <v>0</v>
      </c>
      <c r="I1354" s="21" t="str" cm="1">
        <f t="array" ref="I1354">GET_TICKER_FINAL(C1354)</f>
        <v/>
      </c>
      <c r="J1354" s="5" t="s">
        <v>1792</v>
      </c>
    </row>
    <row r="1355" spans="1:10">
      <c r="A1355" s="23">
        <v>1354</v>
      </c>
      <c r="B1355" s="22" t="s">
        <v>888</v>
      </c>
      <c r="C1355" s="22" t="s">
        <v>1338</v>
      </c>
      <c r="D1355" s="22">
        <v>0</v>
      </c>
      <c r="E1355" s="22">
        <v>10</v>
      </c>
      <c r="F1355" s="22">
        <v>0.5</v>
      </c>
      <c r="G1355" s="22">
        <v>20260324</v>
      </c>
      <c r="H1355" s="23" t="b">
        <f t="shared" si="21"/>
        <v>0</v>
      </c>
      <c r="I1355" s="24" t="str" cm="1">
        <f t="array" ref="I1355">GET_TICKER_FINAL(C1355)</f>
        <v>MU</v>
      </c>
      <c r="J1355" s="5" t="s">
        <v>25</v>
      </c>
    </row>
    <row r="1356" spans="1:10" hidden="1">
      <c r="A1356" s="20">
        <v>1355</v>
      </c>
      <c r="B1356" s="19" t="s">
        <v>888</v>
      </c>
      <c r="C1356" s="19" t="s">
        <v>1339</v>
      </c>
      <c r="D1356" s="19">
        <v>0</v>
      </c>
      <c r="E1356" s="19">
        <v>8</v>
      </c>
      <c r="F1356" s="19">
        <v>0.43</v>
      </c>
      <c r="G1356" s="19">
        <v>20260324</v>
      </c>
      <c r="H1356" s="20" t="b">
        <f t="shared" si="21"/>
        <v>0</v>
      </c>
      <c r="I1356" s="21" t="str" cm="1">
        <f t="array" ref="I1356">GET_TICKER_FINAL(C1356)</f>
        <v/>
      </c>
      <c r="J1356" s="5" t="s">
        <v>1792</v>
      </c>
    </row>
    <row r="1357" spans="1:10" hidden="1">
      <c r="A1357" s="23">
        <v>1356</v>
      </c>
      <c r="B1357" s="22" t="s">
        <v>888</v>
      </c>
      <c r="C1357" s="22" t="s">
        <v>1340</v>
      </c>
      <c r="D1357" s="22">
        <v>0</v>
      </c>
      <c r="E1357" s="22">
        <v>7</v>
      </c>
      <c r="F1357" s="22">
        <v>0.23</v>
      </c>
      <c r="G1357" s="22">
        <v>20260324</v>
      </c>
      <c r="H1357" s="23" t="b">
        <f t="shared" si="21"/>
        <v>0</v>
      </c>
      <c r="I1357" s="24" t="str" cm="1">
        <f t="array" ref="I1357">GET_TICKER_FINAL(C1357)</f>
        <v/>
      </c>
      <c r="J1357" s="5" t="s">
        <v>16</v>
      </c>
    </row>
    <row r="1358" spans="1:10" hidden="1">
      <c r="A1358" s="20">
        <v>1357</v>
      </c>
      <c r="B1358" s="19" t="s">
        <v>888</v>
      </c>
      <c r="C1358" s="19" t="s">
        <v>1341</v>
      </c>
      <c r="D1358" s="19">
        <v>0</v>
      </c>
      <c r="E1358" s="19">
        <v>8</v>
      </c>
      <c r="F1358" s="19">
        <v>0.14000000000000001</v>
      </c>
      <c r="G1358" s="19">
        <v>20260324</v>
      </c>
      <c r="H1358" s="20" t="b">
        <f t="shared" si="21"/>
        <v>0</v>
      </c>
      <c r="I1358" s="21" t="str" cm="1">
        <f t="array" ref="I1358">GET_TICKER_FINAL(C1358)</f>
        <v/>
      </c>
      <c r="J1358" s="5" t="s">
        <v>1792</v>
      </c>
    </row>
    <row r="1359" spans="1:10" hidden="1">
      <c r="A1359" s="23">
        <v>1358</v>
      </c>
      <c r="B1359" s="22" t="s">
        <v>888</v>
      </c>
      <c r="C1359" s="22" t="s">
        <v>1342</v>
      </c>
      <c r="D1359" s="22">
        <v>0</v>
      </c>
      <c r="E1359" s="22">
        <v>49</v>
      </c>
      <c r="F1359" s="22">
        <v>0.31</v>
      </c>
      <c r="G1359" s="22">
        <v>20260324</v>
      </c>
      <c r="H1359" s="23" t="b">
        <f t="shared" si="21"/>
        <v>0</v>
      </c>
      <c r="I1359" s="24" t="str" cm="1">
        <f t="array" ref="I1359">GET_TICKER_FINAL(C1359)</f>
        <v/>
      </c>
      <c r="J1359" s="5" t="s">
        <v>16</v>
      </c>
    </row>
    <row r="1360" spans="1:10">
      <c r="A1360" s="20">
        <v>1359</v>
      </c>
      <c r="B1360" s="19" t="s">
        <v>888</v>
      </c>
      <c r="C1360" s="19" t="s">
        <v>1343</v>
      </c>
      <c r="D1360" s="19">
        <v>0</v>
      </c>
      <c r="E1360" s="19">
        <v>8</v>
      </c>
      <c r="F1360" s="19">
        <v>0.28999999999999998</v>
      </c>
      <c r="G1360" s="19">
        <v>20260324</v>
      </c>
      <c r="H1360" s="20" t="b">
        <f t="shared" si="21"/>
        <v>0</v>
      </c>
      <c r="I1360" s="21" t="str" cm="1">
        <f t="array" ref="I1360">GET_TICKER_FINAL(C1360)</f>
        <v>COST</v>
      </c>
      <c r="J1360" s="5" t="s">
        <v>25</v>
      </c>
    </row>
    <row r="1361" spans="1:10" hidden="1">
      <c r="A1361" s="23">
        <v>1360</v>
      </c>
      <c r="B1361" s="22" t="s">
        <v>888</v>
      </c>
      <c r="C1361" s="22" t="s">
        <v>1344</v>
      </c>
      <c r="D1361" s="22">
        <v>0</v>
      </c>
      <c r="E1361" s="22">
        <v>33</v>
      </c>
      <c r="F1361" s="22">
        <v>0.48</v>
      </c>
      <c r="G1361" s="22">
        <v>20260401</v>
      </c>
      <c r="H1361" s="23" t="b">
        <f t="shared" si="21"/>
        <v>0</v>
      </c>
      <c r="I1361" s="24" t="str" cm="1">
        <f t="array" ref="I1361">GET_TICKER_FINAL(C1361)</f>
        <v/>
      </c>
      <c r="J1361" s="5" t="s">
        <v>28</v>
      </c>
    </row>
    <row r="1362" spans="1:10" hidden="1">
      <c r="A1362" s="20">
        <v>1361</v>
      </c>
      <c r="B1362" s="19" t="s">
        <v>888</v>
      </c>
      <c r="C1362" s="19" t="s">
        <v>1345</v>
      </c>
      <c r="D1362" s="19">
        <v>0</v>
      </c>
      <c r="E1362" s="19">
        <v>30</v>
      </c>
      <c r="F1362" s="19">
        <v>0.06</v>
      </c>
      <c r="G1362" s="19">
        <v>20260401</v>
      </c>
      <c r="H1362" s="20" t="b">
        <f t="shared" si="21"/>
        <v>0</v>
      </c>
      <c r="I1362" s="21" t="str" cm="1">
        <f t="array" ref="I1362">GET_TICKER_FINAL(C1362)</f>
        <v/>
      </c>
      <c r="J1362" s="5" t="s">
        <v>16</v>
      </c>
    </row>
    <row r="1363" spans="1:10" hidden="1">
      <c r="A1363" s="23">
        <v>1362</v>
      </c>
      <c r="B1363" s="22" t="s">
        <v>888</v>
      </c>
      <c r="C1363" s="22" t="s">
        <v>321</v>
      </c>
      <c r="D1363" s="22">
        <v>0</v>
      </c>
      <c r="E1363" s="22">
        <v>10</v>
      </c>
      <c r="F1363" s="22">
        <v>0.36</v>
      </c>
      <c r="G1363" s="22">
        <v>20260401</v>
      </c>
      <c r="H1363" s="23" t="b">
        <f t="shared" si="21"/>
        <v>0</v>
      </c>
      <c r="I1363" s="24" t="str" cm="1">
        <f t="array" ref="I1363">GET_TICKER_FINAL(C1363)</f>
        <v/>
      </c>
      <c r="J1363" s="5" t="s">
        <v>25</v>
      </c>
    </row>
    <row r="1364" spans="1:10" hidden="1">
      <c r="A1364" s="20">
        <v>1363</v>
      </c>
      <c r="B1364" s="19" t="s">
        <v>888</v>
      </c>
      <c r="C1364" s="19" t="s">
        <v>1346</v>
      </c>
      <c r="D1364" s="19">
        <v>0</v>
      </c>
      <c r="E1364" s="19">
        <v>77</v>
      </c>
      <c r="F1364" s="19">
        <v>0.35</v>
      </c>
      <c r="G1364" s="19">
        <v>20260401</v>
      </c>
      <c r="H1364" s="20" t="b">
        <f t="shared" si="21"/>
        <v>0</v>
      </c>
      <c r="I1364" s="21" t="str" cm="1">
        <f t="array" ref="I1364">GET_TICKER_FINAL(C1364)</f>
        <v/>
      </c>
      <c r="J1364" s="5" t="s">
        <v>1792</v>
      </c>
    </row>
    <row r="1365" spans="1:10" hidden="1">
      <c r="A1365" s="23">
        <v>1364</v>
      </c>
      <c r="B1365" s="22" t="s">
        <v>888</v>
      </c>
      <c r="C1365" s="22" t="s">
        <v>1347</v>
      </c>
      <c r="D1365" s="22">
        <v>0</v>
      </c>
      <c r="E1365" s="22">
        <v>5</v>
      </c>
      <c r="F1365" s="22">
        <v>0.25</v>
      </c>
      <c r="G1365" s="22">
        <v>20260401</v>
      </c>
      <c r="H1365" s="23" t="b">
        <f t="shared" si="21"/>
        <v>0</v>
      </c>
      <c r="I1365" s="24" t="str" cm="1">
        <f t="array" ref="I1365">GET_TICKER_FINAL(C1365)</f>
        <v/>
      </c>
      <c r="J1365" s="5" t="s">
        <v>1792</v>
      </c>
    </row>
    <row r="1366" spans="1:10" hidden="1">
      <c r="A1366" s="20">
        <v>1365</v>
      </c>
      <c r="B1366" s="19" t="s">
        <v>888</v>
      </c>
      <c r="C1366" s="19" t="s">
        <v>1348</v>
      </c>
      <c r="D1366" s="19">
        <v>0</v>
      </c>
      <c r="E1366" s="19">
        <v>38</v>
      </c>
      <c r="F1366" s="19">
        <v>0.4</v>
      </c>
      <c r="G1366" s="19">
        <v>20260401</v>
      </c>
      <c r="H1366" s="20" t="b">
        <f t="shared" si="21"/>
        <v>0</v>
      </c>
      <c r="I1366" s="21" t="str" cm="1">
        <f t="array" ref="I1366">GET_TICKER_FINAL(C1366)</f>
        <v/>
      </c>
      <c r="J1366" s="5" t="s">
        <v>1792</v>
      </c>
    </row>
    <row r="1367" spans="1:10" hidden="1">
      <c r="A1367" s="23">
        <v>1366</v>
      </c>
      <c r="B1367" s="22" t="s">
        <v>888</v>
      </c>
      <c r="C1367" s="22" t="s">
        <v>1349</v>
      </c>
      <c r="D1367" s="22">
        <v>0</v>
      </c>
      <c r="E1367" s="22">
        <v>55</v>
      </c>
      <c r="F1367" s="22">
        <v>0.33</v>
      </c>
      <c r="G1367" s="22">
        <v>20260401</v>
      </c>
      <c r="H1367" s="23" t="b">
        <f t="shared" si="21"/>
        <v>0</v>
      </c>
      <c r="I1367" s="24" t="str" cm="1">
        <f t="array" ref="I1367">GET_TICKER_FINAL(C1367)</f>
        <v/>
      </c>
      <c r="J1367" s="5" t="s">
        <v>16</v>
      </c>
    </row>
    <row r="1368" spans="1:10" hidden="1">
      <c r="A1368" s="20">
        <v>1367</v>
      </c>
      <c r="B1368" s="19" t="s">
        <v>888</v>
      </c>
      <c r="C1368" s="19" t="s">
        <v>1350</v>
      </c>
      <c r="D1368" s="19">
        <v>0</v>
      </c>
      <c r="E1368" s="19">
        <v>72</v>
      </c>
      <c r="F1368" s="19">
        <v>0.38</v>
      </c>
      <c r="G1368" s="19">
        <v>20260401</v>
      </c>
      <c r="H1368" s="20" t="b">
        <f t="shared" si="21"/>
        <v>0</v>
      </c>
      <c r="I1368" s="21" t="str" cm="1">
        <f t="array" ref="I1368">GET_TICKER_FINAL(C1368)</f>
        <v/>
      </c>
      <c r="J1368" s="5" t="s">
        <v>25</v>
      </c>
    </row>
    <row r="1369" spans="1:10" hidden="1">
      <c r="A1369" s="23">
        <v>1368</v>
      </c>
      <c r="B1369" s="22" t="s">
        <v>888</v>
      </c>
      <c r="C1369" s="22" t="s">
        <v>1351</v>
      </c>
      <c r="D1369" s="22">
        <v>0</v>
      </c>
      <c r="E1369" s="22">
        <v>3</v>
      </c>
      <c r="F1369" s="22">
        <v>0.3</v>
      </c>
      <c r="G1369" s="22">
        <v>20260401</v>
      </c>
      <c r="H1369" s="23" t="b">
        <f t="shared" si="21"/>
        <v>0</v>
      </c>
      <c r="I1369" s="24" t="str" cm="1">
        <f t="array" ref="I1369">GET_TICKER_FINAL(C1369)</f>
        <v/>
      </c>
      <c r="J1369" s="5" t="s">
        <v>16</v>
      </c>
    </row>
    <row r="1370" spans="1:10" hidden="1">
      <c r="A1370" s="20">
        <v>1369</v>
      </c>
      <c r="B1370" s="19" t="s">
        <v>888</v>
      </c>
      <c r="C1370" s="19" t="s">
        <v>1352</v>
      </c>
      <c r="D1370" s="19">
        <v>0</v>
      </c>
      <c r="E1370" s="19">
        <v>16</v>
      </c>
      <c r="F1370" s="19">
        <v>0.45</v>
      </c>
      <c r="G1370" s="19">
        <v>20260326</v>
      </c>
      <c r="H1370" s="20" t="b">
        <f t="shared" si="21"/>
        <v>0</v>
      </c>
      <c r="I1370" s="21" t="str" cm="1">
        <f t="array" ref="I1370">GET_TICKER_FINAL(C1370)</f>
        <v/>
      </c>
      <c r="J1370" s="5" t="s">
        <v>25</v>
      </c>
    </row>
    <row r="1371" spans="1:10" hidden="1">
      <c r="A1371" s="23">
        <v>1370</v>
      </c>
      <c r="B1371" s="22" t="s">
        <v>888</v>
      </c>
      <c r="C1371" s="22" t="s">
        <v>1353</v>
      </c>
      <c r="D1371" s="22">
        <v>0</v>
      </c>
      <c r="E1371" s="22">
        <v>52</v>
      </c>
      <c r="F1371" s="22">
        <v>0.37</v>
      </c>
      <c r="G1371" s="22">
        <v>20260401</v>
      </c>
      <c r="H1371" s="23" t="b">
        <f t="shared" si="21"/>
        <v>0</v>
      </c>
      <c r="I1371" s="24" t="str" cm="1">
        <f t="array" ref="I1371">GET_TICKER_FINAL(C1371)</f>
        <v/>
      </c>
      <c r="J1371" s="5" t="s">
        <v>1792</v>
      </c>
    </row>
    <row r="1372" spans="1:10" hidden="1">
      <c r="A1372" s="20">
        <v>1371</v>
      </c>
      <c r="B1372" s="19" t="s">
        <v>888</v>
      </c>
      <c r="C1372" s="19" t="s">
        <v>1354</v>
      </c>
      <c r="D1372" s="19">
        <v>0</v>
      </c>
      <c r="E1372" s="19">
        <v>59</v>
      </c>
      <c r="F1372" s="19">
        <v>0.36</v>
      </c>
      <c r="G1372" s="19">
        <v>20260326</v>
      </c>
      <c r="H1372" s="20" t="b">
        <f t="shared" si="21"/>
        <v>0</v>
      </c>
      <c r="I1372" s="21" t="str" cm="1">
        <f t="array" ref="I1372">GET_TICKER_FINAL(C1372)</f>
        <v/>
      </c>
      <c r="J1372" s="5" t="s">
        <v>1792</v>
      </c>
    </row>
    <row r="1373" spans="1:10" hidden="1">
      <c r="A1373" s="23">
        <v>1372</v>
      </c>
      <c r="B1373" s="22" t="s">
        <v>888</v>
      </c>
      <c r="C1373" s="22" t="s">
        <v>1355</v>
      </c>
      <c r="D1373" s="22">
        <v>0</v>
      </c>
      <c r="E1373" s="22">
        <v>9</v>
      </c>
      <c r="F1373" s="22">
        <v>0.32</v>
      </c>
      <c r="G1373" s="22">
        <v>20260326</v>
      </c>
      <c r="H1373" s="23" t="b">
        <f t="shared" si="21"/>
        <v>0</v>
      </c>
      <c r="I1373" s="24" t="str" cm="1">
        <f t="array" ref="I1373">GET_TICKER_FINAL(C1373)</f>
        <v/>
      </c>
      <c r="J1373" s="5" t="s">
        <v>28</v>
      </c>
    </row>
    <row r="1374" spans="1:10" hidden="1">
      <c r="A1374" s="20">
        <v>1373</v>
      </c>
      <c r="B1374" s="19" t="s">
        <v>888</v>
      </c>
      <c r="C1374" s="19" t="s">
        <v>1356</v>
      </c>
      <c r="D1374" s="19">
        <v>0</v>
      </c>
      <c r="E1374" s="19">
        <v>59</v>
      </c>
      <c r="F1374" s="19">
        <v>0.39</v>
      </c>
      <c r="G1374" s="19">
        <v>20260326</v>
      </c>
      <c r="H1374" s="20" t="b">
        <f t="shared" si="21"/>
        <v>0</v>
      </c>
      <c r="I1374" s="21" t="str" cm="1">
        <f t="array" ref="I1374">GET_TICKER_FINAL(C1374)</f>
        <v/>
      </c>
      <c r="J1374" s="5" t="s">
        <v>1792</v>
      </c>
    </row>
    <row r="1375" spans="1:10" hidden="1">
      <c r="A1375" s="23">
        <v>1374</v>
      </c>
      <c r="B1375" s="22" t="s">
        <v>888</v>
      </c>
      <c r="C1375" s="22" t="s">
        <v>1357</v>
      </c>
      <c r="D1375" s="22">
        <v>0</v>
      </c>
      <c r="E1375" s="22">
        <v>14</v>
      </c>
      <c r="F1375" s="22">
        <v>0.38</v>
      </c>
      <c r="G1375" s="22">
        <v>20260326</v>
      </c>
      <c r="H1375" s="23" t="b">
        <f t="shared" si="21"/>
        <v>0</v>
      </c>
      <c r="I1375" s="24" t="str" cm="1">
        <f t="array" ref="I1375">GET_TICKER_FINAL(C1375)</f>
        <v/>
      </c>
      <c r="J1375" s="5" t="s">
        <v>25</v>
      </c>
    </row>
    <row r="1376" spans="1:10" hidden="1">
      <c r="A1376" s="20">
        <v>1375</v>
      </c>
      <c r="B1376" s="19" t="s">
        <v>888</v>
      </c>
      <c r="C1376" s="19" t="s">
        <v>1358</v>
      </c>
      <c r="D1376" s="19">
        <v>0</v>
      </c>
      <c r="E1376" s="19">
        <v>10</v>
      </c>
      <c r="F1376" s="19">
        <v>0.35</v>
      </c>
      <c r="G1376" s="19">
        <v>20260326</v>
      </c>
      <c r="H1376" s="20" t="b">
        <f t="shared" si="21"/>
        <v>0</v>
      </c>
      <c r="I1376" s="21" t="str" cm="1">
        <f t="array" ref="I1376">GET_TICKER_FINAL(C1376)</f>
        <v/>
      </c>
      <c r="J1376" s="5" t="s">
        <v>1792</v>
      </c>
    </row>
    <row r="1377" spans="1:10" hidden="1">
      <c r="A1377" s="23">
        <v>1376</v>
      </c>
      <c r="B1377" s="22" t="s">
        <v>888</v>
      </c>
      <c r="C1377" s="22" t="s">
        <v>1359</v>
      </c>
      <c r="D1377" s="22">
        <v>0</v>
      </c>
      <c r="E1377" s="22">
        <v>40</v>
      </c>
      <c r="F1377" s="22">
        <v>0.18</v>
      </c>
      <c r="G1377" s="22">
        <v>20260326</v>
      </c>
      <c r="H1377" s="23" t="b">
        <f t="shared" si="21"/>
        <v>0</v>
      </c>
      <c r="I1377" s="24" t="str" cm="1">
        <f t="array" ref="I1377">GET_TICKER_FINAL(C1377)</f>
        <v/>
      </c>
      <c r="J1377" s="5" t="s">
        <v>1792</v>
      </c>
    </row>
    <row r="1378" spans="1:10" hidden="1">
      <c r="A1378" s="20">
        <v>1377</v>
      </c>
      <c r="B1378" s="19" t="s">
        <v>888</v>
      </c>
      <c r="C1378" s="19" t="s">
        <v>1360</v>
      </c>
      <c r="D1378" s="19">
        <v>0</v>
      </c>
      <c r="E1378" s="19">
        <v>24</v>
      </c>
      <c r="F1378" s="19">
        <v>0.18</v>
      </c>
      <c r="G1378" s="19">
        <v>20260326</v>
      </c>
      <c r="H1378" s="20" t="b">
        <f t="shared" si="21"/>
        <v>0</v>
      </c>
      <c r="I1378" s="21" t="str" cm="1">
        <f t="array" ref="I1378">GET_TICKER_FINAL(C1378)</f>
        <v/>
      </c>
      <c r="J1378" s="5" t="s">
        <v>1792</v>
      </c>
    </row>
    <row r="1379" spans="1:10" hidden="1">
      <c r="A1379" s="23">
        <v>1378</v>
      </c>
      <c r="B1379" s="22" t="s">
        <v>888</v>
      </c>
      <c r="C1379" s="22" t="s">
        <v>1361</v>
      </c>
      <c r="D1379" s="22">
        <v>0</v>
      </c>
      <c r="E1379" s="22">
        <v>47</v>
      </c>
      <c r="F1379" s="22">
        <v>0.47</v>
      </c>
      <c r="G1379" s="22">
        <v>20260323</v>
      </c>
      <c r="H1379" s="23" t="b">
        <f t="shared" si="21"/>
        <v>0</v>
      </c>
      <c r="I1379" s="24" t="str" cm="1">
        <f t="array" ref="I1379">GET_TICKER_FINAL(C1379)</f>
        <v/>
      </c>
      <c r="J1379" s="5" t="s">
        <v>16</v>
      </c>
    </row>
    <row r="1380" spans="1:10" hidden="1">
      <c r="A1380" s="20">
        <v>1379</v>
      </c>
      <c r="B1380" s="19" t="s">
        <v>888</v>
      </c>
      <c r="C1380" s="19" t="s">
        <v>1362</v>
      </c>
      <c r="D1380" s="19">
        <v>0</v>
      </c>
      <c r="E1380" s="19">
        <v>68</v>
      </c>
      <c r="F1380" s="19">
        <v>0.32</v>
      </c>
      <c r="G1380" s="19">
        <v>20260323</v>
      </c>
      <c r="H1380" s="20" t="b">
        <f t="shared" si="21"/>
        <v>0</v>
      </c>
      <c r="I1380" s="21" t="str" cm="1">
        <f t="array" ref="I1380">GET_TICKER_FINAL(C1380)</f>
        <v/>
      </c>
      <c r="J1380" s="5" t="s">
        <v>1792</v>
      </c>
    </row>
    <row r="1381" spans="1:10" hidden="1">
      <c r="A1381" s="23">
        <v>1380</v>
      </c>
      <c r="B1381" s="22" t="s">
        <v>888</v>
      </c>
      <c r="C1381" s="22" t="s">
        <v>1363</v>
      </c>
      <c r="D1381" s="22">
        <v>0</v>
      </c>
      <c r="E1381" s="22">
        <v>11</v>
      </c>
      <c r="F1381" s="22">
        <v>0.28999999999999998</v>
      </c>
      <c r="G1381" s="22">
        <v>20260331</v>
      </c>
      <c r="H1381" s="23" t="b">
        <f t="shared" si="21"/>
        <v>0</v>
      </c>
      <c r="I1381" s="24" t="str" cm="1">
        <f t="array" ref="I1381">GET_TICKER_FINAL(C1381)</f>
        <v/>
      </c>
      <c r="J1381" s="5" t="s">
        <v>16</v>
      </c>
    </row>
    <row r="1382" spans="1:10" hidden="1">
      <c r="A1382" s="20">
        <v>1381</v>
      </c>
      <c r="B1382" s="19" t="s">
        <v>888</v>
      </c>
      <c r="C1382" s="19" t="s">
        <v>1364</v>
      </c>
      <c r="D1382" s="19">
        <v>0</v>
      </c>
      <c r="E1382" s="19">
        <v>0</v>
      </c>
      <c r="F1382" s="19">
        <v>0.42</v>
      </c>
      <c r="G1382" s="19">
        <v>20260331</v>
      </c>
      <c r="H1382" s="20" t="b">
        <f t="shared" si="21"/>
        <v>0</v>
      </c>
      <c r="I1382" s="21" t="str" cm="1">
        <f t="array" ref="I1382">GET_TICKER_FINAL(C1382)</f>
        <v/>
      </c>
      <c r="J1382" s="5" t="s">
        <v>1792</v>
      </c>
    </row>
    <row r="1383" spans="1:10" hidden="1">
      <c r="A1383" s="23">
        <v>1382</v>
      </c>
      <c r="B1383" s="22" t="s">
        <v>888</v>
      </c>
      <c r="C1383" s="22" t="s">
        <v>1365</v>
      </c>
      <c r="D1383" s="22">
        <v>0</v>
      </c>
      <c r="E1383" s="22">
        <v>11</v>
      </c>
      <c r="F1383" s="22">
        <v>0.38</v>
      </c>
      <c r="G1383" s="22">
        <v>20260331</v>
      </c>
      <c r="H1383" s="23" t="b">
        <f t="shared" si="21"/>
        <v>0</v>
      </c>
      <c r="I1383" s="24" t="str" cm="1">
        <f t="array" ref="I1383">GET_TICKER_FINAL(C1383)</f>
        <v/>
      </c>
      <c r="J1383" s="5" t="s">
        <v>1792</v>
      </c>
    </row>
    <row r="1384" spans="1:10" hidden="1">
      <c r="A1384" s="20">
        <v>1383</v>
      </c>
      <c r="B1384" s="19" t="s">
        <v>888</v>
      </c>
      <c r="C1384" s="19" t="s">
        <v>1366</v>
      </c>
      <c r="D1384" s="19">
        <v>0</v>
      </c>
      <c r="E1384" s="19">
        <v>9</v>
      </c>
      <c r="F1384" s="19">
        <v>0.44</v>
      </c>
      <c r="G1384" s="19">
        <v>20260331</v>
      </c>
      <c r="H1384" s="20" t="b">
        <f t="shared" si="21"/>
        <v>0</v>
      </c>
      <c r="I1384" s="21" t="str" cm="1">
        <f t="array" ref="I1384">GET_TICKER_FINAL(C1384)</f>
        <v/>
      </c>
      <c r="J1384" s="5" t="s">
        <v>25</v>
      </c>
    </row>
    <row r="1385" spans="1:10" hidden="1">
      <c r="A1385" s="23">
        <v>1384</v>
      </c>
      <c r="B1385" s="22" t="s">
        <v>888</v>
      </c>
      <c r="C1385" s="22" t="s">
        <v>1367</v>
      </c>
      <c r="D1385" s="22">
        <v>0</v>
      </c>
      <c r="E1385" s="22">
        <v>8</v>
      </c>
      <c r="F1385" s="22">
        <v>0.31</v>
      </c>
      <c r="G1385" s="22">
        <v>20260331</v>
      </c>
      <c r="H1385" s="23" t="b">
        <f t="shared" si="21"/>
        <v>0</v>
      </c>
      <c r="I1385" s="24" t="str" cm="1">
        <f t="array" ref="I1385">GET_TICKER_FINAL(C1385)</f>
        <v/>
      </c>
      <c r="J1385" s="5" t="s">
        <v>1792</v>
      </c>
    </row>
    <row r="1386" spans="1:10">
      <c r="A1386" s="20">
        <v>1385</v>
      </c>
      <c r="B1386" s="19" t="s">
        <v>888</v>
      </c>
      <c r="C1386" s="19" t="s">
        <v>1368</v>
      </c>
      <c r="D1386" s="19">
        <v>0</v>
      </c>
      <c r="E1386" s="19">
        <v>15</v>
      </c>
      <c r="F1386" s="19">
        <v>0.31</v>
      </c>
      <c r="G1386" s="19">
        <v>20260331</v>
      </c>
      <c r="H1386" s="20" t="b">
        <f t="shared" si="21"/>
        <v>0</v>
      </c>
      <c r="I1386" s="21" t="str" cm="1">
        <f t="array" ref="I1386">GET_TICKER_FINAL(C1386)</f>
        <v>TSLA</v>
      </c>
      <c r="J1386" s="5" t="s">
        <v>25</v>
      </c>
    </row>
    <row r="1387" spans="1:10">
      <c r="A1387" s="23">
        <v>1386</v>
      </c>
      <c r="B1387" s="22" t="s">
        <v>888</v>
      </c>
      <c r="C1387" s="22" t="s">
        <v>1369</v>
      </c>
      <c r="D1387" s="22">
        <v>0</v>
      </c>
      <c r="E1387" s="22">
        <v>14</v>
      </c>
      <c r="F1387" s="22">
        <v>0.33</v>
      </c>
      <c r="G1387" s="22">
        <v>20260331</v>
      </c>
      <c r="H1387" s="23" t="b">
        <f t="shared" si="21"/>
        <v>0</v>
      </c>
      <c r="I1387" s="24" t="str" cm="1">
        <f t="array" ref="I1387">GET_TICKER_FINAL(C1387)</f>
        <v>NVO</v>
      </c>
      <c r="J1387" s="5" t="s">
        <v>16</v>
      </c>
    </row>
    <row r="1388" spans="1:10" hidden="1">
      <c r="A1388" s="20">
        <v>1387</v>
      </c>
      <c r="B1388" s="19" t="s">
        <v>888</v>
      </c>
      <c r="C1388" s="19" t="s">
        <v>1370</v>
      </c>
      <c r="D1388" s="19">
        <v>0</v>
      </c>
      <c r="E1388" s="19">
        <v>112</v>
      </c>
      <c r="F1388" s="19">
        <v>0.37</v>
      </c>
      <c r="G1388" s="19">
        <v>20260331</v>
      </c>
      <c r="H1388" s="20" t="b">
        <f t="shared" si="21"/>
        <v>0</v>
      </c>
      <c r="I1388" s="21" t="str" cm="1">
        <f t="array" ref="I1388">GET_TICKER_FINAL(C1388)</f>
        <v/>
      </c>
      <c r="J1388" s="5" t="s">
        <v>25</v>
      </c>
    </row>
    <row r="1389" spans="1:10" hidden="1">
      <c r="A1389" s="23">
        <v>1388</v>
      </c>
      <c r="B1389" s="22" t="s">
        <v>888</v>
      </c>
      <c r="C1389" s="22" t="s">
        <v>1371</v>
      </c>
      <c r="D1389" s="22">
        <v>0</v>
      </c>
      <c r="E1389" s="22">
        <v>33</v>
      </c>
      <c r="F1389" s="22">
        <v>0.35</v>
      </c>
      <c r="G1389" s="22">
        <v>20260323</v>
      </c>
      <c r="H1389" s="23" t="b">
        <f t="shared" si="21"/>
        <v>0</v>
      </c>
      <c r="I1389" s="24" t="str" cm="1">
        <f t="array" ref="I1389">GET_TICKER_FINAL(C1389)</f>
        <v/>
      </c>
      <c r="J1389" s="5" t="s">
        <v>1792</v>
      </c>
    </row>
    <row r="1390" spans="1:10" hidden="1">
      <c r="A1390" s="20">
        <v>1389</v>
      </c>
      <c r="B1390" s="19" t="s">
        <v>888</v>
      </c>
      <c r="C1390" s="19" t="s">
        <v>1372</v>
      </c>
      <c r="D1390" s="19">
        <v>0</v>
      </c>
      <c r="E1390" s="19">
        <v>53</v>
      </c>
      <c r="F1390" s="19">
        <v>0.16</v>
      </c>
      <c r="G1390" s="19">
        <v>20260323</v>
      </c>
      <c r="H1390" s="20" t="b">
        <f t="shared" si="21"/>
        <v>0</v>
      </c>
      <c r="I1390" s="21" t="str" cm="1">
        <f t="array" ref="I1390">GET_TICKER_FINAL(C1390)</f>
        <v/>
      </c>
      <c r="J1390" s="5" t="s">
        <v>16</v>
      </c>
    </row>
    <row r="1391" spans="1:10" hidden="1">
      <c r="A1391" s="23">
        <v>1390</v>
      </c>
      <c r="B1391" s="22" t="s">
        <v>888</v>
      </c>
      <c r="C1391" s="22" t="s">
        <v>1373</v>
      </c>
      <c r="D1391" s="22">
        <v>0</v>
      </c>
      <c r="E1391" s="22">
        <v>26</v>
      </c>
      <c r="F1391" s="22">
        <v>0.31</v>
      </c>
      <c r="G1391" s="22">
        <v>20260323</v>
      </c>
      <c r="H1391" s="23" t="b">
        <f t="shared" si="21"/>
        <v>0</v>
      </c>
      <c r="I1391" s="24" t="str" cm="1">
        <f t="array" ref="I1391">GET_TICKER_FINAL(C1391)</f>
        <v/>
      </c>
      <c r="J1391" s="5" t="s">
        <v>1792</v>
      </c>
    </row>
    <row r="1392" spans="1:10" hidden="1">
      <c r="A1392" s="20">
        <v>1391</v>
      </c>
      <c r="B1392" s="19" t="s">
        <v>888</v>
      </c>
      <c r="C1392" s="19" t="s">
        <v>1374</v>
      </c>
      <c r="D1392" s="19">
        <v>0</v>
      </c>
      <c r="E1392" s="19">
        <v>34</v>
      </c>
      <c r="F1392" s="19">
        <v>0.24</v>
      </c>
      <c r="G1392" s="19">
        <v>20260331</v>
      </c>
      <c r="H1392" s="20" t="b">
        <f t="shared" si="21"/>
        <v>0</v>
      </c>
      <c r="I1392" s="21" t="str" cm="1">
        <f t="array" ref="I1392">GET_TICKER_FINAL(C1392)</f>
        <v/>
      </c>
      <c r="J1392" s="5" t="s">
        <v>1792</v>
      </c>
    </row>
    <row r="1393" spans="1:10" hidden="1">
      <c r="A1393" s="23">
        <v>1392</v>
      </c>
      <c r="B1393" s="22" t="s">
        <v>888</v>
      </c>
      <c r="C1393" s="22" t="s">
        <v>379</v>
      </c>
      <c r="D1393" s="22">
        <v>0</v>
      </c>
      <c r="E1393" s="22">
        <v>54</v>
      </c>
      <c r="F1393" s="22">
        <v>0.42</v>
      </c>
      <c r="G1393" s="22">
        <v>20260331</v>
      </c>
      <c r="H1393" s="23" t="b">
        <f t="shared" si="21"/>
        <v>0</v>
      </c>
      <c r="I1393" s="24" t="str" cm="1">
        <f t="array" ref="I1393">GET_TICKER_FINAL(C1393)</f>
        <v/>
      </c>
      <c r="J1393" s="5" t="s">
        <v>16</v>
      </c>
    </row>
    <row r="1394" spans="1:10" hidden="1">
      <c r="A1394" s="20">
        <v>1393</v>
      </c>
      <c r="B1394" s="19" t="s">
        <v>888</v>
      </c>
      <c r="C1394" s="19" t="s">
        <v>1375</v>
      </c>
      <c r="D1394" s="19">
        <v>0</v>
      </c>
      <c r="E1394" s="19">
        <v>34</v>
      </c>
      <c r="F1394" s="19">
        <v>0.35</v>
      </c>
      <c r="G1394" s="19">
        <v>20260331</v>
      </c>
      <c r="H1394" s="20" t="b">
        <f t="shared" si="21"/>
        <v>0</v>
      </c>
      <c r="I1394" s="21" t="str" cm="1">
        <f t="array" ref="I1394">GET_TICKER_FINAL(C1394)</f>
        <v/>
      </c>
      <c r="J1394" s="5" t="s">
        <v>1792</v>
      </c>
    </row>
    <row r="1395" spans="1:10" hidden="1">
      <c r="A1395" s="23">
        <v>1394</v>
      </c>
      <c r="B1395" s="22" t="s">
        <v>1376</v>
      </c>
      <c r="C1395" s="22" t="s">
        <v>1377</v>
      </c>
      <c r="D1395" s="22">
        <v>28249</v>
      </c>
      <c r="E1395" s="22">
        <v>325</v>
      </c>
      <c r="F1395" s="22">
        <v>0.97</v>
      </c>
      <c r="G1395" s="22">
        <v>20260326</v>
      </c>
      <c r="H1395" s="23" t="b">
        <f t="shared" si="21"/>
        <v>0</v>
      </c>
      <c r="I1395" s="24" t="str" cm="1">
        <f t="array" ref="I1395">GET_TICKER_FINAL(C1395)</f>
        <v/>
      </c>
      <c r="J1395" s="5" t="s">
        <v>1792</v>
      </c>
    </row>
    <row r="1396" spans="1:10" hidden="1">
      <c r="A1396" s="20">
        <v>1395</v>
      </c>
      <c r="B1396" s="19" t="s">
        <v>1376</v>
      </c>
      <c r="C1396" s="19" t="s">
        <v>1378</v>
      </c>
      <c r="D1396" s="19">
        <v>18998</v>
      </c>
      <c r="E1396" s="19">
        <v>532</v>
      </c>
      <c r="F1396" s="19">
        <v>0.96</v>
      </c>
      <c r="G1396" s="19">
        <v>20260401</v>
      </c>
      <c r="H1396" s="20" t="b">
        <f t="shared" si="21"/>
        <v>0</v>
      </c>
      <c r="I1396" s="21" t="str" cm="1">
        <f t="array" ref="I1396">GET_TICKER_FINAL(C1396)</f>
        <v/>
      </c>
      <c r="J1396" s="5" t="s">
        <v>16</v>
      </c>
    </row>
    <row r="1397" spans="1:10" hidden="1">
      <c r="A1397" s="23">
        <v>1396</v>
      </c>
      <c r="B1397" s="22" t="s">
        <v>1376</v>
      </c>
      <c r="C1397" s="22" t="s">
        <v>1379</v>
      </c>
      <c r="D1397" s="22">
        <v>17145</v>
      </c>
      <c r="E1397" s="22">
        <v>944</v>
      </c>
      <c r="F1397" s="22">
        <v>0.97</v>
      </c>
      <c r="G1397" s="22">
        <v>20260326</v>
      </c>
      <c r="H1397" s="23" t="b">
        <f t="shared" si="21"/>
        <v>0</v>
      </c>
      <c r="I1397" s="24" t="str" cm="1">
        <f t="array" ref="I1397">GET_TICKER_FINAL(C1397)</f>
        <v/>
      </c>
      <c r="J1397" s="5" t="s">
        <v>1792</v>
      </c>
    </row>
    <row r="1398" spans="1:10" hidden="1">
      <c r="A1398" s="20">
        <v>1397</v>
      </c>
      <c r="B1398" s="19" t="s">
        <v>1376</v>
      </c>
      <c r="C1398" s="19" t="s">
        <v>1380</v>
      </c>
      <c r="D1398" s="19">
        <v>15392</v>
      </c>
      <c r="E1398" s="19">
        <v>480</v>
      </c>
      <c r="F1398" s="19">
        <v>0.97</v>
      </c>
      <c r="G1398" s="19">
        <v>20260326</v>
      </c>
      <c r="H1398" s="20" t="b">
        <f t="shared" si="21"/>
        <v>0</v>
      </c>
      <c r="I1398" s="21" t="str" cm="1">
        <f t="array" ref="I1398">GET_TICKER_FINAL(C1398)</f>
        <v/>
      </c>
      <c r="J1398" s="5" t="s">
        <v>1792</v>
      </c>
    </row>
    <row r="1399" spans="1:10" hidden="1">
      <c r="A1399" s="23">
        <v>1398</v>
      </c>
      <c r="B1399" s="22" t="s">
        <v>1376</v>
      </c>
      <c r="C1399" s="22" t="s">
        <v>1381</v>
      </c>
      <c r="D1399" s="22">
        <v>14237</v>
      </c>
      <c r="E1399" s="22">
        <v>998</v>
      </c>
      <c r="F1399" s="22">
        <v>0.92</v>
      </c>
      <c r="G1399" s="22">
        <v>20260402</v>
      </c>
      <c r="H1399" s="23" t="b">
        <f t="shared" si="21"/>
        <v>0</v>
      </c>
      <c r="I1399" s="24" t="str" cm="1">
        <f t="array" ref="I1399">GET_TICKER_FINAL(C1399)</f>
        <v/>
      </c>
      <c r="J1399" s="5" t="s">
        <v>1792</v>
      </c>
    </row>
    <row r="1400" spans="1:10" hidden="1">
      <c r="A1400" s="20">
        <v>1399</v>
      </c>
      <c r="B1400" s="19" t="s">
        <v>1376</v>
      </c>
      <c r="C1400" s="19" t="s">
        <v>1382</v>
      </c>
      <c r="D1400" s="19">
        <v>13395</v>
      </c>
      <c r="E1400" s="19">
        <v>452</v>
      </c>
      <c r="F1400" s="19">
        <v>0.96</v>
      </c>
      <c r="G1400" s="19">
        <v>20260326</v>
      </c>
      <c r="H1400" s="20" t="b">
        <f t="shared" si="21"/>
        <v>0</v>
      </c>
      <c r="I1400" s="21" t="str" cm="1">
        <f t="array" ref="I1400">GET_TICKER_FINAL(C1400)</f>
        <v/>
      </c>
      <c r="J1400" s="5" t="s">
        <v>16</v>
      </c>
    </row>
    <row r="1401" spans="1:10">
      <c r="A1401" s="23">
        <v>1400</v>
      </c>
      <c r="B1401" s="22" t="s">
        <v>1376</v>
      </c>
      <c r="C1401" s="22" t="s">
        <v>1383</v>
      </c>
      <c r="D1401" s="22">
        <v>11614</v>
      </c>
      <c r="E1401" s="22">
        <v>673</v>
      </c>
      <c r="F1401" s="22">
        <v>0.98</v>
      </c>
      <c r="G1401" s="22">
        <v>20260330</v>
      </c>
      <c r="H1401" s="23" t="b">
        <f t="shared" si="21"/>
        <v>0</v>
      </c>
      <c r="I1401" s="24" t="str" cm="1">
        <f t="array" ref="I1401">GET_TICKER_FINAL(C1401)</f>
        <v>DIS</v>
      </c>
      <c r="J1401" s="5" t="s">
        <v>16</v>
      </c>
    </row>
    <row r="1402" spans="1:10" hidden="1">
      <c r="A1402" s="20">
        <v>1401</v>
      </c>
      <c r="B1402" s="19" t="s">
        <v>1376</v>
      </c>
      <c r="C1402" s="19" t="s">
        <v>1384</v>
      </c>
      <c r="D1402" s="19">
        <v>10463</v>
      </c>
      <c r="E1402" s="19">
        <v>1043</v>
      </c>
      <c r="F1402" s="19">
        <v>0.96</v>
      </c>
      <c r="G1402" s="19">
        <v>20260326</v>
      </c>
      <c r="H1402" s="20" t="b">
        <f t="shared" si="21"/>
        <v>0</v>
      </c>
      <c r="I1402" s="21" t="str" cm="1">
        <f t="array" ref="I1402">GET_TICKER_FINAL(C1402)</f>
        <v/>
      </c>
      <c r="J1402" s="5" t="s">
        <v>25</v>
      </c>
    </row>
    <row r="1403" spans="1:10" hidden="1">
      <c r="A1403" s="23">
        <v>1402</v>
      </c>
      <c r="B1403" s="22" t="s">
        <v>1376</v>
      </c>
      <c r="C1403" s="22" t="s">
        <v>1385</v>
      </c>
      <c r="D1403" s="22">
        <v>10325</v>
      </c>
      <c r="E1403" s="22">
        <v>4225</v>
      </c>
      <c r="F1403" s="22">
        <v>0.83</v>
      </c>
      <c r="G1403" s="22">
        <v>20260327</v>
      </c>
      <c r="H1403" s="23" t="b">
        <f t="shared" si="21"/>
        <v>0</v>
      </c>
      <c r="I1403" s="24" t="str" cm="1">
        <f t="array" ref="I1403">GET_TICKER_FINAL(C1403)</f>
        <v/>
      </c>
      <c r="J1403" s="5" t="s">
        <v>16</v>
      </c>
    </row>
    <row r="1404" spans="1:10" hidden="1">
      <c r="A1404" s="20">
        <v>1403</v>
      </c>
      <c r="B1404" s="19" t="s">
        <v>1376</v>
      </c>
      <c r="C1404" s="19" t="s">
        <v>1386</v>
      </c>
      <c r="D1404" s="19">
        <v>9229</v>
      </c>
      <c r="E1404" s="19">
        <v>161</v>
      </c>
      <c r="F1404" s="19">
        <v>0.98</v>
      </c>
      <c r="G1404" s="19">
        <v>20260402</v>
      </c>
      <c r="H1404" s="20" t="b">
        <f t="shared" si="21"/>
        <v>0</v>
      </c>
      <c r="I1404" s="21" t="str" cm="1">
        <f t="array" ref="I1404">GET_TICKER_FINAL(C1404)</f>
        <v/>
      </c>
      <c r="J1404" s="5" t="s">
        <v>25</v>
      </c>
    </row>
    <row r="1405" spans="1:10" hidden="1">
      <c r="A1405" s="23">
        <v>1404</v>
      </c>
      <c r="B1405" s="22" t="s">
        <v>1376</v>
      </c>
      <c r="C1405" s="22" t="s">
        <v>1387</v>
      </c>
      <c r="D1405" s="22">
        <v>8923</v>
      </c>
      <c r="E1405" s="22">
        <v>716</v>
      </c>
      <c r="F1405" s="22">
        <v>0.9</v>
      </c>
      <c r="G1405" s="22">
        <v>20260323</v>
      </c>
      <c r="H1405" s="23" t="b">
        <f t="shared" si="21"/>
        <v>0</v>
      </c>
      <c r="I1405" s="24" t="str" cm="1">
        <f t="array" ref="I1405">GET_TICKER_FINAL(C1405)</f>
        <v/>
      </c>
      <c r="J1405" s="5" t="s">
        <v>1792</v>
      </c>
    </row>
    <row r="1406" spans="1:10" hidden="1">
      <c r="A1406" s="20">
        <v>1405</v>
      </c>
      <c r="B1406" s="19" t="s">
        <v>1376</v>
      </c>
      <c r="C1406" s="19" t="s">
        <v>1388</v>
      </c>
      <c r="D1406" s="19">
        <v>8664</v>
      </c>
      <c r="E1406" s="19">
        <v>251</v>
      </c>
      <c r="F1406" s="19">
        <v>0.99</v>
      </c>
      <c r="G1406" s="19">
        <v>20260326</v>
      </c>
      <c r="H1406" s="20" t="b">
        <f t="shared" si="21"/>
        <v>0</v>
      </c>
      <c r="I1406" s="21" t="str" cm="1">
        <f t="array" ref="I1406">GET_TICKER_FINAL(C1406)</f>
        <v/>
      </c>
      <c r="J1406" s="5" t="s">
        <v>16</v>
      </c>
    </row>
    <row r="1407" spans="1:10" hidden="1">
      <c r="A1407" s="23">
        <v>1406</v>
      </c>
      <c r="B1407" s="22" t="s">
        <v>1376</v>
      </c>
      <c r="C1407" s="22" t="s">
        <v>1389</v>
      </c>
      <c r="D1407" s="22">
        <v>8434</v>
      </c>
      <c r="E1407" s="22">
        <v>334</v>
      </c>
      <c r="F1407" s="22">
        <v>0.97</v>
      </c>
      <c r="G1407" s="22">
        <v>20260320</v>
      </c>
      <c r="H1407" s="23" t="b">
        <f t="shared" si="21"/>
        <v>0</v>
      </c>
      <c r="I1407" s="24" t="str" cm="1">
        <f t="array" ref="I1407">GET_TICKER_FINAL(C1407)</f>
        <v/>
      </c>
      <c r="J1407" s="5" t="s">
        <v>1792</v>
      </c>
    </row>
    <row r="1408" spans="1:10" hidden="1">
      <c r="A1408" s="20">
        <v>1407</v>
      </c>
      <c r="B1408" s="19" t="s">
        <v>1376</v>
      </c>
      <c r="C1408" s="19" t="s">
        <v>1390</v>
      </c>
      <c r="D1408" s="19">
        <v>8378</v>
      </c>
      <c r="E1408" s="19">
        <v>488</v>
      </c>
      <c r="F1408" s="19">
        <v>0.98</v>
      </c>
      <c r="G1408" s="19">
        <v>20260330</v>
      </c>
      <c r="H1408" s="20" t="b">
        <f t="shared" si="21"/>
        <v>0</v>
      </c>
      <c r="I1408" s="21" t="str" cm="1">
        <f t="array" ref="I1408">GET_TICKER_FINAL(C1408)</f>
        <v/>
      </c>
      <c r="J1408" s="5" t="s">
        <v>16</v>
      </c>
    </row>
    <row r="1409" spans="1:10" hidden="1">
      <c r="A1409" s="23">
        <v>1408</v>
      </c>
      <c r="B1409" s="22" t="s">
        <v>1376</v>
      </c>
      <c r="C1409" s="22" t="s">
        <v>1391</v>
      </c>
      <c r="D1409" s="22">
        <v>7988</v>
      </c>
      <c r="E1409" s="22">
        <v>1661</v>
      </c>
      <c r="F1409" s="22">
        <v>0.89</v>
      </c>
      <c r="G1409" s="22">
        <v>20260402</v>
      </c>
      <c r="H1409" s="23" t="b">
        <f t="shared" si="21"/>
        <v>0</v>
      </c>
      <c r="I1409" s="24" t="str" cm="1">
        <f t="array" ref="I1409">GET_TICKER_FINAL(C1409)</f>
        <v/>
      </c>
      <c r="J1409" s="5" t="s">
        <v>16</v>
      </c>
    </row>
    <row r="1410" spans="1:10">
      <c r="A1410" s="20">
        <v>1409</v>
      </c>
      <c r="B1410" s="19" t="s">
        <v>1376</v>
      </c>
      <c r="C1410" s="19" t="s">
        <v>1392</v>
      </c>
      <c r="D1410" s="19">
        <v>7117</v>
      </c>
      <c r="E1410" s="19">
        <v>418</v>
      </c>
      <c r="F1410" s="19">
        <v>0.97</v>
      </c>
      <c r="G1410" s="19">
        <v>20260331</v>
      </c>
      <c r="H1410" s="20" t="b">
        <f t="shared" si="21"/>
        <v>0</v>
      </c>
      <c r="I1410" s="21" t="str" cm="1">
        <f t="array" ref="I1410">GET_TICKER_FINAL(C1410)</f>
        <v>GOOGL</v>
      </c>
      <c r="J1410" s="5" t="s">
        <v>16</v>
      </c>
    </row>
    <row r="1411" spans="1:10" hidden="1">
      <c r="A1411" s="23">
        <v>1410</v>
      </c>
      <c r="B1411" s="22" t="s">
        <v>1376</v>
      </c>
      <c r="C1411" s="22" t="s">
        <v>1393</v>
      </c>
      <c r="D1411" s="22">
        <v>6961</v>
      </c>
      <c r="E1411" s="22">
        <v>963</v>
      </c>
      <c r="F1411" s="22">
        <v>0.97</v>
      </c>
      <c r="G1411" s="22">
        <v>20260323</v>
      </c>
      <c r="H1411" s="23" t="b">
        <f t="shared" ref="H1411:H1474" si="22">OR(ISNUMBER(SEARCH("$A",C1411)),ISNUMBER(SEARCH("$B",C1411)),ISNUMBER(SEARCH("$C",C1411)),ISNUMBER(SEARCH("$D",C1411)),ISNUMBER(SEARCH("$E",C1411)),ISNUMBER(SEARCH("$F",C1411)),ISNUMBER(SEARCH("$G",C1411)),ISNUMBER(SEARCH("$H",C1411)),ISNUMBER(SEARCH("$I",C1411)),ISNUMBER(SEARCH("$J",C1411)),ISNUMBER(SEARCH("$K",C1411)),ISNUMBER(SEARCH("$L",C1411)),ISNUMBER(SEARCH("$M",C1411)),ISNUMBER(SEARCH("$N",C1411)),ISNUMBER(SEARCH("$O",C1411)),ISNUMBER(SEARCH("$P",C1411)),ISNUMBER(SEARCH("$Q",C1411)),ISNUMBER(SEARCH("$R",C1411)),ISNUMBER(SEARCH("$S",C1411)),ISNUMBER(SEARCH("$T",C1411)),ISNUMBER(SEARCH("$U",C1411)),ISNUMBER(SEARCH("$V",C1411)),ISNUMBER(SEARCH("$W",C1411)),ISNUMBER(SEARCH("$X",C1411)),ISNUMBER(SEARCH("$Y",C1411)),ISNUMBER(SEARCH("$Z",C1411)))</f>
        <v>0</v>
      </c>
      <c r="I1411" s="24" t="str" cm="1">
        <f t="array" ref="I1411">GET_TICKER_FINAL(C1411)</f>
        <v/>
      </c>
      <c r="J1411" s="5" t="s">
        <v>16</v>
      </c>
    </row>
    <row r="1412" spans="1:10">
      <c r="A1412" s="20">
        <v>1411</v>
      </c>
      <c r="B1412" s="19" t="s">
        <v>1376</v>
      </c>
      <c r="C1412" s="19" t="s">
        <v>1394</v>
      </c>
      <c r="D1412" s="19">
        <v>6552</v>
      </c>
      <c r="E1412" s="19">
        <v>431</v>
      </c>
      <c r="F1412" s="19">
        <v>0.98</v>
      </c>
      <c r="G1412" s="19">
        <v>20260326</v>
      </c>
      <c r="H1412" s="20" t="b">
        <f t="shared" si="22"/>
        <v>0</v>
      </c>
      <c r="I1412" s="21" t="str" cm="1">
        <f t="array" ref="I1412">GET_TICKER_FINAL(C1412)</f>
        <v>UAL</v>
      </c>
      <c r="J1412" s="5" t="s">
        <v>16</v>
      </c>
    </row>
    <row r="1413" spans="1:10" hidden="1">
      <c r="A1413" s="23">
        <v>1412</v>
      </c>
      <c r="B1413" s="22" t="s">
        <v>1376</v>
      </c>
      <c r="C1413" s="22" t="s">
        <v>1395</v>
      </c>
      <c r="D1413" s="22">
        <v>5933</v>
      </c>
      <c r="E1413" s="22">
        <v>535</v>
      </c>
      <c r="F1413" s="22">
        <v>0.91</v>
      </c>
      <c r="G1413" s="22">
        <v>20260402</v>
      </c>
      <c r="H1413" s="23" t="b">
        <f t="shared" si="22"/>
        <v>0</v>
      </c>
      <c r="I1413" s="24" t="str" cm="1">
        <f t="array" ref="I1413">GET_TICKER_FINAL(C1413)</f>
        <v/>
      </c>
      <c r="J1413" s="5" t="s">
        <v>1792</v>
      </c>
    </row>
    <row r="1414" spans="1:10">
      <c r="A1414" s="20">
        <v>1413</v>
      </c>
      <c r="B1414" s="19" t="s">
        <v>1376</v>
      </c>
      <c r="C1414" s="19" t="s">
        <v>754</v>
      </c>
      <c r="D1414" s="19">
        <v>5709</v>
      </c>
      <c r="E1414" s="19">
        <v>398</v>
      </c>
      <c r="F1414" s="19">
        <v>0.99</v>
      </c>
      <c r="G1414" s="19">
        <v>20260331</v>
      </c>
      <c r="H1414" s="20" t="b">
        <f t="shared" si="22"/>
        <v>0</v>
      </c>
      <c r="I1414" s="21" t="str" cm="1">
        <f t="array" ref="I1414">GET_TICKER_FINAL(C1414)</f>
        <v>MSFT</v>
      </c>
      <c r="J1414" s="5" t="s">
        <v>16</v>
      </c>
    </row>
    <row r="1415" spans="1:10" hidden="1">
      <c r="A1415" s="23">
        <v>1414</v>
      </c>
      <c r="B1415" s="22" t="s">
        <v>1376</v>
      </c>
      <c r="C1415" s="22" t="s">
        <v>1396</v>
      </c>
      <c r="D1415" s="22">
        <v>5614</v>
      </c>
      <c r="E1415" s="22">
        <v>855</v>
      </c>
      <c r="F1415" s="22">
        <v>0.98</v>
      </c>
      <c r="G1415" s="22">
        <v>20260323</v>
      </c>
      <c r="H1415" s="23" t="b">
        <f t="shared" si="22"/>
        <v>0</v>
      </c>
      <c r="I1415" s="24" t="str" cm="1">
        <f t="array" ref="I1415">GET_TICKER_FINAL(C1415)</f>
        <v/>
      </c>
      <c r="J1415" s="5" t="s">
        <v>16</v>
      </c>
    </row>
    <row r="1416" spans="1:10" hidden="1">
      <c r="A1416" s="20">
        <v>1415</v>
      </c>
      <c r="B1416" s="19" t="s">
        <v>1376</v>
      </c>
      <c r="C1416" s="19" t="s">
        <v>1397</v>
      </c>
      <c r="D1416" s="19">
        <v>5605</v>
      </c>
      <c r="E1416" s="19">
        <v>601</v>
      </c>
      <c r="F1416" s="19">
        <v>0.97</v>
      </c>
      <c r="G1416" s="19">
        <v>20260323</v>
      </c>
      <c r="H1416" s="20" t="b">
        <f t="shared" si="22"/>
        <v>0</v>
      </c>
      <c r="I1416" s="21" t="str" cm="1">
        <f t="array" ref="I1416">GET_TICKER_FINAL(C1416)</f>
        <v/>
      </c>
      <c r="J1416" s="5" t="s">
        <v>14</v>
      </c>
    </row>
    <row r="1417" spans="1:10" hidden="1">
      <c r="A1417" s="23">
        <v>1416</v>
      </c>
      <c r="B1417" s="22" t="s">
        <v>1376</v>
      </c>
      <c r="C1417" s="22" t="s">
        <v>1398</v>
      </c>
      <c r="D1417" s="22">
        <v>5581</v>
      </c>
      <c r="E1417" s="22">
        <v>415</v>
      </c>
      <c r="F1417" s="22">
        <v>0.97</v>
      </c>
      <c r="G1417" s="22">
        <v>20260401</v>
      </c>
      <c r="H1417" s="23" t="b">
        <f t="shared" si="22"/>
        <v>0</v>
      </c>
      <c r="I1417" s="24" t="str" cm="1">
        <f t="array" ref="I1417">GET_TICKER_FINAL(C1417)</f>
        <v/>
      </c>
      <c r="J1417" s="5" t="s">
        <v>16</v>
      </c>
    </row>
    <row r="1418" spans="1:10">
      <c r="A1418" s="20">
        <v>1417</v>
      </c>
      <c r="B1418" s="19" t="s">
        <v>1376</v>
      </c>
      <c r="C1418" s="19" t="s">
        <v>1399</v>
      </c>
      <c r="D1418" s="19">
        <v>4951</v>
      </c>
      <c r="E1418" s="19">
        <v>1082</v>
      </c>
      <c r="F1418" s="19">
        <v>0.97</v>
      </c>
      <c r="G1418" s="19">
        <v>20260330</v>
      </c>
      <c r="H1418" s="20" t="b">
        <f t="shared" si="22"/>
        <v>0</v>
      </c>
      <c r="I1418" s="21" t="str" cm="1">
        <f t="array" ref="I1418">GET_TICKER_FINAL(C1418)</f>
        <v>NFLX</v>
      </c>
      <c r="J1418" s="5" t="s">
        <v>16</v>
      </c>
    </row>
    <row r="1419" spans="1:10" hidden="1">
      <c r="A1419" s="23">
        <v>1418</v>
      </c>
      <c r="B1419" s="22" t="s">
        <v>1376</v>
      </c>
      <c r="C1419" s="22" t="s">
        <v>1400</v>
      </c>
      <c r="D1419" s="22">
        <v>4951</v>
      </c>
      <c r="E1419" s="22">
        <v>650</v>
      </c>
      <c r="F1419" s="22">
        <v>0.96</v>
      </c>
      <c r="G1419" s="22">
        <v>20260326</v>
      </c>
      <c r="H1419" s="23" t="b">
        <f t="shared" si="22"/>
        <v>0</v>
      </c>
      <c r="I1419" s="24" t="str" cm="1">
        <f t="array" ref="I1419">GET_TICKER_FINAL(C1419)</f>
        <v/>
      </c>
      <c r="J1419" s="5" t="s">
        <v>16</v>
      </c>
    </row>
    <row r="1420" spans="1:10" hidden="1">
      <c r="A1420" s="20">
        <v>1419</v>
      </c>
      <c r="B1420" s="19" t="s">
        <v>1376</v>
      </c>
      <c r="C1420" s="19" t="s">
        <v>1401</v>
      </c>
      <c r="D1420" s="19">
        <v>4912</v>
      </c>
      <c r="E1420" s="19">
        <v>188</v>
      </c>
      <c r="F1420" s="19">
        <v>0.98</v>
      </c>
      <c r="G1420" s="19">
        <v>20260402</v>
      </c>
      <c r="H1420" s="20" t="b">
        <f t="shared" si="22"/>
        <v>0</v>
      </c>
      <c r="I1420" s="21" t="str" cm="1">
        <f t="array" ref="I1420">GET_TICKER_FINAL(C1420)</f>
        <v/>
      </c>
      <c r="J1420" s="5" t="s">
        <v>1792</v>
      </c>
    </row>
    <row r="1421" spans="1:10" hidden="1">
      <c r="A1421" s="23">
        <v>1420</v>
      </c>
      <c r="B1421" s="22" t="s">
        <v>1376</v>
      </c>
      <c r="C1421" s="22" t="s">
        <v>1402</v>
      </c>
      <c r="D1421" s="22">
        <v>4745</v>
      </c>
      <c r="E1421" s="22">
        <v>230</v>
      </c>
      <c r="F1421" s="22">
        <v>0.97</v>
      </c>
      <c r="G1421" s="22">
        <v>20260326</v>
      </c>
      <c r="H1421" s="23" t="b">
        <f t="shared" si="22"/>
        <v>0</v>
      </c>
      <c r="I1421" s="24" t="str" cm="1">
        <f t="array" ref="I1421">GET_TICKER_FINAL(C1421)</f>
        <v/>
      </c>
      <c r="J1421" s="5" t="s">
        <v>25</v>
      </c>
    </row>
    <row r="1422" spans="1:10" hidden="1">
      <c r="A1422" s="20">
        <v>1421</v>
      </c>
      <c r="B1422" s="19" t="s">
        <v>1376</v>
      </c>
      <c r="C1422" s="19" t="s">
        <v>1403</v>
      </c>
      <c r="D1422" s="19">
        <v>4400</v>
      </c>
      <c r="E1422" s="19">
        <v>1108</v>
      </c>
      <c r="F1422" s="19">
        <v>0.96</v>
      </c>
      <c r="G1422" s="19">
        <v>20260324</v>
      </c>
      <c r="H1422" s="20" t="b">
        <f t="shared" si="22"/>
        <v>0</v>
      </c>
      <c r="I1422" s="21" t="str" cm="1">
        <f t="array" ref="I1422">GET_TICKER_FINAL(C1422)</f>
        <v/>
      </c>
      <c r="J1422" s="5" t="s">
        <v>16</v>
      </c>
    </row>
    <row r="1423" spans="1:10">
      <c r="A1423" s="23">
        <v>1422</v>
      </c>
      <c r="B1423" s="22" t="s">
        <v>1376</v>
      </c>
      <c r="C1423" s="22" t="s">
        <v>1404</v>
      </c>
      <c r="D1423" s="22">
        <v>4249</v>
      </c>
      <c r="E1423" s="22">
        <v>323</v>
      </c>
      <c r="F1423" s="22">
        <v>0.97</v>
      </c>
      <c r="G1423" s="22">
        <v>20260330</v>
      </c>
      <c r="H1423" s="23" t="b">
        <f t="shared" si="22"/>
        <v>0</v>
      </c>
      <c r="I1423" s="24" t="str" cm="1">
        <f t="array" ref="I1423">GET_TICKER_FINAL(C1423)</f>
        <v>META</v>
      </c>
      <c r="J1423" s="5" t="s">
        <v>16</v>
      </c>
    </row>
    <row r="1424" spans="1:10" hidden="1">
      <c r="A1424" s="20">
        <v>1423</v>
      </c>
      <c r="B1424" s="19" t="s">
        <v>1376</v>
      </c>
      <c r="C1424" s="19" t="s">
        <v>1405</v>
      </c>
      <c r="D1424" s="19">
        <v>4241</v>
      </c>
      <c r="E1424" s="19">
        <v>221</v>
      </c>
      <c r="F1424" s="19">
        <v>0.98</v>
      </c>
      <c r="G1424" s="19">
        <v>20260331</v>
      </c>
      <c r="H1424" s="20" t="b">
        <f t="shared" si="22"/>
        <v>0</v>
      </c>
      <c r="I1424" s="21" t="str" cm="1">
        <f t="array" ref="I1424">GET_TICKER_FINAL(C1424)</f>
        <v/>
      </c>
      <c r="J1424" s="5" t="s">
        <v>1792</v>
      </c>
    </row>
    <row r="1425" spans="1:10" hidden="1">
      <c r="A1425" s="23">
        <v>1424</v>
      </c>
      <c r="B1425" s="22" t="s">
        <v>1376</v>
      </c>
      <c r="C1425" s="22" t="s">
        <v>1406</v>
      </c>
      <c r="D1425" s="22">
        <v>4061</v>
      </c>
      <c r="E1425" s="22">
        <v>489</v>
      </c>
      <c r="F1425" s="22">
        <v>0.95</v>
      </c>
      <c r="G1425" s="22">
        <v>20260327</v>
      </c>
      <c r="H1425" s="23" t="b">
        <f t="shared" si="22"/>
        <v>0</v>
      </c>
      <c r="I1425" s="24" t="str" cm="1">
        <f t="array" ref="I1425">GET_TICKER_FINAL(C1425)</f>
        <v/>
      </c>
      <c r="J1425" s="5" t="s">
        <v>16</v>
      </c>
    </row>
    <row r="1426" spans="1:10" hidden="1">
      <c r="A1426" s="20">
        <v>1425</v>
      </c>
      <c r="B1426" s="19" t="s">
        <v>1376</v>
      </c>
      <c r="C1426" s="19" t="s">
        <v>1407</v>
      </c>
      <c r="D1426" s="19">
        <v>3969</v>
      </c>
      <c r="E1426" s="19">
        <v>417</v>
      </c>
      <c r="F1426" s="19">
        <v>0.99</v>
      </c>
      <c r="G1426" s="19">
        <v>20260331</v>
      </c>
      <c r="H1426" s="20" t="b">
        <f t="shared" si="22"/>
        <v>0</v>
      </c>
      <c r="I1426" s="21" t="str" cm="1">
        <f t="array" ref="I1426">GET_TICKER_FINAL(C1426)</f>
        <v/>
      </c>
      <c r="J1426" s="5" t="s">
        <v>16</v>
      </c>
    </row>
    <row r="1427" spans="1:10" hidden="1">
      <c r="A1427" s="23">
        <v>1426</v>
      </c>
      <c r="B1427" s="22" t="s">
        <v>1376</v>
      </c>
      <c r="C1427" s="22" t="s">
        <v>1408</v>
      </c>
      <c r="D1427" s="22">
        <v>3540</v>
      </c>
      <c r="E1427" s="22">
        <v>351</v>
      </c>
      <c r="F1427" s="22">
        <v>0.98</v>
      </c>
      <c r="G1427" s="22">
        <v>20260331</v>
      </c>
      <c r="H1427" s="23" t="b">
        <f t="shared" si="22"/>
        <v>0</v>
      </c>
      <c r="I1427" s="24" t="str" cm="1">
        <f t="array" ref="I1427">GET_TICKER_FINAL(C1427)</f>
        <v/>
      </c>
      <c r="J1427" s="5" t="s">
        <v>1792</v>
      </c>
    </row>
    <row r="1428" spans="1:10" hidden="1">
      <c r="A1428" s="20">
        <v>1427</v>
      </c>
      <c r="B1428" s="19" t="s">
        <v>1376</v>
      </c>
      <c r="C1428" s="19" t="s">
        <v>1409</v>
      </c>
      <c r="D1428" s="19">
        <v>3476</v>
      </c>
      <c r="E1428" s="19">
        <v>985</v>
      </c>
      <c r="F1428" s="19">
        <v>0.92</v>
      </c>
      <c r="G1428" s="19">
        <v>20260320</v>
      </c>
      <c r="H1428" s="20" t="b">
        <f t="shared" si="22"/>
        <v>0</v>
      </c>
      <c r="I1428" s="21" t="str" cm="1">
        <f t="array" ref="I1428">GET_TICKER_FINAL(C1428)</f>
        <v/>
      </c>
      <c r="J1428" s="5" t="s">
        <v>1792</v>
      </c>
    </row>
    <row r="1429" spans="1:10" hidden="1">
      <c r="A1429" s="23">
        <v>1428</v>
      </c>
      <c r="B1429" s="22" t="s">
        <v>1376</v>
      </c>
      <c r="C1429" s="22" t="s">
        <v>1410</v>
      </c>
      <c r="D1429" s="22">
        <v>3387</v>
      </c>
      <c r="E1429" s="22">
        <v>388</v>
      </c>
      <c r="F1429" s="22">
        <v>0.98</v>
      </c>
      <c r="G1429" s="22">
        <v>20260323</v>
      </c>
      <c r="H1429" s="23" t="b">
        <f t="shared" si="22"/>
        <v>0</v>
      </c>
      <c r="I1429" s="24" t="str" cm="1">
        <f t="array" ref="I1429">GET_TICKER_FINAL(C1429)</f>
        <v/>
      </c>
      <c r="J1429" s="5" t="s">
        <v>16</v>
      </c>
    </row>
    <row r="1430" spans="1:10" hidden="1">
      <c r="A1430" s="20">
        <v>1429</v>
      </c>
      <c r="B1430" s="19" t="s">
        <v>1376</v>
      </c>
      <c r="C1430" s="19" t="s">
        <v>1411</v>
      </c>
      <c r="D1430" s="19">
        <v>3280</v>
      </c>
      <c r="E1430" s="19">
        <v>467</v>
      </c>
      <c r="F1430" s="19">
        <v>0.96</v>
      </c>
      <c r="G1430" s="19">
        <v>20260402</v>
      </c>
      <c r="H1430" s="20" t="b">
        <f t="shared" si="22"/>
        <v>0</v>
      </c>
      <c r="I1430" s="21" t="str" cm="1">
        <f t="array" ref="I1430">GET_TICKER_FINAL(C1430)</f>
        <v/>
      </c>
      <c r="J1430" s="5" t="s">
        <v>25</v>
      </c>
    </row>
    <row r="1431" spans="1:10" hidden="1">
      <c r="A1431" s="23">
        <v>1430</v>
      </c>
      <c r="B1431" s="22" t="s">
        <v>1376</v>
      </c>
      <c r="C1431" s="22" t="s">
        <v>1412</v>
      </c>
      <c r="D1431" s="22">
        <v>3026</v>
      </c>
      <c r="E1431" s="22">
        <v>379</v>
      </c>
      <c r="F1431" s="22">
        <v>0.96</v>
      </c>
      <c r="G1431" s="22">
        <v>20260327</v>
      </c>
      <c r="H1431" s="23" t="b">
        <f t="shared" si="22"/>
        <v>0</v>
      </c>
      <c r="I1431" s="24" t="str" cm="1">
        <f t="array" ref="I1431">GET_TICKER_FINAL(C1431)</f>
        <v/>
      </c>
      <c r="J1431" s="5" t="s">
        <v>1792</v>
      </c>
    </row>
    <row r="1432" spans="1:10" hidden="1">
      <c r="A1432" s="20">
        <v>1431</v>
      </c>
      <c r="B1432" s="19" t="s">
        <v>1376</v>
      </c>
      <c r="C1432" s="19" t="s">
        <v>1413</v>
      </c>
      <c r="D1432" s="19">
        <v>2828</v>
      </c>
      <c r="E1432" s="19">
        <v>1382</v>
      </c>
      <c r="F1432" s="19">
        <v>0.79</v>
      </c>
      <c r="G1432" s="19">
        <v>20260331</v>
      </c>
      <c r="H1432" s="20" t="b">
        <f t="shared" si="22"/>
        <v>0</v>
      </c>
      <c r="I1432" s="21" t="str" cm="1">
        <f t="array" ref="I1432">GET_TICKER_FINAL(C1432)</f>
        <v/>
      </c>
      <c r="J1432" s="5" t="s">
        <v>1792</v>
      </c>
    </row>
    <row r="1433" spans="1:10" hidden="1">
      <c r="A1433" s="23">
        <v>1432</v>
      </c>
      <c r="B1433" s="22" t="s">
        <v>1376</v>
      </c>
      <c r="C1433" s="22" t="s">
        <v>1414</v>
      </c>
      <c r="D1433" s="22">
        <v>2778</v>
      </c>
      <c r="E1433" s="22">
        <v>174</v>
      </c>
      <c r="F1433" s="22">
        <v>0.97</v>
      </c>
      <c r="G1433" s="22">
        <v>20260330</v>
      </c>
      <c r="H1433" s="23" t="b">
        <f t="shared" si="22"/>
        <v>0</v>
      </c>
      <c r="I1433" s="24" t="str" cm="1">
        <f t="array" ref="I1433">GET_TICKER_FINAL(C1433)</f>
        <v/>
      </c>
      <c r="J1433" s="5" t="s">
        <v>1792</v>
      </c>
    </row>
    <row r="1434" spans="1:10" hidden="1">
      <c r="A1434" s="20">
        <v>1433</v>
      </c>
      <c r="B1434" s="19" t="s">
        <v>1376</v>
      </c>
      <c r="C1434" s="19" t="s">
        <v>786</v>
      </c>
      <c r="D1434" s="19">
        <v>2690</v>
      </c>
      <c r="E1434" s="19">
        <v>399</v>
      </c>
      <c r="F1434" s="19">
        <v>0.98</v>
      </c>
      <c r="G1434" s="19">
        <v>20260401</v>
      </c>
      <c r="H1434" s="20" t="b">
        <f t="shared" si="22"/>
        <v>0</v>
      </c>
      <c r="I1434" s="21" t="str" cm="1">
        <f t="array" ref="I1434">GET_TICKER_FINAL(C1434)</f>
        <v/>
      </c>
      <c r="J1434" s="5" t="s">
        <v>16</v>
      </c>
    </row>
    <row r="1435" spans="1:10" hidden="1">
      <c r="A1435" s="23">
        <v>1434</v>
      </c>
      <c r="B1435" s="22" t="s">
        <v>1376</v>
      </c>
      <c r="C1435" s="22" t="s">
        <v>1415</v>
      </c>
      <c r="D1435" s="22">
        <v>2680</v>
      </c>
      <c r="E1435" s="22">
        <v>764</v>
      </c>
      <c r="F1435" s="22">
        <v>0.94</v>
      </c>
      <c r="G1435" s="22">
        <v>20260326</v>
      </c>
      <c r="H1435" s="23" t="b">
        <f t="shared" si="22"/>
        <v>0</v>
      </c>
      <c r="I1435" s="24" t="str" cm="1">
        <f t="array" ref="I1435">GET_TICKER_FINAL(C1435)</f>
        <v/>
      </c>
      <c r="J1435" s="5" t="s">
        <v>25</v>
      </c>
    </row>
    <row r="1436" spans="1:10" hidden="1">
      <c r="A1436" s="20">
        <v>1435</v>
      </c>
      <c r="B1436" s="19" t="s">
        <v>1376</v>
      </c>
      <c r="C1436" s="19" t="s">
        <v>1416</v>
      </c>
      <c r="D1436" s="19">
        <v>2589</v>
      </c>
      <c r="E1436" s="19">
        <v>240</v>
      </c>
      <c r="F1436" s="19">
        <v>0.97</v>
      </c>
      <c r="G1436" s="19">
        <v>20260401</v>
      </c>
      <c r="H1436" s="20" t="b">
        <f t="shared" si="22"/>
        <v>1</v>
      </c>
      <c r="I1436" s="21" t="str" cm="1">
        <f t="array" ref="I1436">GET_TICKER_FINAL(C1436)</f>
        <v/>
      </c>
      <c r="J1436" s="5" t="s">
        <v>1792</v>
      </c>
    </row>
    <row r="1437" spans="1:10" hidden="1">
      <c r="A1437" s="23">
        <v>1436</v>
      </c>
      <c r="B1437" s="22" t="s">
        <v>1376</v>
      </c>
      <c r="C1437" s="22" t="s">
        <v>792</v>
      </c>
      <c r="D1437" s="22">
        <v>2569</v>
      </c>
      <c r="E1437" s="22">
        <v>221</v>
      </c>
      <c r="F1437" s="22">
        <v>0.98</v>
      </c>
      <c r="G1437" s="22">
        <v>20260402</v>
      </c>
      <c r="H1437" s="23" t="b">
        <f t="shared" si="22"/>
        <v>0</v>
      </c>
      <c r="I1437" s="24" t="str" cm="1">
        <f t="array" ref="I1437">GET_TICKER_FINAL(C1437)</f>
        <v/>
      </c>
      <c r="J1437" s="5" t="s">
        <v>25</v>
      </c>
    </row>
    <row r="1438" spans="1:10" hidden="1">
      <c r="A1438" s="20">
        <v>1437</v>
      </c>
      <c r="B1438" s="19" t="s">
        <v>1376</v>
      </c>
      <c r="C1438" s="19" t="s">
        <v>1417</v>
      </c>
      <c r="D1438" s="19">
        <v>2537</v>
      </c>
      <c r="E1438" s="19">
        <v>123</v>
      </c>
      <c r="F1438" s="19">
        <v>0.98</v>
      </c>
      <c r="G1438" s="19">
        <v>20260323</v>
      </c>
      <c r="H1438" s="20" t="b">
        <f t="shared" si="22"/>
        <v>0</v>
      </c>
      <c r="I1438" s="21" t="str" cm="1">
        <f t="array" ref="I1438">GET_TICKER_FINAL(C1438)</f>
        <v/>
      </c>
      <c r="J1438" s="5" t="s">
        <v>25</v>
      </c>
    </row>
    <row r="1439" spans="1:10">
      <c r="A1439" s="23">
        <v>1438</v>
      </c>
      <c r="B1439" s="22" t="s">
        <v>1376</v>
      </c>
      <c r="C1439" s="22" t="s">
        <v>1418</v>
      </c>
      <c r="D1439" s="22">
        <v>2529</v>
      </c>
      <c r="E1439" s="22">
        <v>482</v>
      </c>
      <c r="F1439" s="22">
        <v>0.98</v>
      </c>
      <c r="G1439" s="22">
        <v>20260330</v>
      </c>
      <c r="H1439" s="23" t="b">
        <f t="shared" si="22"/>
        <v>0</v>
      </c>
      <c r="I1439" s="24" t="str" cm="1">
        <f t="array" ref="I1439">GET_TICKER_FINAL(C1439)</f>
        <v>META</v>
      </c>
      <c r="J1439" s="5" t="s">
        <v>16</v>
      </c>
    </row>
    <row r="1440" spans="1:10" hidden="1">
      <c r="A1440" s="20">
        <v>1439</v>
      </c>
      <c r="B1440" s="19" t="s">
        <v>1376</v>
      </c>
      <c r="C1440" s="19" t="s">
        <v>747</v>
      </c>
      <c r="D1440" s="19">
        <v>2482</v>
      </c>
      <c r="E1440" s="19">
        <v>220</v>
      </c>
      <c r="F1440" s="19">
        <v>0.98</v>
      </c>
      <c r="G1440" s="19">
        <v>20260320</v>
      </c>
      <c r="H1440" s="20" t="b">
        <f t="shared" si="22"/>
        <v>0</v>
      </c>
      <c r="I1440" s="21" t="str" cm="1">
        <f t="array" ref="I1440">GET_TICKER_FINAL(C1440)</f>
        <v/>
      </c>
      <c r="J1440" s="5" t="s">
        <v>16</v>
      </c>
    </row>
    <row r="1441" spans="1:10" hidden="1">
      <c r="A1441" s="23">
        <v>1440</v>
      </c>
      <c r="B1441" s="22" t="s">
        <v>1376</v>
      </c>
      <c r="C1441" s="22" t="s">
        <v>1419</v>
      </c>
      <c r="D1441" s="22">
        <v>2461</v>
      </c>
      <c r="E1441" s="22">
        <v>419</v>
      </c>
      <c r="F1441" s="22">
        <v>0.92</v>
      </c>
      <c r="G1441" s="22">
        <v>20260402</v>
      </c>
      <c r="H1441" s="23" t="b">
        <f t="shared" si="22"/>
        <v>0</v>
      </c>
      <c r="I1441" s="24" t="str" cm="1">
        <f t="array" ref="I1441">GET_TICKER_FINAL(C1441)</f>
        <v/>
      </c>
      <c r="J1441" s="5" t="s">
        <v>16</v>
      </c>
    </row>
    <row r="1442" spans="1:10" hidden="1">
      <c r="A1442" s="20">
        <v>1441</v>
      </c>
      <c r="B1442" s="19" t="s">
        <v>1376</v>
      </c>
      <c r="C1442" s="19" t="s">
        <v>1420</v>
      </c>
      <c r="D1442" s="19">
        <v>2405</v>
      </c>
      <c r="E1442" s="19">
        <v>308</v>
      </c>
      <c r="F1442" s="19">
        <v>0.97</v>
      </c>
      <c r="G1442" s="19">
        <v>20260402</v>
      </c>
      <c r="H1442" s="20" t="b">
        <f t="shared" si="22"/>
        <v>0</v>
      </c>
      <c r="I1442" s="21" t="str" cm="1">
        <f t="array" ref="I1442">GET_TICKER_FINAL(C1442)</f>
        <v/>
      </c>
      <c r="J1442" s="5" t="s">
        <v>16</v>
      </c>
    </row>
    <row r="1443" spans="1:10" hidden="1">
      <c r="A1443" s="23">
        <v>1442</v>
      </c>
      <c r="B1443" s="22" t="s">
        <v>1376</v>
      </c>
      <c r="C1443" s="22" t="s">
        <v>1421</v>
      </c>
      <c r="D1443" s="22">
        <v>2380</v>
      </c>
      <c r="E1443" s="22">
        <v>378</v>
      </c>
      <c r="F1443" s="22">
        <v>0.94</v>
      </c>
      <c r="G1443" s="22">
        <v>20260326</v>
      </c>
      <c r="H1443" s="23" t="b">
        <f t="shared" si="22"/>
        <v>0</v>
      </c>
      <c r="I1443" s="24" t="str" cm="1">
        <f t="array" ref="I1443">GET_TICKER_FINAL(C1443)</f>
        <v/>
      </c>
      <c r="J1443" s="5" t="s">
        <v>16</v>
      </c>
    </row>
    <row r="1444" spans="1:10" hidden="1">
      <c r="A1444" s="20">
        <v>1443</v>
      </c>
      <c r="B1444" s="19" t="s">
        <v>1376</v>
      </c>
      <c r="C1444" s="19" t="s">
        <v>1422</v>
      </c>
      <c r="D1444" s="19">
        <v>2306</v>
      </c>
      <c r="E1444" s="19">
        <v>454</v>
      </c>
      <c r="F1444" s="19">
        <v>0.97</v>
      </c>
      <c r="G1444" s="19">
        <v>20260327</v>
      </c>
      <c r="H1444" s="20" t="b">
        <f t="shared" si="22"/>
        <v>0</v>
      </c>
      <c r="I1444" s="21" t="str" cm="1">
        <f t="array" ref="I1444">GET_TICKER_FINAL(C1444)</f>
        <v/>
      </c>
      <c r="J1444" s="5" t="s">
        <v>1792</v>
      </c>
    </row>
    <row r="1445" spans="1:10" hidden="1">
      <c r="A1445" s="23">
        <v>1444</v>
      </c>
      <c r="B1445" s="22" t="s">
        <v>1376</v>
      </c>
      <c r="C1445" s="22" t="s">
        <v>1423</v>
      </c>
      <c r="D1445" s="22">
        <v>2274</v>
      </c>
      <c r="E1445" s="22">
        <v>424</v>
      </c>
      <c r="F1445" s="22">
        <v>0.94</v>
      </c>
      <c r="G1445" s="22">
        <v>20260326</v>
      </c>
      <c r="H1445" s="23" t="b">
        <f t="shared" si="22"/>
        <v>0</v>
      </c>
      <c r="I1445" s="24" t="str" cm="1">
        <f t="array" ref="I1445">GET_TICKER_FINAL(C1445)</f>
        <v/>
      </c>
      <c r="J1445" s="5" t="s">
        <v>16</v>
      </c>
    </row>
    <row r="1446" spans="1:10" hidden="1">
      <c r="A1446" s="20">
        <v>1445</v>
      </c>
      <c r="B1446" s="19" t="s">
        <v>1376</v>
      </c>
      <c r="C1446" s="19" t="s">
        <v>1424</v>
      </c>
      <c r="D1446" s="19">
        <v>2219</v>
      </c>
      <c r="E1446" s="19">
        <v>607</v>
      </c>
      <c r="F1446" s="19">
        <v>0.95</v>
      </c>
      <c r="G1446" s="19">
        <v>20260327</v>
      </c>
      <c r="H1446" s="20" t="b">
        <f t="shared" si="22"/>
        <v>0</v>
      </c>
      <c r="I1446" s="21" t="str" cm="1">
        <f t="array" ref="I1446">GET_TICKER_FINAL(C1446)</f>
        <v/>
      </c>
      <c r="J1446" s="5" t="s">
        <v>25</v>
      </c>
    </row>
    <row r="1447" spans="1:10" hidden="1">
      <c r="A1447" s="23">
        <v>1446</v>
      </c>
      <c r="B1447" s="22" t="s">
        <v>1376</v>
      </c>
      <c r="C1447" s="22" t="s">
        <v>36</v>
      </c>
      <c r="D1447" s="22">
        <v>2205</v>
      </c>
      <c r="E1447" s="22">
        <v>389</v>
      </c>
      <c r="F1447" s="22">
        <v>0.97</v>
      </c>
      <c r="G1447" s="22">
        <v>20260331</v>
      </c>
      <c r="H1447" s="23" t="b">
        <f t="shared" si="22"/>
        <v>0</v>
      </c>
      <c r="I1447" s="24" t="str" cm="1">
        <f t="array" ref="I1447">GET_TICKER_FINAL(C1447)</f>
        <v/>
      </c>
      <c r="J1447" s="5" t="s">
        <v>16</v>
      </c>
    </row>
    <row r="1448" spans="1:10" hidden="1">
      <c r="A1448" s="20">
        <v>1447</v>
      </c>
      <c r="B1448" s="19" t="s">
        <v>1376</v>
      </c>
      <c r="C1448" s="19" t="s">
        <v>39</v>
      </c>
      <c r="D1448" s="19">
        <v>2146</v>
      </c>
      <c r="E1448" s="19">
        <v>320</v>
      </c>
      <c r="F1448" s="19">
        <v>0.97</v>
      </c>
      <c r="G1448" s="19">
        <v>20260402</v>
      </c>
      <c r="H1448" s="20" t="b">
        <f t="shared" si="22"/>
        <v>0</v>
      </c>
      <c r="I1448" s="21" t="str" cm="1">
        <f t="array" ref="I1448">GET_TICKER_FINAL(C1448)</f>
        <v/>
      </c>
      <c r="J1448" s="5" t="s">
        <v>25</v>
      </c>
    </row>
    <row r="1449" spans="1:10" hidden="1">
      <c r="A1449" s="23">
        <v>1448</v>
      </c>
      <c r="B1449" s="22" t="s">
        <v>1376</v>
      </c>
      <c r="C1449" s="22" t="s">
        <v>1425</v>
      </c>
      <c r="D1449" s="22">
        <v>2086</v>
      </c>
      <c r="E1449" s="22">
        <v>273</v>
      </c>
      <c r="F1449" s="22">
        <v>0.96</v>
      </c>
      <c r="G1449" s="22">
        <v>20260401</v>
      </c>
      <c r="H1449" s="23" t="b">
        <f t="shared" si="22"/>
        <v>0</v>
      </c>
      <c r="I1449" s="24" t="str" cm="1">
        <f t="array" ref="I1449">GET_TICKER_FINAL(C1449)</f>
        <v/>
      </c>
      <c r="J1449" s="5" t="s">
        <v>25</v>
      </c>
    </row>
    <row r="1450" spans="1:10" hidden="1">
      <c r="A1450" s="20">
        <v>1449</v>
      </c>
      <c r="B1450" s="19" t="s">
        <v>1376</v>
      </c>
      <c r="C1450" s="19" t="s">
        <v>1426</v>
      </c>
      <c r="D1450" s="19">
        <v>2083</v>
      </c>
      <c r="E1450" s="19">
        <v>346</v>
      </c>
      <c r="F1450" s="19">
        <v>0.95</v>
      </c>
      <c r="G1450" s="19">
        <v>20260402</v>
      </c>
      <c r="H1450" s="20" t="b">
        <f t="shared" si="22"/>
        <v>0</v>
      </c>
      <c r="I1450" s="21" t="str" cm="1">
        <f t="array" ref="I1450">GET_TICKER_FINAL(C1450)</f>
        <v/>
      </c>
      <c r="J1450" s="5" t="s">
        <v>25</v>
      </c>
    </row>
    <row r="1451" spans="1:10" hidden="1">
      <c r="A1451" s="23">
        <v>1450</v>
      </c>
      <c r="B1451" s="22" t="s">
        <v>1376</v>
      </c>
      <c r="C1451" s="22" t="s">
        <v>37</v>
      </c>
      <c r="D1451" s="22">
        <v>1994</v>
      </c>
      <c r="E1451" s="22">
        <v>324</v>
      </c>
      <c r="F1451" s="22">
        <v>0.97</v>
      </c>
      <c r="G1451" s="22">
        <v>20260402</v>
      </c>
      <c r="H1451" s="23" t="b">
        <f t="shared" si="22"/>
        <v>0</v>
      </c>
      <c r="I1451" s="24" t="str" cm="1">
        <f t="array" ref="I1451">GET_TICKER_FINAL(C1451)</f>
        <v/>
      </c>
      <c r="J1451" s="5" t="s">
        <v>16</v>
      </c>
    </row>
    <row r="1452" spans="1:10" hidden="1">
      <c r="A1452" s="20">
        <v>1451</v>
      </c>
      <c r="B1452" s="19" t="s">
        <v>1376</v>
      </c>
      <c r="C1452" s="19" t="s">
        <v>1427</v>
      </c>
      <c r="D1452" s="19">
        <v>1933</v>
      </c>
      <c r="E1452" s="19">
        <v>781</v>
      </c>
      <c r="F1452" s="19">
        <v>0.95</v>
      </c>
      <c r="G1452" s="19">
        <v>20260402</v>
      </c>
      <c r="H1452" s="20" t="b">
        <f t="shared" si="22"/>
        <v>0</v>
      </c>
      <c r="I1452" s="21" t="str" cm="1">
        <f t="array" ref="I1452">GET_TICKER_FINAL(C1452)</f>
        <v/>
      </c>
      <c r="J1452" s="5" t="s">
        <v>16</v>
      </c>
    </row>
    <row r="1453" spans="1:10" hidden="1">
      <c r="A1453" s="23">
        <v>1452</v>
      </c>
      <c r="B1453" s="22" t="s">
        <v>1376</v>
      </c>
      <c r="C1453" s="22" t="s">
        <v>1428</v>
      </c>
      <c r="D1453" s="22">
        <v>1922</v>
      </c>
      <c r="E1453" s="22">
        <v>394</v>
      </c>
      <c r="F1453" s="22">
        <v>0.95</v>
      </c>
      <c r="G1453" s="22">
        <v>20260331</v>
      </c>
      <c r="H1453" s="23" t="b">
        <f t="shared" si="22"/>
        <v>0</v>
      </c>
      <c r="I1453" s="24" t="str" cm="1">
        <f t="array" ref="I1453">GET_TICKER_FINAL(C1453)</f>
        <v/>
      </c>
      <c r="J1453" s="5" t="s">
        <v>25</v>
      </c>
    </row>
    <row r="1454" spans="1:10">
      <c r="A1454" s="20">
        <v>1453</v>
      </c>
      <c r="B1454" s="19" t="s">
        <v>1376</v>
      </c>
      <c r="C1454" s="19" t="s">
        <v>1429</v>
      </c>
      <c r="D1454" s="19">
        <v>1900</v>
      </c>
      <c r="E1454" s="19">
        <v>646</v>
      </c>
      <c r="F1454" s="19">
        <v>0.88</v>
      </c>
      <c r="G1454" s="19">
        <v>20260401</v>
      </c>
      <c r="H1454" s="20" t="b">
        <f t="shared" si="22"/>
        <v>0</v>
      </c>
      <c r="I1454" s="21" t="str" cm="1">
        <f t="array" ref="I1454">GET_TICKER_FINAL(C1454)</f>
        <v>MSFT</v>
      </c>
      <c r="J1454" s="5" t="s">
        <v>25</v>
      </c>
    </row>
    <row r="1455" spans="1:10" hidden="1">
      <c r="A1455" s="23">
        <v>1454</v>
      </c>
      <c r="B1455" s="22" t="s">
        <v>1376</v>
      </c>
      <c r="C1455" s="22" t="s">
        <v>1430</v>
      </c>
      <c r="D1455" s="22">
        <v>1813</v>
      </c>
      <c r="E1455" s="22">
        <v>376</v>
      </c>
      <c r="F1455" s="22">
        <v>0.96</v>
      </c>
      <c r="G1455" s="22">
        <v>20260331</v>
      </c>
      <c r="H1455" s="23" t="b">
        <f t="shared" si="22"/>
        <v>0</v>
      </c>
      <c r="I1455" s="24" t="str" cm="1">
        <f t="array" ref="I1455">GET_TICKER_FINAL(C1455)</f>
        <v/>
      </c>
      <c r="J1455" s="5" t="s">
        <v>16</v>
      </c>
    </row>
    <row r="1456" spans="1:10" hidden="1">
      <c r="A1456" s="20">
        <v>1455</v>
      </c>
      <c r="B1456" s="19" t="s">
        <v>1376</v>
      </c>
      <c r="C1456" s="19" t="s">
        <v>1431</v>
      </c>
      <c r="D1456" s="19">
        <v>1745</v>
      </c>
      <c r="E1456" s="19">
        <v>160</v>
      </c>
      <c r="F1456" s="19">
        <v>0.99</v>
      </c>
      <c r="G1456" s="19">
        <v>20260324</v>
      </c>
      <c r="H1456" s="20" t="b">
        <f t="shared" si="22"/>
        <v>0</v>
      </c>
      <c r="I1456" s="21" t="str" cm="1">
        <f t="array" ref="I1456">GET_TICKER_FINAL(C1456)</f>
        <v/>
      </c>
      <c r="J1456" s="5" t="s">
        <v>16</v>
      </c>
    </row>
    <row r="1457" spans="1:10" hidden="1">
      <c r="A1457" s="23">
        <v>1456</v>
      </c>
      <c r="B1457" s="22" t="s">
        <v>1376</v>
      </c>
      <c r="C1457" s="22" t="s">
        <v>1432</v>
      </c>
      <c r="D1457" s="22">
        <v>1740</v>
      </c>
      <c r="E1457" s="22">
        <v>384</v>
      </c>
      <c r="F1457" s="22">
        <v>0.96</v>
      </c>
      <c r="G1457" s="22">
        <v>20260323</v>
      </c>
      <c r="H1457" s="23" t="b">
        <f t="shared" si="22"/>
        <v>0</v>
      </c>
      <c r="I1457" s="24" t="str" cm="1">
        <f t="array" ref="I1457">GET_TICKER_FINAL(C1457)</f>
        <v/>
      </c>
      <c r="J1457" s="5" t="s">
        <v>28</v>
      </c>
    </row>
    <row r="1458" spans="1:10" hidden="1">
      <c r="A1458" s="20">
        <v>1457</v>
      </c>
      <c r="B1458" s="19" t="s">
        <v>1376</v>
      </c>
      <c r="C1458" s="19" t="s">
        <v>1433</v>
      </c>
      <c r="D1458" s="19">
        <v>1718</v>
      </c>
      <c r="E1458" s="19">
        <v>223</v>
      </c>
      <c r="F1458" s="19">
        <v>0.94</v>
      </c>
      <c r="G1458" s="19">
        <v>20260402</v>
      </c>
      <c r="H1458" s="20" t="b">
        <f t="shared" si="22"/>
        <v>0</v>
      </c>
      <c r="I1458" s="21" t="str" cm="1">
        <f t="array" ref="I1458">GET_TICKER_FINAL(C1458)</f>
        <v/>
      </c>
      <c r="J1458" s="5" t="s">
        <v>1792</v>
      </c>
    </row>
    <row r="1459" spans="1:10" hidden="1">
      <c r="A1459" s="23">
        <v>1458</v>
      </c>
      <c r="B1459" s="22" t="s">
        <v>1376</v>
      </c>
      <c r="C1459" s="22" t="s">
        <v>1434</v>
      </c>
      <c r="D1459" s="22">
        <v>1619</v>
      </c>
      <c r="E1459" s="22">
        <v>511</v>
      </c>
      <c r="F1459" s="22">
        <v>0.95</v>
      </c>
      <c r="G1459" s="22">
        <v>20260331</v>
      </c>
      <c r="H1459" s="23" t="b">
        <f t="shared" si="22"/>
        <v>0</v>
      </c>
      <c r="I1459" s="24" t="str" cm="1">
        <f t="array" ref="I1459">GET_TICKER_FINAL(C1459)</f>
        <v/>
      </c>
      <c r="J1459" s="5" t="s">
        <v>16</v>
      </c>
    </row>
    <row r="1460" spans="1:10" hidden="1">
      <c r="A1460" s="20">
        <v>1459</v>
      </c>
      <c r="B1460" s="19" t="s">
        <v>1376</v>
      </c>
      <c r="C1460" s="19" t="s">
        <v>1435</v>
      </c>
      <c r="D1460" s="19">
        <v>1567</v>
      </c>
      <c r="E1460" s="19">
        <v>156</v>
      </c>
      <c r="F1460" s="19">
        <v>0.95</v>
      </c>
      <c r="G1460" s="19">
        <v>20260323</v>
      </c>
      <c r="H1460" s="20" t="b">
        <f t="shared" si="22"/>
        <v>0</v>
      </c>
      <c r="I1460" s="21" t="str" cm="1">
        <f t="array" ref="I1460">GET_TICKER_FINAL(C1460)</f>
        <v/>
      </c>
      <c r="J1460" s="5" t="s">
        <v>25</v>
      </c>
    </row>
    <row r="1461" spans="1:10" hidden="1">
      <c r="A1461" s="23">
        <v>1460</v>
      </c>
      <c r="B1461" s="22" t="s">
        <v>1376</v>
      </c>
      <c r="C1461" s="22" t="s">
        <v>1436</v>
      </c>
      <c r="D1461" s="22">
        <v>1561</v>
      </c>
      <c r="E1461" s="22">
        <v>327</v>
      </c>
      <c r="F1461" s="22">
        <v>0.95</v>
      </c>
      <c r="G1461" s="22">
        <v>20260402</v>
      </c>
      <c r="H1461" s="23" t="b">
        <f t="shared" si="22"/>
        <v>0</v>
      </c>
      <c r="I1461" s="24" t="str" cm="1">
        <f t="array" ref="I1461">GET_TICKER_FINAL(C1461)</f>
        <v/>
      </c>
      <c r="J1461" s="5" t="s">
        <v>16</v>
      </c>
    </row>
    <row r="1462" spans="1:10" hidden="1">
      <c r="A1462" s="20">
        <v>1461</v>
      </c>
      <c r="B1462" s="19" t="s">
        <v>1376</v>
      </c>
      <c r="C1462" s="19" t="s">
        <v>1437</v>
      </c>
      <c r="D1462" s="19">
        <v>1551</v>
      </c>
      <c r="E1462" s="19">
        <v>309</v>
      </c>
      <c r="F1462" s="19">
        <v>0.93</v>
      </c>
      <c r="G1462" s="19">
        <v>20260330</v>
      </c>
      <c r="H1462" s="20" t="b">
        <f t="shared" si="22"/>
        <v>0</v>
      </c>
      <c r="I1462" s="21" t="str" cm="1">
        <f t="array" ref="I1462">GET_TICKER_FINAL(C1462)</f>
        <v/>
      </c>
      <c r="J1462" s="5" t="s">
        <v>1792</v>
      </c>
    </row>
    <row r="1463" spans="1:10" hidden="1">
      <c r="A1463" s="23">
        <v>1462</v>
      </c>
      <c r="B1463" s="22" t="s">
        <v>1376</v>
      </c>
      <c r="C1463" s="22" t="s">
        <v>1438</v>
      </c>
      <c r="D1463" s="22">
        <v>1523</v>
      </c>
      <c r="E1463" s="22">
        <v>249</v>
      </c>
      <c r="F1463" s="22">
        <v>0.97</v>
      </c>
      <c r="G1463" s="22">
        <v>20260323</v>
      </c>
      <c r="H1463" s="23" t="b">
        <f t="shared" si="22"/>
        <v>0</v>
      </c>
      <c r="I1463" s="24" t="str" cm="1">
        <f t="array" ref="I1463">GET_TICKER_FINAL(C1463)</f>
        <v/>
      </c>
      <c r="J1463" s="5" t="s">
        <v>25</v>
      </c>
    </row>
    <row r="1464" spans="1:10" hidden="1">
      <c r="A1464" s="20">
        <v>1463</v>
      </c>
      <c r="B1464" s="19" t="s">
        <v>1376</v>
      </c>
      <c r="C1464" s="19" t="s">
        <v>1439</v>
      </c>
      <c r="D1464" s="19">
        <v>1492</v>
      </c>
      <c r="E1464" s="19">
        <v>156</v>
      </c>
      <c r="F1464" s="19">
        <v>0.96</v>
      </c>
      <c r="G1464" s="19">
        <v>20260331</v>
      </c>
      <c r="H1464" s="20" t="b">
        <f t="shared" si="22"/>
        <v>0</v>
      </c>
      <c r="I1464" s="21" t="str" cm="1">
        <f t="array" ref="I1464">GET_TICKER_FINAL(C1464)</f>
        <v/>
      </c>
      <c r="J1464" s="5" t="s">
        <v>25</v>
      </c>
    </row>
    <row r="1465" spans="1:10" hidden="1">
      <c r="A1465" s="23">
        <v>1464</v>
      </c>
      <c r="B1465" s="22" t="s">
        <v>1376</v>
      </c>
      <c r="C1465" s="22" t="s">
        <v>793</v>
      </c>
      <c r="D1465" s="22">
        <v>1468</v>
      </c>
      <c r="E1465" s="22">
        <v>94</v>
      </c>
      <c r="F1465" s="22">
        <v>0.98</v>
      </c>
      <c r="G1465" s="22">
        <v>20260326</v>
      </c>
      <c r="H1465" s="23" t="b">
        <f t="shared" si="22"/>
        <v>0</v>
      </c>
      <c r="I1465" s="24" t="str" cm="1">
        <f t="array" ref="I1465">GET_TICKER_FINAL(C1465)</f>
        <v/>
      </c>
      <c r="J1465" s="5" t="s">
        <v>16</v>
      </c>
    </row>
    <row r="1466" spans="1:10" hidden="1">
      <c r="A1466" s="20">
        <v>1465</v>
      </c>
      <c r="B1466" s="19" t="s">
        <v>1376</v>
      </c>
      <c r="C1466" s="19" t="s">
        <v>1440</v>
      </c>
      <c r="D1466" s="19">
        <v>1429</v>
      </c>
      <c r="E1466" s="19">
        <v>180</v>
      </c>
      <c r="F1466" s="19">
        <v>0.96</v>
      </c>
      <c r="G1466" s="19">
        <v>20260327</v>
      </c>
      <c r="H1466" s="20" t="b">
        <f t="shared" si="22"/>
        <v>0</v>
      </c>
      <c r="I1466" s="21" t="str" cm="1">
        <f t="array" ref="I1466">GET_TICKER_FINAL(C1466)</f>
        <v/>
      </c>
      <c r="J1466" s="5" t="s">
        <v>16</v>
      </c>
    </row>
    <row r="1467" spans="1:10" hidden="1">
      <c r="A1467" s="23">
        <v>1466</v>
      </c>
      <c r="B1467" s="22" t="s">
        <v>1376</v>
      </c>
      <c r="C1467" s="22" t="s">
        <v>1441</v>
      </c>
      <c r="D1467" s="22">
        <v>1424</v>
      </c>
      <c r="E1467" s="22">
        <v>146</v>
      </c>
      <c r="F1467" s="22">
        <v>0.97</v>
      </c>
      <c r="G1467" s="22">
        <v>20260331</v>
      </c>
      <c r="H1467" s="23" t="b">
        <f t="shared" si="22"/>
        <v>0</v>
      </c>
      <c r="I1467" s="24" t="str" cm="1">
        <f t="array" ref="I1467">GET_TICKER_FINAL(C1467)</f>
        <v/>
      </c>
      <c r="J1467" s="5" t="s">
        <v>1792</v>
      </c>
    </row>
    <row r="1468" spans="1:10">
      <c r="A1468" s="20">
        <v>1467</v>
      </c>
      <c r="B1468" s="19" t="s">
        <v>1376</v>
      </c>
      <c r="C1468" s="19" t="s">
        <v>1442</v>
      </c>
      <c r="D1468" s="19">
        <v>1418</v>
      </c>
      <c r="E1468" s="19">
        <v>198</v>
      </c>
      <c r="F1468" s="19">
        <v>0.97</v>
      </c>
      <c r="G1468" s="19">
        <v>20260331</v>
      </c>
      <c r="H1468" s="20" t="b">
        <f t="shared" si="22"/>
        <v>0</v>
      </c>
      <c r="I1468" s="21" t="str" cm="1">
        <f t="array" ref="I1468">GET_TICKER_FINAL(C1468)</f>
        <v>MSFT</v>
      </c>
      <c r="J1468" s="5" t="s">
        <v>25</v>
      </c>
    </row>
    <row r="1469" spans="1:10">
      <c r="A1469" s="23">
        <v>1468</v>
      </c>
      <c r="B1469" s="22" t="s">
        <v>1376</v>
      </c>
      <c r="C1469" s="22" t="s">
        <v>1443</v>
      </c>
      <c r="D1469" s="22">
        <v>1408</v>
      </c>
      <c r="E1469" s="22">
        <v>167</v>
      </c>
      <c r="F1469" s="22">
        <v>0.98</v>
      </c>
      <c r="G1469" s="22">
        <v>20260323</v>
      </c>
      <c r="H1469" s="23" t="b">
        <f t="shared" si="22"/>
        <v>0</v>
      </c>
      <c r="I1469" s="24" t="str" cm="1">
        <f t="array" ref="I1469">GET_TICKER_FINAL(C1469)</f>
        <v>MU</v>
      </c>
      <c r="J1469" s="5" t="s">
        <v>25</v>
      </c>
    </row>
    <row r="1470" spans="1:10" hidden="1">
      <c r="A1470" s="20">
        <v>1469</v>
      </c>
      <c r="B1470" s="19" t="s">
        <v>1376</v>
      </c>
      <c r="C1470" s="19" t="s">
        <v>1444</v>
      </c>
      <c r="D1470" s="19">
        <v>1397</v>
      </c>
      <c r="E1470" s="19">
        <v>109</v>
      </c>
      <c r="F1470" s="19">
        <v>0.98</v>
      </c>
      <c r="G1470" s="19">
        <v>20260323</v>
      </c>
      <c r="H1470" s="20" t="b">
        <f t="shared" si="22"/>
        <v>0</v>
      </c>
      <c r="I1470" s="21" t="str" cm="1">
        <f t="array" ref="I1470">GET_TICKER_FINAL(C1470)</f>
        <v/>
      </c>
      <c r="J1470" s="5" t="s">
        <v>16</v>
      </c>
    </row>
    <row r="1471" spans="1:10" hidden="1">
      <c r="A1471" s="23">
        <v>1470</v>
      </c>
      <c r="B1471" s="22" t="s">
        <v>1376</v>
      </c>
      <c r="C1471" s="22" t="s">
        <v>1445</v>
      </c>
      <c r="D1471" s="22">
        <v>1390</v>
      </c>
      <c r="E1471" s="22">
        <v>198</v>
      </c>
      <c r="F1471" s="22">
        <v>0.97</v>
      </c>
      <c r="G1471" s="22">
        <v>20260326</v>
      </c>
      <c r="H1471" s="23" t="b">
        <f t="shared" si="22"/>
        <v>0</v>
      </c>
      <c r="I1471" s="24" t="str" cm="1">
        <f t="array" ref="I1471">GET_TICKER_FINAL(C1471)</f>
        <v/>
      </c>
      <c r="J1471" s="5" t="s">
        <v>16</v>
      </c>
    </row>
    <row r="1472" spans="1:10" hidden="1">
      <c r="A1472" s="20">
        <v>1471</v>
      </c>
      <c r="B1472" s="19" t="s">
        <v>1376</v>
      </c>
      <c r="C1472" s="19" t="s">
        <v>1446</v>
      </c>
      <c r="D1472" s="19">
        <v>1382</v>
      </c>
      <c r="E1472" s="19">
        <v>164</v>
      </c>
      <c r="F1472" s="19">
        <v>0.93</v>
      </c>
      <c r="G1472" s="19">
        <v>20260402</v>
      </c>
      <c r="H1472" s="20" t="b">
        <f t="shared" si="22"/>
        <v>0</v>
      </c>
      <c r="I1472" s="21" t="str" cm="1">
        <f t="array" ref="I1472">GET_TICKER_FINAL(C1472)</f>
        <v/>
      </c>
      <c r="J1472" s="5" t="s">
        <v>25</v>
      </c>
    </row>
    <row r="1473" spans="1:10" hidden="1">
      <c r="A1473" s="23">
        <v>1472</v>
      </c>
      <c r="B1473" s="22" t="s">
        <v>1376</v>
      </c>
      <c r="C1473" s="22" t="s">
        <v>1447</v>
      </c>
      <c r="D1473" s="22">
        <v>1380</v>
      </c>
      <c r="E1473" s="22">
        <v>126</v>
      </c>
      <c r="F1473" s="22">
        <v>0.97</v>
      </c>
      <c r="G1473" s="22">
        <v>20260326</v>
      </c>
      <c r="H1473" s="23" t="b">
        <f t="shared" si="22"/>
        <v>0</v>
      </c>
      <c r="I1473" s="24" t="str" cm="1">
        <f t="array" ref="I1473">GET_TICKER_FINAL(C1473)</f>
        <v/>
      </c>
      <c r="J1473" s="5" t="s">
        <v>16</v>
      </c>
    </row>
    <row r="1474" spans="1:10" hidden="1">
      <c r="A1474" s="20">
        <v>1473</v>
      </c>
      <c r="B1474" s="19" t="s">
        <v>1376</v>
      </c>
      <c r="C1474" s="19" t="s">
        <v>1448</v>
      </c>
      <c r="D1474" s="19">
        <v>1369</v>
      </c>
      <c r="E1474" s="19">
        <v>165</v>
      </c>
      <c r="F1474" s="19">
        <v>0.97</v>
      </c>
      <c r="G1474" s="19">
        <v>20260327</v>
      </c>
      <c r="H1474" s="20" t="b">
        <f t="shared" si="22"/>
        <v>0</v>
      </c>
      <c r="I1474" s="21" t="str" cm="1">
        <f t="array" ref="I1474">GET_TICKER_FINAL(C1474)</f>
        <v/>
      </c>
      <c r="J1474" s="5" t="s">
        <v>16</v>
      </c>
    </row>
    <row r="1475" spans="1:10" hidden="1">
      <c r="A1475" s="23">
        <v>1474</v>
      </c>
      <c r="B1475" s="22" t="s">
        <v>1376</v>
      </c>
      <c r="C1475" s="22" t="s">
        <v>1449</v>
      </c>
      <c r="D1475" s="22">
        <v>1359</v>
      </c>
      <c r="E1475" s="22">
        <v>324</v>
      </c>
      <c r="F1475" s="22">
        <v>0.97</v>
      </c>
      <c r="G1475" s="22">
        <v>20260323</v>
      </c>
      <c r="H1475" s="23" t="b">
        <f t="shared" ref="H1475:H1538" si="23">OR(ISNUMBER(SEARCH("$A",C1475)),ISNUMBER(SEARCH("$B",C1475)),ISNUMBER(SEARCH("$C",C1475)),ISNUMBER(SEARCH("$D",C1475)),ISNUMBER(SEARCH("$E",C1475)),ISNUMBER(SEARCH("$F",C1475)),ISNUMBER(SEARCH("$G",C1475)),ISNUMBER(SEARCH("$H",C1475)),ISNUMBER(SEARCH("$I",C1475)),ISNUMBER(SEARCH("$J",C1475)),ISNUMBER(SEARCH("$K",C1475)),ISNUMBER(SEARCH("$L",C1475)),ISNUMBER(SEARCH("$M",C1475)),ISNUMBER(SEARCH("$N",C1475)),ISNUMBER(SEARCH("$O",C1475)),ISNUMBER(SEARCH("$P",C1475)),ISNUMBER(SEARCH("$Q",C1475)),ISNUMBER(SEARCH("$R",C1475)),ISNUMBER(SEARCH("$S",C1475)),ISNUMBER(SEARCH("$T",C1475)),ISNUMBER(SEARCH("$U",C1475)),ISNUMBER(SEARCH("$V",C1475)),ISNUMBER(SEARCH("$W",C1475)),ISNUMBER(SEARCH("$X",C1475)),ISNUMBER(SEARCH("$Y",C1475)),ISNUMBER(SEARCH("$Z",C1475)))</f>
        <v>0</v>
      </c>
      <c r="I1475" s="24" t="str" cm="1">
        <f t="array" ref="I1475">GET_TICKER_FINAL(C1475)</f>
        <v/>
      </c>
      <c r="J1475" s="5" t="s">
        <v>16</v>
      </c>
    </row>
    <row r="1476" spans="1:10" hidden="1">
      <c r="A1476" s="20">
        <v>1475</v>
      </c>
      <c r="B1476" s="19" t="s">
        <v>1376</v>
      </c>
      <c r="C1476" s="19" t="s">
        <v>1450</v>
      </c>
      <c r="D1476" s="19">
        <v>1357</v>
      </c>
      <c r="E1476" s="19">
        <v>200</v>
      </c>
      <c r="F1476" s="19">
        <v>0.98</v>
      </c>
      <c r="G1476" s="19">
        <v>20260323</v>
      </c>
      <c r="H1476" s="20" t="b">
        <f t="shared" si="23"/>
        <v>0</v>
      </c>
      <c r="I1476" s="21" t="str" cm="1">
        <f t="array" ref="I1476">GET_TICKER_FINAL(C1476)</f>
        <v/>
      </c>
      <c r="J1476" s="5" t="s">
        <v>16</v>
      </c>
    </row>
    <row r="1477" spans="1:10" hidden="1">
      <c r="A1477" s="23">
        <v>1476</v>
      </c>
      <c r="B1477" s="22" t="s">
        <v>1376</v>
      </c>
      <c r="C1477" s="22" t="s">
        <v>1451</v>
      </c>
      <c r="D1477" s="22">
        <v>1336</v>
      </c>
      <c r="E1477" s="22">
        <v>98</v>
      </c>
      <c r="F1477" s="22">
        <v>0.98</v>
      </c>
      <c r="G1477" s="22">
        <v>20260327</v>
      </c>
      <c r="H1477" s="23" t="b">
        <f t="shared" si="23"/>
        <v>0</v>
      </c>
      <c r="I1477" s="24" t="str" cm="1">
        <f t="array" ref="I1477">GET_TICKER_FINAL(C1477)</f>
        <v/>
      </c>
      <c r="J1477" s="5" t="s">
        <v>16</v>
      </c>
    </row>
    <row r="1478" spans="1:10" hidden="1">
      <c r="A1478" s="20">
        <v>1477</v>
      </c>
      <c r="B1478" s="19" t="s">
        <v>1376</v>
      </c>
      <c r="C1478" s="19" t="s">
        <v>1110</v>
      </c>
      <c r="D1478" s="19">
        <v>1279</v>
      </c>
      <c r="E1478" s="19">
        <v>238</v>
      </c>
      <c r="F1478" s="19">
        <v>0.98</v>
      </c>
      <c r="G1478" s="19">
        <v>20260402</v>
      </c>
      <c r="H1478" s="20" t="b">
        <f t="shared" si="23"/>
        <v>0</v>
      </c>
      <c r="I1478" s="21" t="str" cm="1">
        <f t="array" ref="I1478">GET_TICKER_FINAL(C1478)</f>
        <v/>
      </c>
      <c r="J1478" s="5" t="s">
        <v>25</v>
      </c>
    </row>
    <row r="1479" spans="1:10" hidden="1">
      <c r="A1479" s="23">
        <v>1478</v>
      </c>
      <c r="B1479" s="22" t="s">
        <v>1376</v>
      </c>
      <c r="C1479" s="22" t="s">
        <v>1452</v>
      </c>
      <c r="D1479" s="22">
        <v>1268</v>
      </c>
      <c r="E1479" s="22">
        <v>592</v>
      </c>
      <c r="F1479" s="22">
        <v>0.86</v>
      </c>
      <c r="G1479" s="22">
        <v>20260402</v>
      </c>
      <c r="H1479" s="23" t="b">
        <f t="shared" si="23"/>
        <v>0</v>
      </c>
      <c r="I1479" s="24" t="str" cm="1">
        <f t="array" ref="I1479">GET_TICKER_FINAL(C1479)</f>
        <v/>
      </c>
      <c r="J1479" s="5" t="s">
        <v>16</v>
      </c>
    </row>
    <row r="1480" spans="1:10" hidden="1">
      <c r="A1480" s="20">
        <v>1479</v>
      </c>
      <c r="B1480" s="19" t="s">
        <v>1376</v>
      </c>
      <c r="C1480" s="19" t="s">
        <v>1453</v>
      </c>
      <c r="D1480" s="19">
        <v>1266</v>
      </c>
      <c r="E1480" s="19">
        <v>192</v>
      </c>
      <c r="F1480" s="19">
        <v>0.94</v>
      </c>
      <c r="G1480" s="19">
        <v>20260323</v>
      </c>
      <c r="H1480" s="20" t="b">
        <f t="shared" si="23"/>
        <v>0</v>
      </c>
      <c r="I1480" s="21" t="str" cm="1">
        <f t="array" ref="I1480">GET_TICKER_FINAL(C1480)</f>
        <v/>
      </c>
      <c r="J1480" s="5" t="s">
        <v>25</v>
      </c>
    </row>
    <row r="1481" spans="1:10" hidden="1">
      <c r="A1481" s="23">
        <v>1480</v>
      </c>
      <c r="B1481" s="22" t="s">
        <v>1376</v>
      </c>
      <c r="C1481" s="22" t="s">
        <v>1454</v>
      </c>
      <c r="D1481" s="22">
        <v>1252</v>
      </c>
      <c r="E1481" s="22">
        <v>189</v>
      </c>
      <c r="F1481" s="22">
        <v>0.95</v>
      </c>
      <c r="G1481" s="22">
        <v>20260330</v>
      </c>
      <c r="H1481" s="23" t="b">
        <f t="shared" si="23"/>
        <v>0</v>
      </c>
      <c r="I1481" s="24" t="str" cm="1">
        <f t="array" ref="I1481">GET_TICKER_FINAL(C1481)</f>
        <v/>
      </c>
      <c r="J1481" s="5" t="s">
        <v>1792</v>
      </c>
    </row>
    <row r="1482" spans="1:10" hidden="1">
      <c r="A1482" s="20">
        <v>1481</v>
      </c>
      <c r="B1482" s="19" t="s">
        <v>1376</v>
      </c>
      <c r="C1482" s="19" t="s">
        <v>1455</v>
      </c>
      <c r="D1482" s="19">
        <v>1248</v>
      </c>
      <c r="E1482" s="19">
        <v>183</v>
      </c>
      <c r="F1482" s="19">
        <v>0.93</v>
      </c>
      <c r="G1482" s="19">
        <v>20260326</v>
      </c>
      <c r="H1482" s="20" t="b">
        <f t="shared" si="23"/>
        <v>0</v>
      </c>
      <c r="I1482" s="21" t="str" cm="1">
        <f t="array" ref="I1482">GET_TICKER_FINAL(C1482)</f>
        <v/>
      </c>
      <c r="J1482" s="5" t="s">
        <v>1792</v>
      </c>
    </row>
    <row r="1483" spans="1:10" hidden="1">
      <c r="A1483" s="23">
        <v>1482</v>
      </c>
      <c r="B1483" s="22" t="s">
        <v>1376</v>
      </c>
      <c r="C1483" s="22" t="s">
        <v>1456</v>
      </c>
      <c r="D1483" s="22">
        <v>1239</v>
      </c>
      <c r="E1483" s="22">
        <v>724</v>
      </c>
      <c r="F1483" s="22">
        <v>0.86</v>
      </c>
      <c r="G1483" s="22">
        <v>20260402</v>
      </c>
      <c r="H1483" s="23" t="b">
        <f t="shared" si="23"/>
        <v>0</v>
      </c>
      <c r="I1483" s="24" t="str" cm="1">
        <f t="array" ref="I1483">GET_TICKER_FINAL(C1483)</f>
        <v/>
      </c>
      <c r="J1483" s="5" t="s">
        <v>1792</v>
      </c>
    </row>
    <row r="1484" spans="1:10" hidden="1">
      <c r="A1484" s="20">
        <v>1483</v>
      </c>
      <c r="B1484" s="19" t="s">
        <v>1376</v>
      </c>
      <c r="C1484" s="19" t="s">
        <v>1457</v>
      </c>
      <c r="D1484" s="19">
        <v>1147</v>
      </c>
      <c r="E1484" s="19">
        <v>341</v>
      </c>
      <c r="F1484" s="19">
        <v>0.95</v>
      </c>
      <c r="G1484" s="19">
        <v>20260330</v>
      </c>
      <c r="H1484" s="20" t="b">
        <f t="shared" si="23"/>
        <v>0</v>
      </c>
      <c r="I1484" s="21" t="str" cm="1">
        <f t="array" ref="I1484">GET_TICKER_FINAL(C1484)</f>
        <v/>
      </c>
      <c r="J1484" s="5" t="s">
        <v>25</v>
      </c>
    </row>
    <row r="1485" spans="1:10" hidden="1">
      <c r="A1485" s="23">
        <v>1484</v>
      </c>
      <c r="B1485" s="22" t="s">
        <v>1376</v>
      </c>
      <c r="C1485" s="22" t="s">
        <v>1458</v>
      </c>
      <c r="D1485" s="22">
        <v>1122</v>
      </c>
      <c r="E1485" s="22">
        <v>166</v>
      </c>
      <c r="F1485" s="22">
        <v>0.96</v>
      </c>
      <c r="G1485" s="22">
        <v>20260330</v>
      </c>
      <c r="H1485" s="23" t="b">
        <f t="shared" si="23"/>
        <v>0</v>
      </c>
      <c r="I1485" s="24" t="str" cm="1">
        <f t="array" ref="I1485">GET_TICKER_FINAL(C1485)</f>
        <v/>
      </c>
      <c r="J1485" s="5" t="s">
        <v>1792</v>
      </c>
    </row>
    <row r="1486" spans="1:10">
      <c r="A1486" s="20">
        <v>1485</v>
      </c>
      <c r="B1486" s="19" t="s">
        <v>1376</v>
      </c>
      <c r="C1486" s="19" t="s">
        <v>1459</v>
      </c>
      <c r="D1486" s="19">
        <v>1085</v>
      </c>
      <c r="E1486" s="19">
        <v>244</v>
      </c>
      <c r="F1486" s="19">
        <v>0.96</v>
      </c>
      <c r="G1486" s="19">
        <v>20260320</v>
      </c>
      <c r="H1486" s="20" t="b">
        <f t="shared" si="23"/>
        <v>0</v>
      </c>
      <c r="I1486" s="21" t="str" cm="1">
        <f t="array" ref="I1486">GET_TICKER_FINAL(C1486)</f>
        <v>COST</v>
      </c>
      <c r="J1486" s="5" t="s">
        <v>1792</v>
      </c>
    </row>
    <row r="1487" spans="1:10" hidden="1">
      <c r="A1487" s="23">
        <v>1486</v>
      </c>
      <c r="B1487" s="22" t="s">
        <v>1376</v>
      </c>
      <c r="C1487" s="22" t="s">
        <v>1460</v>
      </c>
      <c r="D1487" s="22">
        <v>1065</v>
      </c>
      <c r="E1487" s="22">
        <v>418</v>
      </c>
      <c r="F1487" s="22">
        <v>0.9</v>
      </c>
      <c r="G1487" s="22">
        <v>20260402</v>
      </c>
      <c r="H1487" s="23" t="b">
        <f t="shared" si="23"/>
        <v>0</v>
      </c>
      <c r="I1487" s="24" t="str" cm="1">
        <f t="array" ref="I1487">GET_TICKER_FINAL(C1487)</f>
        <v/>
      </c>
      <c r="J1487" s="5" t="s">
        <v>1792</v>
      </c>
    </row>
    <row r="1488" spans="1:10">
      <c r="A1488" s="20">
        <v>1487</v>
      </c>
      <c r="B1488" s="19" t="s">
        <v>1376</v>
      </c>
      <c r="C1488" s="19" t="s">
        <v>1461</v>
      </c>
      <c r="D1488" s="19">
        <v>1041</v>
      </c>
      <c r="E1488" s="19">
        <v>139</v>
      </c>
      <c r="F1488" s="19">
        <v>0.94</v>
      </c>
      <c r="G1488" s="19">
        <v>20260320</v>
      </c>
      <c r="H1488" s="20" t="b">
        <f t="shared" si="23"/>
        <v>0</v>
      </c>
      <c r="I1488" s="21" t="str" cm="1">
        <f t="array" ref="I1488">GET_TICKER_FINAL(C1488)</f>
        <v>SPY</v>
      </c>
      <c r="J1488" s="5" t="s">
        <v>16</v>
      </c>
    </row>
    <row r="1489" spans="1:10">
      <c r="A1489" s="23">
        <v>1488</v>
      </c>
      <c r="B1489" s="22" t="s">
        <v>1376</v>
      </c>
      <c r="C1489" s="22" t="s">
        <v>1462</v>
      </c>
      <c r="D1489" s="22">
        <v>1033</v>
      </c>
      <c r="E1489" s="22">
        <v>99</v>
      </c>
      <c r="F1489" s="22">
        <v>0.98</v>
      </c>
      <c r="G1489" s="22">
        <v>20260331</v>
      </c>
      <c r="H1489" s="23" t="b">
        <f t="shared" si="23"/>
        <v>0</v>
      </c>
      <c r="I1489" s="24" t="str" cm="1">
        <f t="array" ref="I1489">GET_TICKER_FINAL(C1489)</f>
        <v>MSFT</v>
      </c>
      <c r="J1489" s="5" t="s">
        <v>16</v>
      </c>
    </row>
    <row r="1490" spans="1:10" hidden="1">
      <c r="A1490" s="20">
        <v>1489</v>
      </c>
      <c r="B1490" s="19" t="s">
        <v>1376</v>
      </c>
      <c r="C1490" s="19" t="s">
        <v>1463</v>
      </c>
      <c r="D1490" s="19">
        <v>1027</v>
      </c>
      <c r="E1490" s="19">
        <v>377</v>
      </c>
      <c r="F1490" s="19">
        <v>0.91</v>
      </c>
      <c r="G1490" s="19">
        <v>20260326</v>
      </c>
      <c r="H1490" s="20" t="b">
        <f t="shared" si="23"/>
        <v>0</v>
      </c>
      <c r="I1490" s="21" t="str" cm="1">
        <f t="array" ref="I1490">GET_TICKER_FINAL(C1490)</f>
        <v/>
      </c>
      <c r="J1490" s="5" t="s">
        <v>25</v>
      </c>
    </row>
    <row r="1491" spans="1:10" hidden="1">
      <c r="A1491" s="23">
        <v>1490</v>
      </c>
      <c r="B1491" s="22" t="s">
        <v>1376</v>
      </c>
      <c r="C1491" s="22" t="s">
        <v>1288</v>
      </c>
      <c r="D1491" s="22">
        <v>1026</v>
      </c>
      <c r="E1491" s="22">
        <v>565</v>
      </c>
      <c r="F1491" s="22">
        <v>0.76</v>
      </c>
      <c r="G1491" s="22">
        <v>20260326</v>
      </c>
      <c r="H1491" s="23" t="b">
        <f t="shared" si="23"/>
        <v>0</v>
      </c>
      <c r="I1491" s="24" t="str" cm="1">
        <f t="array" ref="I1491">GET_TICKER_FINAL(C1491)</f>
        <v/>
      </c>
      <c r="J1491" s="5" t="s">
        <v>16</v>
      </c>
    </row>
    <row r="1492" spans="1:10" hidden="1">
      <c r="A1492" s="20">
        <v>1491</v>
      </c>
      <c r="B1492" s="19" t="s">
        <v>1376</v>
      </c>
      <c r="C1492" s="19" t="s">
        <v>1464</v>
      </c>
      <c r="D1492" s="19">
        <v>995</v>
      </c>
      <c r="E1492" s="19">
        <v>309</v>
      </c>
      <c r="F1492" s="19">
        <v>0.92</v>
      </c>
      <c r="G1492" s="19">
        <v>20260320</v>
      </c>
      <c r="H1492" s="20" t="b">
        <f t="shared" si="23"/>
        <v>0</v>
      </c>
      <c r="I1492" s="21" t="str" cm="1">
        <f t="array" ref="I1492">GET_TICKER_FINAL(C1492)</f>
        <v/>
      </c>
      <c r="J1492" s="5" t="s">
        <v>1792</v>
      </c>
    </row>
    <row r="1493" spans="1:10">
      <c r="A1493" s="23">
        <v>1492</v>
      </c>
      <c r="B1493" s="22" t="s">
        <v>1376</v>
      </c>
      <c r="C1493" s="22" t="s">
        <v>1465</v>
      </c>
      <c r="D1493" s="22">
        <v>994</v>
      </c>
      <c r="E1493" s="22">
        <v>95</v>
      </c>
      <c r="F1493" s="22">
        <v>0.97</v>
      </c>
      <c r="G1493" s="22">
        <v>20260331</v>
      </c>
      <c r="H1493" s="23" t="b">
        <f t="shared" si="23"/>
        <v>0</v>
      </c>
      <c r="I1493" s="24" t="str" cm="1">
        <f t="array" ref="I1493">GET_TICKER_FINAL(C1493)</f>
        <v>GOOGL</v>
      </c>
      <c r="J1493" s="5" t="s">
        <v>16</v>
      </c>
    </row>
    <row r="1494" spans="1:10">
      <c r="A1494" s="20">
        <v>1493</v>
      </c>
      <c r="B1494" s="19" t="s">
        <v>1376</v>
      </c>
      <c r="C1494" s="19" t="s">
        <v>1466</v>
      </c>
      <c r="D1494" s="19">
        <v>982</v>
      </c>
      <c r="E1494" s="19">
        <v>73</v>
      </c>
      <c r="F1494" s="19">
        <v>0.97</v>
      </c>
      <c r="G1494" s="19">
        <v>20260324</v>
      </c>
      <c r="H1494" s="20" t="b">
        <f t="shared" si="23"/>
        <v>0</v>
      </c>
      <c r="I1494" s="21" t="str" cm="1">
        <f t="array" ref="I1494">GET_TICKER_FINAL(C1494)</f>
        <v>SMCI</v>
      </c>
      <c r="J1494" s="5" t="s">
        <v>16</v>
      </c>
    </row>
    <row r="1495" spans="1:10" hidden="1">
      <c r="A1495" s="23">
        <v>1494</v>
      </c>
      <c r="B1495" s="22" t="s">
        <v>1376</v>
      </c>
      <c r="C1495" s="22" t="s">
        <v>1467</v>
      </c>
      <c r="D1495" s="22">
        <v>940</v>
      </c>
      <c r="E1495" s="22">
        <v>75</v>
      </c>
      <c r="F1495" s="22">
        <v>0.97</v>
      </c>
      <c r="G1495" s="22">
        <v>20260323</v>
      </c>
      <c r="H1495" s="23" t="b">
        <f t="shared" si="23"/>
        <v>0</v>
      </c>
      <c r="I1495" s="24" t="str" cm="1">
        <f t="array" ref="I1495">GET_TICKER_FINAL(C1495)</f>
        <v/>
      </c>
      <c r="J1495" s="5" t="s">
        <v>1792</v>
      </c>
    </row>
    <row r="1496" spans="1:10" hidden="1">
      <c r="A1496" s="20">
        <v>1495</v>
      </c>
      <c r="B1496" s="19" t="s">
        <v>1376</v>
      </c>
      <c r="C1496" s="19" t="s">
        <v>1468</v>
      </c>
      <c r="D1496" s="19">
        <v>933</v>
      </c>
      <c r="E1496" s="19">
        <v>280</v>
      </c>
      <c r="F1496" s="19">
        <v>0.98</v>
      </c>
      <c r="G1496" s="19">
        <v>20260331</v>
      </c>
      <c r="H1496" s="20" t="b">
        <f t="shared" si="23"/>
        <v>0</v>
      </c>
      <c r="I1496" s="21" t="str" cm="1">
        <f t="array" ref="I1496">GET_TICKER_FINAL(C1496)</f>
        <v/>
      </c>
      <c r="J1496" s="5" t="s">
        <v>16</v>
      </c>
    </row>
    <row r="1497" spans="1:10">
      <c r="A1497" s="23">
        <v>1496</v>
      </c>
      <c r="B1497" s="22" t="s">
        <v>1376</v>
      </c>
      <c r="C1497" s="22" t="s">
        <v>1469</v>
      </c>
      <c r="D1497" s="22">
        <v>931</v>
      </c>
      <c r="E1497" s="22">
        <v>134</v>
      </c>
      <c r="F1497" s="22">
        <v>0.95</v>
      </c>
      <c r="G1497" s="22">
        <v>20260326</v>
      </c>
      <c r="H1497" s="23" t="b">
        <f t="shared" si="23"/>
        <v>0</v>
      </c>
      <c r="I1497" s="24" t="str" cm="1">
        <f t="array" ref="I1497">GET_TICKER_FINAL(C1497)</f>
        <v>SPY</v>
      </c>
      <c r="J1497" s="5" t="s">
        <v>25</v>
      </c>
    </row>
    <row r="1498" spans="1:10" hidden="1">
      <c r="A1498" s="20">
        <v>1497</v>
      </c>
      <c r="B1498" s="19" t="s">
        <v>1376</v>
      </c>
      <c r="C1498" s="19" t="s">
        <v>1470</v>
      </c>
      <c r="D1498" s="19">
        <v>927</v>
      </c>
      <c r="E1498" s="19">
        <v>48</v>
      </c>
      <c r="F1498" s="19">
        <v>0.96</v>
      </c>
      <c r="G1498" s="19">
        <v>20260326</v>
      </c>
      <c r="H1498" s="20" t="b">
        <f t="shared" si="23"/>
        <v>0</v>
      </c>
      <c r="I1498" s="21" t="str" cm="1">
        <f t="array" ref="I1498">GET_TICKER_FINAL(C1498)</f>
        <v/>
      </c>
      <c r="J1498" s="5" t="s">
        <v>1792</v>
      </c>
    </row>
    <row r="1499" spans="1:10">
      <c r="A1499" s="23">
        <v>1498</v>
      </c>
      <c r="B1499" s="22" t="s">
        <v>1376</v>
      </c>
      <c r="C1499" s="22" t="s">
        <v>1471</v>
      </c>
      <c r="D1499" s="22">
        <v>927</v>
      </c>
      <c r="E1499" s="22">
        <v>171</v>
      </c>
      <c r="F1499" s="22">
        <v>0.96</v>
      </c>
      <c r="G1499" s="22">
        <v>20260326</v>
      </c>
      <c r="H1499" s="23" t="b">
        <f t="shared" si="23"/>
        <v>0</v>
      </c>
      <c r="I1499" s="24" t="str" cm="1">
        <f t="array" ref="I1499">GET_TICKER_FINAL(C1499)</f>
        <v>AMZN</v>
      </c>
      <c r="J1499" s="5" t="s">
        <v>16</v>
      </c>
    </row>
    <row r="1500" spans="1:10" hidden="1">
      <c r="A1500" s="20">
        <v>1499</v>
      </c>
      <c r="B1500" s="19" t="s">
        <v>1376</v>
      </c>
      <c r="C1500" s="19" t="s">
        <v>1472</v>
      </c>
      <c r="D1500" s="19">
        <v>920</v>
      </c>
      <c r="E1500" s="19">
        <v>88</v>
      </c>
      <c r="F1500" s="19">
        <v>0.94</v>
      </c>
      <c r="G1500" s="19">
        <v>20260401</v>
      </c>
      <c r="H1500" s="20" t="b">
        <f t="shared" si="23"/>
        <v>0</v>
      </c>
      <c r="I1500" s="21" t="str" cm="1">
        <f t="array" ref="I1500">GET_TICKER_FINAL(C1500)</f>
        <v/>
      </c>
      <c r="J1500" s="5" t="s">
        <v>25</v>
      </c>
    </row>
    <row r="1501" spans="1:10" hidden="1">
      <c r="A1501" s="23">
        <v>1500</v>
      </c>
      <c r="B1501" s="22" t="s">
        <v>1376</v>
      </c>
      <c r="C1501" s="22" t="s">
        <v>1473</v>
      </c>
      <c r="D1501" s="22">
        <v>915</v>
      </c>
      <c r="E1501" s="22">
        <v>274</v>
      </c>
      <c r="F1501" s="22">
        <v>0.94</v>
      </c>
      <c r="G1501" s="22">
        <v>20260323</v>
      </c>
      <c r="H1501" s="23" t="b">
        <f t="shared" si="23"/>
        <v>0</v>
      </c>
      <c r="I1501" s="24" t="str" cm="1">
        <f t="array" ref="I1501">GET_TICKER_FINAL(C1501)</f>
        <v/>
      </c>
      <c r="J1501" s="5" t="s">
        <v>1792</v>
      </c>
    </row>
    <row r="1502" spans="1:10" hidden="1">
      <c r="A1502" s="20">
        <v>1501</v>
      </c>
      <c r="B1502" s="19" t="s">
        <v>1376</v>
      </c>
      <c r="C1502" s="19" t="s">
        <v>1474</v>
      </c>
      <c r="D1502" s="19">
        <v>888</v>
      </c>
      <c r="E1502" s="19">
        <v>213</v>
      </c>
      <c r="F1502" s="19">
        <v>0.96</v>
      </c>
      <c r="G1502" s="19">
        <v>20260323</v>
      </c>
      <c r="H1502" s="20" t="b">
        <f t="shared" si="23"/>
        <v>0</v>
      </c>
      <c r="I1502" s="21" t="str" cm="1">
        <f t="array" ref="I1502">GET_TICKER_FINAL(C1502)</f>
        <v/>
      </c>
      <c r="J1502" s="5" t="s">
        <v>16</v>
      </c>
    </row>
    <row r="1503" spans="1:10" hidden="1">
      <c r="A1503" s="23">
        <v>1502</v>
      </c>
      <c r="B1503" s="22" t="s">
        <v>1376</v>
      </c>
      <c r="C1503" s="22" t="s">
        <v>1475</v>
      </c>
      <c r="D1503" s="22">
        <v>873</v>
      </c>
      <c r="E1503" s="22">
        <v>100</v>
      </c>
      <c r="F1503" s="22">
        <v>0.94</v>
      </c>
      <c r="G1503" s="22">
        <v>20260331</v>
      </c>
      <c r="H1503" s="23" t="b">
        <f t="shared" si="23"/>
        <v>0</v>
      </c>
      <c r="I1503" s="24" t="str" cm="1">
        <f t="array" ref="I1503">GET_TICKER_FINAL(C1503)</f>
        <v/>
      </c>
      <c r="J1503" s="5" t="s">
        <v>1792</v>
      </c>
    </row>
    <row r="1504" spans="1:10">
      <c r="A1504" s="20">
        <v>1503</v>
      </c>
      <c r="B1504" s="19" t="s">
        <v>1376</v>
      </c>
      <c r="C1504" s="19" t="s">
        <v>1476</v>
      </c>
      <c r="D1504" s="19">
        <v>846</v>
      </c>
      <c r="E1504" s="19">
        <v>367</v>
      </c>
      <c r="F1504" s="19">
        <v>0.94</v>
      </c>
      <c r="G1504" s="19">
        <v>20260324</v>
      </c>
      <c r="H1504" s="20" t="b">
        <f t="shared" si="23"/>
        <v>0</v>
      </c>
      <c r="I1504" s="21" t="str" cm="1">
        <f t="array" ref="I1504">GET_TICKER_FINAL(C1504)</f>
        <v>MSFT</v>
      </c>
      <c r="J1504" s="5" t="s">
        <v>28</v>
      </c>
    </row>
    <row r="1505" spans="1:10" hidden="1">
      <c r="A1505" s="23">
        <v>1504</v>
      </c>
      <c r="B1505" s="22" t="s">
        <v>1376</v>
      </c>
      <c r="C1505" s="22" t="s">
        <v>1477</v>
      </c>
      <c r="D1505" s="22">
        <v>805</v>
      </c>
      <c r="E1505" s="22">
        <v>111</v>
      </c>
      <c r="F1505" s="22">
        <v>0.98</v>
      </c>
      <c r="G1505" s="22">
        <v>20260402</v>
      </c>
      <c r="H1505" s="23" t="b">
        <f t="shared" si="23"/>
        <v>0</v>
      </c>
      <c r="I1505" s="24" t="str" cm="1">
        <f t="array" ref="I1505">GET_TICKER_FINAL(C1505)</f>
        <v/>
      </c>
      <c r="J1505" s="5" t="s">
        <v>25</v>
      </c>
    </row>
    <row r="1506" spans="1:10" hidden="1">
      <c r="A1506" s="20">
        <v>1505</v>
      </c>
      <c r="B1506" s="19" t="s">
        <v>1376</v>
      </c>
      <c r="C1506" s="19" t="s">
        <v>1478</v>
      </c>
      <c r="D1506" s="19">
        <v>753</v>
      </c>
      <c r="E1506" s="19">
        <v>159</v>
      </c>
      <c r="F1506" s="19">
        <v>0.96</v>
      </c>
      <c r="G1506" s="19">
        <v>20260402</v>
      </c>
      <c r="H1506" s="20" t="b">
        <f t="shared" si="23"/>
        <v>0</v>
      </c>
      <c r="I1506" s="21" t="str" cm="1">
        <f t="array" ref="I1506">GET_TICKER_FINAL(C1506)</f>
        <v/>
      </c>
      <c r="J1506" s="5" t="s">
        <v>1792</v>
      </c>
    </row>
    <row r="1507" spans="1:10" hidden="1">
      <c r="A1507" s="23">
        <v>1506</v>
      </c>
      <c r="B1507" s="22" t="s">
        <v>1376</v>
      </c>
      <c r="C1507" s="22" t="s">
        <v>1479</v>
      </c>
      <c r="D1507" s="22">
        <v>750</v>
      </c>
      <c r="E1507" s="22">
        <v>221</v>
      </c>
      <c r="F1507" s="22">
        <v>0.96</v>
      </c>
      <c r="G1507" s="22">
        <v>20260402</v>
      </c>
      <c r="H1507" s="23" t="b">
        <f t="shared" si="23"/>
        <v>0</v>
      </c>
      <c r="I1507" s="24" t="str" cm="1">
        <f t="array" ref="I1507">GET_TICKER_FINAL(C1507)</f>
        <v/>
      </c>
      <c r="J1507" s="5" t="s">
        <v>1792</v>
      </c>
    </row>
    <row r="1508" spans="1:10" hidden="1">
      <c r="A1508" s="20">
        <v>1507</v>
      </c>
      <c r="B1508" s="19" t="s">
        <v>1376</v>
      </c>
      <c r="C1508" s="19" t="s">
        <v>1480</v>
      </c>
      <c r="D1508" s="19">
        <v>736</v>
      </c>
      <c r="E1508" s="19">
        <v>191</v>
      </c>
      <c r="F1508" s="19">
        <v>0.97</v>
      </c>
      <c r="G1508" s="19">
        <v>20260402</v>
      </c>
      <c r="H1508" s="20" t="b">
        <f t="shared" si="23"/>
        <v>0</v>
      </c>
      <c r="I1508" s="21" t="str" cm="1">
        <f t="array" ref="I1508">GET_TICKER_FINAL(C1508)</f>
        <v/>
      </c>
      <c r="J1508" s="5" t="s">
        <v>1792</v>
      </c>
    </row>
    <row r="1509" spans="1:10" hidden="1">
      <c r="A1509" s="23">
        <v>1508</v>
      </c>
      <c r="B1509" s="22" t="s">
        <v>1376</v>
      </c>
      <c r="C1509" s="22" t="s">
        <v>1481</v>
      </c>
      <c r="D1509" s="22">
        <v>718</v>
      </c>
      <c r="E1509" s="22">
        <v>429</v>
      </c>
      <c r="F1509" s="22">
        <v>0.85</v>
      </c>
      <c r="G1509" s="22">
        <v>20260326</v>
      </c>
      <c r="H1509" s="23" t="b">
        <f t="shared" si="23"/>
        <v>0</v>
      </c>
      <c r="I1509" s="24" t="str" cm="1">
        <f t="array" ref="I1509">GET_TICKER_FINAL(C1509)</f>
        <v/>
      </c>
      <c r="J1509" s="5" t="s">
        <v>16</v>
      </c>
    </row>
    <row r="1510" spans="1:10" hidden="1">
      <c r="A1510" s="20">
        <v>1509</v>
      </c>
      <c r="B1510" s="19" t="s">
        <v>1376</v>
      </c>
      <c r="C1510" s="19" t="s">
        <v>1482</v>
      </c>
      <c r="D1510" s="19">
        <v>707</v>
      </c>
      <c r="E1510" s="19">
        <v>354</v>
      </c>
      <c r="F1510" s="19">
        <v>0.96</v>
      </c>
      <c r="G1510" s="19">
        <v>20260330</v>
      </c>
      <c r="H1510" s="20" t="b">
        <f t="shared" si="23"/>
        <v>0</v>
      </c>
      <c r="I1510" s="21" t="str" cm="1">
        <f t="array" ref="I1510">GET_TICKER_FINAL(C1510)</f>
        <v/>
      </c>
      <c r="J1510" s="5" t="s">
        <v>16</v>
      </c>
    </row>
    <row r="1511" spans="1:10" hidden="1">
      <c r="A1511" s="23">
        <v>1510</v>
      </c>
      <c r="B1511" s="22" t="s">
        <v>1376</v>
      </c>
      <c r="C1511" s="22" t="s">
        <v>1483</v>
      </c>
      <c r="D1511" s="22">
        <v>700</v>
      </c>
      <c r="E1511" s="22">
        <v>111</v>
      </c>
      <c r="F1511" s="22">
        <v>0.98</v>
      </c>
      <c r="G1511" s="22">
        <v>20260402</v>
      </c>
      <c r="H1511" s="23" t="b">
        <f t="shared" si="23"/>
        <v>0</v>
      </c>
      <c r="I1511" s="24" t="str" cm="1">
        <f t="array" ref="I1511">GET_TICKER_FINAL(C1511)</f>
        <v/>
      </c>
      <c r="J1511" s="5" t="s">
        <v>16</v>
      </c>
    </row>
    <row r="1512" spans="1:10" hidden="1">
      <c r="A1512" s="20">
        <v>1511</v>
      </c>
      <c r="B1512" s="19" t="s">
        <v>1376</v>
      </c>
      <c r="C1512" s="19" t="s">
        <v>1484</v>
      </c>
      <c r="D1512" s="19">
        <v>627</v>
      </c>
      <c r="E1512" s="19">
        <v>320</v>
      </c>
      <c r="F1512" s="19">
        <v>0.94</v>
      </c>
      <c r="G1512" s="19">
        <v>20260327</v>
      </c>
      <c r="H1512" s="20" t="b">
        <f t="shared" si="23"/>
        <v>0</v>
      </c>
      <c r="I1512" s="21" t="str" cm="1">
        <f t="array" ref="I1512">GET_TICKER_FINAL(C1512)</f>
        <v/>
      </c>
      <c r="J1512" s="5" t="s">
        <v>25</v>
      </c>
    </row>
    <row r="1513" spans="1:10" hidden="1">
      <c r="A1513" s="23">
        <v>1512</v>
      </c>
      <c r="B1513" s="22" t="s">
        <v>1376</v>
      </c>
      <c r="C1513" s="22" t="s">
        <v>1485</v>
      </c>
      <c r="D1513" s="22">
        <v>622</v>
      </c>
      <c r="E1513" s="22">
        <v>135</v>
      </c>
      <c r="F1513" s="22">
        <v>0.94</v>
      </c>
      <c r="G1513" s="22">
        <v>20260402</v>
      </c>
      <c r="H1513" s="23" t="b">
        <f t="shared" si="23"/>
        <v>0</v>
      </c>
      <c r="I1513" s="24" t="str" cm="1">
        <f t="array" ref="I1513">GET_TICKER_FINAL(C1513)</f>
        <v/>
      </c>
      <c r="J1513" s="5" t="s">
        <v>16</v>
      </c>
    </row>
    <row r="1514" spans="1:10" hidden="1">
      <c r="A1514" s="20">
        <v>1513</v>
      </c>
      <c r="B1514" s="19" t="s">
        <v>1376</v>
      </c>
      <c r="C1514" s="19" t="s">
        <v>1486</v>
      </c>
      <c r="D1514" s="19">
        <v>608</v>
      </c>
      <c r="E1514" s="19">
        <v>203</v>
      </c>
      <c r="F1514" s="19">
        <v>0.96</v>
      </c>
      <c r="G1514" s="19">
        <v>20260402</v>
      </c>
      <c r="H1514" s="20" t="b">
        <f t="shared" si="23"/>
        <v>0</v>
      </c>
      <c r="I1514" s="21" t="str" cm="1">
        <f t="array" ref="I1514">GET_TICKER_FINAL(C1514)</f>
        <v/>
      </c>
      <c r="J1514" s="5" t="s">
        <v>16</v>
      </c>
    </row>
    <row r="1515" spans="1:10" hidden="1">
      <c r="A1515" s="23">
        <v>1514</v>
      </c>
      <c r="B1515" s="22" t="s">
        <v>1376</v>
      </c>
      <c r="C1515" s="22" t="s">
        <v>1487</v>
      </c>
      <c r="D1515" s="22">
        <v>604</v>
      </c>
      <c r="E1515" s="22">
        <v>200</v>
      </c>
      <c r="F1515" s="22">
        <v>0.95</v>
      </c>
      <c r="G1515" s="22">
        <v>20260327</v>
      </c>
      <c r="H1515" s="23" t="b">
        <f t="shared" si="23"/>
        <v>0</v>
      </c>
      <c r="I1515" s="24" t="str" cm="1">
        <f t="array" ref="I1515">GET_TICKER_FINAL(C1515)</f>
        <v/>
      </c>
      <c r="J1515" s="5" t="s">
        <v>16</v>
      </c>
    </row>
    <row r="1516" spans="1:10" hidden="1">
      <c r="A1516" s="20">
        <v>1515</v>
      </c>
      <c r="B1516" s="19" t="s">
        <v>1376</v>
      </c>
      <c r="C1516" s="19" t="s">
        <v>1488</v>
      </c>
      <c r="D1516" s="19">
        <v>595</v>
      </c>
      <c r="E1516" s="19">
        <v>282</v>
      </c>
      <c r="F1516" s="19">
        <v>0.89</v>
      </c>
      <c r="G1516" s="19">
        <v>20260402</v>
      </c>
      <c r="H1516" s="20" t="b">
        <f t="shared" si="23"/>
        <v>0</v>
      </c>
      <c r="I1516" s="21" t="str" cm="1">
        <f t="array" ref="I1516">GET_TICKER_FINAL(C1516)</f>
        <v/>
      </c>
      <c r="J1516" s="5" t="s">
        <v>16</v>
      </c>
    </row>
    <row r="1517" spans="1:10" hidden="1">
      <c r="A1517" s="23">
        <v>1516</v>
      </c>
      <c r="B1517" s="22" t="s">
        <v>1376</v>
      </c>
      <c r="C1517" s="22" t="s">
        <v>1489</v>
      </c>
      <c r="D1517" s="22">
        <v>594</v>
      </c>
      <c r="E1517" s="22">
        <v>145</v>
      </c>
      <c r="F1517" s="22">
        <v>0.91</v>
      </c>
      <c r="G1517" s="22">
        <v>20260331</v>
      </c>
      <c r="H1517" s="23" t="b">
        <f t="shared" si="23"/>
        <v>0</v>
      </c>
      <c r="I1517" s="24" t="str" cm="1">
        <f t="array" ref="I1517">GET_TICKER_FINAL(C1517)</f>
        <v/>
      </c>
      <c r="J1517" s="5" t="s">
        <v>16</v>
      </c>
    </row>
    <row r="1518" spans="1:10" hidden="1">
      <c r="A1518" s="20">
        <v>1517</v>
      </c>
      <c r="B1518" s="19" t="s">
        <v>1376</v>
      </c>
      <c r="C1518" s="19" t="s">
        <v>1490</v>
      </c>
      <c r="D1518" s="19">
        <v>588</v>
      </c>
      <c r="E1518" s="19">
        <v>119</v>
      </c>
      <c r="F1518" s="19">
        <v>0.93</v>
      </c>
      <c r="G1518" s="19">
        <v>20260323</v>
      </c>
      <c r="H1518" s="20" t="b">
        <f t="shared" si="23"/>
        <v>0</v>
      </c>
      <c r="I1518" s="21" t="str" cm="1">
        <f t="array" ref="I1518">GET_TICKER_FINAL(C1518)</f>
        <v/>
      </c>
      <c r="J1518" s="5" t="s">
        <v>1792</v>
      </c>
    </row>
    <row r="1519" spans="1:10" hidden="1">
      <c r="A1519" s="23">
        <v>1518</v>
      </c>
      <c r="B1519" s="22" t="s">
        <v>1376</v>
      </c>
      <c r="C1519" s="22" t="s">
        <v>1491</v>
      </c>
      <c r="D1519" s="22">
        <v>572</v>
      </c>
      <c r="E1519" s="22">
        <v>200</v>
      </c>
      <c r="F1519" s="22">
        <v>0.93</v>
      </c>
      <c r="G1519" s="22">
        <v>20260402</v>
      </c>
      <c r="H1519" s="23" t="b">
        <f t="shared" si="23"/>
        <v>0</v>
      </c>
      <c r="I1519" s="24" t="str" cm="1">
        <f t="array" ref="I1519">GET_TICKER_FINAL(C1519)</f>
        <v/>
      </c>
      <c r="J1519" s="5" t="s">
        <v>25</v>
      </c>
    </row>
    <row r="1520" spans="1:10" hidden="1">
      <c r="A1520" s="20">
        <v>1519</v>
      </c>
      <c r="B1520" s="19" t="s">
        <v>1376</v>
      </c>
      <c r="C1520" s="19" t="s">
        <v>1492</v>
      </c>
      <c r="D1520" s="19">
        <v>570</v>
      </c>
      <c r="E1520" s="19">
        <v>154</v>
      </c>
      <c r="F1520" s="19">
        <v>0.96</v>
      </c>
      <c r="G1520" s="19">
        <v>20260402</v>
      </c>
      <c r="H1520" s="20" t="b">
        <f t="shared" si="23"/>
        <v>0</v>
      </c>
      <c r="I1520" s="21" t="str" cm="1">
        <f t="array" ref="I1520">GET_TICKER_FINAL(C1520)</f>
        <v/>
      </c>
      <c r="J1520" s="5" t="s">
        <v>16</v>
      </c>
    </row>
    <row r="1521" spans="1:10" hidden="1">
      <c r="A1521" s="23">
        <v>1520</v>
      </c>
      <c r="B1521" s="22" t="s">
        <v>1376</v>
      </c>
      <c r="C1521" s="22" t="s">
        <v>1493</v>
      </c>
      <c r="D1521" s="22">
        <v>562</v>
      </c>
      <c r="E1521" s="22">
        <v>70</v>
      </c>
      <c r="F1521" s="22">
        <v>0.96</v>
      </c>
      <c r="G1521" s="22">
        <v>20260324</v>
      </c>
      <c r="H1521" s="23" t="b">
        <f t="shared" si="23"/>
        <v>0</v>
      </c>
      <c r="I1521" s="24" t="str" cm="1">
        <f t="array" ref="I1521">GET_TICKER_FINAL(C1521)</f>
        <v/>
      </c>
      <c r="J1521" s="5" t="s">
        <v>16</v>
      </c>
    </row>
    <row r="1522" spans="1:10" hidden="1">
      <c r="A1522" s="20">
        <v>1521</v>
      </c>
      <c r="B1522" s="19" t="s">
        <v>1376</v>
      </c>
      <c r="C1522" s="19" t="s">
        <v>1494</v>
      </c>
      <c r="D1522" s="19">
        <v>558</v>
      </c>
      <c r="E1522" s="19">
        <v>403</v>
      </c>
      <c r="F1522" s="19">
        <v>0.92</v>
      </c>
      <c r="G1522" s="19">
        <v>20260324</v>
      </c>
      <c r="H1522" s="20" t="b">
        <f t="shared" si="23"/>
        <v>0</v>
      </c>
      <c r="I1522" s="21" t="str" cm="1">
        <f t="array" ref="I1522">GET_TICKER_FINAL(C1522)</f>
        <v/>
      </c>
      <c r="J1522" s="5" t="s">
        <v>1792</v>
      </c>
    </row>
    <row r="1523" spans="1:10">
      <c r="A1523" s="23">
        <v>1522</v>
      </c>
      <c r="B1523" s="22" t="s">
        <v>1376</v>
      </c>
      <c r="C1523" s="22" t="s">
        <v>1495</v>
      </c>
      <c r="D1523" s="22">
        <v>541</v>
      </c>
      <c r="E1523" s="22">
        <v>62</v>
      </c>
      <c r="F1523" s="22">
        <v>0.97</v>
      </c>
      <c r="G1523" s="22">
        <v>20260330</v>
      </c>
      <c r="H1523" s="23" t="b">
        <f t="shared" si="23"/>
        <v>0</v>
      </c>
      <c r="I1523" s="24" t="str" cm="1">
        <f t="array" ref="I1523">GET_TICKER_FINAL(C1523)</f>
        <v>ARM</v>
      </c>
      <c r="J1523" s="5" t="s">
        <v>25</v>
      </c>
    </row>
    <row r="1524" spans="1:10" hidden="1">
      <c r="A1524" s="20">
        <v>1523</v>
      </c>
      <c r="B1524" s="19" t="s">
        <v>1376</v>
      </c>
      <c r="C1524" s="19" t="s">
        <v>1496</v>
      </c>
      <c r="D1524" s="19">
        <v>525</v>
      </c>
      <c r="E1524" s="19">
        <v>56</v>
      </c>
      <c r="F1524" s="19">
        <v>0.97</v>
      </c>
      <c r="G1524" s="19">
        <v>20260324</v>
      </c>
      <c r="H1524" s="20" t="b">
        <f t="shared" si="23"/>
        <v>0</v>
      </c>
      <c r="I1524" s="21" t="str" cm="1">
        <f t="array" ref="I1524">GET_TICKER_FINAL(C1524)</f>
        <v/>
      </c>
      <c r="J1524" s="5" t="s">
        <v>16</v>
      </c>
    </row>
    <row r="1525" spans="1:10" hidden="1">
      <c r="A1525" s="23">
        <v>1524</v>
      </c>
      <c r="B1525" s="22" t="s">
        <v>1376</v>
      </c>
      <c r="C1525" s="22" t="s">
        <v>1497</v>
      </c>
      <c r="D1525" s="22">
        <v>525</v>
      </c>
      <c r="E1525" s="22">
        <v>218</v>
      </c>
      <c r="F1525" s="22">
        <v>0.89</v>
      </c>
      <c r="G1525" s="22">
        <v>20260331</v>
      </c>
      <c r="H1525" s="23" t="b">
        <f t="shared" si="23"/>
        <v>0</v>
      </c>
      <c r="I1525" s="24" t="str" cm="1">
        <f t="array" ref="I1525">GET_TICKER_FINAL(C1525)</f>
        <v/>
      </c>
      <c r="J1525" s="5" t="s">
        <v>25</v>
      </c>
    </row>
    <row r="1526" spans="1:10" hidden="1">
      <c r="A1526" s="20">
        <v>1525</v>
      </c>
      <c r="B1526" s="19" t="s">
        <v>1376</v>
      </c>
      <c r="C1526" s="19" t="s">
        <v>1498</v>
      </c>
      <c r="D1526" s="19">
        <v>501</v>
      </c>
      <c r="E1526" s="19">
        <v>82</v>
      </c>
      <c r="F1526" s="19">
        <v>0.95</v>
      </c>
      <c r="G1526" s="19">
        <v>20260402</v>
      </c>
      <c r="H1526" s="20" t="b">
        <f t="shared" si="23"/>
        <v>0</v>
      </c>
      <c r="I1526" s="21" t="str" cm="1">
        <f t="array" ref="I1526">GET_TICKER_FINAL(C1526)</f>
        <v/>
      </c>
      <c r="J1526" s="5" t="s">
        <v>1792</v>
      </c>
    </row>
    <row r="1527" spans="1:10">
      <c r="A1527" s="23">
        <v>1526</v>
      </c>
      <c r="B1527" s="22" t="s">
        <v>1376</v>
      </c>
      <c r="C1527" s="22" t="s">
        <v>1499</v>
      </c>
      <c r="D1527" s="22">
        <v>500</v>
      </c>
      <c r="E1527" s="22">
        <v>148</v>
      </c>
      <c r="F1527" s="22">
        <v>0.95</v>
      </c>
      <c r="G1527" s="22">
        <v>20260402</v>
      </c>
      <c r="H1527" s="23" t="b">
        <f t="shared" si="23"/>
        <v>0</v>
      </c>
      <c r="I1527" s="24" t="str" cm="1">
        <f t="array" ref="I1527">GET_TICKER_FINAL(C1527)</f>
        <v>SPY</v>
      </c>
      <c r="J1527" s="5" t="s">
        <v>16</v>
      </c>
    </row>
    <row r="1528" spans="1:10" hidden="1">
      <c r="A1528" s="20">
        <v>1527</v>
      </c>
      <c r="B1528" s="19" t="s">
        <v>1376</v>
      </c>
      <c r="C1528" s="19" t="s">
        <v>1500</v>
      </c>
      <c r="D1528" s="19">
        <v>495</v>
      </c>
      <c r="E1528" s="19">
        <v>262</v>
      </c>
      <c r="F1528" s="19">
        <v>0.96</v>
      </c>
      <c r="G1528" s="19">
        <v>20260323</v>
      </c>
      <c r="H1528" s="20" t="b">
        <f t="shared" si="23"/>
        <v>0</v>
      </c>
      <c r="I1528" s="21" t="str" cm="1">
        <f t="array" ref="I1528">GET_TICKER_FINAL(C1528)</f>
        <v/>
      </c>
      <c r="J1528" s="5" t="s">
        <v>1792</v>
      </c>
    </row>
    <row r="1529" spans="1:10" hidden="1">
      <c r="A1529" s="23">
        <v>1528</v>
      </c>
      <c r="B1529" s="22" t="s">
        <v>1376</v>
      </c>
      <c r="C1529" s="22" t="s">
        <v>1501</v>
      </c>
      <c r="D1529" s="22">
        <v>483</v>
      </c>
      <c r="E1529" s="22">
        <v>134</v>
      </c>
      <c r="F1529" s="22">
        <v>0.9</v>
      </c>
      <c r="G1529" s="22">
        <v>20260330</v>
      </c>
      <c r="H1529" s="23" t="b">
        <f t="shared" si="23"/>
        <v>0</v>
      </c>
      <c r="I1529" s="24" t="str" cm="1">
        <f t="array" ref="I1529">GET_TICKER_FINAL(C1529)</f>
        <v/>
      </c>
      <c r="J1529" s="5" t="s">
        <v>25</v>
      </c>
    </row>
    <row r="1530" spans="1:10" hidden="1">
      <c r="A1530" s="20">
        <v>1529</v>
      </c>
      <c r="B1530" s="19" t="s">
        <v>1376</v>
      </c>
      <c r="C1530" s="19" t="s">
        <v>1502</v>
      </c>
      <c r="D1530" s="19">
        <v>473</v>
      </c>
      <c r="E1530" s="19">
        <v>403</v>
      </c>
      <c r="F1530" s="19">
        <v>0.82</v>
      </c>
      <c r="G1530" s="19">
        <v>20260401</v>
      </c>
      <c r="H1530" s="20" t="b">
        <f t="shared" si="23"/>
        <v>0</v>
      </c>
      <c r="I1530" s="21" t="str" cm="1">
        <f t="array" ref="I1530">GET_TICKER_FINAL(C1530)</f>
        <v/>
      </c>
      <c r="J1530" s="5" t="s">
        <v>16</v>
      </c>
    </row>
    <row r="1531" spans="1:10" hidden="1">
      <c r="A1531" s="23">
        <v>1530</v>
      </c>
      <c r="B1531" s="22" t="s">
        <v>1376</v>
      </c>
      <c r="C1531" s="22" t="s">
        <v>1503</v>
      </c>
      <c r="D1531" s="22">
        <v>465</v>
      </c>
      <c r="E1531" s="22">
        <v>280</v>
      </c>
      <c r="F1531" s="22">
        <v>0.91</v>
      </c>
      <c r="G1531" s="22">
        <v>20260331</v>
      </c>
      <c r="H1531" s="23" t="b">
        <f t="shared" si="23"/>
        <v>0</v>
      </c>
      <c r="I1531" s="24" t="str" cm="1">
        <f t="array" ref="I1531">GET_TICKER_FINAL(C1531)</f>
        <v/>
      </c>
      <c r="J1531" s="5" t="s">
        <v>16</v>
      </c>
    </row>
    <row r="1532" spans="1:10">
      <c r="A1532" s="20">
        <v>1531</v>
      </c>
      <c r="B1532" s="19" t="s">
        <v>1376</v>
      </c>
      <c r="C1532" s="19" t="s">
        <v>1504</v>
      </c>
      <c r="D1532" s="19">
        <v>435</v>
      </c>
      <c r="E1532" s="19">
        <v>232</v>
      </c>
      <c r="F1532" s="19">
        <v>0.88</v>
      </c>
      <c r="G1532" s="19">
        <v>20260327</v>
      </c>
      <c r="H1532" s="20" t="b">
        <f t="shared" si="23"/>
        <v>0</v>
      </c>
      <c r="I1532" s="21" t="str" cm="1">
        <f t="array" ref="I1532">GET_TICKER_FINAL(C1532)</f>
        <v>MSFT</v>
      </c>
      <c r="J1532" s="5" t="s">
        <v>25</v>
      </c>
    </row>
    <row r="1533" spans="1:10">
      <c r="A1533" s="23">
        <v>1532</v>
      </c>
      <c r="B1533" s="22" t="s">
        <v>1376</v>
      </c>
      <c r="C1533" s="22" t="s">
        <v>1505</v>
      </c>
      <c r="D1533" s="22">
        <v>433</v>
      </c>
      <c r="E1533" s="22">
        <v>140</v>
      </c>
      <c r="F1533" s="22">
        <v>0.91</v>
      </c>
      <c r="G1533" s="22">
        <v>20260401</v>
      </c>
      <c r="H1533" s="23" t="b">
        <f t="shared" si="23"/>
        <v>0</v>
      </c>
      <c r="I1533" s="24" t="str" cm="1">
        <f t="array" ref="I1533">GET_TICKER_FINAL(C1533)</f>
        <v>SOFI</v>
      </c>
      <c r="J1533" s="5" t="s">
        <v>1792</v>
      </c>
    </row>
    <row r="1534" spans="1:10" hidden="1">
      <c r="A1534" s="20">
        <v>1533</v>
      </c>
      <c r="B1534" s="19" t="s">
        <v>1376</v>
      </c>
      <c r="C1534" s="19" t="s">
        <v>1506</v>
      </c>
      <c r="D1534" s="19">
        <v>426</v>
      </c>
      <c r="E1534" s="19">
        <v>42</v>
      </c>
      <c r="F1534" s="19">
        <v>0.96</v>
      </c>
      <c r="G1534" s="19">
        <v>20260320</v>
      </c>
      <c r="H1534" s="20" t="b">
        <f t="shared" si="23"/>
        <v>0</v>
      </c>
      <c r="I1534" s="21" t="str" cm="1">
        <f t="array" ref="I1534">GET_TICKER_FINAL(C1534)</f>
        <v/>
      </c>
      <c r="J1534" s="5" t="s">
        <v>25</v>
      </c>
    </row>
    <row r="1535" spans="1:10" hidden="1">
      <c r="A1535" s="23">
        <v>1534</v>
      </c>
      <c r="B1535" s="22" t="s">
        <v>1376</v>
      </c>
      <c r="C1535" s="22" t="s">
        <v>1507</v>
      </c>
      <c r="D1535" s="22">
        <v>417</v>
      </c>
      <c r="E1535" s="22">
        <v>196</v>
      </c>
      <c r="F1535" s="22">
        <v>0.93</v>
      </c>
      <c r="G1535" s="22">
        <v>20260402</v>
      </c>
      <c r="H1535" s="23" t="b">
        <f t="shared" si="23"/>
        <v>0</v>
      </c>
      <c r="I1535" s="24" t="str" cm="1">
        <f t="array" ref="I1535">GET_TICKER_FINAL(C1535)</f>
        <v/>
      </c>
      <c r="J1535" s="5" t="s">
        <v>16</v>
      </c>
    </row>
    <row r="1536" spans="1:10">
      <c r="A1536" s="20">
        <v>1535</v>
      </c>
      <c r="B1536" s="19" t="s">
        <v>1376</v>
      </c>
      <c r="C1536" s="19" t="s">
        <v>1508</v>
      </c>
      <c r="D1536" s="19">
        <v>405</v>
      </c>
      <c r="E1536" s="19">
        <v>50</v>
      </c>
      <c r="F1536" s="19">
        <v>0.97</v>
      </c>
      <c r="G1536" s="19">
        <v>20260402</v>
      </c>
      <c r="H1536" s="20" t="b">
        <f t="shared" si="23"/>
        <v>0</v>
      </c>
      <c r="I1536" s="21" t="str" cm="1">
        <f t="array" ref="I1536">GET_TICKER_FINAL(C1536)</f>
        <v>NVO</v>
      </c>
      <c r="J1536" s="5" t="s">
        <v>25</v>
      </c>
    </row>
    <row r="1537" spans="1:10" hidden="1">
      <c r="A1537" s="23">
        <v>1536</v>
      </c>
      <c r="B1537" s="22" t="s">
        <v>1376</v>
      </c>
      <c r="C1537" s="22" t="s">
        <v>1509</v>
      </c>
      <c r="D1537" s="22">
        <v>392</v>
      </c>
      <c r="E1537" s="22">
        <v>85</v>
      </c>
      <c r="F1537" s="22">
        <v>0.81</v>
      </c>
      <c r="G1537" s="22">
        <v>20260320</v>
      </c>
      <c r="H1537" s="23" t="b">
        <f t="shared" si="23"/>
        <v>0</v>
      </c>
      <c r="I1537" s="24" t="str" cm="1">
        <f t="array" ref="I1537">GET_TICKER_FINAL(C1537)</f>
        <v/>
      </c>
      <c r="J1537" s="5" t="s">
        <v>1792</v>
      </c>
    </row>
    <row r="1538" spans="1:10" hidden="1">
      <c r="A1538" s="20">
        <v>1537</v>
      </c>
      <c r="B1538" s="19" t="s">
        <v>1376</v>
      </c>
      <c r="C1538" s="19" t="s">
        <v>1510</v>
      </c>
      <c r="D1538" s="19">
        <v>391</v>
      </c>
      <c r="E1538" s="19">
        <v>106</v>
      </c>
      <c r="F1538" s="19">
        <v>0.96</v>
      </c>
      <c r="G1538" s="19">
        <v>20260331</v>
      </c>
      <c r="H1538" s="20" t="b">
        <f t="shared" si="23"/>
        <v>0</v>
      </c>
      <c r="I1538" s="21" t="str" cm="1">
        <f t="array" ref="I1538">GET_TICKER_FINAL(C1538)</f>
        <v/>
      </c>
      <c r="J1538" s="5" t="s">
        <v>25</v>
      </c>
    </row>
    <row r="1539" spans="1:10" hidden="1">
      <c r="A1539" s="23">
        <v>1538</v>
      </c>
      <c r="B1539" s="22" t="s">
        <v>1376</v>
      </c>
      <c r="C1539" s="22" t="s">
        <v>1511</v>
      </c>
      <c r="D1539" s="22">
        <v>388</v>
      </c>
      <c r="E1539" s="22">
        <v>107</v>
      </c>
      <c r="F1539" s="22">
        <v>0.98</v>
      </c>
      <c r="G1539" s="22">
        <v>20260331</v>
      </c>
      <c r="H1539" s="23" t="b">
        <f t="shared" ref="H1539:H1602" si="24">OR(ISNUMBER(SEARCH("$A",C1539)),ISNUMBER(SEARCH("$B",C1539)),ISNUMBER(SEARCH("$C",C1539)),ISNUMBER(SEARCH("$D",C1539)),ISNUMBER(SEARCH("$E",C1539)),ISNUMBER(SEARCH("$F",C1539)),ISNUMBER(SEARCH("$G",C1539)),ISNUMBER(SEARCH("$H",C1539)),ISNUMBER(SEARCH("$I",C1539)),ISNUMBER(SEARCH("$J",C1539)),ISNUMBER(SEARCH("$K",C1539)),ISNUMBER(SEARCH("$L",C1539)),ISNUMBER(SEARCH("$M",C1539)),ISNUMBER(SEARCH("$N",C1539)),ISNUMBER(SEARCH("$O",C1539)),ISNUMBER(SEARCH("$P",C1539)),ISNUMBER(SEARCH("$Q",C1539)),ISNUMBER(SEARCH("$R",C1539)),ISNUMBER(SEARCH("$S",C1539)),ISNUMBER(SEARCH("$T",C1539)),ISNUMBER(SEARCH("$U",C1539)),ISNUMBER(SEARCH("$V",C1539)),ISNUMBER(SEARCH("$W",C1539)),ISNUMBER(SEARCH("$X",C1539)),ISNUMBER(SEARCH("$Y",C1539)),ISNUMBER(SEARCH("$Z",C1539)))</f>
        <v>0</v>
      </c>
      <c r="I1539" s="24" t="str" cm="1">
        <f t="array" ref="I1539">GET_TICKER_FINAL(C1539)</f>
        <v/>
      </c>
      <c r="J1539" s="5" t="s">
        <v>1792</v>
      </c>
    </row>
    <row r="1540" spans="1:10" hidden="1">
      <c r="A1540" s="20">
        <v>1539</v>
      </c>
      <c r="B1540" s="19" t="s">
        <v>1376</v>
      </c>
      <c r="C1540" s="19" t="s">
        <v>1512</v>
      </c>
      <c r="D1540" s="19">
        <v>387</v>
      </c>
      <c r="E1540" s="19">
        <v>61</v>
      </c>
      <c r="F1540" s="19">
        <v>0.95</v>
      </c>
      <c r="G1540" s="19">
        <v>20260324</v>
      </c>
      <c r="H1540" s="20" t="b">
        <f t="shared" si="24"/>
        <v>0</v>
      </c>
      <c r="I1540" s="21" t="str" cm="1">
        <f t="array" ref="I1540">GET_TICKER_FINAL(C1540)</f>
        <v/>
      </c>
      <c r="J1540" s="5" t="s">
        <v>16</v>
      </c>
    </row>
    <row r="1541" spans="1:10" hidden="1">
      <c r="A1541" s="23">
        <v>1540</v>
      </c>
      <c r="B1541" s="22" t="s">
        <v>1376</v>
      </c>
      <c r="C1541" s="22" t="s">
        <v>1513</v>
      </c>
      <c r="D1541" s="22">
        <v>386</v>
      </c>
      <c r="E1541" s="22">
        <v>135</v>
      </c>
      <c r="F1541" s="22">
        <v>0.95</v>
      </c>
      <c r="G1541" s="22">
        <v>20260331</v>
      </c>
      <c r="H1541" s="23" t="b">
        <f t="shared" si="24"/>
        <v>0</v>
      </c>
      <c r="I1541" s="24" t="str" cm="1">
        <f t="array" ref="I1541">GET_TICKER_FINAL(C1541)</f>
        <v/>
      </c>
      <c r="J1541" s="5" t="s">
        <v>25</v>
      </c>
    </row>
    <row r="1542" spans="1:10" hidden="1">
      <c r="A1542" s="20">
        <v>1541</v>
      </c>
      <c r="B1542" s="19" t="s">
        <v>1376</v>
      </c>
      <c r="C1542" s="19" t="s">
        <v>1514</v>
      </c>
      <c r="D1542" s="19">
        <v>373</v>
      </c>
      <c r="E1542" s="19">
        <v>56</v>
      </c>
      <c r="F1542" s="19">
        <v>0.95</v>
      </c>
      <c r="G1542" s="19">
        <v>20260330</v>
      </c>
      <c r="H1542" s="20" t="b">
        <f t="shared" si="24"/>
        <v>0</v>
      </c>
      <c r="I1542" s="21" t="str" cm="1">
        <f t="array" ref="I1542">GET_TICKER_FINAL(C1542)</f>
        <v/>
      </c>
      <c r="J1542" s="5" t="s">
        <v>16</v>
      </c>
    </row>
    <row r="1543" spans="1:10">
      <c r="A1543" s="23">
        <v>1542</v>
      </c>
      <c r="B1543" s="22" t="s">
        <v>1376</v>
      </c>
      <c r="C1543" s="22" t="s">
        <v>1515</v>
      </c>
      <c r="D1543" s="22">
        <v>363</v>
      </c>
      <c r="E1543" s="22">
        <v>109</v>
      </c>
      <c r="F1543" s="22">
        <v>0.96</v>
      </c>
      <c r="G1543" s="22">
        <v>20260402</v>
      </c>
      <c r="H1543" s="23" t="b">
        <f t="shared" si="24"/>
        <v>0</v>
      </c>
      <c r="I1543" s="24" t="str" cm="1">
        <f t="array" ref="I1543">GET_TICKER_FINAL(C1543)</f>
        <v>SPY</v>
      </c>
      <c r="J1543" s="5" t="s">
        <v>16</v>
      </c>
    </row>
    <row r="1544" spans="1:10" hidden="1">
      <c r="A1544" s="20">
        <v>1543</v>
      </c>
      <c r="B1544" s="19" t="s">
        <v>1376</v>
      </c>
      <c r="C1544" s="19" t="s">
        <v>1516</v>
      </c>
      <c r="D1544" s="19">
        <v>357</v>
      </c>
      <c r="E1544" s="19">
        <v>167</v>
      </c>
      <c r="F1544" s="19">
        <v>0.93</v>
      </c>
      <c r="G1544" s="19">
        <v>20260327</v>
      </c>
      <c r="H1544" s="20" t="b">
        <f t="shared" si="24"/>
        <v>0</v>
      </c>
      <c r="I1544" s="21" t="str" cm="1">
        <f t="array" ref="I1544">GET_TICKER_FINAL(C1544)</f>
        <v/>
      </c>
      <c r="J1544" s="5" t="s">
        <v>1792</v>
      </c>
    </row>
    <row r="1545" spans="1:10">
      <c r="A1545" s="23">
        <v>1544</v>
      </c>
      <c r="B1545" s="22" t="s">
        <v>1376</v>
      </c>
      <c r="C1545" s="22" t="s">
        <v>1517</v>
      </c>
      <c r="D1545" s="22">
        <v>328</v>
      </c>
      <c r="E1545" s="22">
        <v>40</v>
      </c>
      <c r="F1545" s="22">
        <v>0.94</v>
      </c>
      <c r="G1545" s="22">
        <v>20260402</v>
      </c>
      <c r="H1545" s="23" t="b">
        <f t="shared" si="24"/>
        <v>0</v>
      </c>
      <c r="I1545" s="24" t="str" cm="1">
        <f t="array" ref="I1545">GET_TICKER_FINAL(C1545)</f>
        <v>SPY</v>
      </c>
      <c r="J1545" s="5" t="s">
        <v>1792</v>
      </c>
    </row>
    <row r="1546" spans="1:10" hidden="1">
      <c r="A1546" s="20">
        <v>1545</v>
      </c>
      <c r="B1546" s="19" t="s">
        <v>1376</v>
      </c>
      <c r="C1546" s="19" t="s">
        <v>1518</v>
      </c>
      <c r="D1546" s="19">
        <v>326</v>
      </c>
      <c r="E1546" s="19">
        <v>303</v>
      </c>
      <c r="F1546" s="19">
        <v>0.87</v>
      </c>
      <c r="G1546" s="19">
        <v>20260323</v>
      </c>
      <c r="H1546" s="20" t="b">
        <f t="shared" si="24"/>
        <v>0</v>
      </c>
      <c r="I1546" s="21" t="str" cm="1">
        <f t="array" ref="I1546">GET_TICKER_FINAL(C1546)</f>
        <v/>
      </c>
      <c r="J1546" s="5" t="s">
        <v>1792</v>
      </c>
    </row>
    <row r="1547" spans="1:10">
      <c r="A1547" s="23">
        <v>1546</v>
      </c>
      <c r="B1547" s="22" t="s">
        <v>1376</v>
      </c>
      <c r="C1547" s="22" t="s">
        <v>1519</v>
      </c>
      <c r="D1547" s="22">
        <v>322</v>
      </c>
      <c r="E1547" s="22">
        <v>68</v>
      </c>
      <c r="F1547" s="22">
        <v>0.92</v>
      </c>
      <c r="G1547" s="22">
        <v>20260326</v>
      </c>
      <c r="H1547" s="23" t="b">
        <f t="shared" si="24"/>
        <v>0</v>
      </c>
      <c r="I1547" s="24" t="str" cm="1">
        <f t="array" ref="I1547">GET_TICKER_FINAL(C1547)</f>
        <v>SPY</v>
      </c>
      <c r="J1547" s="5" t="s">
        <v>16</v>
      </c>
    </row>
    <row r="1548" spans="1:10">
      <c r="A1548" s="20">
        <v>1547</v>
      </c>
      <c r="B1548" s="19" t="s">
        <v>1376</v>
      </c>
      <c r="C1548" s="19" t="s">
        <v>1520</v>
      </c>
      <c r="D1548" s="19">
        <v>319</v>
      </c>
      <c r="E1548" s="19">
        <v>40</v>
      </c>
      <c r="F1548" s="19">
        <v>0.94</v>
      </c>
      <c r="G1548" s="19">
        <v>20260320</v>
      </c>
      <c r="H1548" s="20" t="b">
        <f t="shared" si="24"/>
        <v>0</v>
      </c>
      <c r="I1548" s="21" t="str" cm="1">
        <f t="array" ref="I1548">GET_TICKER_FINAL(C1548)</f>
        <v>MU</v>
      </c>
      <c r="J1548" s="5" t="s">
        <v>25</v>
      </c>
    </row>
    <row r="1549" spans="1:10" hidden="1">
      <c r="A1549" s="23">
        <v>1548</v>
      </c>
      <c r="B1549" s="22" t="s">
        <v>1376</v>
      </c>
      <c r="C1549" s="22" t="s">
        <v>1521</v>
      </c>
      <c r="D1549" s="22">
        <v>318</v>
      </c>
      <c r="E1549" s="22">
        <v>144</v>
      </c>
      <c r="F1549" s="22">
        <v>0.97</v>
      </c>
      <c r="G1549" s="22">
        <v>20260402</v>
      </c>
      <c r="H1549" s="23" t="b">
        <f t="shared" si="24"/>
        <v>0</v>
      </c>
      <c r="I1549" s="24" t="str" cm="1">
        <f t="array" ref="I1549">GET_TICKER_FINAL(C1549)</f>
        <v/>
      </c>
      <c r="J1549" s="5" t="s">
        <v>16</v>
      </c>
    </row>
    <row r="1550" spans="1:10" hidden="1">
      <c r="A1550" s="20">
        <v>1549</v>
      </c>
      <c r="B1550" s="19" t="s">
        <v>1376</v>
      </c>
      <c r="C1550" s="19" t="s">
        <v>1522</v>
      </c>
      <c r="D1550" s="19">
        <v>317</v>
      </c>
      <c r="E1550" s="19">
        <v>111</v>
      </c>
      <c r="F1550" s="19">
        <v>0.89</v>
      </c>
      <c r="G1550" s="19">
        <v>20260330</v>
      </c>
      <c r="H1550" s="20" t="b">
        <f t="shared" si="24"/>
        <v>0</v>
      </c>
      <c r="I1550" s="21" t="str" cm="1">
        <f t="array" ref="I1550">GET_TICKER_FINAL(C1550)</f>
        <v/>
      </c>
      <c r="J1550" s="5" t="s">
        <v>1792</v>
      </c>
    </row>
    <row r="1551" spans="1:10" hidden="1">
      <c r="A1551" s="23">
        <v>1550</v>
      </c>
      <c r="B1551" s="22" t="s">
        <v>1376</v>
      </c>
      <c r="C1551" s="22" t="s">
        <v>1523</v>
      </c>
      <c r="D1551" s="22">
        <v>313</v>
      </c>
      <c r="E1551" s="22">
        <v>249</v>
      </c>
      <c r="F1551" s="22">
        <v>0.83</v>
      </c>
      <c r="G1551" s="22">
        <v>20260320</v>
      </c>
      <c r="H1551" s="23" t="b">
        <f t="shared" si="24"/>
        <v>1</v>
      </c>
      <c r="I1551" s="24" t="str" cm="1">
        <f t="array" ref="I1551">GET_TICKER_FINAL(C1551)</f>
        <v/>
      </c>
      <c r="J1551" s="5" t="s">
        <v>25</v>
      </c>
    </row>
    <row r="1552" spans="1:10" hidden="1">
      <c r="A1552" s="20">
        <v>1551</v>
      </c>
      <c r="B1552" s="19" t="s">
        <v>1376</v>
      </c>
      <c r="C1552" s="19" t="s">
        <v>1524</v>
      </c>
      <c r="D1552" s="19">
        <v>312</v>
      </c>
      <c r="E1552" s="19">
        <v>92</v>
      </c>
      <c r="F1552" s="19">
        <v>0.89</v>
      </c>
      <c r="G1552" s="19">
        <v>20260327</v>
      </c>
      <c r="H1552" s="20" t="b">
        <f t="shared" si="24"/>
        <v>0</v>
      </c>
      <c r="I1552" s="21" t="str" cm="1">
        <f t="array" ref="I1552">GET_TICKER_FINAL(C1552)</f>
        <v/>
      </c>
      <c r="J1552" s="5" t="s">
        <v>25</v>
      </c>
    </row>
    <row r="1553" spans="1:10" hidden="1">
      <c r="A1553" s="23">
        <v>1552</v>
      </c>
      <c r="B1553" s="22" t="s">
        <v>1376</v>
      </c>
      <c r="C1553" s="22" t="s">
        <v>1525</v>
      </c>
      <c r="D1553" s="22">
        <v>310</v>
      </c>
      <c r="E1553" s="22">
        <v>20205</v>
      </c>
      <c r="F1553" s="22">
        <v>0.93</v>
      </c>
      <c r="G1553" s="22">
        <v>20260402</v>
      </c>
      <c r="H1553" s="23" t="b">
        <f t="shared" si="24"/>
        <v>0</v>
      </c>
      <c r="I1553" s="24" t="str" cm="1">
        <f t="array" ref="I1553">GET_TICKER_FINAL(C1553)</f>
        <v/>
      </c>
      <c r="J1553" s="5" t="s">
        <v>1792</v>
      </c>
    </row>
    <row r="1554" spans="1:10" hidden="1">
      <c r="A1554" s="20">
        <v>1553</v>
      </c>
      <c r="B1554" s="19" t="s">
        <v>1376</v>
      </c>
      <c r="C1554" s="19" t="s">
        <v>1526</v>
      </c>
      <c r="D1554" s="19">
        <v>307</v>
      </c>
      <c r="E1554" s="19">
        <v>12828</v>
      </c>
      <c r="F1554" s="19">
        <v>0.9</v>
      </c>
      <c r="G1554" s="19">
        <v>20260331</v>
      </c>
      <c r="H1554" s="20" t="b">
        <f t="shared" si="24"/>
        <v>0</v>
      </c>
      <c r="I1554" s="21" t="str" cm="1">
        <f t="array" ref="I1554">GET_TICKER_FINAL(C1554)</f>
        <v/>
      </c>
      <c r="J1554" s="5" t="s">
        <v>1792</v>
      </c>
    </row>
    <row r="1555" spans="1:10" hidden="1">
      <c r="A1555" s="23">
        <v>1554</v>
      </c>
      <c r="B1555" s="22" t="s">
        <v>1376</v>
      </c>
      <c r="C1555" s="22" t="s">
        <v>1527</v>
      </c>
      <c r="D1555" s="22">
        <v>307</v>
      </c>
      <c r="E1555" s="22">
        <v>63</v>
      </c>
      <c r="F1555" s="22">
        <v>0.95</v>
      </c>
      <c r="G1555" s="22">
        <v>20260324</v>
      </c>
      <c r="H1555" s="23" t="b">
        <f t="shared" si="24"/>
        <v>0</v>
      </c>
      <c r="I1555" s="24" t="str" cm="1">
        <f t="array" ref="I1555">GET_TICKER_FINAL(C1555)</f>
        <v/>
      </c>
      <c r="J1555" s="5" t="s">
        <v>16</v>
      </c>
    </row>
    <row r="1556" spans="1:10">
      <c r="A1556" s="20">
        <v>1555</v>
      </c>
      <c r="B1556" s="19" t="s">
        <v>1376</v>
      </c>
      <c r="C1556" s="19" t="s">
        <v>1528</v>
      </c>
      <c r="D1556" s="19">
        <v>304</v>
      </c>
      <c r="E1556" s="19">
        <v>52</v>
      </c>
      <c r="F1556" s="19">
        <v>0.94</v>
      </c>
      <c r="G1556" s="19">
        <v>20260323</v>
      </c>
      <c r="H1556" s="20" t="b">
        <f t="shared" si="24"/>
        <v>1</v>
      </c>
      <c r="I1556" s="21" t="str" cm="1">
        <f t="array" ref="I1556">GET_TICKER_FINAL(C1556)</f>
        <v>NVO</v>
      </c>
      <c r="J1556" s="5" t="s">
        <v>25</v>
      </c>
    </row>
    <row r="1557" spans="1:10" hidden="1">
      <c r="A1557" s="23">
        <v>1556</v>
      </c>
      <c r="B1557" s="22" t="s">
        <v>1376</v>
      </c>
      <c r="C1557" s="22" t="s">
        <v>1529</v>
      </c>
      <c r="D1557" s="22">
        <v>299</v>
      </c>
      <c r="E1557" s="22">
        <v>21794</v>
      </c>
      <c r="F1557" s="22">
        <v>0.93</v>
      </c>
      <c r="G1557" s="22">
        <v>20260331</v>
      </c>
      <c r="H1557" s="23" t="b">
        <f t="shared" si="24"/>
        <v>0</v>
      </c>
      <c r="I1557" s="24" t="str" cm="1">
        <f t="array" ref="I1557">GET_TICKER_FINAL(C1557)</f>
        <v/>
      </c>
      <c r="J1557" s="5" t="s">
        <v>1792</v>
      </c>
    </row>
    <row r="1558" spans="1:10" hidden="1">
      <c r="A1558" s="20">
        <v>1557</v>
      </c>
      <c r="B1558" s="19" t="s">
        <v>1376</v>
      </c>
      <c r="C1558" s="19" t="s">
        <v>1530</v>
      </c>
      <c r="D1558" s="19">
        <v>295</v>
      </c>
      <c r="E1558" s="19">
        <v>93</v>
      </c>
      <c r="F1558" s="19">
        <v>0.9</v>
      </c>
      <c r="G1558" s="19">
        <v>20260331</v>
      </c>
      <c r="H1558" s="20" t="b">
        <f t="shared" si="24"/>
        <v>0</v>
      </c>
      <c r="I1558" s="21" t="str" cm="1">
        <f t="array" ref="I1558">GET_TICKER_FINAL(C1558)</f>
        <v/>
      </c>
      <c r="J1558" s="5" t="s">
        <v>25</v>
      </c>
    </row>
    <row r="1559" spans="1:10" hidden="1">
      <c r="A1559" s="23">
        <v>1558</v>
      </c>
      <c r="B1559" s="22" t="s">
        <v>1376</v>
      </c>
      <c r="C1559" s="22" t="s">
        <v>1531</v>
      </c>
      <c r="D1559" s="22">
        <v>287</v>
      </c>
      <c r="E1559" s="22">
        <v>79</v>
      </c>
      <c r="F1559" s="22">
        <v>0.96</v>
      </c>
      <c r="G1559" s="22">
        <v>20260402</v>
      </c>
      <c r="H1559" s="23" t="b">
        <f t="shared" si="24"/>
        <v>0</v>
      </c>
      <c r="I1559" s="24" t="str" cm="1">
        <f t="array" ref="I1559">GET_TICKER_FINAL(C1559)</f>
        <v/>
      </c>
      <c r="J1559" s="5" t="s">
        <v>16</v>
      </c>
    </row>
    <row r="1560" spans="1:10" hidden="1">
      <c r="A1560" s="20">
        <v>1559</v>
      </c>
      <c r="B1560" s="19" t="s">
        <v>1376</v>
      </c>
      <c r="C1560" s="19" t="s">
        <v>1532</v>
      </c>
      <c r="D1560" s="19">
        <v>284</v>
      </c>
      <c r="E1560" s="19">
        <v>176</v>
      </c>
      <c r="F1560" s="19">
        <v>0.9</v>
      </c>
      <c r="G1560" s="19">
        <v>20260401</v>
      </c>
      <c r="H1560" s="20" t="b">
        <f t="shared" si="24"/>
        <v>0</v>
      </c>
      <c r="I1560" s="21" t="str" cm="1">
        <f t="array" ref="I1560">GET_TICKER_FINAL(C1560)</f>
        <v/>
      </c>
      <c r="J1560" s="5" t="s">
        <v>16</v>
      </c>
    </row>
    <row r="1561" spans="1:10" hidden="1">
      <c r="A1561" s="23">
        <v>1560</v>
      </c>
      <c r="B1561" s="22" t="s">
        <v>1376</v>
      </c>
      <c r="C1561" s="22" t="s">
        <v>1533</v>
      </c>
      <c r="D1561" s="22">
        <v>283</v>
      </c>
      <c r="E1561" s="22">
        <v>13166</v>
      </c>
      <c r="F1561" s="22">
        <v>0.91</v>
      </c>
      <c r="G1561" s="22">
        <v>20260327</v>
      </c>
      <c r="H1561" s="23" t="b">
        <f t="shared" si="24"/>
        <v>0</v>
      </c>
      <c r="I1561" s="24" t="str" cm="1">
        <f t="array" ref="I1561">GET_TICKER_FINAL(C1561)</f>
        <v/>
      </c>
      <c r="J1561" s="5" t="s">
        <v>1792</v>
      </c>
    </row>
    <row r="1562" spans="1:10" hidden="1">
      <c r="A1562" s="20">
        <v>1561</v>
      </c>
      <c r="B1562" s="19" t="s">
        <v>1376</v>
      </c>
      <c r="C1562" s="19" t="s">
        <v>1534</v>
      </c>
      <c r="D1562" s="19">
        <v>276</v>
      </c>
      <c r="E1562" s="19">
        <v>64</v>
      </c>
      <c r="F1562" s="19">
        <v>0.93</v>
      </c>
      <c r="G1562" s="19">
        <v>20260324</v>
      </c>
      <c r="H1562" s="20" t="b">
        <f t="shared" si="24"/>
        <v>1</v>
      </c>
      <c r="I1562" s="21" t="str" cm="1">
        <f t="array" ref="I1562">GET_TICKER_FINAL(C1562)</f>
        <v/>
      </c>
      <c r="J1562" s="5" t="s">
        <v>16</v>
      </c>
    </row>
    <row r="1563" spans="1:10" hidden="1">
      <c r="A1563" s="23">
        <v>1562</v>
      </c>
      <c r="B1563" s="22" t="s">
        <v>1376</v>
      </c>
      <c r="C1563" s="22" t="s">
        <v>1535</v>
      </c>
      <c r="D1563" s="22">
        <v>275</v>
      </c>
      <c r="E1563" s="22">
        <v>209</v>
      </c>
      <c r="F1563" s="22">
        <v>0.91</v>
      </c>
      <c r="G1563" s="22">
        <v>20260323</v>
      </c>
      <c r="H1563" s="23" t="b">
        <f t="shared" si="24"/>
        <v>0</v>
      </c>
      <c r="I1563" s="24" t="str" cm="1">
        <f t="array" ref="I1563">GET_TICKER_FINAL(C1563)</f>
        <v/>
      </c>
      <c r="J1563" s="5" t="s">
        <v>1792</v>
      </c>
    </row>
    <row r="1564" spans="1:10" hidden="1">
      <c r="A1564" s="20">
        <v>1563</v>
      </c>
      <c r="B1564" s="19" t="s">
        <v>1376</v>
      </c>
      <c r="C1564" s="19" t="s">
        <v>1536</v>
      </c>
      <c r="D1564" s="19">
        <v>274</v>
      </c>
      <c r="E1564" s="19">
        <v>60</v>
      </c>
      <c r="F1564" s="19">
        <v>0.98</v>
      </c>
      <c r="G1564" s="19">
        <v>20260402</v>
      </c>
      <c r="H1564" s="20" t="b">
        <f t="shared" si="24"/>
        <v>0</v>
      </c>
      <c r="I1564" s="21" t="str" cm="1">
        <f t="array" ref="I1564">GET_TICKER_FINAL(C1564)</f>
        <v/>
      </c>
      <c r="J1564" s="5" t="s">
        <v>16</v>
      </c>
    </row>
    <row r="1565" spans="1:10" hidden="1">
      <c r="A1565" s="23">
        <v>1564</v>
      </c>
      <c r="B1565" s="22" t="s">
        <v>1376</v>
      </c>
      <c r="C1565" s="22" t="s">
        <v>1537</v>
      </c>
      <c r="D1565" s="22">
        <v>272</v>
      </c>
      <c r="E1565" s="22">
        <v>99</v>
      </c>
      <c r="F1565" s="22">
        <v>0.92</v>
      </c>
      <c r="G1565" s="22">
        <v>20260331</v>
      </c>
      <c r="H1565" s="23" t="b">
        <f t="shared" si="24"/>
        <v>0</v>
      </c>
      <c r="I1565" s="24" t="str" cm="1">
        <f t="array" ref="I1565">GET_TICKER_FINAL(C1565)</f>
        <v/>
      </c>
      <c r="J1565" s="5" t="s">
        <v>1792</v>
      </c>
    </row>
    <row r="1566" spans="1:10" hidden="1">
      <c r="A1566" s="20">
        <v>1565</v>
      </c>
      <c r="B1566" s="19" t="s">
        <v>1376</v>
      </c>
      <c r="C1566" s="19" t="s">
        <v>1538</v>
      </c>
      <c r="D1566" s="19">
        <v>269</v>
      </c>
      <c r="E1566" s="19">
        <v>13067</v>
      </c>
      <c r="F1566" s="19">
        <v>0.92</v>
      </c>
      <c r="G1566" s="19">
        <v>20260323</v>
      </c>
      <c r="H1566" s="20" t="b">
        <f t="shared" si="24"/>
        <v>0</v>
      </c>
      <c r="I1566" s="21" t="str" cm="1">
        <f t="array" ref="I1566">GET_TICKER_FINAL(C1566)</f>
        <v/>
      </c>
      <c r="J1566" s="5" t="s">
        <v>1792</v>
      </c>
    </row>
    <row r="1567" spans="1:10" hidden="1">
      <c r="A1567" s="23">
        <v>1566</v>
      </c>
      <c r="B1567" s="22" t="s">
        <v>1376</v>
      </c>
      <c r="C1567" s="22" t="s">
        <v>1539</v>
      </c>
      <c r="D1567" s="22">
        <v>266</v>
      </c>
      <c r="E1567" s="22">
        <v>24854</v>
      </c>
      <c r="F1567" s="22">
        <v>0.92</v>
      </c>
      <c r="G1567" s="22">
        <v>20260331</v>
      </c>
      <c r="H1567" s="23" t="b">
        <f t="shared" si="24"/>
        <v>0</v>
      </c>
      <c r="I1567" s="24" t="str" cm="1">
        <f t="array" ref="I1567">GET_TICKER_FINAL(C1567)</f>
        <v/>
      </c>
      <c r="J1567" s="5" t="s">
        <v>1792</v>
      </c>
    </row>
    <row r="1568" spans="1:10">
      <c r="A1568" s="20">
        <v>1567</v>
      </c>
      <c r="B1568" s="19" t="s">
        <v>1376</v>
      </c>
      <c r="C1568" s="19" t="s">
        <v>821</v>
      </c>
      <c r="D1568" s="19">
        <v>265</v>
      </c>
      <c r="E1568" s="19">
        <v>134</v>
      </c>
      <c r="F1568" s="19">
        <v>0.96</v>
      </c>
      <c r="G1568" s="19">
        <v>20260323</v>
      </c>
      <c r="H1568" s="20" t="b">
        <f t="shared" si="24"/>
        <v>0</v>
      </c>
      <c r="I1568" s="21" t="str" cm="1">
        <f t="array" ref="I1568">GET_TICKER_FINAL(C1568)</f>
        <v>BABA</v>
      </c>
      <c r="J1568" s="5" t="s">
        <v>28</v>
      </c>
    </row>
    <row r="1569" spans="1:10" hidden="1">
      <c r="A1569" s="23">
        <v>1568</v>
      </c>
      <c r="B1569" s="22" t="s">
        <v>1376</v>
      </c>
      <c r="C1569" s="22" t="s">
        <v>1540</v>
      </c>
      <c r="D1569" s="22">
        <v>259</v>
      </c>
      <c r="E1569" s="22">
        <v>50</v>
      </c>
      <c r="F1569" s="22">
        <v>0.97</v>
      </c>
      <c r="G1569" s="22">
        <v>20260402</v>
      </c>
      <c r="H1569" s="23" t="b">
        <f t="shared" si="24"/>
        <v>0</v>
      </c>
      <c r="I1569" s="24" t="str" cm="1">
        <f t="array" ref="I1569">GET_TICKER_FINAL(C1569)</f>
        <v/>
      </c>
      <c r="J1569" s="5" t="s">
        <v>14</v>
      </c>
    </row>
    <row r="1570" spans="1:10" hidden="1">
      <c r="A1570" s="20">
        <v>1569</v>
      </c>
      <c r="B1570" s="19" t="s">
        <v>1376</v>
      </c>
      <c r="C1570" s="19" t="s">
        <v>1541</v>
      </c>
      <c r="D1570" s="19">
        <v>257</v>
      </c>
      <c r="E1570" s="19">
        <v>127</v>
      </c>
      <c r="F1570" s="19">
        <v>0.95</v>
      </c>
      <c r="G1570" s="19">
        <v>20260323</v>
      </c>
      <c r="H1570" s="20" t="b">
        <f t="shared" si="24"/>
        <v>0</v>
      </c>
      <c r="I1570" s="21" t="str" cm="1">
        <f t="array" ref="I1570">GET_TICKER_FINAL(C1570)</f>
        <v/>
      </c>
      <c r="J1570" s="5" t="s">
        <v>1792</v>
      </c>
    </row>
    <row r="1571" spans="1:10" hidden="1">
      <c r="A1571" s="23">
        <v>1570</v>
      </c>
      <c r="B1571" s="22" t="s">
        <v>1376</v>
      </c>
      <c r="C1571" s="22" t="s">
        <v>1542</v>
      </c>
      <c r="D1571" s="22">
        <v>255</v>
      </c>
      <c r="E1571" s="22">
        <v>22</v>
      </c>
      <c r="F1571" s="22">
        <v>0.99</v>
      </c>
      <c r="G1571" s="22">
        <v>20260323</v>
      </c>
      <c r="H1571" s="23" t="b">
        <f t="shared" si="24"/>
        <v>0</v>
      </c>
      <c r="I1571" s="24" t="str" cm="1">
        <f t="array" ref="I1571">GET_TICKER_FINAL(C1571)</f>
        <v/>
      </c>
      <c r="J1571" s="5" t="s">
        <v>1792</v>
      </c>
    </row>
    <row r="1572" spans="1:10" hidden="1">
      <c r="A1572" s="20">
        <v>1571</v>
      </c>
      <c r="B1572" s="19" t="s">
        <v>1376</v>
      </c>
      <c r="C1572" s="19" t="s">
        <v>1543</v>
      </c>
      <c r="D1572" s="19">
        <v>254</v>
      </c>
      <c r="E1572" s="19">
        <v>15094</v>
      </c>
      <c r="F1572" s="19">
        <v>0.94</v>
      </c>
      <c r="G1572" s="19">
        <v>20260402</v>
      </c>
      <c r="H1572" s="20" t="b">
        <f t="shared" si="24"/>
        <v>0</v>
      </c>
      <c r="I1572" s="21" t="str" cm="1">
        <f t="array" ref="I1572">GET_TICKER_FINAL(C1572)</f>
        <v/>
      </c>
      <c r="J1572" s="5" t="s">
        <v>1792</v>
      </c>
    </row>
    <row r="1573" spans="1:10" hidden="1">
      <c r="A1573" s="23">
        <v>1572</v>
      </c>
      <c r="B1573" s="22" t="s">
        <v>1376</v>
      </c>
      <c r="C1573" s="22" t="s">
        <v>1544</v>
      </c>
      <c r="D1573" s="22">
        <v>253</v>
      </c>
      <c r="E1573" s="22">
        <v>15328</v>
      </c>
      <c r="F1573" s="22">
        <v>0.91</v>
      </c>
      <c r="G1573" s="22">
        <v>20260401</v>
      </c>
      <c r="H1573" s="23" t="b">
        <f t="shared" si="24"/>
        <v>0</v>
      </c>
      <c r="I1573" s="24" t="str" cm="1">
        <f t="array" ref="I1573">GET_TICKER_FINAL(C1573)</f>
        <v/>
      </c>
      <c r="J1573" s="5" t="s">
        <v>1792</v>
      </c>
    </row>
    <row r="1574" spans="1:10" hidden="1">
      <c r="A1574" s="20">
        <v>1573</v>
      </c>
      <c r="B1574" s="19" t="s">
        <v>1376</v>
      </c>
      <c r="C1574" s="19" t="s">
        <v>1545</v>
      </c>
      <c r="D1574" s="19">
        <v>252</v>
      </c>
      <c r="E1574" s="19">
        <v>50</v>
      </c>
      <c r="F1574" s="19">
        <v>0.86</v>
      </c>
      <c r="G1574" s="19">
        <v>20260320</v>
      </c>
      <c r="H1574" s="20" t="b">
        <f t="shared" si="24"/>
        <v>0</v>
      </c>
      <c r="I1574" s="21" t="str" cm="1">
        <f t="array" ref="I1574">GET_TICKER_FINAL(C1574)</f>
        <v/>
      </c>
      <c r="J1574" s="5" t="s">
        <v>16</v>
      </c>
    </row>
    <row r="1575" spans="1:10" hidden="1">
      <c r="A1575" s="23">
        <v>1574</v>
      </c>
      <c r="B1575" s="22" t="s">
        <v>1376</v>
      </c>
      <c r="C1575" s="22" t="s">
        <v>1546</v>
      </c>
      <c r="D1575" s="22">
        <v>251</v>
      </c>
      <c r="E1575" s="22">
        <v>10160</v>
      </c>
      <c r="F1575" s="22">
        <v>0.91</v>
      </c>
      <c r="G1575" s="22">
        <v>20260326</v>
      </c>
      <c r="H1575" s="23" t="b">
        <f t="shared" si="24"/>
        <v>0</v>
      </c>
      <c r="I1575" s="24" t="str" cm="1">
        <f t="array" ref="I1575">GET_TICKER_FINAL(C1575)</f>
        <v/>
      </c>
      <c r="J1575" s="5" t="s">
        <v>1792</v>
      </c>
    </row>
    <row r="1576" spans="1:10" hidden="1">
      <c r="A1576" s="20">
        <v>1575</v>
      </c>
      <c r="B1576" s="19" t="s">
        <v>1376</v>
      </c>
      <c r="C1576" s="19" t="s">
        <v>1547</v>
      </c>
      <c r="D1576" s="19">
        <v>250</v>
      </c>
      <c r="E1576" s="19">
        <v>11925</v>
      </c>
      <c r="F1576" s="19">
        <v>0.91</v>
      </c>
      <c r="G1576" s="19">
        <v>20260327</v>
      </c>
      <c r="H1576" s="20" t="b">
        <f t="shared" si="24"/>
        <v>0</v>
      </c>
      <c r="I1576" s="21" t="str" cm="1">
        <f t="array" ref="I1576">GET_TICKER_FINAL(C1576)</f>
        <v/>
      </c>
      <c r="J1576" s="5" t="s">
        <v>1792</v>
      </c>
    </row>
    <row r="1577" spans="1:10" hidden="1">
      <c r="A1577" s="23">
        <v>1576</v>
      </c>
      <c r="B1577" s="22" t="s">
        <v>1376</v>
      </c>
      <c r="C1577" s="22" t="s">
        <v>1548</v>
      </c>
      <c r="D1577" s="22">
        <v>247</v>
      </c>
      <c r="E1577" s="22">
        <v>179</v>
      </c>
      <c r="F1577" s="22">
        <v>0.95</v>
      </c>
      <c r="G1577" s="22">
        <v>20260402</v>
      </c>
      <c r="H1577" s="23" t="b">
        <f t="shared" si="24"/>
        <v>0</v>
      </c>
      <c r="I1577" s="24" t="str" cm="1">
        <f t="array" ref="I1577">GET_TICKER_FINAL(C1577)</f>
        <v/>
      </c>
      <c r="J1577" s="5" t="s">
        <v>16</v>
      </c>
    </row>
    <row r="1578" spans="1:10" hidden="1">
      <c r="A1578" s="20">
        <v>1577</v>
      </c>
      <c r="B1578" s="19" t="s">
        <v>1376</v>
      </c>
      <c r="C1578" s="19" t="s">
        <v>1549</v>
      </c>
      <c r="D1578" s="19">
        <v>247</v>
      </c>
      <c r="E1578" s="19">
        <v>69</v>
      </c>
      <c r="F1578" s="19">
        <v>0.88</v>
      </c>
      <c r="G1578" s="19">
        <v>20260327</v>
      </c>
      <c r="H1578" s="20" t="b">
        <f t="shared" si="24"/>
        <v>0</v>
      </c>
      <c r="I1578" s="21" t="str" cm="1">
        <f t="array" ref="I1578">GET_TICKER_FINAL(C1578)</f>
        <v/>
      </c>
      <c r="J1578" s="5" t="s">
        <v>1792</v>
      </c>
    </row>
    <row r="1579" spans="1:10" hidden="1">
      <c r="A1579" s="23">
        <v>1578</v>
      </c>
      <c r="B1579" s="22" t="s">
        <v>1376</v>
      </c>
      <c r="C1579" s="22" t="s">
        <v>1550</v>
      </c>
      <c r="D1579" s="22">
        <v>246</v>
      </c>
      <c r="E1579" s="22">
        <v>11274</v>
      </c>
      <c r="F1579" s="22">
        <v>0.91</v>
      </c>
      <c r="G1579" s="22">
        <v>20260402</v>
      </c>
      <c r="H1579" s="23" t="b">
        <f t="shared" si="24"/>
        <v>0</v>
      </c>
      <c r="I1579" s="24" t="str" cm="1">
        <f t="array" ref="I1579">GET_TICKER_FINAL(C1579)</f>
        <v/>
      </c>
      <c r="J1579" s="5" t="s">
        <v>1792</v>
      </c>
    </row>
    <row r="1580" spans="1:10" hidden="1">
      <c r="A1580" s="20">
        <v>1579</v>
      </c>
      <c r="B1580" s="19" t="s">
        <v>1376</v>
      </c>
      <c r="C1580" s="19" t="s">
        <v>1551</v>
      </c>
      <c r="D1580" s="19">
        <v>240</v>
      </c>
      <c r="E1580" s="19">
        <v>16360</v>
      </c>
      <c r="F1580" s="19">
        <v>0.92</v>
      </c>
      <c r="G1580" s="19">
        <v>20260324</v>
      </c>
      <c r="H1580" s="20" t="b">
        <f t="shared" si="24"/>
        <v>0</v>
      </c>
      <c r="I1580" s="21" t="str" cm="1">
        <f t="array" ref="I1580">GET_TICKER_FINAL(C1580)</f>
        <v/>
      </c>
      <c r="J1580" s="5" t="s">
        <v>1792</v>
      </c>
    </row>
    <row r="1581" spans="1:10">
      <c r="A1581" s="23">
        <v>1580</v>
      </c>
      <c r="B1581" s="22" t="s">
        <v>1376</v>
      </c>
      <c r="C1581" s="22" t="s">
        <v>1552</v>
      </c>
      <c r="D1581" s="22">
        <v>240</v>
      </c>
      <c r="E1581" s="22">
        <v>59</v>
      </c>
      <c r="F1581" s="22">
        <v>0.87</v>
      </c>
      <c r="G1581" s="22">
        <v>20260327</v>
      </c>
      <c r="H1581" s="23" t="b">
        <f t="shared" si="24"/>
        <v>0</v>
      </c>
      <c r="I1581" s="24" t="str" cm="1">
        <f t="array" ref="I1581">GET_TICKER_FINAL(C1581)</f>
        <v>SPY</v>
      </c>
      <c r="J1581" s="5" t="s">
        <v>16</v>
      </c>
    </row>
    <row r="1582" spans="1:10">
      <c r="A1582" s="20">
        <v>1581</v>
      </c>
      <c r="B1582" s="19" t="s">
        <v>1376</v>
      </c>
      <c r="C1582" s="19" t="s">
        <v>1553</v>
      </c>
      <c r="D1582" s="19">
        <v>239</v>
      </c>
      <c r="E1582" s="19">
        <v>35</v>
      </c>
      <c r="F1582" s="19">
        <v>0.96</v>
      </c>
      <c r="G1582" s="19">
        <v>20260402</v>
      </c>
      <c r="H1582" s="20" t="b">
        <f t="shared" si="24"/>
        <v>0</v>
      </c>
      <c r="I1582" s="21" t="str" cm="1">
        <f t="array" ref="I1582">GET_TICKER_FINAL(C1582)</f>
        <v>AMZN</v>
      </c>
      <c r="J1582" s="5" t="s">
        <v>25</v>
      </c>
    </row>
    <row r="1583" spans="1:10" hidden="1">
      <c r="A1583" s="23">
        <v>1582</v>
      </c>
      <c r="B1583" s="22" t="s">
        <v>1376</v>
      </c>
      <c r="C1583" s="22" t="s">
        <v>1554</v>
      </c>
      <c r="D1583" s="22">
        <v>237</v>
      </c>
      <c r="E1583" s="22">
        <v>18703</v>
      </c>
      <c r="F1583" s="22">
        <v>0.88</v>
      </c>
      <c r="G1583" s="22">
        <v>20260402</v>
      </c>
      <c r="H1583" s="23" t="b">
        <f t="shared" si="24"/>
        <v>0</v>
      </c>
      <c r="I1583" s="24" t="str" cm="1">
        <f t="array" ref="I1583">GET_TICKER_FINAL(C1583)</f>
        <v/>
      </c>
      <c r="J1583" s="5" t="s">
        <v>1792</v>
      </c>
    </row>
    <row r="1584" spans="1:10" hidden="1">
      <c r="A1584" s="20">
        <v>1583</v>
      </c>
      <c r="B1584" s="19" t="s">
        <v>1376</v>
      </c>
      <c r="C1584" s="19" t="s">
        <v>1555</v>
      </c>
      <c r="D1584" s="19">
        <v>236</v>
      </c>
      <c r="E1584" s="19">
        <v>19738</v>
      </c>
      <c r="F1584" s="19">
        <v>0.92</v>
      </c>
      <c r="G1584" s="19">
        <v>20260324</v>
      </c>
      <c r="H1584" s="20" t="b">
        <f t="shared" si="24"/>
        <v>0</v>
      </c>
      <c r="I1584" s="21" t="str" cm="1">
        <f t="array" ref="I1584">GET_TICKER_FINAL(C1584)</f>
        <v/>
      </c>
      <c r="J1584" s="5" t="s">
        <v>1792</v>
      </c>
    </row>
    <row r="1585" spans="1:10" hidden="1">
      <c r="A1585" s="23">
        <v>1584</v>
      </c>
      <c r="B1585" s="22" t="s">
        <v>1376</v>
      </c>
      <c r="C1585" s="22" t="s">
        <v>1556</v>
      </c>
      <c r="D1585" s="22">
        <v>236</v>
      </c>
      <c r="E1585" s="22">
        <v>19426</v>
      </c>
      <c r="F1585" s="22">
        <v>0.9</v>
      </c>
      <c r="G1585" s="22">
        <v>20260330</v>
      </c>
      <c r="H1585" s="23" t="b">
        <f t="shared" si="24"/>
        <v>0</v>
      </c>
      <c r="I1585" s="24" t="str" cm="1">
        <f t="array" ref="I1585">GET_TICKER_FINAL(C1585)</f>
        <v/>
      </c>
      <c r="J1585" s="5" t="s">
        <v>1792</v>
      </c>
    </row>
    <row r="1586" spans="1:10" hidden="1">
      <c r="A1586" s="20">
        <v>1585</v>
      </c>
      <c r="B1586" s="19" t="s">
        <v>1376</v>
      </c>
      <c r="C1586" s="19" t="s">
        <v>1557</v>
      </c>
      <c r="D1586" s="19">
        <v>234</v>
      </c>
      <c r="E1586" s="19">
        <v>14141</v>
      </c>
      <c r="F1586" s="19">
        <v>0.9</v>
      </c>
      <c r="G1586" s="19">
        <v>20260324</v>
      </c>
      <c r="H1586" s="20" t="b">
        <f t="shared" si="24"/>
        <v>0</v>
      </c>
      <c r="I1586" s="21" t="str" cm="1">
        <f t="array" ref="I1586">GET_TICKER_FINAL(C1586)</f>
        <v/>
      </c>
      <c r="J1586" s="5" t="s">
        <v>1792</v>
      </c>
    </row>
    <row r="1587" spans="1:10" hidden="1">
      <c r="A1587" s="23">
        <v>1586</v>
      </c>
      <c r="B1587" s="22" t="s">
        <v>1376</v>
      </c>
      <c r="C1587" s="22" t="s">
        <v>1558</v>
      </c>
      <c r="D1587" s="22">
        <v>232</v>
      </c>
      <c r="E1587" s="22">
        <v>58</v>
      </c>
      <c r="F1587" s="22">
        <v>0.8</v>
      </c>
      <c r="G1587" s="22">
        <v>20260326</v>
      </c>
      <c r="H1587" s="23" t="b">
        <f t="shared" si="24"/>
        <v>0</v>
      </c>
      <c r="I1587" s="24" t="str" cm="1">
        <f t="array" ref="I1587">GET_TICKER_FINAL(C1587)</f>
        <v/>
      </c>
      <c r="J1587" s="5" t="s">
        <v>25</v>
      </c>
    </row>
    <row r="1588" spans="1:10" hidden="1">
      <c r="A1588" s="20">
        <v>1587</v>
      </c>
      <c r="B1588" s="19" t="s">
        <v>1376</v>
      </c>
      <c r="C1588" s="19" t="s">
        <v>1559</v>
      </c>
      <c r="D1588" s="19">
        <v>232</v>
      </c>
      <c r="E1588" s="19">
        <v>14072</v>
      </c>
      <c r="F1588" s="19">
        <v>0.93</v>
      </c>
      <c r="G1588" s="19">
        <v>20260327</v>
      </c>
      <c r="H1588" s="20" t="b">
        <f t="shared" si="24"/>
        <v>0</v>
      </c>
      <c r="I1588" s="21" t="str" cm="1">
        <f t="array" ref="I1588">GET_TICKER_FINAL(C1588)</f>
        <v/>
      </c>
      <c r="J1588" s="5" t="s">
        <v>1792</v>
      </c>
    </row>
    <row r="1589" spans="1:10">
      <c r="A1589" s="23">
        <v>1588</v>
      </c>
      <c r="B1589" s="22" t="s">
        <v>1376</v>
      </c>
      <c r="C1589" s="22" t="s">
        <v>1560</v>
      </c>
      <c r="D1589" s="22">
        <v>232</v>
      </c>
      <c r="E1589" s="22">
        <v>70</v>
      </c>
      <c r="F1589" s="22">
        <v>0.95</v>
      </c>
      <c r="G1589" s="22">
        <v>20260323</v>
      </c>
      <c r="H1589" s="23" t="b">
        <f t="shared" si="24"/>
        <v>0</v>
      </c>
      <c r="I1589" s="24" t="str" cm="1">
        <f t="array" ref="I1589">GET_TICKER_FINAL(C1589)</f>
        <v>SPY</v>
      </c>
      <c r="J1589" s="5" t="s">
        <v>16</v>
      </c>
    </row>
    <row r="1590" spans="1:10" hidden="1">
      <c r="A1590" s="20">
        <v>1589</v>
      </c>
      <c r="B1590" s="19" t="s">
        <v>1376</v>
      </c>
      <c r="C1590" s="19" t="s">
        <v>1561</v>
      </c>
      <c r="D1590" s="19">
        <v>230</v>
      </c>
      <c r="E1590" s="19">
        <v>36</v>
      </c>
      <c r="F1590" s="19">
        <v>0.97</v>
      </c>
      <c r="G1590" s="19">
        <v>20260402</v>
      </c>
      <c r="H1590" s="20" t="b">
        <f t="shared" si="24"/>
        <v>0</v>
      </c>
      <c r="I1590" s="21" t="str" cm="1">
        <f t="array" ref="I1590">GET_TICKER_FINAL(C1590)</f>
        <v/>
      </c>
      <c r="J1590" s="5" t="s">
        <v>1792</v>
      </c>
    </row>
    <row r="1591" spans="1:10" hidden="1">
      <c r="A1591" s="23">
        <v>1590</v>
      </c>
      <c r="B1591" s="22" t="s">
        <v>1376</v>
      </c>
      <c r="C1591" s="22" t="s">
        <v>858</v>
      </c>
      <c r="D1591" s="22">
        <v>229</v>
      </c>
      <c r="E1591" s="22">
        <v>118</v>
      </c>
      <c r="F1591" s="22">
        <v>0.94</v>
      </c>
      <c r="G1591" s="22">
        <v>20260402</v>
      </c>
      <c r="H1591" s="23" t="b">
        <f t="shared" si="24"/>
        <v>0</v>
      </c>
      <c r="I1591" s="24" t="str" cm="1">
        <f t="array" ref="I1591">GET_TICKER_FINAL(C1591)</f>
        <v/>
      </c>
      <c r="J1591" s="5" t="s">
        <v>25</v>
      </c>
    </row>
    <row r="1592" spans="1:10" hidden="1">
      <c r="A1592" s="20">
        <v>1591</v>
      </c>
      <c r="B1592" s="19" t="s">
        <v>1376</v>
      </c>
      <c r="C1592" s="19" t="s">
        <v>1562</v>
      </c>
      <c r="D1592" s="19">
        <v>226</v>
      </c>
      <c r="E1592" s="19">
        <v>24</v>
      </c>
      <c r="F1592" s="19">
        <v>0.95</v>
      </c>
      <c r="G1592" s="19">
        <v>20260402</v>
      </c>
      <c r="H1592" s="20" t="b">
        <f t="shared" si="24"/>
        <v>0</v>
      </c>
      <c r="I1592" s="21" t="str" cm="1">
        <f t="array" ref="I1592">GET_TICKER_FINAL(C1592)</f>
        <v/>
      </c>
      <c r="J1592" s="5" t="s">
        <v>25</v>
      </c>
    </row>
    <row r="1593" spans="1:10" hidden="1">
      <c r="A1593" s="23">
        <v>1592</v>
      </c>
      <c r="B1593" s="22" t="s">
        <v>1376</v>
      </c>
      <c r="C1593" s="22" t="s">
        <v>1563</v>
      </c>
      <c r="D1593" s="22">
        <v>222</v>
      </c>
      <c r="E1593" s="22">
        <v>13958</v>
      </c>
      <c r="F1593" s="22">
        <v>0.92</v>
      </c>
      <c r="G1593" s="22">
        <v>20260320</v>
      </c>
      <c r="H1593" s="23" t="b">
        <f t="shared" si="24"/>
        <v>0</v>
      </c>
      <c r="I1593" s="24" t="str" cm="1">
        <f t="array" ref="I1593">GET_TICKER_FINAL(C1593)</f>
        <v/>
      </c>
      <c r="J1593" s="5" t="s">
        <v>1792</v>
      </c>
    </row>
    <row r="1594" spans="1:10">
      <c r="A1594" s="20">
        <v>1593</v>
      </c>
      <c r="B1594" s="19" t="s">
        <v>1376</v>
      </c>
      <c r="C1594" s="19" t="s">
        <v>1564</v>
      </c>
      <c r="D1594" s="19">
        <v>217</v>
      </c>
      <c r="E1594" s="19">
        <v>50</v>
      </c>
      <c r="F1594" s="19">
        <v>0.92</v>
      </c>
      <c r="G1594" s="19">
        <v>20260320</v>
      </c>
      <c r="H1594" s="20" t="b">
        <f t="shared" si="24"/>
        <v>0</v>
      </c>
      <c r="I1594" s="21" t="str" cm="1">
        <f t="array" ref="I1594">GET_TICKER_FINAL(C1594)</f>
        <v>SPY</v>
      </c>
      <c r="J1594" s="5" t="s">
        <v>25</v>
      </c>
    </row>
    <row r="1595" spans="1:10" hidden="1">
      <c r="A1595" s="23">
        <v>1594</v>
      </c>
      <c r="B1595" s="22" t="s">
        <v>1376</v>
      </c>
      <c r="C1595" s="22" t="s">
        <v>1565</v>
      </c>
      <c r="D1595" s="22">
        <v>217</v>
      </c>
      <c r="E1595" s="22">
        <v>95</v>
      </c>
      <c r="F1595" s="22">
        <v>0.85</v>
      </c>
      <c r="G1595" s="22">
        <v>20260326</v>
      </c>
      <c r="H1595" s="23" t="b">
        <f t="shared" si="24"/>
        <v>0</v>
      </c>
      <c r="I1595" s="24" t="str" cm="1">
        <f t="array" ref="I1595">GET_TICKER_FINAL(C1595)</f>
        <v/>
      </c>
      <c r="J1595" s="5" t="s">
        <v>1792</v>
      </c>
    </row>
    <row r="1596" spans="1:10" hidden="1">
      <c r="A1596" s="20">
        <v>1595</v>
      </c>
      <c r="B1596" s="19" t="s">
        <v>1376</v>
      </c>
      <c r="C1596" s="19" t="s">
        <v>1566</v>
      </c>
      <c r="D1596" s="19">
        <v>217</v>
      </c>
      <c r="E1596" s="19">
        <v>219</v>
      </c>
      <c r="F1596" s="19">
        <v>0.93</v>
      </c>
      <c r="G1596" s="19">
        <v>20260331</v>
      </c>
      <c r="H1596" s="20" t="b">
        <f t="shared" si="24"/>
        <v>0</v>
      </c>
      <c r="I1596" s="21" t="str" cm="1">
        <f t="array" ref="I1596">GET_TICKER_FINAL(C1596)</f>
        <v/>
      </c>
      <c r="J1596" s="5" t="s">
        <v>1792</v>
      </c>
    </row>
    <row r="1597" spans="1:10" hidden="1">
      <c r="A1597" s="23">
        <v>1596</v>
      </c>
      <c r="B1597" s="22" t="s">
        <v>1376</v>
      </c>
      <c r="C1597" s="22" t="s">
        <v>1567</v>
      </c>
      <c r="D1597" s="22">
        <v>216</v>
      </c>
      <c r="E1597" s="22">
        <v>15139</v>
      </c>
      <c r="F1597" s="22">
        <v>0.91</v>
      </c>
      <c r="G1597" s="22">
        <v>20260323</v>
      </c>
      <c r="H1597" s="23" t="b">
        <f t="shared" si="24"/>
        <v>0</v>
      </c>
      <c r="I1597" s="24" t="str" cm="1">
        <f t="array" ref="I1597">GET_TICKER_FINAL(C1597)</f>
        <v/>
      </c>
      <c r="J1597" s="5" t="s">
        <v>1792</v>
      </c>
    </row>
    <row r="1598" spans="1:10" hidden="1">
      <c r="A1598" s="20">
        <v>1597</v>
      </c>
      <c r="B1598" s="19" t="s">
        <v>1376</v>
      </c>
      <c r="C1598" s="19" t="s">
        <v>1568</v>
      </c>
      <c r="D1598" s="19">
        <v>215</v>
      </c>
      <c r="E1598" s="19">
        <v>47</v>
      </c>
      <c r="F1598" s="19">
        <v>0.96</v>
      </c>
      <c r="G1598" s="19">
        <v>20260327</v>
      </c>
      <c r="H1598" s="20" t="b">
        <f t="shared" si="24"/>
        <v>0</v>
      </c>
      <c r="I1598" s="21" t="str" cm="1">
        <f t="array" ref="I1598">GET_TICKER_FINAL(C1598)</f>
        <v/>
      </c>
      <c r="J1598" s="5" t="s">
        <v>25</v>
      </c>
    </row>
    <row r="1599" spans="1:10" hidden="1">
      <c r="A1599" s="23">
        <v>1598</v>
      </c>
      <c r="B1599" s="22" t="s">
        <v>1376</v>
      </c>
      <c r="C1599" s="22" t="s">
        <v>1569</v>
      </c>
      <c r="D1599" s="22">
        <v>214</v>
      </c>
      <c r="E1599" s="22">
        <v>33</v>
      </c>
      <c r="F1599" s="22">
        <v>0.95</v>
      </c>
      <c r="G1599" s="22">
        <v>20260324</v>
      </c>
      <c r="H1599" s="23" t="b">
        <f t="shared" si="24"/>
        <v>0</v>
      </c>
      <c r="I1599" s="24" t="str" cm="1">
        <f t="array" ref="I1599">GET_TICKER_FINAL(C1599)</f>
        <v/>
      </c>
      <c r="J1599" s="5" t="s">
        <v>1792</v>
      </c>
    </row>
    <row r="1600" spans="1:10" hidden="1">
      <c r="A1600" s="20">
        <v>1599</v>
      </c>
      <c r="B1600" s="19" t="s">
        <v>1376</v>
      </c>
      <c r="C1600" s="19" t="s">
        <v>1570</v>
      </c>
      <c r="D1600" s="19">
        <v>211</v>
      </c>
      <c r="E1600" s="19">
        <v>167</v>
      </c>
      <c r="F1600" s="19">
        <v>0.9</v>
      </c>
      <c r="G1600" s="19">
        <v>20260326</v>
      </c>
      <c r="H1600" s="20" t="b">
        <f t="shared" si="24"/>
        <v>0</v>
      </c>
      <c r="I1600" s="21" t="str" cm="1">
        <f t="array" ref="I1600">GET_TICKER_FINAL(C1600)</f>
        <v/>
      </c>
      <c r="J1600" s="5" t="s">
        <v>16</v>
      </c>
    </row>
    <row r="1601" spans="1:10">
      <c r="A1601" s="23">
        <v>1600</v>
      </c>
      <c r="B1601" s="22" t="s">
        <v>1376</v>
      </c>
      <c r="C1601" s="22" t="s">
        <v>1571</v>
      </c>
      <c r="D1601" s="22">
        <v>211</v>
      </c>
      <c r="E1601" s="22">
        <v>146</v>
      </c>
      <c r="F1601" s="22">
        <v>0.9</v>
      </c>
      <c r="G1601" s="22">
        <v>20260323</v>
      </c>
      <c r="H1601" s="23" t="b">
        <f t="shared" si="24"/>
        <v>0</v>
      </c>
      <c r="I1601" s="24" t="str" cm="1">
        <f t="array" ref="I1601">GET_TICKER_FINAL(C1601)</f>
        <v>SMCI</v>
      </c>
      <c r="J1601" s="5" t="s">
        <v>25</v>
      </c>
    </row>
    <row r="1602" spans="1:10" hidden="1">
      <c r="A1602" s="20">
        <v>1601</v>
      </c>
      <c r="B1602" s="19" t="s">
        <v>1376</v>
      </c>
      <c r="C1602" s="19" t="s">
        <v>1572</v>
      </c>
      <c r="D1602" s="19">
        <v>208</v>
      </c>
      <c r="E1602" s="19">
        <v>40</v>
      </c>
      <c r="F1602" s="19">
        <v>0.95</v>
      </c>
      <c r="G1602" s="19">
        <v>20260402</v>
      </c>
      <c r="H1602" s="20" t="b">
        <f t="shared" si="24"/>
        <v>0</v>
      </c>
      <c r="I1602" s="21" t="str" cm="1">
        <f t="array" ref="I1602">GET_TICKER_FINAL(C1602)</f>
        <v/>
      </c>
      <c r="J1602" s="5" t="s">
        <v>25</v>
      </c>
    </row>
    <row r="1603" spans="1:10">
      <c r="A1603" s="23">
        <v>1602</v>
      </c>
      <c r="B1603" s="22" t="s">
        <v>1376</v>
      </c>
      <c r="C1603" s="22" t="s">
        <v>1573</v>
      </c>
      <c r="D1603" s="22">
        <v>207</v>
      </c>
      <c r="E1603" s="22">
        <v>105</v>
      </c>
      <c r="F1603" s="22">
        <v>0.93</v>
      </c>
      <c r="G1603" s="22">
        <v>20260323</v>
      </c>
      <c r="H1603" s="23" t="b">
        <f t="shared" ref="H1603:H1666" si="25">OR(ISNUMBER(SEARCH("$A",C1603)),ISNUMBER(SEARCH("$B",C1603)),ISNUMBER(SEARCH("$C",C1603)),ISNUMBER(SEARCH("$D",C1603)),ISNUMBER(SEARCH("$E",C1603)),ISNUMBER(SEARCH("$F",C1603)),ISNUMBER(SEARCH("$G",C1603)),ISNUMBER(SEARCH("$H",C1603)),ISNUMBER(SEARCH("$I",C1603)),ISNUMBER(SEARCH("$J",C1603)),ISNUMBER(SEARCH("$K",C1603)),ISNUMBER(SEARCH("$L",C1603)),ISNUMBER(SEARCH("$M",C1603)),ISNUMBER(SEARCH("$N",C1603)),ISNUMBER(SEARCH("$O",C1603)),ISNUMBER(SEARCH("$P",C1603)),ISNUMBER(SEARCH("$Q",C1603)),ISNUMBER(SEARCH("$R",C1603)),ISNUMBER(SEARCH("$S",C1603)),ISNUMBER(SEARCH("$T",C1603)),ISNUMBER(SEARCH("$U",C1603)),ISNUMBER(SEARCH("$V",C1603)),ISNUMBER(SEARCH("$W",C1603)),ISNUMBER(SEARCH("$X",C1603)),ISNUMBER(SEARCH("$Y",C1603)),ISNUMBER(SEARCH("$Z",C1603)))</f>
        <v>0</v>
      </c>
      <c r="I1603" s="24" t="str" cm="1">
        <f t="array" ref="I1603">GET_TICKER_FINAL(C1603)</f>
        <v>MSFT</v>
      </c>
      <c r="J1603" s="5" t="s">
        <v>16</v>
      </c>
    </row>
    <row r="1604" spans="1:10">
      <c r="A1604" s="20">
        <v>1603</v>
      </c>
      <c r="B1604" s="19" t="s">
        <v>1376</v>
      </c>
      <c r="C1604" s="19" t="s">
        <v>1574</v>
      </c>
      <c r="D1604" s="19">
        <v>204</v>
      </c>
      <c r="E1604" s="19">
        <v>82</v>
      </c>
      <c r="F1604" s="19">
        <v>0.93</v>
      </c>
      <c r="G1604" s="19">
        <v>20260327</v>
      </c>
      <c r="H1604" s="20" t="b">
        <f t="shared" si="25"/>
        <v>0</v>
      </c>
      <c r="I1604" s="21" t="str" cm="1">
        <f t="array" ref="I1604">GET_TICKER_FINAL(C1604)</f>
        <v>GOOGL</v>
      </c>
      <c r="J1604" s="5" t="s">
        <v>25</v>
      </c>
    </row>
    <row r="1605" spans="1:10" hidden="1">
      <c r="A1605" s="23">
        <v>1604</v>
      </c>
      <c r="B1605" s="22" t="s">
        <v>1376</v>
      </c>
      <c r="C1605" s="22" t="s">
        <v>1575</v>
      </c>
      <c r="D1605" s="22">
        <v>202</v>
      </c>
      <c r="E1605" s="22">
        <v>17942</v>
      </c>
      <c r="F1605" s="22">
        <v>0.89</v>
      </c>
      <c r="G1605" s="22">
        <v>20260324</v>
      </c>
      <c r="H1605" s="23" t="b">
        <f t="shared" si="25"/>
        <v>0</v>
      </c>
      <c r="I1605" s="24" t="str" cm="1">
        <f t="array" ref="I1605">GET_TICKER_FINAL(C1605)</f>
        <v/>
      </c>
      <c r="J1605" s="5" t="s">
        <v>1792</v>
      </c>
    </row>
    <row r="1606" spans="1:10" hidden="1">
      <c r="A1606" s="20">
        <v>1605</v>
      </c>
      <c r="B1606" s="19" t="s">
        <v>1376</v>
      </c>
      <c r="C1606" s="19" t="s">
        <v>1576</v>
      </c>
      <c r="D1606" s="19">
        <v>196</v>
      </c>
      <c r="E1606" s="19">
        <v>79</v>
      </c>
      <c r="F1606" s="19">
        <v>0.85</v>
      </c>
      <c r="G1606" s="19">
        <v>20260402</v>
      </c>
      <c r="H1606" s="20" t="b">
        <f t="shared" si="25"/>
        <v>1</v>
      </c>
      <c r="I1606" s="21" t="str" cm="1">
        <f t="array" ref="I1606">GET_TICKER_FINAL(C1606)</f>
        <v/>
      </c>
      <c r="J1606" s="5" t="s">
        <v>25</v>
      </c>
    </row>
    <row r="1607" spans="1:10" hidden="1">
      <c r="A1607" s="23">
        <v>1606</v>
      </c>
      <c r="B1607" s="22" t="s">
        <v>1376</v>
      </c>
      <c r="C1607" s="22" t="s">
        <v>1577</v>
      </c>
      <c r="D1607" s="22">
        <v>196</v>
      </c>
      <c r="E1607" s="22">
        <v>75</v>
      </c>
      <c r="F1607" s="22">
        <v>0.94</v>
      </c>
      <c r="G1607" s="22">
        <v>20260402</v>
      </c>
      <c r="H1607" s="23" t="b">
        <f t="shared" si="25"/>
        <v>0</v>
      </c>
      <c r="I1607" s="24" t="str" cm="1">
        <f t="array" ref="I1607">GET_TICKER_FINAL(C1607)</f>
        <v/>
      </c>
      <c r="J1607" s="5" t="s">
        <v>1792</v>
      </c>
    </row>
    <row r="1608" spans="1:10" hidden="1">
      <c r="A1608" s="20">
        <v>1607</v>
      </c>
      <c r="B1608" s="19" t="s">
        <v>1376</v>
      </c>
      <c r="C1608" s="19" t="s">
        <v>1578</v>
      </c>
      <c r="D1608" s="19">
        <v>194</v>
      </c>
      <c r="E1608" s="19">
        <v>13639</v>
      </c>
      <c r="F1608" s="19">
        <v>0.92</v>
      </c>
      <c r="G1608" s="19">
        <v>20260331</v>
      </c>
      <c r="H1608" s="20" t="b">
        <f t="shared" si="25"/>
        <v>0</v>
      </c>
      <c r="I1608" s="21" t="str" cm="1">
        <f t="array" ref="I1608">GET_TICKER_FINAL(C1608)</f>
        <v/>
      </c>
      <c r="J1608" s="5" t="s">
        <v>1792</v>
      </c>
    </row>
    <row r="1609" spans="1:10" hidden="1">
      <c r="A1609" s="23">
        <v>1608</v>
      </c>
      <c r="B1609" s="22" t="s">
        <v>1376</v>
      </c>
      <c r="C1609" s="22" t="s">
        <v>1579</v>
      </c>
      <c r="D1609" s="22">
        <v>193</v>
      </c>
      <c r="E1609" s="22">
        <v>9542</v>
      </c>
      <c r="F1609" s="22">
        <v>0.9</v>
      </c>
      <c r="G1609" s="22">
        <v>20260327</v>
      </c>
      <c r="H1609" s="23" t="b">
        <f t="shared" si="25"/>
        <v>0</v>
      </c>
      <c r="I1609" s="24" t="str" cm="1">
        <f t="array" ref="I1609">GET_TICKER_FINAL(C1609)</f>
        <v/>
      </c>
      <c r="J1609" s="5" t="s">
        <v>1792</v>
      </c>
    </row>
    <row r="1610" spans="1:10" hidden="1">
      <c r="A1610" s="20">
        <v>1609</v>
      </c>
      <c r="B1610" s="19" t="s">
        <v>1376</v>
      </c>
      <c r="C1610" s="19" t="s">
        <v>1580</v>
      </c>
      <c r="D1610" s="19">
        <v>192</v>
      </c>
      <c r="E1610" s="19">
        <v>11103</v>
      </c>
      <c r="F1610" s="19">
        <v>0.9</v>
      </c>
      <c r="G1610" s="19">
        <v>20260320</v>
      </c>
      <c r="H1610" s="20" t="b">
        <f t="shared" si="25"/>
        <v>0</v>
      </c>
      <c r="I1610" s="21" t="str" cm="1">
        <f t="array" ref="I1610">GET_TICKER_FINAL(C1610)</f>
        <v/>
      </c>
      <c r="J1610" s="5" t="s">
        <v>1792</v>
      </c>
    </row>
    <row r="1611" spans="1:10" hidden="1">
      <c r="A1611" s="23">
        <v>1610</v>
      </c>
      <c r="B1611" s="22" t="s">
        <v>1376</v>
      </c>
      <c r="C1611" s="22" t="s">
        <v>1581</v>
      </c>
      <c r="D1611" s="22">
        <v>191</v>
      </c>
      <c r="E1611" s="22">
        <v>8729</v>
      </c>
      <c r="F1611" s="22">
        <v>0.92</v>
      </c>
      <c r="G1611" s="22">
        <v>20260402</v>
      </c>
      <c r="H1611" s="23" t="b">
        <f t="shared" si="25"/>
        <v>0</v>
      </c>
      <c r="I1611" s="24" t="str" cm="1">
        <f t="array" ref="I1611">GET_TICKER_FINAL(C1611)</f>
        <v/>
      </c>
      <c r="J1611" s="5" t="s">
        <v>1792</v>
      </c>
    </row>
    <row r="1612" spans="1:10" hidden="1">
      <c r="A1612" s="20">
        <v>1611</v>
      </c>
      <c r="B1612" s="19" t="s">
        <v>1376</v>
      </c>
      <c r="C1612" s="19" t="s">
        <v>1582</v>
      </c>
      <c r="D1612" s="19">
        <v>190</v>
      </c>
      <c r="E1612" s="19">
        <v>32</v>
      </c>
      <c r="F1612" s="19">
        <v>0.92</v>
      </c>
      <c r="G1612" s="19">
        <v>20260327</v>
      </c>
      <c r="H1612" s="20" t="b">
        <f t="shared" si="25"/>
        <v>0</v>
      </c>
      <c r="I1612" s="21" t="str" cm="1">
        <f t="array" ref="I1612">GET_TICKER_FINAL(C1612)</f>
        <v/>
      </c>
      <c r="J1612" s="5" t="s">
        <v>25</v>
      </c>
    </row>
    <row r="1613" spans="1:10">
      <c r="A1613" s="23">
        <v>1612</v>
      </c>
      <c r="B1613" s="22" t="s">
        <v>1376</v>
      </c>
      <c r="C1613" s="22" t="s">
        <v>1583</v>
      </c>
      <c r="D1613" s="22">
        <v>188</v>
      </c>
      <c r="E1613" s="22">
        <v>96</v>
      </c>
      <c r="F1613" s="22">
        <v>0.93</v>
      </c>
      <c r="G1613" s="22">
        <v>20260331</v>
      </c>
      <c r="H1613" s="23" t="b">
        <f t="shared" si="25"/>
        <v>0</v>
      </c>
      <c r="I1613" s="24" t="str" cm="1">
        <f t="array" ref="I1613">GET_TICKER_FINAL(C1613)</f>
        <v>GOOGL</v>
      </c>
      <c r="J1613" s="5" t="s">
        <v>25</v>
      </c>
    </row>
    <row r="1614" spans="1:10">
      <c r="A1614" s="20">
        <v>1613</v>
      </c>
      <c r="B1614" s="19" t="s">
        <v>1376</v>
      </c>
      <c r="C1614" s="19" t="s">
        <v>1584</v>
      </c>
      <c r="D1614" s="19">
        <v>186</v>
      </c>
      <c r="E1614" s="19">
        <v>79</v>
      </c>
      <c r="F1614" s="19">
        <v>0.98</v>
      </c>
      <c r="G1614" s="19">
        <v>20260402</v>
      </c>
      <c r="H1614" s="20" t="b">
        <f t="shared" si="25"/>
        <v>0</v>
      </c>
      <c r="I1614" s="21" t="str" cm="1">
        <f t="array" ref="I1614">GET_TICKER_FINAL(C1614)</f>
        <v>TSLA</v>
      </c>
      <c r="J1614" s="5" t="s">
        <v>16</v>
      </c>
    </row>
    <row r="1615" spans="1:10">
      <c r="A1615" s="23">
        <v>1614</v>
      </c>
      <c r="B1615" s="22" t="s">
        <v>1376</v>
      </c>
      <c r="C1615" s="22" t="s">
        <v>1585</v>
      </c>
      <c r="D1615" s="22">
        <v>185</v>
      </c>
      <c r="E1615" s="22">
        <v>27</v>
      </c>
      <c r="F1615" s="22">
        <v>0.92</v>
      </c>
      <c r="G1615" s="22">
        <v>20260324</v>
      </c>
      <c r="H1615" s="23" t="b">
        <f t="shared" si="25"/>
        <v>0</v>
      </c>
      <c r="I1615" s="24" t="str" cm="1">
        <f t="array" ref="I1615">GET_TICKER_FINAL(C1615)</f>
        <v>SPY</v>
      </c>
      <c r="J1615" s="5" t="s">
        <v>16</v>
      </c>
    </row>
    <row r="1616" spans="1:10" hidden="1">
      <c r="A1616" s="20">
        <v>1615</v>
      </c>
      <c r="B1616" s="19" t="s">
        <v>1376</v>
      </c>
      <c r="C1616" s="19" t="s">
        <v>1586</v>
      </c>
      <c r="D1616" s="19">
        <v>182</v>
      </c>
      <c r="E1616" s="19">
        <v>118</v>
      </c>
      <c r="F1616" s="19">
        <v>0.9</v>
      </c>
      <c r="G1616" s="19">
        <v>20260330</v>
      </c>
      <c r="H1616" s="20" t="b">
        <f t="shared" si="25"/>
        <v>0</v>
      </c>
      <c r="I1616" s="21" t="str" cm="1">
        <f t="array" ref="I1616">GET_TICKER_FINAL(C1616)</f>
        <v/>
      </c>
      <c r="J1616" s="5" t="s">
        <v>16</v>
      </c>
    </row>
    <row r="1617" spans="1:10" hidden="1">
      <c r="A1617" s="23">
        <v>1616</v>
      </c>
      <c r="B1617" s="22" t="s">
        <v>1376</v>
      </c>
      <c r="C1617" s="22" t="s">
        <v>1587</v>
      </c>
      <c r="D1617" s="22">
        <v>181</v>
      </c>
      <c r="E1617" s="22">
        <v>18</v>
      </c>
      <c r="F1617" s="22">
        <v>0.93</v>
      </c>
      <c r="G1617" s="22">
        <v>20260326</v>
      </c>
      <c r="H1617" s="23" t="b">
        <f t="shared" si="25"/>
        <v>0</v>
      </c>
      <c r="I1617" s="24" t="str" cm="1">
        <f t="array" ref="I1617">GET_TICKER_FINAL(C1617)</f>
        <v/>
      </c>
      <c r="J1617" s="5" t="s">
        <v>25</v>
      </c>
    </row>
    <row r="1618" spans="1:10" hidden="1">
      <c r="A1618" s="20">
        <v>1617</v>
      </c>
      <c r="B1618" s="19" t="s">
        <v>1376</v>
      </c>
      <c r="C1618" s="19" t="s">
        <v>1588</v>
      </c>
      <c r="D1618" s="19">
        <v>178</v>
      </c>
      <c r="E1618" s="19">
        <v>101</v>
      </c>
      <c r="F1618" s="19">
        <v>0.92</v>
      </c>
      <c r="G1618" s="19">
        <v>20260323</v>
      </c>
      <c r="H1618" s="20" t="b">
        <f t="shared" si="25"/>
        <v>0</v>
      </c>
      <c r="I1618" s="21" t="str" cm="1">
        <f t="array" ref="I1618">GET_TICKER_FINAL(C1618)</f>
        <v/>
      </c>
      <c r="J1618" s="5" t="s">
        <v>1792</v>
      </c>
    </row>
    <row r="1619" spans="1:10" hidden="1">
      <c r="A1619" s="23">
        <v>1618</v>
      </c>
      <c r="B1619" s="22" t="s">
        <v>1376</v>
      </c>
      <c r="C1619" s="22" t="s">
        <v>1589</v>
      </c>
      <c r="D1619" s="22">
        <v>177</v>
      </c>
      <c r="E1619" s="22">
        <v>32</v>
      </c>
      <c r="F1619" s="22">
        <v>0.96</v>
      </c>
      <c r="G1619" s="22">
        <v>20260402</v>
      </c>
      <c r="H1619" s="23" t="b">
        <f t="shared" si="25"/>
        <v>0</v>
      </c>
      <c r="I1619" s="24" t="str" cm="1">
        <f t="array" ref="I1619">GET_TICKER_FINAL(C1619)</f>
        <v/>
      </c>
      <c r="J1619" s="5" t="s">
        <v>28</v>
      </c>
    </row>
    <row r="1620" spans="1:10" hidden="1">
      <c r="A1620" s="20">
        <v>1619</v>
      </c>
      <c r="B1620" s="19" t="s">
        <v>1376</v>
      </c>
      <c r="C1620" s="19" t="s">
        <v>1590</v>
      </c>
      <c r="D1620" s="19">
        <v>169</v>
      </c>
      <c r="E1620" s="19">
        <v>84</v>
      </c>
      <c r="F1620" s="19">
        <v>0.78</v>
      </c>
      <c r="G1620" s="19">
        <v>20260326</v>
      </c>
      <c r="H1620" s="20" t="b">
        <f t="shared" si="25"/>
        <v>0</v>
      </c>
      <c r="I1620" s="21" t="str" cm="1">
        <f t="array" ref="I1620">GET_TICKER_FINAL(C1620)</f>
        <v/>
      </c>
      <c r="J1620" s="5" t="s">
        <v>25</v>
      </c>
    </row>
    <row r="1621" spans="1:10">
      <c r="A1621" s="23">
        <v>1620</v>
      </c>
      <c r="B1621" s="22" t="s">
        <v>1376</v>
      </c>
      <c r="C1621" s="22" t="s">
        <v>1591</v>
      </c>
      <c r="D1621" s="22">
        <v>166</v>
      </c>
      <c r="E1621" s="22">
        <v>111</v>
      </c>
      <c r="F1621" s="22">
        <v>0.9</v>
      </c>
      <c r="G1621" s="22">
        <v>20260324</v>
      </c>
      <c r="H1621" s="23" t="b">
        <f t="shared" si="25"/>
        <v>0</v>
      </c>
      <c r="I1621" s="24" t="str" cm="1">
        <f t="array" ref="I1621">GET_TICKER_FINAL(C1621)</f>
        <v>MSFT</v>
      </c>
      <c r="J1621" s="5" t="s">
        <v>25</v>
      </c>
    </row>
    <row r="1622" spans="1:10">
      <c r="A1622" s="20">
        <v>1621</v>
      </c>
      <c r="B1622" s="19" t="s">
        <v>1376</v>
      </c>
      <c r="C1622" s="19" t="s">
        <v>1592</v>
      </c>
      <c r="D1622" s="19">
        <v>163</v>
      </c>
      <c r="E1622" s="19">
        <v>103</v>
      </c>
      <c r="F1622" s="19">
        <v>0.92</v>
      </c>
      <c r="G1622" s="19">
        <v>20260402</v>
      </c>
      <c r="H1622" s="20" t="b">
        <f t="shared" si="25"/>
        <v>0</v>
      </c>
      <c r="I1622" s="21" t="str" cm="1">
        <f t="array" ref="I1622">GET_TICKER_FINAL(C1622)</f>
        <v>MSFT</v>
      </c>
      <c r="J1622" s="5" t="s">
        <v>25</v>
      </c>
    </row>
    <row r="1623" spans="1:10" hidden="1">
      <c r="A1623" s="23">
        <v>1622</v>
      </c>
      <c r="B1623" s="22" t="s">
        <v>1376</v>
      </c>
      <c r="C1623" s="22" t="s">
        <v>1593</v>
      </c>
      <c r="D1623" s="22">
        <v>162</v>
      </c>
      <c r="E1623" s="22">
        <v>32</v>
      </c>
      <c r="F1623" s="22">
        <v>0.91</v>
      </c>
      <c r="G1623" s="22">
        <v>20260330</v>
      </c>
      <c r="H1623" s="23" t="b">
        <f t="shared" si="25"/>
        <v>0</v>
      </c>
      <c r="I1623" s="24" t="str" cm="1">
        <f t="array" ref="I1623">GET_TICKER_FINAL(C1623)</f>
        <v/>
      </c>
      <c r="J1623" s="5" t="s">
        <v>1792</v>
      </c>
    </row>
    <row r="1624" spans="1:10" hidden="1">
      <c r="A1624" s="20">
        <v>1623</v>
      </c>
      <c r="B1624" s="19" t="s">
        <v>1376</v>
      </c>
      <c r="C1624" s="19" t="s">
        <v>1594</v>
      </c>
      <c r="D1624" s="19">
        <v>151</v>
      </c>
      <c r="E1624" s="19">
        <v>45</v>
      </c>
      <c r="F1624" s="19">
        <v>0.96</v>
      </c>
      <c r="G1624" s="19">
        <v>20260320</v>
      </c>
      <c r="H1624" s="20" t="b">
        <f t="shared" si="25"/>
        <v>0</v>
      </c>
      <c r="I1624" s="21" t="str" cm="1">
        <f t="array" ref="I1624">GET_TICKER_FINAL(C1624)</f>
        <v/>
      </c>
      <c r="J1624" s="5" t="s">
        <v>1792</v>
      </c>
    </row>
    <row r="1625" spans="1:10" hidden="1">
      <c r="A1625" s="23">
        <v>1624</v>
      </c>
      <c r="B1625" s="22" t="s">
        <v>1376</v>
      </c>
      <c r="C1625" s="22" t="s">
        <v>1595</v>
      </c>
      <c r="D1625" s="22">
        <v>147</v>
      </c>
      <c r="E1625" s="22">
        <v>57</v>
      </c>
      <c r="F1625" s="22">
        <v>0.93</v>
      </c>
      <c r="G1625" s="22">
        <v>20260330</v>
      </c>
      <c r="H1625" s="23" t="b">
        <f t="shared" si="25"/>
        <v>0</v>
      </c>
      <c r="I1625" s="24" t="str" cm="1">
        <f t="array" ref="I1625">GET_TICKER_FINAL(C1625)</f>
        <v/>
      </c>
      <c r="J1625" s="5" t="s">
        <v>16</v>
      </c>
    </row>
    <row r="1626" spans="1:10" hidden="1">
      <c r="A1626" s="20">
        <v>1625</v>
      </c>
      <c r="B1626" s="19" t="s">
        <v>1376</v>
      </c>
      <c r="C1626" s="19" t="s">
        <v>1596</v>
      </c>
      <c r="D1626" s="19">
        <v>146</v>
      </c>
      <c r="E1626" s="19">
        <v>49</v>
      </c>
      <c r="F1626" s="19">
        <v>0.91</v>
      </c>
      <c r="G1626" s="19">
        <v>20260324</v>
      </c>
      <c r="H1626" s="20" t="b">
        <f t="shared" si="25"/>
        <v>0</v>
      </c>
      <c r="I1626" s="21" t="str" cm="1">
        <f t="array" ref="I1626">GET_TICKER_FINAL(C1626)</f>
        <v/>
      </c>
      <c r="J1626" s="5" t="s">
        <v>1792</v>
      </c>
    </row>
    <row r="1627" spans="1:10" hidden="1">
      <c r="A1627" s="23">
        <v>1626</v>
      </c>
      <c r="B1627" s="22" t="s">
        <v>1376</v>
      </c>
      <c r="C1627" s="22" t="s">
        <v>1597</v>
      </c>
      <c r="D1627" s="22">
        <v>144</v>
      </c>
      <c r="E1627" s="22">
        <v>73</v>
      </c>
      <c r="F1627" s="22">
        <v>0.85</v>
      </c>
      <c r="G1627" s="22">
        <v>20260327</v>
      </c>
      <c r="H1627" s="23" t="b">
        <f t="shared" si="25"/>
        <v>0</v>
      </c>
      <c r="I1627" s="24" t="str" cm="1">
        <f t="array" ref="I1627">GET_TICKER_FINAL(C1627)</f>
        <v/>
      </c>
      <c r="J1627" s="5" t="s">
        <v>1792</v>
      </c>
    </row>
    <row r="1628" spans="1:10" hidden="1">
      <c r="A1628" s="20">
        <v>1627</v>
      </c>
      <c r="B1628" s="19" t="s">
        <v>1376</v>
      </c>
      <c r="C1628" s="19" t="s">
        <v>1598</v>
      </c>
      <c r="D1628" s="19">
        <v>143</v>
      </c>
      <c r="E1628" s="19">
        <v>91</v>
      </c>
      <c r="F1628" s="19">
        <v>0.89</v>
      </c>
      <c r="G1628" s="19">
        <v>20260401</v>
      </c>
      <c r="H1628" s="20" t="b">
        <f t="shared" si="25"/>
        <v>0</v>
      </c>
      <c r="I1628" s="21" t="str" cm="1">
        <f t="array" ref="I1628">GET_TICKER_FINAL(C1628)</f>
        <v/>
      </c>
      <c r="J1628" s="5" t="s">
        <v>16</v>
      </c>
    </row>
    <row r="1629" spans="1:10" hidden="1">
      <c r="A1629" s="23">
        <v>1628</v>
      </c>
      <c r="B1629" s="22" t="s">
        <v>1376</v>
      </c>
      <c r="C1629" s="22" t="s">
        <v>1599</v>
      </c>
      <c r="D1629" s="22">
        <v>143</v>
      </c>
      <c r="E1629" s="22">
        <v>7208</v>
      </c>
      <c r="F1629" s="22">
        <v>0.93</v>
      </c>
      <c r="G1629" s="22">
        <v>20260320</v>
      </c>
      <c r="H1629" s="23" t="b">
        <f t="shared" si="25"/>
        <v>0</v>
      </c>
      <c r="I1629" s="24" t="str" cm="1">
        <f t="array" ref="I1629">GET_TICKER_FINAL(C1629)</f>
        <v/>
      </c>
      <c r="J1629" s="5" t="s">
        <v>1792</v>
      </c>
    </row>
    <row r="1630" spans="1:10" hidden="1">
      <c r="A1630" s="20">
        <v>1629</v>
      </c>
      <c r="B1630" s="19" t="s">
        <v>1376</v>
      </c>
      <c r="C1630" s="19" t="s">
        <v>1600</v>
      </c>
      <c r="D1630" s="19">
        <v>142</v>
      </c>
      <c r="E1630" s="19">
        <v>35</v>
      </c>
      <c r="F1630" s="19">
        <v>0.95</v>
      </c>
      <c r="G1630" s="19">
        <v>20260323</v>
      </c>
      <c r="H1630" s="20" t="b">
        <f t="shared" si="25"/>
        <v>0</v>
      </c>
      <c r="I1630" s="21" t="str" cm="1">
        <f t="array" ref="I1630">GET_TICKER_FINAL(C1630)</f>
        <v/>
      </c>
      <c r="J1630" s="5" t="s">
        <v>1792</v>
      </c>
    </row>
    <row r="1631" spans="1:10" hidden="1">
      <c r="A1631" s="23">
        <v>1630</v>
      </c>
      <c r="B1631" s="22" t="s">
        <v>1376</v>
      </c>
      <c r="C1631" s="22" t="s">
        <v>1601</v>
      </c>
      <c r="D1631" s="22">
        <v>141</v>
      </c>
      <c r="E1631" s="22">
        <v>314</v>
      </c>
      <c r="F1631" s="22">
        <v>0.81</v>
      </c>
      <c r="G1631" s="22">
        <v>20260330</v>
      </c>
      <c r="H1631" s="23" t="b">
        <f t="shared" si="25"/>
        <v>0</v>
      </c>
      <c r="I1631" s="24" t="str" cm="1">
        <f t="array" ref="I1631">GET_TICKER_FINAL(C1631)</f>
        <v/>
      </c>
      <c r="J1631" s="5" t="s">
        <v>16</v>
      </c>
    </row>
    <row r="1632" spans="1:10" hidden="1">
      <c r="A1632" s="20">
        <v>1631</v>
      </c>
      <c r="B1632" s="19" t="s">
        <v>1376</v>
      </c>
      <c r="C1632" s="19" t="s">
        <v>1602</v>
      </c>
      <c r="D1632" s="19">
        <v>135</v>
      </c>
      <c r="E1632" s="19">
        <v>176</v>
      </c>
      <c r="F1632" s="19">
        <v>0.91</v>
      </c>
      <c r="G1632" s="19">
        <v>20260330</v>
      </c>
      <c r="H1632" s="20" t="b">
        <f t="shared" si="25"/>
        <v>0</v>
      </c>
      <c r="I1632" s="21" t="str" cm="1">
        <f t="array" ref="I1632">GET_TICKER_FINAL(C1632)</f>
        <v/>
      </c>
      <c r="J1632" s="5" t="s">
        <v>25</v>
      </c>
    </row>
    <row r="1633" spans="1:10" hidden="1">
      <c r="A1633" s="23">
        <v>1632</v>
      </c>
      <c r="B1633" s="22" t="s">
        <v>1376</v>
      </c>
      <c r="C1633" s="22" t="s">
        <v>1603</v>
      </c>
      <c r="D1633" s="22">
        <v>132</v>
      </c>
      <c r="E1633" s="22">
        <v>49</v>
      </c>
      <c r="F1633" s="22">
        <v>0.92</v>
      </c>
      <c r="G1633" s="22">
        <v>20260401</v>
      </c>
      <c r="H1633" s="23" t="b">
        <f t="shared" si="25"/>
        <v>0</v>
      </c>
      <c r="I1633" s="24" t="str" cm="1">
        <f t="array" ref="I1633">GET_TICKER_FINAL(C1633)</f>
        <v/>
      </c>
      <c r="J1633" s="5" t="s">
        <v>1792</v>
      </c>
    </row>
    <row r="1634" spans="1:10" hidden="1">
      <c r="A1634" s="20">
        <v>1633</v>
      </c>
      <c r="B1634" s="19" t="s">
        <v>1376</v>
      </c>
      <c r="C1634" s="19" t="s">
        <v>1604</v>
      </c>
      <c r="D1634" s="19">
        <v>132</v>
      </c>
      <c r="E1634" s="19">
        <v>28</v>
      </c>
      <c r="F1634" s="19">
        <v>0.91</v>
      </c>
      <c r="G1634" s="19">
        <v>20260320</v>
      </c>
      <c r="H1634" s="20" t="b">
        <f t="shared" si="25"/>
        <v>0</v>
      </c>
      <c r="I1634" s="21" t="str" cm="1">
        <f t="array" ref="I1634">GET_TICKER_FINAL(C1634)</f>
        <v/>
      </c>
      <c r="J1634" s="5" t="s">
        <v>1792</v>
      </c>
    </row>
    <row r="1635" spans="1:10" hidden="1">
      <c r="A1635" s="23">
        <v>1634</v>
      </c>
      <c r="B1635" s="22" t="s">
        <v>1376</v>
      </c>
      <c r="C1635" s="22" t="s">
        <v>1605</v>
      </c>
      <c r="D1635" s="22">
        <v>129</v>
      </c>
      <c r="E1635" s="22">
        <v>35</v>
      </c>
      <c r="F1635" s="22">
        <v>0.94</v>
      </c>
      <c r="G1635" s="22">
        <v>20260323</v>
      </c>
      <c r="H1635" s="23" t="b">
        <f t="shared" si="25"/>
        <v>0</v>
      </c>
      <c r="I1635" s="24" t="str" cm="1">
        <f t="array" ref="I1635">GET_TICKER_FINAL(C1635)</f>
        <v/>
      </c>
      <c r="J1635" s="5" t="s">
        <v>1792</v>
      </c>
    </row>
    <row r="1636" spans="1:10" hidden="1">
      <c r="A1636" s="20">
        <v>1635</v>
      </c>
      <c r="B1636" s="19" t="s">
        <v>1376</v>
      </c>
      <c r="C1636" s="19" t="s">
        <v>1606</v>
      </c>
      <c r="D1636" s="19">
        <v>125</v>
      </c>
      <c r="E1636" s="19">
        <v>59</v>
      </c>
      <c r="F1636" s="19">
        <v>0.88</v>
      </c>
      <c r="G1636" s="19">
        <v>20260330</v>
      </c>
      <c r="H1636" s="20" t="b">
        <f t="shared" si="25"/>
        <v>1</v>
      </c>
      <c r="I1636" s="21" t="str" cm="1">
        <f t="array" ref="I1636">GET_TICKER_FINAL(C1636)</f>
        <v/>
      </c>
      <c r="J1636" s="5" t="s">
        <v>25</v>
      </c>
    </row>
    <row r="1637" spans="1:10" hidden="1">
      <c r="A1637" s="23">
        <v>1636</v>
      </c>
      <c r="B1637" s="22" t="s">
        <v>1376</v>
      </c>
      <c r="C1637" s="22" t="s">
        <v>1607</v>
      </c>
      <c r="D1637" s="22">
        <v>124</v>
      </c>
      <c r="E1637" s="22">
        <v>41</v>
      </c>
      <c r="F1637" s="22">
        <v>0.89</v>
      </c>
      <c r="G1637" s="22">
        <v>20260331</v>
      </c>
      <c r="H1637" s="23" t="b">
        <f t="shared" si="25"/>
        <v>0</v>
      </c>
      <c r="I1637" s="24" t="str" cm="1">
        <f t="array" ref="I1637">GET_TICKER_FINAL(C1637)</f>
        <v/>
      </c>
      <c r="J1637" s="5" t="s">
        <v>1792</v>
      </c>
    </row>
    <row r="1638" spans="1:10" hidden="1">
      <c r="A1638" s="20">
        <v>1637</v>
      </c>
      <c r="B1638" s="19" t="s">
        <v>1376</v>
      </c>
      <c r="C1638" s="19" t="s">
        <v>1608</v>
      </c>
      <c r="D1638" s="19">
        <v>124</v>
      </c>
      <c r="E1638" s="19">
        <v>26</v>
      </c>
      <c r="F1638" s="19">
        <v>0.97</v>
      </c>
      <c r="G1638" s="19">
        <v>20260401</v>
      </c>
      <c r="H1638" s="20" t="b">
        <f t="shared" si="25"/>
        <v>0</v>
      </c>
      <c r="I1638" s="21" t="str" cm="1">
        <f t="array" ref="I1638">GET_TICKER_FINAL(C1638)</f>
        <v/>
      </c>
      <c r="J1638" s="5" t="s">
        <v>16</v>
      </c>
    </row>
    <row r="1639" spans="1:10" hidden="1">
      <c r="A1639" s="23">
        <v>1638</v>
      </c>
      <c r="B1639" s="22" t="s">
        <v>1376</v>
      </c>
      <c r="C1639" s="22" t="s">
        <v>1609</v>
      </c>
      <c r="D1639" s="22">
        <v>122</v>
      </c>
      <c r="E1639" s="22">
        <v>31</v>
      </c>
      <c r="F1639" s="22">
        <v>0.89</v>
      </c>
      <c r="G1639" s="22">
        <v>20260323</v>
      </c>
      <c r="H1639" s="23" t="b">
        <f t="shared" si="25"/>
        <v>0</v>
      </c>
      <c r="I1639" s="24" t="str" cm="1">
        <f t="array" ref="I1639">GET_TICKER_FINAL(C1639)</f>
        <v/>
      </c>
      <c r="J1639" s="5" t="s">
        <v>1792</v>
      </c>
    </row>
    <row r="1640" spans="1:10" hidden="1">
      <c r="A1640" s="20">
        <v>1639</v>
      </c>
      <c r="B1640" s="19" t="s">
        <v>1376</v>
      </c>
      <c r="C1640" s="19" t="s">
        <v>1610</v>
      </c>
      <c r="D1640" s="19">
        <v>119</v>
      </c>
      <c r="E1640" s="19">
        <v>32</v>
      </c>
      <c r="F1640" s="19">
        <v>0.93</v>
      </c>
      <c r="G1640" s="19">
        <v>20260331</v>
      </c>
      <c r="H1640" s="20" t="b">
        <f t="shared" si="25"/>
        <v>0</v>
      </c>
      <c r="I1640" s="21" t="str" cm="1">
        <f t="array" ref="I1640">GET_TICKER_FINAL(C1640)</f>
        <v/>
      </c>
      <c r="J1640" s="5" t="s">
        <v>16</v>
      </c>
    </row>
    <row r="1641" spans="1:10" hidden="1">
      <c r="A1641" s="23">
        <v>1640</v>
      </c>
      <c r="B1641" s="22" t="s">
        <v>1376</v>
      </c>
      <c r="C1641" s="22" t="s">
        <v>1611</v>
      </c>
      <c r="D1641" s="22">
        <v>117</v>
      </c>
      <c r="E1641" s="22">
        <v>18</v>
      </c>
      <c r="F1641" s="22">
        <v>0.92</v>
      </c>
      <c r="G1641" s="22">
        <v>20260326</v>
      </c>
      <c r="H1641" s="23" t="b">
        <f t="shared" si="25"/>
        <v>0</v>
      </c>
      <c r="I1641" s="24" t="str" cm="1">
        <f t="array" ref="I1641">GET_TICKER_FINAL(C1641)</f>
        <v/>
      </c>
      <c r="J1641" s="5" t="s">
        <v>1792</v>
      </c>
    </row>
    <row r="1642" spans="1:10">
      <c r="A1642" s="20">
        <v>1641</v>
      </c>
      <c r="B1642" s="19" t="s">
        <v>1376</v>
      </c>
      <c r="C1642" s="19" t="s">
        <v>1612</v>
      </c>
      <c r="D1642" s="19">
        <v>114</v>
      </c>
      <c r="E1642" s="19">
        <v>37</v>
      </c>
      <c r="F1642" s="19">
        <v>0.83</v>
      </c>
      <c r="G1642" s="19">
        <v>20260324</v>
      </c>
      <c r="H1642" s="20" t="b">
        <f t="shared" si="25"/>
        <v>0</v>
      </c>
      <c r="I1642" s="21" t="str" cm="1">
        <f t="array" ref="I1642">GET_TICKER_FINAL(C1642)</f>
        <v>SPY</v>
      </c>
      <c r="J1642" s="5" t="s">
        <v>1792</v>
      </c>
    </row>
    <row r="1643" spans="1:10" hidden="1">
      <c r="A1643" s="23">
        <v>1642</v>
      </c>
      <c r="B1643" s="22" t="s">
        <v>1376</v>
      </c>
      <c r="C1643" s="22" t="s">
        <v>1613</v>
      </c>
      <c r="D1643" s="22">
        <v>113</v>
      </c>
      <c r="E1643" s="22">
        <v>77</v>
      </c>
      <c r="F1643" s="22">
        <v>0.97</v>
      </c>
      <c r="G1643" s="22">
        <v>20260402</v>
      </c>
      <c r="H1643" s="23" t="b">
        <f t="shared" si="25"/>
        <v>0</v>
      </c>
      <c r="I1643" s="24" t="str" cm="1">
        <f t="array" ref="I1643">GET_TICKER_FINAL(C1643)</f>
        <v/>
      </c>
      <c r="J1643" s="5" t="s">
        <v>1792</v>
      </c>
    </row>
    <row r="1644" spans="1:10" hidden="1">
      <c r="A1644" s="20">
        <v>1643</v>
      </c>
      <c r="B1644" s="19" t="s">
        <v>1376</v>
      </c>
      <c r="C1644" s="19" t="s">
        <v>1614</v>
      </c>
      <c r="D1644" s="19">
        <v>112</v>
      </c>
      <c r="E1644" s="19">
        <v>30</v>
      </c>
      <c r="F1644" s="19">
        <v>0.87</v>
      </c>
      <c r="G1644" s="19">
        <v>20260324</v>
      </c>
      <c r="H1644" s="20" t="b">
        <f t="shared" si="25"/>
        <v>0</v>
      </c>
      <c r="I1644" s="21" t="str" cm="1">
        <f t="array" ref="I1644">GET_TICKER_FINAL(C1644)</f>
        <v/>
      </c>
      <c r="J1644" s="5" t="s">
        <v>25</v>
      </c>
    </row>
    <row r="1645" spans="1:10" hidden="1">
      <c r="A1645" s="23">
        <v>1644</v>
      </c>
      <c r="B1645" s="22" t="s">
        <v>1376</v>
      </c>
      <c r="C1645" s="22" t="s">
        <v>1615</v>
      </c>
      <c r="D1645" s="22">
        <v>112</v>
      </c>
      <c r="E1645" s="22">
        <v>428</v>
      </c>
      <c r="F1645" s="22">
        <v>0.9</v>
      </c>
      <c r="G1645" s="22">
        <v>20260402</v>
      </c>
      <c r="H1645" s="23" t="b">
        <f t="shared" si="25"/>
        <v>0</v>
      </c>
      <c r="I1645" s="24" t="str" cm="1">
        <f t="array" ref="I1645">GET_TICKER_FINAL(C1645)</f>
        <v/>
      </c>
      <c r="J1645" s="5" t="s">
        <v>1792</v>
      </c>
    </row>
    <row r="1646" spans="1:10">
      <c r="A1646" s="20">
        <v>1645</v>
      </c>
      <c r="B1646" s="19" t="s">
        <v>1376</v>
      </c>
      <c r="C1646" s="19" t="s">
        <v>1616</v>
      </c>
      <c r="D1646" s="19">
        <v>112</v>
      </c>
      <c r="E1646" s="19">
        <v>18</v>
      </c>
      <c r="F1646" s="19">
        <v>0.92</v>
      </c>
      <c r="G1646" s="19">
        <v>20260401</v>
      </c>
      <c r="H1646" s="20" t="b">
        <f t="shared" si="25"/>
        <v>0</v>
      </c>
      <c r="I1646" s="21" t="str" cm="1">
        <f t="array" ref="I1646">GET_TICKER_FINAL(C1646)</f>
        <v>SPY</v>
      </c>
      <c r="J1646" s="5" t="s">
        <v>16</v>
      </c>
    </row>
    <row r="1647" spans="1:10">
      <c r="A1647" s="23">
        <v>1646</v>
      </c>
      <c r="B1647" s="22" t="s">
        <v>1376</v>
      </c>
      <c r="C1647" s="22" t="s">
        <v>1617</v>
      </c>
      <c r="D1647" s="22">
        <v>112</v>
      </c>
      <c r="E1647" s="22">
        <v>46</v>
      </c>
      <c r="F1647" s="22">
        <v>0.93</v>
      </c>
      <c r="G1647" s="22">
        <v>20260402</v>
      </c>
      <c r="H1647" s="23" t="b">
        <f t="shared" si="25"/>
        <v>0</v>
      </c>
      <c r="I1647" s="24" t="str" cm="1">
        <f t="array" ref="I1647">GET_TICKER_FINAL(C1647)</f>
        <v>USO</v>
      </c>
      <c r="J1647" s="5" t="s">
        <v>16</v>
      </c>
    </row>
    <row r="1648" spans="1:10" hidden="1">
      <c r="A1648" s="20">
        <v>1647</v>
      </c>
      <c r="B1648" s="19" t="s">
        <v>1376</v>
      </c>
      <c r="C1648" s="19" t="s">
        <v>1618</v>
      </c>
      <c r="D1648" s="19">
        <v>110</v>
      </c>
      <c r="E1648" s="19">
        <v>16</v>
      </c>
      <c r="F1648" s="19">
        <v>0.89</v>
      </c>
      <c r="G1648" s="19">
        <v>20260330</v>
      </c>
      <c r="H1648" s="20" t="b">
        <f t="shared" si="25"/>
        <v>0</v>
      </c>
      <c r="I1648" s="21" t="str" cm="1">
        <f t="array" ref="I1648">GET_TICKER_FINAL(C1648)</f>
        <v/>
      </c>
      <c r="J1648" s="5" t="s">
        <v>1792</v>
      </c>
    </row>
    <row r="1649" spans="1:10">
      <c r="A1649" s="23">
        <v>1648</v>
      </c>
      <c r="B1649" s="22" t="s">
        <v>1376</v>
      </c>
      <c r="C1649" s="22" t="s">
        <v>1619</v>
      </c>
      <c r="D1649" s="22">
        <v>106</v>
      </c>
      <c r="E1649" s="22">
        <v>100</v>
      </c>
      <c r="F1649" s="22">
        <v>0.87</v>
      </c>
      <c r="G1649" s="22">
        <v>20260402</v>
      </c>
      <c r="H1649" s="23" t="b">
        <f t="shared" si="25"/>
        <v>0</v>
      </c>
      <c r="I1649" s="24" t="str" cm="1">
        <f t="array" ref="I1649">GET_TICKER_FINAL(C1649)</f>
        <v>SPY</v>
      </c>
      <c r="J1649" s="5" t="s">
        <v>16</v>
      </c>
    </row>
    <row r="1650" spans="1:10" hidden="1">
      <c r="A1650" s="20">
        <v>1649</v>
      </c>
      <c r="B1650" s="19" t="s">
        <v>1376</v>
      </c>
      <c r="C1650" s="19" t="s">
        <v>1620</v>
      </c>
      <c r="D1650" s="19">
        <v>106</v>
      </c>
      <c r="E1650" s="19">
        <v>16</v>
      </c>
      <c r="F1650" s="19">
        <v>0.92</v>
      </c>
      <c r="G1650" s="19">
        <v>20260324</v>
      </c>
      <c r="H1650" s="20" t="b">
        <f t="shared" si="25"/>
        <v>0</v>
      </c>
      <c r="I1650" s="21" t="str" cm="1">
        <f t="array" ref="I1650">GET_TICKER_FINAL(C1650)</f>
        <v/>
      </c>
      <c r="J1650" s="5" t="s">
        <v>25</v>
      </c>
    </row>
    <row r="1651" spans="1:10" hidden="1">
      <c r="A1651" s="23">
        <v>1650</v>
      </c>
      <c r="B1651" s="22" t="s">
        <v>1376</v>
      </c>
      <c r="C1651" s="22" t="s">
        <v>1621</v>
      </c>
      <c r="D1651" s="22">
        <v>105</v>
      </c>
      <c r="E1651" s="22">
        <v>68</v>
      </c>
      <c r="F1651" s="22">
        <v>0.93</v>
      </c>
      <c r="G1651" s="22">
        <v>20260331</v>
      </c>
      <c r="H1651" s="23" t="b">
        <f t="shared" si="25"/>
        <v>0</v>
      </c>
      <c r="I1651" s="24" t="str" cm="1">
        <f t="array" ref="I1651">GET_TICKER_FINAL(C1651)</f>
        <v/>
      </c>
      <c r="J1651" s="5" t="s">
        <v>16</v>
      </c>
    </row>
    <row r="1652" spans="1:10" hidden="1">
      <c r="A1652" s="20">
        <v>1651</v>
      </c>
      <c r="B1652" s="19" t="s">
        <v>1376</v>
      </c>
      <c r="C1652" s="19" t="s">
        <v>1622</v>
      </c>
      <c r="D1652" s="19">
        <v>104</v>
      </c>
      <c r="E1652" s="19">
        <v>198</v>
      </c>
      <c r="F1652" s="19">
        <v>0.87</v>
      </c>
      <c r="G1652" s="19">
        <v>20260330</v>
      </c>
      <c r="H1652" s="20" t="b">
        <f t="shared" si="25"/>
        <v>0</v>
      </c>
      <c r="I1652" s="21" t="str" cm="1">
        <f t="array" ref="I1652">GET_TICKER_FINAL(C1652)</f>
        <v/>
      </c>
      <c r="J1652" s="5" t="s">
        <v>1792</v>
      </c>
    </row>
    <row r="1653" spans="1:10" hidden="1">
      <c r="A1653" s="23">
        <v>1652</v>
      </c>
      <c r="B1653" s="22" t="s">
        <v>1376</v>
      </c>
      <c r="C1653" s="22" t="s">
        <v>1623</v>
      </c>
      <c r="D1653" s="22">
        <v>104</v>
      </c>
      <c r="E1653" s="22">
        <v>23</v>
      </c>
      <c r="F1653" s="22">
        <v>0.89</v>
      </c>
      <c r="G1653" s="22">
        <v>20260324</v>
      </c>
      <c r="H1653" s="23" t="b">
        <f t="shared" si="25"/>
        <v>0</v>
      </c>
      <c r="I1653" s="24" t="str" cm="1">
        <f t="array" ref="I1653">GET_TICKER_FINAL(C1653)</f>
        <v/>
      </c>
      <c r="J1653" s="5" t="s">
        <v>25</v>
      </c>
    </row>
    <row r="1654" spans="1:10" hidden="1">
      <c r="A1654" s="20">
        <v>1653</v>
      </c>
      <c r="B1654" s="19" t="s">
        <v>1376</v>
      </c>
      <c r="C1654" s="19" t="s">
        <v>1624</v>
      </c>
      <c r="D1654" s="19">
        <v>104</v>
      </c>
      <c r="E1654" s="19">
        <v>34</v>
      </c>
      <c r="F1654" s="19">
        <v>0.88</v>
      </c>
      <c r="G1654" s="19">
        <v>20260320</v>
      </c>
      <c r="H1654" s="20" t="b">
        <f t="shared" si="25"/>
        <v>0</v>
      </c>
      <c r="I1654" s="21" t="str" cm="1">
        <f t="array" ref="I1654">GET_TICKER_FINAL(C1654)</f>
        <v/>
      </c>
      <c r="J1654" s="5" t="s">
        <v>25</v>
      </c>
    </row>
    <row r="1655" spans="1:10">
      <c r="A1655" s="23">
        <v>1654</v>
      </c>
      <c r="B1655" s="22" t="s">
        <v>1376</v>
      </c>
      <c r="C1655" s="22" t="s">
        <v>1625</v>
      </c>
      <c r="D1655" s="22">
        <v>103</v>
      </c>
      <c r="E1655" s="22">
        <v>32</v>
      </c>
      <c r="F1655" s="22">
        <v>0.91</v>
      </c>
      <c r="G1655" s="22">
        <v>20260402</v>
      </c>
      <c r="H1655" s="23" t="b">
        <f t="shared" si="25"/>
        <v>0</v>
      </c>
      <c r="I1655" s="24" t="str" cm="1">
        <f t="array" ref="I1655">GET_TICKER_FINAL(C1655)</f>
        <v>SPY</v>
      </c>
      <c r="J1655" s="5" t="s">
        <v>16</v>
      </c>
    </row>
    <row r="1656" spans="1:10" hidden="1">
      <c r="A1656" s="20">
        <v>1655</v>
      </c>
      <c r="B1656" s="19" t="s">
        <v>1376</v>
      </c>
      <c r="C1656" s="19" t="s">
        <v>1626</v>
      </c>
      <c r="D1656" s="19">
        <v>102</v>
      </c>
      <c r="E1656" s="19">
        <v>86</v>
      </c>
      <c r="F1656" s="19">
        <v>0.85</v>
      </c>
      <c r="G1656" s="19">
        <v>20260402</v>
      </c>
      <c r="H1656" s="20" t="b">
        <f t="shared" si="25"/>
        <v>0</v>
      </c>
      <c r="I1656" s="21" t="str" cm="1">
        <f t="array" ref="I1656">GET_TICKER_FINAL(C1656)</f>
        <v/>
      </c>
      <c r="J1656" s="5" t="s">
        <v>16</v>
      </c>
    </row>
    <row r="1657" spans="1:10" hidden="1">
      <c r="A1657" s="23">
        <v>1656</v>
      </c>
      <c r="B1657" s="22" t="s">
        <v>1376</v>
      </c>
      <c r="C1657" s="22" t="s">
        <v>1627</v>
      </c>
      <c r="D1657" s="22">
        <v>102</v>
      </c>
      <c r="E1657" s="22">
        <v>39</v>
      </c>
      <c r="F1657" s="22">
        <v>0.87</v>
      </c>
      <c r="G1657" s="22">
        <v>20260330</v>
      </c>
      <c r="H1657" s="23" t="b">
        <f t="shared" si="25"/>
        <v>0</v>
      </c>
      <c r="I1657" s="24" t="str" cm="1">
        <f t="array" ref="I1657">GET_TICKER_FINAL(C1657)</f>
        <v/>
      </c>
      <c r="J1657" s="5" t="s">
        <v>25</v>
      </c>
    </row>
    <row r="1658" spans="1:10" hidden="1">
      <c r="A1658" s="20">
        <v>1657</v>
      </c>
      <c r="B1658" s="19" t="s">
        <v>1376</v>
      </c>
      <c r="C1658" s="19" t="s">
        <v>1628</v>
      </c>
      <c r="D1658" s="19">
        <v>102</v>
      </c>
      <c r="E1658" s="19">
        <v>49</v>
      </c>
      <c r="F1658" s="19">
        <v>0.9</v>
      </c>
      <c r="G1658" s="19">
        <v>20260331</v>
      </c>
      <c r="H1658" s="20" t="b">
        <f t="shared" si="25"/>
        <v>0</v>
      </c>
      <c r="I1658" s="21" t="str" cm="1">
        <f t="array" ref="I1658">GET_TICKER_FINAL(C1658)</f>
        <v/>
      </c>
      <c r="J1658" s="5" t="s">
        <v>25</v>
      </c>
    </row>
    <row r="1659" spans="1:10" hidden="1">
      <c r="A1659" s="23">
        <v>1658</v>
      </c>
      <c r="B1659" s="22" t="s">
        <v>1376</v>
      </c>
      <c r="C1659" s="22" t="s">
        <v>1629</v>
      </c>
      <c r="D1659" s="22">
        <v>101</v>
      </c>
      <c r="E1659" s="22">
        <v>28</v>
      </c>
      <c r="F1659" s="22">
        <v>0.94</v>
      </c>
      <c r="G1659" s="22">
        <v>20260320</v>
      </c>
      <c r="H1659" s="23" t="b">
        <f t="shared" si="25"/>
        <v>0</v>
      </c>
      <c r="I1659" s="24" t="str" cm="1">
        <f t="array" ref="I1659">GET_TICKER_FINAL(C1659)</f>
        <v/>
      </c>
      <c r="J1659" s="5" t="s">
        <v>1792</v>
      </c>
    </row>
    <row r="1660" spans="1:10" hidden="1">
      <c r="A1660" s="20">
        <v>1659</v>
      </c>
      <c r="B1660" s="19" t="s">
        <v>1376</v>
      </c>
      <c r="C1660" s="19" t="s">
        <v>1630</v>
      </c>
      <c r="D1660" s="19">
        <v>99</v>
      </c>
      <c r="E1660" s="19">
        <v>117</v>
      </c>
      <c r="F1660" s="19">
        <v>0.82</v>
      </c>
      <c r="G1660" s="19">
        <v>20260402</v>
      </c>
      <c r="H1660" s="20" t="b">
        <f t="shared" si="25"/>
        <v>0</v>
      </c>
      <c r="I1660" s="21" t="str" cm="1">
        <f t="array" ref="I1660">GET_TICKER_FINAL(C1660)</f>
        <v/>
      </c>
      <c r="J1660" s="5" t="s">
        <v>25</v>
      </c>
    </row>
    <row r="1661" spans="1:10" hidden="1">
      <c r="A1661" s="23">
        <v>1660</v>
      </c>
      <c r="B1661" s="22" t="s">
        <v>1376</v>
      </c>
      <c r="C1661" s="22" t="s">
        <v>1631</v>
      </c>
      <c r="D1661" s="22">
        <v>97</v>
      </c>
      <c r="E1661" s="22">
        <v>75</v>
      </c>
      <c r="F1661" s="22">
        <v>0.92</v>
      </c>
      <c r="G1661" s="22">
        <v>20260402</v>
      </c>
      <c r="H1661" s="23" t="b">
        <f t="shared" si="25"/>
        <v>0</v>
      </c>
      <c r="I1661" s="24" t="str" cm="1">
        <f t="array" ref="I1661">GET_TICKER_FINAL(C1661)</f>
        <v/>
      </c>
      <c r="J1661" s="5" t="s">
        <v>16</v>
      </c>
    </row>
    <row r="1662" spans="1:10" hidden="1">
      <c r="A1662" s="20">
        <v>1661</v>
      </c>
      <c r="B1662" s="19" t="s">
        <v>1376</v>
      </c>
      <c r="C1662" s="19" t="s">
        <v>1632</v>
      </c>
      <c r="D1662" s="19">
        <v>92</v>
      </c>
      <c r="E1662" s="19">
        <v>16</v>
      </c>
      <c r="F1662" s="19">
        <v>0.88</v>
      </c>
      <c r="G1662" s="19">
        <v>20260327</v>
      </c>
      <c r="H1662" s="20" t="b">
        <f t="shared" si="25"/>
        <v>0</v>
      </c>
      <c r="I1662" s="21" t="str" cm="1">
        <f t="array" ref="I1662">GET_TICKER_FINAL(C1662)</f>
        <v/>
      </c>
      <c r="J1662" s="5" t="s">
        <v>25</v>
      </c>
    </row>
    <row r="1663" spans="1:10">
      <c r="A1663" s="23">
        <v>1662</v>
      </c>
      <c r="B1663" s="22" t="s">
        <v>1376</v>
      </c>
      <c r="C1663" s="22" t="s">
        <v>1633</v>
      </c>
      <c r="D1663" s="22">
        <v>91</v>
      </c>
      <c r="E1663" s="22">
        <v>46</v>
      </c>
      <c r="F1663" s="22">
        <v>0.88</v>
      </c>
      <c r="G1663" s="22">
        <v>20260402</v>
      </c>
      <c r="H1663" s="23" t="b">
        <f t="shared" si="25"/>
        <v>0</v>
      </c>
      <c r="I1663" s="24" t="str" cm="1">
        <f t="array" ref="I1663">GET_TICKER_FINAL(C1663)</f>
        <v>SPY</v>
      </c>
      <c r="J1663" s="5" t="s">
        <v>1792</v>
      </c>
    </row>
    <row r="1664" spans="1:10" hidden="1">
      <c r="A1664" s="20">
        <v>1663</v>
      </c>
      <c r="B1664" s="19" t="s">
        <v>1376</v>
      </c>
      <c r="C1664" s="19" t="s">
        <v>1634</v>
      </c>
      <c r="D1664" s="19">
        <v>91</v>
      </c>
      <c r="E1664" s="19">
        <v>65</v>
      </c>
      <c r="F1664" s="19">
        <v>0.89</v>
      </c>
      <c r="G1664" s="19">
        <v>20260402</v>
      </c>
      <c r="H1664" s="20" t="b">
        <f t="shared" si="25"/>
        <v>0</v>
      </c>
      <c r="I1664" s="21" t="str" cm="1">
        <f t="array" ref="I1664">GET_TICKER_FINAL(C1664)</f>
        <v/>
      </c>
      <c r="J1664" s="5" t="s">
        <v>25</v>
      </c>
    </row>
    <row r="1665" spans="1:10">
      <c r="A1665" s="23">
        <v>1664</v>
      </c>
      <c r="B1665" s="22" t="s">
        <v>1376</v>
      </c>
      <c r="C1665" s="22" t="s">
        <v>1635</v>
      </c>
      <c r="D1665" s="22">
        <v>89</v>
      </c>
      <c r="E1665" s="22">
        <v>41</v>
      </c>
      <c r="F1665" s="22">
        <v>0.85</v>
      </c>
      <c r="G1665" s="22">
        <v>20260330</v>
      </c>
      <c r="H1665" s="23" t="b">
        <f t="shared" si="25"/>
        <v>0</v>
      </c>
      <c r="I1665" s="24" t="str" cm="1">
        <f t="array" ref="I1665">GET_TICKER_FINAL(C1665)</f>
        <v>SPY</v>
      </c>
      <c r="J1665" s="5" t="s">
        <v>25</v>
      </c>
    </row>
    <row r="1666" spans="1:10" hidden="1">
      <c r="A1666" s="20">
        <v>1665</v>
      </c>
      <c r="B1666" s="19" t="s">
        <v>1376</v>
      </c>
      <c r="C1666" s="19" t="s">
        <v>1636</v>
      </c>
      <c r="D1666" s="19">
        <v>89</v>
      </c>
      <c r="E1666" s="19">
        <v>27</v>
      </c>
      <c r="F1666" s="19">
        <v>0.91</v>
      </c>
      <c r="G1666" s="19">
        <v>20260331</v>
      </c>
      <c r="H1666" s="20" t="b">
        <f t="shared" si="25"/>
        <v>1</v>
      </c>
      <c r="I1666" s="21" t="str" cm="1">
        <f t="array" ref="I1666">GET_TICKER_FINAL(C1666)</f>
        <v/>
      </c>
      <c r="J1666" s="5" t="s">
        <v>16</v>
      </c>
    </row>
    <row r="1667" spans="1:10" hidden="1">
      <c r="A1667" s="23">
        <v>1666</v>
      </c>
      <c r="B1667" s="22" t="s">
        <v>1376</v>
      </c>
      <c r="C1667" s="22" t="s">
        <v>1637</v>
      </c>
      <c r="D1667" s="22">
        <v>89</v>
      </c>
      <c r="E1667" s="22">
        <v>33</v>
      </c>
      <c r="F1667" s="22">
        <v>0.91</v>
      </c>
      <c r="G1667" s="22">
        <v>20260402</v>
      </c>
      <c r="H1667" s="23" t="b">
        <f t="shared" ref="H1667:H1730" si="26">OR(ISNUMBER(SEARCH("$A",C1667)),ISNUMBER(SEARCH("$B",C1667)),ISNUMBER(SEARCH("$C",C1667)),ISNUMBER(SEARCH("$D",C1667)),ISNUMBER(SEARCH("$E",C1667)),ISNUMBER(SEARCH("$F",C1667)),ISNUMBER(SEARCH("$G",C1667)),ISNUMBER(SEARCH("$H",C1667)),ISNUMBER(SEARCH("$I",C1667)),ISNUMBER(SEARCH("$J",C1667)),ISNUMBER(SEARCH("$K",C1667)),ISNUMBER(SEARCH("$L",C1667)),ISNUMBER(SEARCH("$M",C1667)),ISNUMBER(SEARCH("$N",C1667)),ISNUMBER(SEARCH("$O",C1667)),ISNUMBER(SEARCH("$P",C1667)),ISNUMBER(SEARCH("$Q",C1667)),ISNUMBER(SEARCH("$R",C1667)),ISNUMBER(SEARCH("$S",C1667)),ISNUMBER(SEARCH("$T",C1667)),ISNUMBER(SEARCH("$U",C1667)),ISNUMBER(SEARCH("$V",C1667)),ISNUMBER(SEARCH("$W",C1667)),ISNUMBER(SEARCH("$X",C1667)),ISNUMBER(SEARCH("$Y",C1667)),ISNUMBER(SEARCH("$Z",C1667)))</f>
        <v>0</v>
      </c>
      <c r="I1667" s="24" t="str" cm="1">
        <f t="array" ref="I1667">GET_TICKER_FINAL(C1667)</f>
        <v/>
      </c>
      <c r="J1667" s="5" t="s">
        <v>16</v>
      </c>
    </row>
    <row r="1668" spans="1:10" hidden="1">
      <c r="A1668" s="20">
        <v>1667</v>
      </c>
      <c r="B1668" s="19" t="s">
        <v>1376</v>
      </c>
      <c r="C1668" s="19" t="s">
        <v>1638</v>
      </c>
      <c r="D1668" s="19">
        <v>89</v>
      </c>
      <c r="E1668" s="19">
        <v>63</v>
      </c>
      <c r="F1668" s="19">
        <v>0.9</v>
      </c>
      <c r="G1668" s="19">
        <v>20260327</v>
      </c>
      <c r="H1668" s="20" t="b">
        <f t="shared" si="26"/>
        <v>0</v>
      </c>
      <c r="I1668" s="21" t="str" cm="1">
        <f t="array" ref="I1668">GET_TICKER_FINAL(C1668)</f>
        <v/>
      </c>
      <c r="J1668" s="5" t="s">
        <v>25</v>
      </c>
    </row>
    <row r="1669" spans="1:10" hidden="1">
      <c r="A1669" s="23">
        <v>1668</v>
      </c>
      <c r="B1669" s="22" t="s">
        <v>1376</v>
      </c>
      <c r="C1669" s="22" t="s">
        <v>1639</v>
      </c>
      <c r="D1669" s="22">
        <v>88</v>
      </c>
      <c r="E1669" s="22">
        <v>44</v>
      </c>
      <c r="F1669" s="22">
        <v>0.78</v>
      </c>
      <c r="G1669" s="22">
        <v>20260402</v>
      </c>
      <c r="H1669" s="23" t="b">
        <f t="shared" si="26"/>
        <v>0</v>
      </c>
      <c r="I1669" s="24" t="str" cm="1">
        <f t="array" ref="I1669">GET_TICKER_FINAL(C1669)</f>
        <v/>
      </c>
      <c r="J1669" s="5" t="s">
        <v>25</v>
      </c>
    </row>
    <row r="1670" spans="1:10">
      <c r="A1670" s="20">
        <v>1669</v>
      </c>
      <c r="B1670" s="19" t="s">
        <v>1376</v>
      </c>
      <c r="C1670" s="19" t="s">
        <v>1640</v>
      </c>
      <c r="D1670" s="19">
        <v>87</v>
      </c>
      <c r="E1670" s="19">
        <v>64</v>
      </c>
      <c r="F1670" s="19">
        <v>0.84</v>
      </c>
      <c r="G1670" s="19">
        <v>20260330</v>
      </c>
      <c r="H1670" s="20" t="b">
        <f t="shared" si="26"/>
        <v>0</v>
      </c>
      <c r="I1670" s="21" t="str" cm="1">
        <f t="array" ref="I1670">GET_TICKER_FINAL(C1670)</f>
        <v>SPY</v>
      </c>
      <c r="J1670" s="5" t="s">
        <v>16</v>
      </c>
    </row>
    <row r="1671" spans="1:10" hidden="1">
      <c r="A1671" s="23">
        <v>1670</v>
      </c>
      <c r="B1671" s="22" t="s">
        <v>1376</v>
      </c>
      <c r="C1671" s="22" t="s">
        <v>1641</v>
      </c>
      <c r="D1671" s="22">
        <v>85</v>
      </c>
      <c r="E1671" s="22">
        <v>33</v>
      </c>
      <c r="F1671" s="22">
        <v>0.97</v>
      </c>
      <c r="G1671" s="22">
        <v>20260402</v>
      </c>
      <c r="H1671" s="23" t="b">
        <f t="shared" si="26"/>
        <v>0</v>
      </c>
      <c r="I1671" s="24" t="str" cm="1">
        <f t="array" ref="I1671">GET_TICKER_FINAL(C1671)</f>
        <v/>
      </c>
      <c r="J1671" s="5" t="s">
        <v>25</v>
      </c>
    </row>
    <row r="1672" spans="1:10">
      <c r="A1672" s="20">
        <v>1671</v>
      </c>
      <c r="B1672" s="19" t="s">
        <v>1376</v>
      </c>
      <c r="C1672" s="19" t="s">
        <v>1642</v>
      </c>
      <c r="D1672" s="19">
        <v>85</v>
      </c>
      <c r="E1672" s="19">
        <v>86</v>
      </c>
      <c r="F1672" s="19">
        <v>0.76</v>
      </c>
      <c r="G1672" s="19">
        <v>20260324</v>
      </c>
      <c r="H1672" s="20" t="b">
        <f t="shared" si="26"/>
        <v>0</v>
      </c>
      <c r="I1672" s="21" t="str" cm="1">
        <f t="array" ref="I1672">GET_TICKER_FINAL(C1672)</f>
        <v>SPY</v>
      </c>
      <c r="J1672" s="5" t="s">
        <v>25</v>
      </c>
    </row>
    <row r="1673" spans="1:10">
      <c r="A1673" s="23">
        <v>1672</v>
      </c>
      <c r="B1673" s="22" t="s">
        <v>1376</v>
      </c>
      <c r="C1673" s="22" t="s">
        <v>1643</v>
      </c>
      <c r="D1673" s="22">
        <v>84</v>
      </c>
      <c r="E1673" s="22">
        <v>11</v>
      </c>
      <c r="F1673" s="22">
        <v>0.9</v>
      </c>
      <c r="G1673" s="22">
        <v>20260401</v>
      </c>
      <c r="H1673" s="23" t="b">
        <f t="shared" si="26"/>
        <v>0</v>
      </c>
      <c r="I1673" s="24" t="str" cm="1">
        <f t="array" ref="I1673">GET_TICKER_FINAL(C1673)</f>
        <v>SPY</v>
      </c>
      <c r="J1673" s="5" t="s">
        <v>16</v>
      </c>
    </row>
    <row r="1674" spans="1:10">
      <c r="A1674" s="20">
        <v>1673</v>
      </c>
      <c r="B1674" s="19" t="s">
        <v>1376</v>
      </c>
      <c r="C1674" s="19" t="s">
        <v>1644</v>
      </c>
      <c r="D1674" s="19">
        <v>84</v>
      </c>
      <c r="E1674" s="19">
        <v>16</v>
      </c>
      <c r="F1674" s="19">
        <v>0.92</v>
      </c>
      <c r="G1674" s="19">
        <v>20260327</v>
      </c>
      <c r="H1674" s="20" t="b">
        <f t="shared" si="26"/>
        <v>0</v>
      </c>
      <c r="I1674" s="21" t="str" cm="1">
        <f t="array" ref="I1674">GET_TICKER_FINAL(C1674)</f>
        <v>SPY</v>
      </c>
      <c r="J1674" s="5" t="s">
        <v>16</v>
      </c>
    </row>
    <row r="1675" spans="1:10">
      <c r="A1675" s="23">
        <v>1674</v>
      </c>
      <c r="B1675" s="22" t="s">
        <v>1376</v>
      </c>
      <c r="C1675" s="22" t="s">
        <v>1645</v>
      </c>
      <c r="D1675" s="22">
        <v>84</v>
      </c>
      <c r="E1675" s="22">
        <v>44</v>
      </c>
      <c r="F1675" s="22">
        <v>0.89</v>
      </c>
      <c r="G1675" s="22">
        <v>20260324</v>
      </c>
      <c r="H1675" s="23" t="b">
        <f t="shared" si="26"/>
        <v>0</v>
      </c>
      <c r="I1675" s="24" t="str" cm="1">
        <f t="array" ref="I1675">GET_TICKER_FINAL(C1675)</f>
        <v>SPY</v>
      </c>
      <c r="J1675" s="5" t="s">
        <v>25</v>
      </c>
    </row>
    <row r="1676" spans="1:10" hidden="1">
      <c r="A1676" s="20">
        <v>1675</v>
      </c>
      <c r="B1676" s="19" t="s">
        <v>1376</v>
      </c>
      <c r="C1676" s="19" t="s">
        <v>1646</v>
      </c>
      <c r="D1676" s="19">
        <v>83</v>
      </c>
      <c r="E1676" s="19">
        <v>29</v>
      </c>
      <c r="F1676" s="19">
        <v>0.9</v>
      </c>
      <c r="G1676" s="19">
        <v>20260330</v>
      </c>
      <c r="H1676" s="20" t="b">
        <f t="shared" si="26"/>
        <v>0</v>
      </c>
      <c r="I1676" s="21" t="str" cm="1">
        <f t="array" ref="I1676">GET_TICKER_FINAL(C1676)</f>
        <v/>
      </c>
      <c r="J1676" s="5" t="s">
        <v>25</v>
      </c>
    </row>
    <row r="1677" spans="1:10">
      <c r="A1677" s="23">
        <v>1676</v>
      </c>
      <c r="B1677" s="22" t="s">
        <v>1376</v>
      </c>
      <c r="C1677" s="22" t="s">
        <v>1647</v>
      </c>
      <c r="D1677" s="22">
        <v>83</v>
      </c>
      <c r="E1677" s="22">
        <v>27</v>
      </c>
      <c r="F1677" s="22">
        <v>0.88</v>
      </c>
      <c r="G1677" s="22">
        <v>20260324</v>
      </c>
      <c r="H1677" s="23" t="b">
        <f t="shared" si="26"/>
        <v>0</v>
      </c>
      <c r="I1677" s="24" t="str" cm="1">
        <f t="array" ref="I1677">GET_TICKER_FINAL(C1677)</f>
        <v>SPY</v>
      </c>
      <c r="J1677" s="5" t="s">
        <v>25</v>
      </c>
    </row>
    <row r="1678" spans="1:10" hidden="1">
      <c r="A1678" s="20">
        <v>1677</v>
      </c>
      <c r="B1678" s="19" t="s">
        <v>1376</v>
      </c>
      <c r="C1678" s="19" t="s">
        <v>1648</v>
      </c>
      <c r="D1678" s="19">
        <v>83</v>
      </c>
      <c r="E1678" s="19">
        <v>576</v>
      </c>
      <c r="F1678" s="19">
        <v>0.75</v>
      </c>
      <c r="G1678" s="19">
        <v>20260326</v>
      </c>
      <c r="H1678" s="20" t="b">
        <f t="shared" si="26"/>
        <v>0</v>
      </c>
      <c r="I1678" s="21" t="str" cm="1">
        <f t="array" ref="I1678">GET_TICKER_FINAL(C1678)</f>
        <v/>
      </c>
      <c r="J1678" s="5" t="s">
        <v>1792</v>
      </c>
    </row>
    <row r="1679" spans="1:10" hidden="1">
      <c r="A1679" s="23">
        <v>1678</v>
      </c>
      <c r="B1679" s="22" t="s">
        <v>1376</v>
      </c>
      <c r="C1679" s="22" t="s">
        <v>1649</v>
      </c>
      <c r="D1679" s="22">
        <v>82</v>
      </c>
      <c r="E1679" s="22">
        <v>94</v>
      </c>
      <c r="F1679" s="22">
        <v>0.84</v>
      </c>
      <c r="G1679" s="22">
        <v>20260331</v>
      </c>
      <c r="H1679" s="23" t="b">
        <f t="shared" si="26"/>
        <v>0</v>
      </c>
      <c r="I1679" s="24" t="str" cm="1">
        <f t="array" ref="I1679">GET_TICKER_FINAL(C1679)</f>
        <v/>
      </c>
      <c r="J1679" s="5" t="s">
        <v>16</v>
      </c>
    </row>
    <row r="1680" spans="1:10">
      <c r="A1680" s="20">
        <v>1679</v>
      </c>
      <c r="B1680" s="19" t="s">
        <v>1376</v>
      </c>
      <c r="C1680" s="19" t="s">
        <v>1650</v>
      </c>
      <c r="D1680" s="19">
        <v>82</v>
      </c>
      <c r="E1680" s="19">
        <v>13</v>
      </c>
      <c r="F1680" s="19">
        <v>0.89</v>
      </c>
      <c r="G1680" s="19">
        <v>20260401</v>
      </c>
      <c r="H1680" s="20" t="b">
        <f t="shared" si="26"/>
        <v>1</v>
      </c>
      <c r="I1680" s="21" t="str" cm="1">
        <f t="array" ref="I1680">GET_TICKER_FINAL(C1680)</f>
        <v>SPY</v>
      </c>
      <c r="J1680" s="5" t="s">
        <v>25</v>
      </c>
    </row>
    <row r="1681" spans="1:10" hidden="1">
      <c r="A1681" s="23">
        <v>1680</v>
      </c>
      <c r="B1681" s="22" t="s">
        <v>1376</v>
      </c>
      <c r="C1681" s="22" t="s">
        <v>1651</v>
      </c>
      <c r="D1681" s="22">
        <v>81</v>
      </c>
      <c r="E1681" s="22">
        <v>125</v>
      </c>
      <c r="F1681" s="22">
        <v>0.94</v>
      </c>
      <c r="G1681" s="22">
        <v>20260402</v>
      </c>
      <c r="H1681" s="23" t="b">
        <f t="shared" si="26"/>
        <v>0</v>
      </c>
      <c r="I1681" s="24" t="str" cm="1">
        <f t="array" ref="I1681">GET_TICKER_FINAL(C1681)</f>
        <v/>
      </c>
      <c r="J1681" s="5" t="s">
        <v>16</v>
      </c>
    </row>
    <row r="1682" spans="1:10" hidden="1">
      <c r="A1682" s="20">
        <v>1681</v>
      </c>
      <c r="B1682" s="19" t="s">
        <v>1376</v>
      </c>
      <c r="C1682" s="19" t="s">
        <v>1652</v>
      </c>
      <c r="D1682" s="19">
        <v>81</v>
      </c>
      <c r="E1682" s="19">
        <v>68</v>
      </c>
      <c r="F1682" s="19">
        <v>0.85</v>
      </c>
      <c r="G1682" s="19">
        <v>20260326</v>
      </c>
      <c r="H1682" s="20" t="b">
        <f t="shared" si="26"/>
        <v>0</v>
      </c>
      <c r="I1682" s="21" t="str" cm="1">
        <f t="array" ref="I1682">GET_TICKER_FINAL(C1682)</f>
        <v/>
      </c>
      <c r="J1682" s="5" t="s">
        <v>1792</v>
      </c>
    </row>
    <row r="1683" spans="1:10" hidden="1">
      <c r="A1683" s="23">
        <v>1682</v>
      </c>
      <c r="B1683" s="22" t="s">
        <v>1376</v>
      </c>
      <c r="C1683" s="22" t="s">
        <v>1653</v>
      </c>
      <c r="D1683" s="22">
        <v>80</v>
      </c>
      <c r="E1683" s="22">
        <v>35</v>
      </c>
      <c r="F1683" s="22">
        <v>0.83</v>
      </c>
      <c r="G1683" s="22">
        <v>20260323</v>
      </c>
      <c r="H1683" s="23" t="b">
        <f t="shared" si="26"/>
        <v>0</v>
      </c>
      <c r="I1683" s="24" t="str" cm="1">
        <f t="array" ref="I1683">GET_TICKER_FINAL(C1683)</f>
        <v/>
      </c>
      <c r="J1683" s="5" t="s">
        <v>16</v>
      </c>
    </row>
    <row r="1684" spans="1:10" hidden="1">
      <c r="A1684" s="20">
        <v>1683</v>
      </c>
      <c r="B1684" s="19" t="s">
        <v>1376</v>
      </c>
      <c r="C1684" s="19" t="s">
        <v>1654</v>
      </c>
      <c r="D1684" s="19">
        <v>77</v>
      </c>
      <c r="E1684" s="19">
        <v>73</v>
      </c>
      <c r="F1684" s="19">
        <v>0.68</v>
      </c>
      <c r="G1684" s="19">
        <v>20260331</v>
      </c>
      <c r="H1684" s="20" t="b">
        <f t="shared" si="26"/>
        <v>0</v>
      </c>
      <c r="I1684" s="21" t="str" cm="1">
        <f t="array" ref="I1684">GET_TICKER_FINAL(C1684)</f>
        <v/>
      </c>
      <c r="J1684" s="5" t="s">
        <v>16</v>
      </c>
    </row>
    <row r="1685" spans="1:10" hidden="1">
      <c r="A1685" s="23">
        <v>1684</v>
      </c>
      <c r="B1685" s="22" t="s">
        <v>1376</v>
      </c>
      <c r="C1685" s="22" t="s">
        <v>1655</v>
      </c>
      <c r="D1685" s="22">
        <v>77</v>
      </c>
      <c r="E1685" s="22">
        <v>14</v>
      </c>
      <c r="F1685" s="22">
        <v>0.93</v>
      </c>
      <c r="G1685" s="22">
        <v>20260324</v>
      </c>
      <c r="H1685" s="23" t="b">
        <f t="shared" si="26"/>
        <v>0</v>
      </c>
      <c r="I1685" s="24" t="str" cm="1">
        <f t="array" ref="I1685">GET_TICKER_FINAL(C1685)</f>
        <v/>
      </c>
      <c r="J1685" s="5" t="s">
        <v>1792</v>
      </c>
    </row>
    <row r="1686" spans="1:10">
      <c r="A1686" s="20">
        <v>1685</v>
      </c>
      <c r="B1686" s="19" t="s">
        <v>1376</v>
      </c>
      <c r="C1686" s="19" t="s">
        <v>1656</v>
      </c>
      <c r="D1686" s="19">
        <v>75</v>
      </c>
      <c r="E1686" s="19">
        <v>35</v>
      </c>
      <c r="F1686" s="19">
        <v>0.89</v>
      </c>
      <c r="G1686" s="19">
        <v>20260401</v>
      </c>
      <c r="H1686" s="20" t="b">
        <f t="shared" si="26"/>
        <v>0</v>
      </c>
      <c r="I1686" s="21" t="str" cm="1">
        <f t="array" ref="I1686">GET_TICKER_FINAL(C1686)</f>
        <v>NVDA</v>
      </c>
      <c r="J1686" s="5" t="s">
        <v>25</v>
      </c>
    </row>
    <row r="1687" spans="1:10" hidden="1">
      <c r="A1687" s="23">
        <v>1686</v>
      </c>
      <c r="B1687" s="22" t="s">
        <v>1376</v>
      </c>
      <c r="C1687" s="22" t="s">
        <v>1657</v>
      </c>
      <c r="D1687" s="22">
        <v>73</v>
      </c>
      <c r="E1687" s="22">
        <v>55</v>
      </c>
      <c r="F1687" s="22">
        <v>0.83</v>
      </c>
      <c r="G1687" s="22">
        <v>20260326</v>
      </c>
      <c r="H1687" s="23" t="b">
        <f t="shared" si="26"/>
        <v>0</v>
      </c>
      <c r="I1687" s="24" t="str" cm="1">
        <f t="array" ref="I1687">GET_TICKER_FINAL(C1687)</f>
        <v/>
      </c>
      <c r="J1687" s="5" t="s">
        <v>1792</v>
      </c>
    </row>
    <row r="1688" spans="1:10" hidden="1">
      <c r="A1688" s="20">
        <v>1687</v>
      </c>
      <c r="B1688" s="19" t="s">
        <v>1376</v>
      </c>
      <c r="C1688" s="19" t="s">
        <v>1658</v>
      </c>
      <c r="D1688" s="19">
        <v>72</v>
      </c>
      <c r="E1688" s="19">
        <v>20</v>
      </c>
      <c r="F1688" s="19">
        <v>0.88</v>
      </c>
      <c r="G1688" s="19">
        <v>20260320</v>
      </c>
      <c r="H1688" s="20" t="b">
        <f t="shared" si="26"/>
        <v>0</v>
      </c>
      <c r="I1688" s="21" t="str" cm="1">
        <f t="array" ref="I1688">GET_TICKER_FINAL(C1688)</f>
        <v/>
      </c>
      <c r="J1688" s="5" t="s">
        <v>1792</v>
      </c>
    </row>
    <row r="1689" spans="1:10" hidden="1">
      <c r="A1689" s="23">
        <v>1688</v>
      </c>
      <c r="B1689" s="22" t="s">
        <v>1376</v>
      </c>
      <c r="C1689" s="22" t="s">
        <v>1659</v>
      </c>
      <c r="D1689" s="22">
        <v>72</v>
      </c>
      <c r="E1689" s="22">
        <v>34</v>
      </c>
      <c r="F1689" s="22">
        <v>0.82</v>
      </c>
      <c r="G1689" s="22">
        <v>20260326</v>
      </c>
      <c r="H1689" s="23" t="b">
        <f t="shared" si="26"/>
        <v>1</v>
      </c>
      <c r="I1689" s="24" t="str" cm="1">
        <f t="array" ref="I1689">GET_TICKER_FINAL(C1689)</f>
        <v/>
      </c>
      <c r="J1689" s="5" t="s">
        <v>1792</v>
      </c>
    </row>
    <row r="1690" spans="1:10" hidden="1">
      <c r="A1690" s="20">
        <v>1689</v>
      </c>
      <c r="B1690" s="19" t="s">
        <v>1376</v>
      </c>
      <c r="C1690" s="19" t="s">
        <v>1660</v>
      </c>
      <c r="D1690" s="19">
        <v>71</v>
      </c>
      <c r="E1690" s="19">
        <v>52</v>
      </c>
      <c r="F1690" s="19">
        <v>0.82</v>
      </c>
      <c r="G1690" s="19">
        <v>20260331</v>
      </c>
      <c r="H1690" s="20" t="b">
        <f t="shared" si="26"/>
        <v>0</v>
      </c>
      <c r="I1690" s="21" t="str" cm="1">
        <f t="array" ref="I1690">GET_TICKER_FINAL(C1690)</f>
        <v/>
      </c>
      <c r="J1690" s="5" t="s">
        <v>16</v>
      </c>
    </row>
    <row r="1691" spans="1:10">
      <c r="A1691" s="23">
        <v>1690</v>
      </c>
      <c r="B1691" s="22" t="s">
        <v>1376</v>
      </c>
      <c r="C1691" s="22" t="s">
        <v>1661</v>
      </c>
      <c r="D1691" s="22">
        <v>68</v>
      </c>
      <c r="E1691" s="22">
        <v>128</v>
      </c>
      <c r="F1691" s="22">
        <v>0.82</v>
      </c>
      <c r="G1691" s="22">
        <v>20260326</v>
      </c>
      <c r="H1691" s="23" t="b">
        <f t="shared" si="26"/>
        <v>1</v>
      </c>
      <c r="I1691" s="24" t="str" cm="1">
        <f t="array" ref="I1691">GET_TICKER_FINAL(C1691)</f>
        <v>USO</v>
      </c>
      <c r="J1691" s="5" t="s">
        <v>1792</v>
      </c>
    </row>
    <row r="1692" spans="1:10" hidden="1">
      <c r="A1692" s="20">
        <v>1691</v>
      </c>
      <c r="B1692" s="19" t="s">
        <v>1376</v>
      </c>
      <c r="C1692" s="19" t="s">
        <v>1662</v>
      </c>
      <c r="D1692" s="19">
        <v>67</v>
      </c>
      <c r="E1692" s="19">
        <v>22</v>
      </c>
      <c r="F1692" s="19">
        <v>0.86</v>
      </c>
      <c r="G1692" s="19">
        <v>20260324</v>
      </c>
      <c r="H1692" s="20" t="b">
        <f t="shared" si="26"/>
        <v>0</v>
      </c>
      <c r="I1692" s="21" t="str" cm="1">
        <f t="array" ref="I1692">GET_TICKER_FINAL(C1692)</f>
        <v/>
      </c>
      <c r="J1692" s="5" t="s">
        <v>25</v>
      </c>
    </row>
    <row r="1693" spans="1:10">
      <c r="A1693" s="23">
        <v>1692</v>
      </c>
      <c r="B1693" s="22" t="s">
        <v>1376</v>
      </c>
      <c r="C1693" s="22" t="s">
        <v>1663</v>
      </c>
      <c r="D1693" s="22">
        <v>66</v>
      </c>
      <c r="E1693" s="22">
        <v>27</v>
      </c>
      <c r="F1693" s="22">
        <v>0.89</v>
      </c>
      <c r="G1693" s="22">
        <v>20260320</v>
      </c>
      <c r="H1693" s="23" t="b">
        <f t="shared" si="26"/>
        <v>0</v>
      </c>
      <c r="I1693" s="24" t="str" cm="1">
        <f t="array" ref="I1693">GET_TICKER_FINAL(C1693)</f>
        <v>MU</v>
      </c>
      <c r="J1693" s="5" t="s">
        <v>25</v>
      </c>
    </row>
    <row r="1694" spans="1:10">
      <c r="A1694" s="20">
        <v>1693</v>
      </c>
      <c r="B1694" s="19" t="s">
        <v>1376</v>
      </c>
      <c r="C1694" s="19" t="s">
        <v>1664</v>
      </c>
      <c r="D1694" s="19">
        <v>66</v>
      </c>
      <c r="E1694" s="19">
        <v>29</v>
      </c>
      <c r="F1694" s="19">
        <v>0.86</v>
      </c>
      <c r="G1694" s="19">
        <v>20260323</v>
      </c>
      <c r="H1694" s="20" t="b">
        <f t="shared" si="26"/>
        <v>0</v>
      </c>
      <c r="I1694" s="21" t="str" cm="1">
        <f t="array" ref="I1694">GET_TICKER_FINAL(C1694)</f>
        <v>MU</v>
      </c>
      <c r="J1694" s="5" t="s">
        <v>25</v>
      </c>
    </row>
    <row r="1695" spans="1:10" hidden="1">
      <c r="A1695" s="23">
        <v>1694</v>
      </c>
      <c r="B1695" s="22" t="s">
        <v>1376</v>
      </c>
      <c r="C1695" s="22" t="s">
        <v>1665</v>
      </c>
      <c r="D1695" s="22">
        <v>65</v>
      </c>
      <c r="E1695" s="22">
        <v>22</v>
      </c>
      <c r="F1695" s="22">
        <v>0.91</v>
      </c>
      <c r="G1695" s="22">
        <v>20260330</v>
      </c>
      <c r="H1695" s="23" t="b">
        <f t="shared" si="26"/>
        <v>0</v>
      </c>
      <c r="I1695" s="24" t="str" cm="1">
        <f t="array" ref="I1695">GET_TICKER_FINAL(C1695)</f>
        <v/>
      </c>
      <c r="J1695" s="5" t="s">
        <v>16</v>
      </c>
    </row>
    <row r="1696" spans="1:10" hidden="1">
      <c r="A1696" s="20">
        <v>1695</v>
      </c>
      <c r="B1696" s="19" t="s">
        <v>1376</v>
      </c>
      <c r="C1696" s="19" t="s">
        <v>1666</v>
      </c>
      <c r="D1696" s="19">
        <v>65</v>
      </c>
      <c r="E1696" s="19">
        <v>26</v>
      </c>
      <c r="F1696" s="19">
        <v>0.87</v>
      </c>
      <c r="G1696" s="19">
        <v>20260324</v>
      </c>
      <c r="H1696" s="20" t="b">
        <f t="shared" si="26"/>
        <v>0</v>
      </c>
      <c r="I1696" s="21" t="str" cm="1">
        <f t="array" ref="I1696">GET_TICKER_FINAL(C1696)</f>
        <v/>
      </c>
      <c r="J1696" s="5" t="s">
        <v>16</v>
      </c>
    </row>
    <row r="1697" spans="1:10">
      <c r="A1697" s="23">
        <v>1696</v>
      </c>
      <c r="B1697" s="22" t="s">
        <v>1376</v>
      </c>
      <c r="C1697" s="22" t="s">
        <v>1667</v>
      </c>
      <c r="D1697" s="22">
        <v>64</v>
      </c>
      <c r="E1697" s="22">
        <v>15</v>
      </c>
      <c r="F1697" s="22">
        <v>0.88</v>
      </c>
      <c r="G1697" s="22">
        <v>20260327</v>
      </c>
      <c r="H1697" s="23" t="b">
        <f t="shared" si="26"/>
        <v>0</v>
      </c>
      <c r="I1697" s="24" t="str" cm="1">
        <f t="array" ref="I1697">GET_TICKER_FINAL(C1697)</f>
        <v>SPY</v>
      </c>
      <c r="J1697" s="5" t="s">
        <v>1792</v>
      </c>
    </row>
    <row r="1698" spans="1:10" hidden="1">
      <c r="A1698" s="20">
        <v>1697</v>
      </c>
      <c r="B1698" s="19" t="s">
        <v>1376</v>
      </c>
      <c r="C1698" s="19" t="s">
        <v>1668</v>
      </c>
      <c r="D1698" s="19">
        <v>64</v>
      </c>
      <c r="E1698" s="19">
        <v>20</v>
      </c>
      <c r="F1698" s="19">
        <v>0.86</v>
      </c>
      <c r="G1698" s="19">
        <v>20260402</v>
      </c>
      <c r="H1698" s="20" t="b">
        <f t="shared" si="26"/>
        <v>0</v>
      </c>
      <c r="I1698" s="21" t="str" cm="1">
        <f t="array" ref="I1698">GET_TICKER_FINAL(C1698)</f>
        <v/>
      </c>
      <c r="J1698" s="5" t="s">
        <v>16</v>
      </c>
    </row>
    <row r="1699" spans="1:10">
      <c r="A1699" s="23">
        <v>1698</v>
      </c>
      <c r="B1699" s="22" t="s">
        <v>1376</v>
      </c>
      <c r="C1699" s="22" t="s">
        <v>1669</v>
      </c>
      <c r="D1699" s="22">
        <v>63</v>
      </c>
      <c r="E1699" s="22">
        <v>85</v>
      </c>
      <c r="F1699" s="22">
        <v>0.74</v>
      </c>
      <c r="G1699" s="22">
        <v>20260327</v>
      </c>
      <c r="H1699" s="23" t="b">
        <f t="shared" si="26"/>
        <v>0</v>
      </c>
      <c r="I1699" s="24" t="str" cm="1">
        <f t="array" ref="I1699">GET_TICKER_FINAL(C1699)</f>
        <v>SOFI</v>
      </c>
      <c r="J1699" s="5" t="s">
        <v>25</v>
      </c>
    </row>
    <row r="1700" spans="1:10" hidden="1">
      <c r="A1700" s="20">
        <v>1699</v>
      </c>
      <c r="B1700" s="19" t="s">
        <v>1376</v>
      </c>
      <c r="C1700" s="19" t="s">
        <v>1670</v>
      </c>
      <c r="D1700" s="19">
        <v>63</v>
      </c>
      <c r="E1700" s="19">
        <v>36</v>
      </c>
      <c r="F1700" s="19">
        <v>0.88</v>
      </c>
      <c r="G1700" s="19">
        <v>20260402</v>
      </c>
      <c r="H1700" s="20" t="b">
        <f t="shared" si="26"/>
        <v>0</v>
      </c>
      <c r="I1700" s="21" t="str" cm="1">
        <f t="array" ref="I1700">GET_TICKER_FINAL(C1700)</f>
        <v/>
      </c>
      <c r="J1700" s="5" t="s">
        <v>16</v>
      </c>
    </row>
    <row r="1701" spans="1:10" hidden="1">
      <c r="A1701" s="23">
        <v>1700</v>
      </c>
      <c r="B1701" s="22" t="s">
        <v>1376</v>
      </c>
      <c r="C1701" s="22" t="s">
        <v>1671</v>
      </c>
      <c r="D1701" s="22">
        <v>61</v>
      </c>
      <c r="E1701" s="22">
        <v>50</v>
      </c>
      <c r="F1701" s="22">
        <v>0.9</v>
      </c>
      <c r="G1701" s="22">
        <v>20260402</v>
      </c>
      <c r="H1701" s="23" t="b">
        <f t="shared" si="26"/>
        <v>1</v>
      </c>
      <c r="I1701" s="24" t="str" cm="1">
        <f t="array" ref="I1701">GET_TICKER_FINAL(C1701)</f>
        <v/>
      </c>
      <c r="J1701" s="5" t="s">
        <v>1792</v>
      </c>
    </row>
    <row r="1702" spans="1:10" hidden="1">
      <c r="A1702" s="20">
        <v>1701</v>
      </c>
      <c r="B1702" s="19" t="s">
        <v>1376</v>
      </c>
      <c r="C1702" s="19" t="s">
        <v>1672</v>
      </c>
      <c r="D1702" s="19">
        <v>60</v>
      </c>
      <c r="E1702" s="19">
        <v>33</v>
      </c>
      <c r="F1702" s="19">
        <v>0.85</v>
      </c>
      <c r="G1702" s="19">
        <v>20260401</v>
      </c>
      <c r="H1702" s="20" t="b">
        <f t="shared" si="26"/>
        <v>0</v>
      </c>
      <c r="I1702" s="21" t="str" cm="1">
        <f t="array" ref="I1702">GET_TICKER_FINAL(C1702)</f>
        <v/>
      </c>
      <c r="J1702" s="5" t="s">
        <v>16</v>
      </c>
    </row>
    <row r="1703" spans="1:10" hidden="1">
      <c r="A1703" s="23">
        <v>1702</v>
      </c>
      <c r="B1703" s="22" t="s">
        <v>1376</v>
      </c>
      <c r="C1703" s="22" t="s">
        <v>1673</v>
      </c>
      <c r="D1703" s="22">
        <v>59</v>
      </c>
      <c r="E1703" s="22">
        <v>97</v>
      </c>
      <c r="F1703" s="22">
        <v>0.87</v>
      </c>
      <c r="G1703" s="22">
        <v>20260323</v>
      </c>
      <c r="H1703" s="23" t="b">
        <f t="shared" si="26"/>
        <v>0</v>
      </c>
      <c r="I1703" s="24" t="str" cm="1">
        <f t="array" ref="I1703">GET_TICKER_FINAL(C1703)</f>
        <v/>
      </c>
      <c r="J1703" s="5" t="s">
        <v>16</v>
      </c>
    </row>
    <row r="1704" spans="1:10">
      <c r="A1704" s="20">
        <v>1703</v>
      </c>
      <c r="B1704" s="19" t="s">
        <v>1376</v>
      </c>
      <c r="C1704" s="19" t="s">
        <v>1674</v>
      </c>
      <c r="D1704" s="19">
        <v>59</v>
      </c>
      <c r="E1704" s="19">
        <v>27</v>
      </c>
      <c r="F1704" s="19">
        <v>0.84</v>
      </c>
      <c r="G1704" s="19">
        <v>20260402</v>
      </c>
      <c r="H1704" s="20" t="b">
        <f t="shared" si="26"/>
        <v>0</v>
      </c>
      <c r="I1704" s="21" t="str" cm="1">
        <f t="array" ref="I1704">GET_TICKER_FINAL(C1704)</f>
        <v>SNAP</v>
      </c>
      <c r="J1704" s="5" t="s">
        <v>25</v>
      </c>
    </row>
    <row r="1705" spans="1:10" hidden="1">
      <c r="A1705" s="23">
        <v>1704</v>
      </c>
      <c r="B1705" s="22" t="s">
        <v>1376</v>
      </c>
      <c r="C1705" s="22" t="s">
        <v>1675</v>
      </c>
      <c r="D1705" s="22">
        <v>59</v>
      </c>
      <c r="E1705" s="22">
        <v>78</v>
      </c>
      <c r="F1705" s="22">
        <v>0.83</v>
      </c>
      <c r="G1705" s="22">
        <v>20260331</v>
      </c>
      <c r="H1705" s="23" t="b">
        <f t="shared" si="26"/>
        <v>0</v>
      </c>
      <c r="I1705" s="24" t="str" cm="1">
        <f t="array" ref="I1705">GET_TICKER_FINAL(C1705)</f>
        <v/>
      </c>
      <c r="J1705" s="5" t="s">
        <v>25</v>
      </c>
    </row>
    <row r="1706" spans="1:10">
      <c r="A1706" s="20">
        <v>1705</v>
      </c>
      <c r="B1706" s="19" t="s">
        <v>1376</v>
      </c>
      <c r="C1706" s="19" t="s">
        <v>1676</v>
      </c>
      <c r="D1706" s="19">
        <v>58</v>
      </c>
      <c r="E1706" s="19">
        <v>19</v>
      </c>
      <c r="F1706" s="19">
        <v>0.84</v>
      </c>
      <c r="G1706" s="19">
        <v>20260327</v>
      </c>
      <c r="H1706" s="20" t="b">
        <f t="shared" si="26"/>
        <v>0</v>
      </c>
      <c r="I1706" s="21" t="str" cm="1">
        <f t="array" ref="I1706">GET_TICKER_FINAL(C1706)</f>
        <v>SPY</v>
      </c>
      <c r="J1706" s="5" t="s">
        <v>16</v>
      </c>
    </row>
    <row r="1707" spans="1:10" hidden="1">
      <c r="A1707" s="23">
        <v>1706</v>
      </c>
      <c r="B1707" s="22" t="s">
        <v>1376</v>
      </c>
      <c r="C1707" s="22" t="s">
        <v>1677</v>
      </c>
      <c r="D1707" s="22">
        <v>57</v>
      </c>
      <c r="E1707" s="22">
        <v>35</v>
      </c>
      <c r="F1707" s="22">
        <v>0.93</v>
      </c>
      <c r="G1707" s="22">
        <v>20260402</v>
      </c>
      <c r="H1707" s="23" t="b">
        <f t="shared" si="26"/>
        <v>0</v>
      </c>
      <c r="I1707" s="24" t="str" cm="1">
        <f t="array" ref="I1707">GET_TICKER_FINAL(C1707)</f>
        <v/>
      </c>
      <c r="J1707" s="5" t="s">
        <v>1792</v>
      </c>
    </row>
    <row r="1708" spans="1:10">
      <c r="A1708" s="20">
        <v>1707</v>
      </c>
      <c r="B1708" s="19" t="s">
        <v>1376</v>
      </c>
      <c r="C1708" s="19" t="s">
        <v>1678</v>
      </c>
      <c r="D1708" s="19">
        <v>56</v>
      </c>
      <c r="E1708" s="19">
        <v>21</v>
      </c>
      <c r="F1708" s="19">
        <v>0.93</v>
      </c>
      <c r="G1708" s="19">
        <v>20260323</v>
      </c>
      <c r="H1708" s="20" t="b">
        <f t="shared" si="26"/>
        <v>0</v>
      </c>
      <c r="I1708" s="21" t="str" cm="1">
        <f t="array" ref="I1708">GET_TICKER_FINAL(C1708)</f>
        <v>SPY</v>
      </c>
      <c r="J1708" s="5" t="s">
        <v>25</v>
      </c>
    </row>
    <row r="1709" spans="1:10" hidden="1">
      <c r="A1709" s="23">
        <v>1708</v>
      </c>
      <c r="B1709" s="22" t="s">
        <v>1376</v>
      </c>
      <c r="C1709" s="22" t="s">
        <v>1679</v>
      </c>
      <c r="D1709" s="22">
        <v>56</v>
      </c>
      <c r="E1709" s="22">
        <v>28</v>
      </c>
      <c r="F1709" s="22">
        <v>0.82</v>
      </c>
      <c r="G1709" s="22">
        <v>20260330</v>
      </c>
      <c r="H1709" s="23" t="b">
        <f t="shared" si="26"/>
        <v>0</v>
      </c>
      <c r="I1709" s="24" t="str" cm="1">
        <f t="array" ref="I1709">GET_TICKER_FINAL(C1709)</f>
        <v/>
      </c>
      <c r="J1709" s="5" t="s">
        <v>25</v>
      </c>
    </row>
    <row r="1710" spans="1:10" hidden="1">
      <c r="A1710" s="20">
        <v>1709</v>
      </c>
      <c r="B1710" s="19" t="s">
        <v>1376</v>
      </c>
      <c r="C1710" s="19" t="s">
        <v>1680</v>
      </c>
      <c r="D1710" s="19">
        <v>53</v>
      </c>
      <c r="E1710" s="19">
        <v>45</v>
      </c>
      <c r="F1710" s="19">
        <v>0.81</v>
      </c>
      <c r="G1710" s="19">
        <v>20260402</v>
      </c>
      <c r="H1710" s="20" t="b">
        <f t="shared" si="26"/>
        <v>0</v>
      </c>
      <c r="I1710" s="21" t="str" cm="1">
        <f t="array" ref="I1710">GET_TICKER_FINAL(C1710)</f>
        <v/>
      </c>
      <c r="J1710" s="5" t="s">
        <v>25</v>
      </c>
    </row>
    <row r="1711" spans="1:10" hidden="1">
      <c r="A1711" s="23">
        <v>1710</v>
      </c>
      <c r="B1711" s="22" t="s">
        <v>1376</v>
      </c>
      <c r="C1711" s="22" t="s">
        <v>1681</v>
      </c>
      <c r="D1711" s="22">
        <v>53</v>
      </c>
      <c r="E1711" s="22">
        <v>30</v>
      </c>
      <c r="F1711" s="22">
        <v>0.86</v>
      </c>
      <c r="G1711" s="22">
        <v>20260330</v>
      </c>
      <c r="H1711" s="23" t="b">
        <f t="shared" si="26"/>
        <v>0</v>
      </c>
      <c r="I1711" s="24" t="str" cm="1">
        <f t="array" ref="I1711">GET_TICKER_FINAL(C1711)</f>
        <v/>
      </c>
      <c r="J1711" s="5" t="s">
        <v>25</v>
      </c>
    </row>
    <row r="1712" spans="1:10" hidden="1">
      <c r="A1712" s="20">
        <v>1711</v>
      </c>
      <c r="B1712" s="19" t="s">
        <v>1376</v>
      </c>
      <c r="C1712" s="19" t="s">
        <v>1682</v>
      </c>
      <c r="D1712" s="19">
        <v>52</v>
      </c>
      <c r="E1712" s="19">
        <v>14</v>
      </c>
      <c r="F1712" s="19">
        <v>0.74</v>
      </c>
      <c r="G1712" s="19">
        <v>20260326</v>
      </c>
      <c r="H1712" s="20" t="b">
        <f t="shared" si="26"/>
        <v>0</v>
      </c>
      <c r="I1712" s="21" t="str" cm="1">
        <f t="array" ref="I1712">GET_TICKER_FINAL(C1712)</f>
        <v/>
      </c>
      <c r="J1712" s="5" t="s">
        <v>1792</v>
      </c>
    </row>
    <row r="1713" spans="1:10" hidden="1">
      <c r="A1713" s="23">
        <v>1712</v>
      </c>
      <c r="B1713" s="22" t="s">
        <v>1376</v>
      </c>
      <c r="C1713" s="22" t="s">
        <v>1683</v>
      </c>
      <c r="D1713" s="22">
        <v>52</v>
      </c>
      <c r="E1713" s="22">
        <v>59</v>
      </c>
      <c r="F1713" s="22">
        <v>0.84</v>
      </c>
      <c r="G1713" s="22">
        <v>20260327</v>
      </c>
      <c r="H1713" s="23" t="b">
        <f t="shared" si="26"/>
        <v>0</v>
      </c>
      <c r="I1713" s="24" t="str" cm="1">
        <f t="array" ref="I1713">GET_TICKER_FINAL(C1713)</f>
        <v/>
      </c>
      <c r="J1713" s="5" t="s">
        <v>25</v>
      </c>
    </row>
    <row r="1714" spans="1:10" hidden="1">
      <c r="A1714" s="20">
        <v>1713</v>
      </c>
      <c r="B1714" s="19" t="s">
        <v>1376</v>
      </c>
      <c r="C1714" s="19" t="s">
        <v>527</v>
      </c>
      <c r="D1714" s="19">
        <v>50</v>
      </c>
      <c r="E1714" s="19">
        <v>20</v>
      </c>
      <c r="F1714" s="19">
        <v>0.88</v>
      </c>
      <c r="G1714" s="19">
        <v>20260401</v>
      </c>
      <c r="H1714" s="20" t="b">
        <f t="shared" si="26"/>
        <v>0</v>
      </c>
      <c r="I1714" s="21" t="str" cm="1">
        <f t="array" ref="I1714">GET_TICKER_FINAL(C1714)</f>
        <v/>
      </c>
      <c r="J1714" s="5" t="s">
        <v>1792</v>
      </c>
    </row>
    <row r="1715" spans="1:10" hidden="1">
      <c r="A1715" s="23">
        <v>1714</v>
      </c>
      <c r="B1715" s="22" t="s">
        <v>1376</v>
      </c>
      <c r="C1715" s="22" t="s">
        <v>1684</v>
      </c>
      <c r="D1715" s="22">
        <v>49</v>
      </c>
      <c r="E1715" s="22">
        <v>28</v>
      </c>
      <c r="F1715" s="22">
        <v>0.86</v>
      </c>
      <c r="G1715" s="22">
        <v>20260331</v>
      </c>
      <c r="H1715" s="23" t="b">
        <f t="shared" si="26"/>
        <v>1</v>
      </c>
      <c r="I1715" s="24" t="str" cm="1">
        <f t="array" ref="I1715">GET_TICKER_FINAL(C1715)</f>
        <v/>
      </c>
      <c r="J1715" s="5" t="s">
        <v>1792</v>
      </c>
    </row>
    <row r="1716" spans="1:10" hidden="1">
      <c r="A1716" s="20">
        <v>1715</v>
      </c>
      <c r="B1716" s="19" t="s">
        <v>1376</v>
      </c>
      <c r="C1716" s="19" t="s">
        <v>1685</v>
      </c>
      <c r="D1716" s="19">
        <v>48</v>
      </c>
      <c r="E1716" s="19">
        <v>23</v>
      </c>
      <c r="F1716" s="19">
        <v>0.68</v>
      </c>
      <c r="G1716" s="19">
        <v>20260324</v>
      </c>
      <c r="H1716" s="20" t="b">
        <f t="shared" si="26"/>
        <v>0</v>
      </c>
      <c r="I1716" s="21" t="str" cm="1">
        <f t="array" ref="I1716">GET_TICKER_FINAL(C1716)</f>
        <v/>
      </c>
      <c r="J1716" s="5" t="s">
        <v>1792</v>
      </c>
    </row>
    <row r="1717" spans="1:10" hidden="1">
      <c r="A1717" s="23">
        <v>1716</v>
      </c>
      <c r="B1717" s="22" t="s">
        <v>1376</v>
      </c>
      <c r="C1717" s="22" t="s">
        <v>1686</v>
      </c>
      <c r="D1717" s="22">
        <v>48</v>
      </c>
      <c r="E1717" s="22">
        <v>10</v>
      </c>
      <c r="F1717" s="22">
        <v>0.89</v>
      </c>
      <c r="G1717" s="22">
        <v>20260402</v>
      </c>
      <c r="H1717" s="23" t="b">
        <f t="shared" si="26"/>
        <v>0</v>
      </c>
      <c r="I1717" s="24" t="str" cm="1">
        <f t="array" ref="I1717">GET_TICKER_FINAL(C1717)</f>
        <v/>
      </c>
      <c r="J1717" s="5" t="s">
        <v>1792</v>
      </c>
    </row>
    <row r="1718" spans="1:10" hidden="1">
      <c r="A1718" s="20">
        <v>1717</v>
      </c>
      <c r="B1718" s="19" t="s">
        <v>1376</v>
      </c>
      <c r="C1718" s="19" t="s">
        <v>1687</v>
      </c>
      <c r="D1718" s="19">
        <v>48</v>
      </c>
      <c r="E1718" s="19">
        <v>52</v>
      </c>
      <c r="F1718" s="19">
        <v>0.72</v>
      </c>
      <c r="G1718" s="19">
        <v>20260327</v>
      </c>
      <c r="H1718" s="20" t="b">
        <f t="shared" si="26"/>
        <v>0</v>
      </c>
      <c r="I1718" s="21" t="str" cm="1">
        <f t="array" ref="I1718">GET_TICKER_FINAL(C1718)</f>
        <v/>
      </c>
      <c r="J1718" s="5" t="s">
        <v>25</v>
      </c>
    </row>
    <row r="1719" spans="1:10" hidden="1">
      <c r="A1719" s="23">
        <v>1718</v>
      </c>
      <c r="B1719" s="22" t="s">
        <v>1376</v>
      </c>
      <c r="C1719" s="22" t="s">
        <v>1688</v>
      </c>
      <c r="D1719" s="22">
        <v>48</v>
      </c>
      <c r="E1719" s="22">
        <v>58</v>
      </c>
      <c r="F1719" s="22">
        <v>0.79</v>
      </c>
      <c r="G1719" s="22">
        <v>20260331</v>
      </c>
      <c r="H1719" s="23" t="b">
        <f t="shared" si="26"/>
        <v>0</v>
      </c>
      <c r="I1719" s="24" t="str" cm="1">
        <f t="array" ref="I1719">GET_TICKER_FINAL(C1719)</f>
        <v/>
      </c>
      <c r="J1719" s="5" t="s">
        <v>25</v>
      </c>
    </row>
    <row r="1720" spans="1:10" hidden="1">
      <c r="A1720" s="20">
        <v>1719</v>
      </c>
      <c r="B1720" s="19" t="s">
        <v>1376</v>
      </c>
      <c r="C1720" s="19" t="s">
        <v>1689</v>
      </c>
      <c r="D1720" s="19">
        <v>47</v>
      </c>
      <c r="E1720" s="19">
        <v>40</v>
      </c>
      <c r="F1720" s="19">
        <v>0.79</v>
      </c>
      <c r="G1720" s="19">
        <v>20260330</v>
      </c>
      <c r="H1720" s="20" t="b">
        <f t="shared" si="26"/>
        <v>0</v>
      </c>
      <c r="I1720" s="21" t="str" cm="1">
        <f t="array" ref="I1720">GET_TICKER_FINAL(C1720)</f>
        <v/>
      </c>
      <c r="J1720" s="5" t="s">
        <v>1792</v>
      </c>
    </row>
    <row r="1721" spans="1:10">
      <c r="A1721" s="23">
        <v>1720</v>
      </c>
      <c r="B1721" s="22" t="s">
        <v>1376</v>
      </c>
      <c r="C1721" s="22" t="s">
        <v>1690</v>
      </c>
      <c r="D1721" s="22">
        <v>47</v>
      </c>
      <c r="E1721" s="22">
        <v>49</v>
      </c>
      <c r="F1721" s="22">
        <v>0.91</v>
      </c>
      <c r="G1721" s="22">
        <v>20260401</v>
      </c>
      <c r="H1721" s="23" t="b">
        <f t="shared" si="26"/>
        <v>0</v>
      </c>
      <c r="I1721" s="24" t="str" cm="1">
        <f t="array" ref="I1721">GET_TICKER_FINAL(C1721)</f>
        <v>UBER</v>
      </c>
      <c r="J1721" s="5" t="s">
        <v>16</v>
      </c>
    </row>
    <row r="1722" spans="1:10" hidden="1">
      <c r="A1722" s="20">
        <v>1721</v>
      </c>
      <c r="B1722" s="19" t="s">
        <v>1376</v>
      </c>
      <c r="C1722" s="19" t="s">
        <v>1691</v>
      </c>
      <c r="D1722" s="19">
        <v>46</v>
      </c>
      <c r="E1722" s="19">
        <v>7</v>
      </c>
      <c r="F1722" s="19">
        <v>0.87</v>
      </c>
      <c r="G1722" s="19">
        <v>20260323</v>
      </c>
      <c r="H1722" s="20" t="b">
        <f t="shared" si="26"/>
        <v>1</v>
      </c>
      <c r="I1722" s="21" t="str" cm="1">
        <f t="array" ref="I1722">GET_TICKER_FINAL(C1722)</f>
        <v/>
      </c>
      <c r="J1722" s="5" t="s">
        <v>25</v>
      </c>
    </row>
    <row r="1723" spans="1:10" hidden="1">
      <c r="A1723" s="23">
        <v>1722</v>
      </c>
      <c r="B1723" s="22" t="s">
        <v>1376</v>
      </c>
      <c r="C1723" s="22" t="s">
        <v>1692</v>
      </c>
      <c r="D1723" s="22">
        <v>43</v>
      </c>
      <c r="E1723" s="22">
        <v>9</v>
      </c>
      <c r="F1723" s="22">
        <v>0.85</v>
      </c>
      <c r="G1723" s="22">
        <v>20260320</v>
      </c>
      <c r="H1723" s="23" t="b">
        <f t="shared" si="26"/>
        <v>0</v>
      </c>
      <c r="I1723" s="24" t="str" cm="1">
        <f t="array" ref="I1723">GET_TICKER_FINAL(C1723)</f>
        <v/>
      </c>
      <c r="J1723" s="5" t="s">
        <v>16</v>
      </c>
    </row>
    <row r="1724" spans="1:10">
      <c r="A1724" s="20">
        <v>1723</v>
      </c>
      <c r="B1724" s="19" t="s">
        <v>1376</v>
      </c>
      <c r="C1724" s="19" t="s">
        <v>1693</v>
      </c>
      <c r="D1724" s="19">
        <v>42</v>
      </c>
      <c r="E1724" s="19">
        <v>88</v>
      </c>
      <c r="F1724" s="19">
        <v>0.8</v>
      </c>
      <c r="G1724" s="19">
        <v>20260324</v>
      </c>
      <c r="H1724" s="20" t="b">
        <f t="shared" si="26"/>
        <v>0</v>
      </c>
      <c r="I1724" s="21" t="str" cm="1">
        <f t="array" ref="I1724">GET_TICKER_FINAL(C1724)</f>
        <v>SPY</v>
      </c>
      <c r="J1724" s="5" t="s">
        <v>1792</v>
      </c>
    </row>
    <row r="1725" spans="1:10">
      <c r="A1725" s="23">
        <v>1724</v>
      </c>
      <c r="B1725" s="22" t="s">
        <v>1376</v>
      </c>
      <c r="C1725" s="22" t="s">
        <v>1694</v>
      </c>
      <c r="D1725" s="22">
        <v>41</v>
      </c>
      <c r="E1725" s="22">
        <v>57</v>
      </c>
      <c r="F1725" s="22">
        <v>0.83</v>
      </c>
      <c r="G1725" s="22">
        <v>20260331</v>
      </c>
      <c r="H1725" s="23" t="b">
        <f t="shared" si="26"/>
        <v>0</v>
      </c>
      <c r="I1725" s="24" t="str" cm="1">
        <f t="array" ref="I1725">GET_TICKER_FINAL(C1725)</f>
        <v>AMZN</v>
      </c>
      <c r="J1725" s="5" t="s">
        <v>1792</v>
      </c>
    </row>
    <row r="1726" spans="1:10">
      <c r="A1726" s="20">
        <v>1725</v>
      </c>
      <c r="B1726" s="19" t="s">
        <v>1376</v>
      </c>
      <c r="C1726" s="19" t="s">
        <v>1695</v>
      </c>
      <c r="D1726" s="19">
        <v>41</v>
      </c>
      <c r="E1726" s="19">
        <v>75</v>
      </c>
      <c r="F1726" s="19">
        <v>0.79</v>
      </c>
      <c r="G1726" s="19">
        <v>20260323</v>
      </c>
      <c r="H1726" s="20" t="b">
        <f t="shared" si="26"/>
        <v>1</v>
      </c>
      <c r="I1726" s="21" t="str" cm="1">
        <f t="array" ref="I1726">GET_TICKER_FINAL(C1726)</f>
        <v>HD</v>
      </c>
      <c r="J1726" s="5" t="s">
        <v>16</v>
      </c>
    </row>
    <row r="1727" spans="1:10" hidden="1">
      <c r="A1727" s="23">
        <v>1726</v>
      </c>
      <c r="B1727" s="22" t="s">
        <v>1376</v>
      </c>
      <c r="C1727" s="22" t="s">
        <v>1696</v>
      </c>
      <c r="D1727" s="22">
        <v>40</v>
      </c>
      <c r="E1727" s="22">
        <v>14</v>
      </c>
      <c r="F1727" s="22">
        <v>0.9</v>
      </c>
      <c r="G1727" s="22">
        <v>20260326</v>
      </c>
      <c r="H1727" s="23" t="b">
        <f t="shared" si="26"/>
        <v>0</v>
      </c>
      <c r="I1727" s="24" t="str" cm="1">
        <f t="array" ref="I1727">GET_TICKER_FINAL(C1727)</f>
        <v/>
      </c>
      <c r="J1727" s="5" t="s">
        <v>1792</v>
      </c>
    </row>
    <row r="1728" spans="1:10" hidden="1">
      <c r="A1728" s="20">
        <v>1727</v>
      </c>
      <c r="B1728" s="19" t="s">
        <v>1376</v>
      </c>
      <c r="C1728" s="19" t="s">
        <v>1697</v>
      </c>
      <c r="D1728" s="19">
        <v>40</v>
      </c>
      <c r="E1728" s="19">
        <v>13</v>
      </c>
      <c r="F1728" s="19">
        <v>0.89</v>
      </c>
      <c r="G1728" s="19">
        <v>20260330</v>
      </c>
      <c r="H1728" s="20" t="b">
        <f t="shared" si="26"/>
        <v>0</v>
      </c>
      <c r="I1728" s="21" t="str" cm="1">
        <f t="array" ref="I1728">GET_TICKER_FINAL(C1728)</f>
        <v/>
      </c>
      <c r="J1728" s="5" t="s">
        <v>1792</v>
      </c>
    </row>
    <row r="1729" spans="1:10" hidden="1">
      <c r="A1729" s="23">
        <v>1728</v>
      </c>
      <c r="B1729" s="22" t="s">
        <v>1376</v>
      </c>
      <c r="C1729" s="22" t="s">
        <v>1698</v>
      </c>
      <c r="D1729" s="22">
        <v>39</v>
      </c>
      <c r="E1729" s="22">
        <v>17</v>
      </c>
      <c r="F1729" s="22">
        <v>0.86</v>
      </c>
      <c r="G1729" s="22">
        <v>20260402</v>
      </c>
      <c r="H1729" s="23" t="b">
        <f t="shared" si="26"/>
        <v>0</v>
      </c>
      <c r="I1729" s="24" t="str" cm="1">
        <f t="array" ref="I1729">GET_TICKER_FINAL(C1729)</f>
        <v/>
      </c>
      <c r="J1729" s="5" t="s">
        <v>25</v>
      </c>
    </row>
    <row r="1730" spans="1:10">
      <c r="A1730" s="20">
        <v>1729</v>
      </c>
      <c r="B1730" s="19" t="s">
        <v>1376</v>
      </c>
      <c r="C1730" s="19" t="s">
        <v>1699</v>
      </c>
      <c r="D1730" s="19">
        <v>39</v>
      </c>
      <c r="E1730" s="19">
        <v>25</v>
      </c>
      <c r="F1730" s="19">
        <v>0.85</v>
      </c>
      <c r="G1730" s="19">
        <v>20260402</v>
      </c>
      <c r="H1730" s="20" t="b">
        <f t="shared" si="26"/>
        <v>0</v>
      </c>
      <c r="I1730" s="21" t="str" cm="1">
        <f t="array" ref="I1730">GET_TICKER_FINAL(C1730)</f>
        <v>SPY</v>
      </c>
      <c r="J1730" s="5" t="s">
        <v>25</v>
      </c>
    </row>
    <row r="1731" spans="1:10">
      <c r="A1731" s="23">
        <v>1730</v>
      </c>
      <c r="B1731" s="22" t="s">
        <v>1376</v>
      </c>
      <c r="C1731" s="22" t="s">
        <v>1700</v>
      </c>
      <c r="D1731" s="22">
        <v>39</v>
      </c>
      <c r="E1731" s="22">
        <v>32</v>
      </c>
      <c r="F1731" s="22">
        <v>0.9</v>
      </c>
      <c r="G1731" s="22">
        <v>20260330</v>
      </c>
      <c r="H1731" s="23" t="b">
        <f t="shared" ref="H1731:H1794" si="27">OR(ISNUMBER(SEARCH("$A",C1731)),ISNUMBER(SEARCH("$B",C1731)),ISNUMBER(SEARCH("$C",C1731)),ISNUMBER(SEARCH("$D",C1731)),ISNUMBER(SEARCH("$E",C1731)),ISNUMBER(SEARCH("$F",C1731)),ISNUMBER(SEARCH("$G",C1731)),ISNUMBER(SEARCH("$H",C1731)),ISNUMBER(SEARCH("$I",C1731)),ISNUMBER(SEARCH("$J",C1731)),ISNUMBER(SEARCH("$K",C1731)),ISNUMBER(SEARCH("$L",C1731)),ISNUMBER(SEARCH("$M",C1731)),ISNUMBER(SEARCH("$N",C1731)),ISNUMBER(SEARCH("$O",C1731)),ISNUMBER(SEARCH("$P",C1731)),ISNUMBER(SEARCH("$Q",C1731)),ISNUMBER(SEARCH("$R",C1731)),ISNUMBER(SEARCH("$S",C1731)),ISNUMBER(SEARCH("$T",C1731)),ISNUMBER(SEARCH("$U",C1731)),ISNUMBER(SEARCH("$V",C1731)),ISNUMBER(SEARCH("$W",C1731)),ISNUMBER(SEARCH("$X",C1731)),ISNUMBER(SEARCH("$Y",C1731)),ISNUMBER(SEARCH("$Z",C1731)))</f>
        <v>0</v>
      </c>
      <c r="I1731" s="24" t="str" cm="1">
        <f t="array" ref="I1731">GET_TICKER_FINAL(C1731)</f>
        <v>USO</v>
      </c>
      <c r="J1731" s="5" t="s">
        <v>16</v>
      </c>
    </row>
    <row r="1732" spans="1:10" hidden="1">
      <c r="A1732" s="20">
        <v>1731</v>
      </c>
      <c r="B1732" s="19" t="s">
        <v>1376</v>
      </c>
      <c r="C1732" s="19" t="s">
        <v>1701</v>
      </c>
      <c r="D1732" s="19">
        <v>39</v>
      </c>
      <c r="E1732" s="19">
        <v>10</v>
      </c>
      <c r="F1732" s="19">
        <v>0.83</v>
      </c>
      <c r="G1732" s="19">
        <v>20260401</v>
      </c>
      <c r="H1732" s="20" t="b">
        <f t="shared" si="27"/>
        <v>0</v>
      </c>
      <c r="I1732" s="21" t="str" cm="1">
        <f t="array" ref="I1732">GET_TICKER_FINAL(C1732)</f>
        <v/>
      </c>
      <c r="J1732" s="5" t="s">
        <v>16</v>
      </c>
    </row>
    <row r="1733" spans="1:10">
      <c r="A1733" s="23">
        <v>1732</v>
      </c>
      <c r="B1733" s="22" t="s">
        <v>1376</v>
      </c>
      <c r="C1733" s="22" t="s">
        <v>1702</v>
      </c>
      <c r="D1733" s="22">
        <v>39</v>
      </c>
      <c r="E1733" s="22">
        <v>97</v>
      </c>
      <c r="F1733" s="22">
        <v>0.7</v>
      </c>
      <c r="G1733" s="22">
        <v>20260324</v>
      </c>
      <c r="H1733" s="23" t="b">
        <f t="shared" si="27"/>
        <v>0</v>
      </c>
      <c r="I1733" s="24" t="str" cm="1">
        <f t="array" ref="I1733">GET_TICKER_FINAL(C1733)</f>
        <v>SMCI</v>
      </c>
      <c r="J1733" s="5" t="s">
        <v>25</v>
      </c>
    </row>
    <row r="1734" spans="1:10" hidden="1">
      <c r="A1734" s="20">
        <v>1733</v>
      </c>
      <c r="B1734" s="19" t="s">
        <v>1376</v>
      </c>
      <c r="C1734" s="19" t="s">
        <v>1703</v>
      </c>
      <c r="D1734" s="19">
        <v>39</v>
      </c>
      <c r="E1734" s="19">
        <v>40</v>
      </c>
      <c r="F1734" s="19">
        <v>0.82</v>
      </c>
      <c r="G1734" s="19">
        <v>20260327</v>
      </c>
      <c r="H1734" s="20" t="b">
        <f t="shared" si="27"/>
        <v>1</v>
      </c>
      <c r="I1734" s="21" t="str" cm="1">
        <f t="array" ref="I1734">GET_TICKER_FINAL(C1734)</f>
        <v/>
      </c>
      <c r="J1734" s="5" t="s">
        <v>25</v>
      </c>
    </row>
    <row r="1735" spans="1:10" hidden="1">
      <c r="A1735" s="23">
        <v>1734</v>
      </c>
      <c r="B1735" s="22" t="s">
        <v>1376</v>
      </c>
      <c r="C1735" s="22" t="s">
        <v>1704</v>
      </c>
      <c r="D1735" s="22">
        <v>38</v>
      </c>
      <c r="E1735" s="22">
        <v>9</v>
      </c>
      <c r="F1735" s="22">
        <v>0.84</v>
      </c>
      <c r="G1735" s="22">
        <v>20260331</v>
      </c>
      <c r="H1735" s="23" t="b">
        <f t="shared" si="27"/>
        <v>0</v>
      </c>
      <c r="I1735" s="24" t="str" cm="1">
        <f t="array" ref="I1735">GET_TICKER_FINAL(C1735)</f>
        <v/>
      </c>
      <c r="J1735" s="5" t="s">
        <v>1792</v>
      </c>
    </row>
    <row r="1736" spans="1:10" hidden="1">
      <c r="A1736" s="20">
        <v>1735</v>
      </c>
      <c r="B1736" s="19" t="s">
        <v>1376</v>
      </c>
      <c r="C1736" s="19" t="s">
        <v>1705</v>
      </c>
      <c r="D1736" s="19">
        <v>37</v>
      </c>
      <c r="E1736" s="19">
        <v>30</v>
      </c>
      <c r="F1736" s="19">
        <v>0.75</v>
      </c>
      <c r="G1736" s="19">
        <v>20260324</v>
      </c>
      <c r="H1736" s="20" t="b">
        <f t="shared" si="27"/>
        <v>1</v>
      </c>
      <c r="I1736" s="21" t="str" cm="1">
        <f t="array" ref="I1736">GET_TICKER_FINAL(C1736)</f>
        <v/>
      </c>
      <c r="J1736" s="5" t="s">
        <v>25</v>
      </c>
    </row>
    <row r="1737" spans="1:10" hidden="1">
      <c r="A1737" s="23">
        <v>1736</v>
      </c>
      <c r="B1737" s="22" t="s">
        <v>1376</v>
      </c>
      <c r="C1737" s="22" t="s">
        <v>1706</v>
      </c>
      <c r="D1737" s="22">
        <v>37</v>
      </c>
      <c r="E1737" s="22">
        <v>29</v>
      </c>
      <c r="F1737" s="22">
        <v>0.95</v>
      </c>
      <c r="G1737" s="22">
        <v>20260331</v>
      </c>
      <c r="H1737" s="23" t="b">
        <f t="shared" si="27"/>
        <v>0</v>
      </c>
      <c r="I1737" s="24" t="str" cm="1">
        <f t="array" ref="I1737">GET_TICKER_FINAL(C1737)</f>
        <v/>
      </c>
      <c r="J1737" s="5" t="s">
        <v>16</v>
      </c>
    </row>
    <row r="1738" spans="1:10" hidden="1">
      <c r="A1738" s="20">
        <v>1737</v>
      </c>
      <c r="B1738" s="19" t="s">
        <v>1376</v>
      </c>
      <c r="C1738" s="19" t="s">
        <v>1707</v>
      </c>
      <c r="D1738" s="19">
        <v>35</v>
      </c>
      <c r="E1738" s="19">
        <v>11</v>
      </c>
      <c r="F1738" s="19">
        <v>0.91</v>
      </c>
      <c r="G1738" s="19">
        <v>20260402</v>
      </c>
      <c r="H1738" s="20" t="b">
        <f t="shared" si="27"/>
        <v>0</v>
      </c>
      <c r="I1738" s="21" t="str" cm="1">
        <f t="array" ref="I1738">GET_TICKER_FINAL(C1738)</f>
        <v/>
      </c>
      <c r="J1738" s="5" t="s">
        <v>16</v>
      </c>
    </row>
    <row r="1739" spans="1:10" hidden="1">
      <c r="A1739" s="23">
        <v>1738</v>
      </c>
      <c r="B1739" s="22" t="s">
        <v>1376</v>
      </c>
      <c r="C1739" s="22" t="s">
        <v>1708</v>
      </c>
      <c r="D1739" s="22">
        <v>35</v>
      </c>
      <c r="E1739" s="22">
        <v>17</v>
      </c>
      <c r="F1739" s="22">
        <v>0.78</v>
      </c>
      <c r="G1739" s="22">
        <v>20260324</v>
      </c>
      <c r="H1739" s="23" t="b">
        <f t="shared" si="27"/>
        <v>0</v>
      </c>
      <c r="I1739" s="24" t="str" cm="1">
        <f t="array" ref="I1739">GET_TICKER_FINAL(C1739)</f>
        <v/>
      </c>
      <c r="J1739" s="5" t="s">
        <v>16</v>
      </c>
    </row>
    <row r="1740" spans="1:10" hidden="1">
      <c r="A1740" s="20">
        <v>1739</v>
      </c>
      <c r="B1740" s="19" t="s">
        <v>1376</v>
      </c>
      <c r="C1740" s="19" t="s">
        <v>1709</v>
      </c>
      <c r="D1740" s="19">
        <v>35</v>
      </c>
      <c r="E1740" s="19">
        <v>38</v>
      </c>
      <c r="F1740" s="19">
        <v>0.91</v>
      </c>
      <c r="G1740" s="19">
        <v>20260331</v>
      </c>
      <c r="H1740" s="20" t="b">
        <f t="shared" si="27"/>
        <v>0</v>
      </c>
      <c r="I1740" s="21" t="str" cm="1">
        <f t="array" ref="I1740">GET_TICKER_FINAL(C1740)</f>
        <v/>
      </c>
      <c r="J1740" s="5" t="s">
        <v>28</v>
      </c>
    </row>
    <row r="1741" spans="1:10" hidden="1">
      <c r="A1741" s="23">
        <v>1740</v>
      </c>
      <c r="B1741" s="22" t="s">
        <v>1376</v>
      </c>
      <c r="C1741" s="22" t="s">
        <v>1710</v>
      </c>
      <c r="D1741" s="22">
        <v>34</v>
      </c>
      <c r="E1741" s="22">
        <v>18</v>
      </c>
      <c r="F1741" s="22">
        <v>0.81</v>
      </c>
      <c r="G1741" s="22">
        <v>20260323</v>
      </c>
      <c r="H1741" s="23" t="b">
        <f t="shared" si="27"/>
        <v>0</v>
      </c>
      <c r="I1741" s="24" t="str" cm="1">
        <f t="array" ref="I1741">GET_TICKER_FINAL(C1741)</f>
        <v/>
      </c>
      <c r="J1741" s="5" t="s">
        <v>1792</v>
      </c>
    </row>
    <row r="1742" spans="1:10">
      <c r="A1742" s="20">
        <v>1741</v>
      </c>
      <c r="B1742" s="19" t="s">
        <v>1376</v>
      </c>
      <c r="C1742" s="19" t="s">
        <v>1711</v>
      </c>
      <c r="D1742" s="19">
        <v>32</v>
      </c>
      <c r="E1742" s="19">
        <v>57</v>
      </c>
      <c r="F1742" s="19">
        <v>0.79</v>
      </c>
      <c r="G1742" s="19">
        <v>20260402</v>
      </c>
      <c r="H1742" s="20" t="b">
        <f t="shared" si="27"/>
        <v>0</v>
      </c>
      <c r="I1742" s="21" t="str" cm="1">
        <f t="array" ref="I1742">GET_TICKER_FINAL(C1742)</f>
        <v>SNAP</v>
      </c>
      <c r="J1742" s="5" t="s">
        <v>25</v>
      </c>
    </row>
    <row r="1743" spans="1:10">
      <c r="A1743" s="23">
        <v>1742</v>
      </c>
      <c r="B1743" s="22" t="s">
        <v>1376</v>
      </c>
      <c r="C1743" s="22" t="s">
        <v>1712</v>
      </c>
      <c r="D1743" s="22">
        <v>32</v>
      </c>
      <c r="E1743" s="22">
        <v>12</v>
      </c>
      <c r="F1743" s="22">
        <v>0.86</v>
      </c>
      <c r="G1743" s="22">
        <v>20260401</v>
      </c>
      <c r="H1743" s="23" t="b">
        <f t="shared" si="27"/>
        <v>0</v>
      </c>
      <c r="I1743" s="24" t="str" cm="1">
        <f t="array" ref="I1743">GET_TICKER_FINAL(C1743)</f>
        <v>AMZN</v>
      </c>
      <c r="J1743" s="5" t="s">
        <v>25</v>
      </c>
    </row>
    <row r="1744" spans="1:10" hidden="1">
      <c r="A1744" s="20">
        <v>1743</v>
      </c>
      <c r="B1744" s="19" t="s">
        <v>1376</v>
      </c>
      <c r="C1744" s="19" t="s">
        <v>1713</v>
      </c>
      <c r="D1744" s="19">
        <v>32</v>
      </c>
      <c r="E1744" s="19">
        <v>66</v>
      </c>
      <c r="F1744" s="19">
        <v>0.77</v>
      </c>
      <c r="G1744" s="19">
        <v>20260401</v>
      </c>
      <c r="H1744" s="20" t="b">
        <f t="shared" si="27"/>
        <v>0</v>
      </c>
      <c r="I1744" s="21" t="str" cm="1">
        <f t="array" ref="I1744">GET_TICKER_FINAL(C1744)</f>
        <v/>
      </c>
      <c r="J1744" s="5" t="s">
        <v>16</v>
      </c>
    </row>
    <row r="1745" spans="1:10" hidden="1">
      <c r="A1745" s="23">
        <v>1744</v>
      </c>
      <c r="B1745" s="22" t="s">
        <v>1376</v>
      </c>
      <c r="C1745" s="22" t="s">
        <v>1714</v>
      </c>
      <c r="D1745" s="22">
        <v>32</v>
      </c>
      <c r="E1745" s="22">
        <v>5</v>
      </c>
      <c r="F1745" s="22">
        <v>0.91</v>
      </c>
      <c r="G1745" s="22">
        <v>20260323</v>
      </c>
      <c r="H1745" s="23" t="b">
        <f t="shared" si="27"/>
        <v>0</v>
      </c>
      <c r="I1745" s="24" t="str" cm="1">
        <f t="array" ref="I1745">GET_TICKER_FINAL(C1745)</f>
        <v/>
      </c>
      <c r="J1745" s="5" t="s">
        <v>1792</v>
      </c>
    </row>
    <row r="1746" spans="1:10">
      <c r="A1746" s="20">
        <v>1745</v>
      </c>
      <c r="B1746" s="19" t="s">
        <v>1376</v>
      </c>
      <c r="C1746" s="19" t="s">
        <v>1715</v>
      </c>
      <c r="D1746" s="19">
        <v>29</v>
      </c>
      <c r="E1746" s="19">
        <v>13</v>
      </c>
      <c r="F1746" s="19">
        <v>0.82</v>
      </c>
      <c r="G1746" s="19">
        <v>20260320</v>
      </c>
      <c r="H1746" s="20" t="b">
        <f t="shared" si="27"/>
        <v>0</v>
      </c>
      <c r="I1746" s="21" t="str" cm="1">
        <f t="array" ref="I1746">GET_TICKER_FINAL(C1746)</f>
        <v>SPY</v>
      </c>
      <c r="J1746" s="5" t="s">
        <v>25</v>
      </c>
    </row>
    <row r="1747" spans="1:10" hidden="1">
      <c r="A1747" s="23">
        <v>1746</v>
      </c>
      <c r="B1747" s="22" t="s">
        <v>1376</v>
      </c>
      <c r="C1747" s="22" t="s">
        <v>1716</v>
      </c>
      <c r="D1747" s="22">
        <v>29</v>
      </c>
      <c r="E1747" s="22">
        <v>26</v>
      </c>
      <c r="F1747" s="22">
        <v>0.82</v>
      </c>
      <c r="G1747" s="22">
        <v>20260402</v>
      </c>
      <c r="H1747" s="23" t="b">
        <f t="shared" si="27"/>
        <v>0</v>
      </c>
      <c r="I1747" s="24" t="str" cm="1">
        <f t="array" ref="I1747">GET_TICKER_FINAL(C1747)</f>
        <v/>
      </c>
      <c r="J1747" s="5" t="s">
        <v>25</v>
      </c>
    </row>
    <row r="1748" spans="1:10" hidden="1">
      <c r="A1748" s="20">
        <v>1747</v>
      </c>
      <c r="B1748" s="19" t="s">
        <v>1376</v>
      </c>
      <c r="C1748" s="19" t="s">
        <v>1717</v>
      </c>
      <c r="D1748" s="19">
        <v>29</v>
      </c>
      <c r="E1748" s="19">
        <v>90</v>
      </c>
      <c r="F1748" s="19">
        <v>0.68</v>
      </c>
      <c r="G1748" s="19">
        <v>20260330</v>
      </c>
      <c r="H1748" s="20" t="b">
        <f t="shared" si="27"/>
        <v>0</v>
      </c>
      <c r="I1748" s="21" t="str" cm="1">
        <f t="array" ref="I1748">GET_TICKER_FINAL(C1748)</f>
        <v/>
      </c>
      <c r="J1748" s="5" t="s">
        <v>1792</v>
      </c>
    </row>
    <row r="1749" spans="1:10" hidden="1">
      <c r="A1749" s="23">
        <v>1748</v>
      </c>
      <c r="B1749" s="22" t="s">
        <v>1376</v>
      </c>
      <c r="C1749" s="22" t="s">
        <v>1718</v>
      </c>
      <c r="D1749" s="22">
        <v>29</v>
      </c>
      <c r="E1749" s="22">
        <v>40</v>
      </c>
      <c r="F1749" s="22">
        <v>0.83</v>
      </c>
      <c r="G1749" s="22">
        <v>20260402</v>
      </c>
      <c r="H1749" s="23" t="b">
        <f t="shared" si="27"/>
        <v>1</v>
      </c>
      <c r="I1749" s="24" t="str" cm="1">
        <f t="array" ref="I1749">GET_TICKER_FINAL(C1749)</f>
        <v/>
      </c>
      <c r="J1749" s="5" t="s">
        <v>25</v>
      </c>
    </row>
    <row r="1750" spans="1:10" hidden="1">
      <c r="A1750" s="20">
        <v>1749</v>
      </c>
      <c r="B1750" s="19" t="s">
        <v>1376</v>
      </c>
      <c r="C1750" s="19" t="s">
        <v>1719</v>
      </c>
      <c r="D1750" s="19">
        <v>28</v>
      </c>
      <c r="E1750" s="19">
        <v>20</v>
      </c>
      <c r="F1750" s="19">
        <v>0.75</v>
      </c>
      <c r="G1750" s="19">
        <v>20260327</v>
      </c>
      <c r="H1750" s="20" t="b">
        <f t="shared" si="27"/>
        <v>0</v>
      </c>
      <c r="I1750" s="21" t="str" cm="1">
        <f t="array" ref="I1750">GET_TICKER_FINAL(C1750)</f>
        <v/>
      </c>
      <c r="J1750" s="5" t="s">
        <v>1792</v>
      </c>
    </row>
    <row r="1751" spans="1:10" hidden="1">
      <c r="A1751" s="23">
        <v>1750</v>
      </c>
      <c r="B1751" s="22" t="s">
        <v>1376</v>
      </c>
      <c r="C1751" s="22" t="s">
        <v>1720</v>
      </c>
      <c r="D1751" s="22">
        <v>28</v>
      </c>
      <c r="E1751" s="22">
        <v>105</v>
      </c>
      <c r="F1751" s="22">
        <v>0.76</v>
      </c>
      <c r="G1751" s="22">
        <v>20260402</v>
      </c>
      <c r="H1751" s="23" t="b">
        <f t="shared" si="27"/>
        <v>0</v>
      </c>
      <c r="I1751" s="24" t="str" cm="1">
        <f t="array" ref="I1751">GET_TICKER_FINAL(C1751)</f>
        <v/>
      </c>
      <c r="J1751" s="5" t="s">
        <v>1792</v>
      </c>
    </row>
    <row r="1752" spans="1:10" hidden="1">
      <c r="A1752" s="20">
        <v>1751</v>
      </c>
      <c r="B1752" s="19" t="s">
        <v>1376</v>
      </c>
      <c r="C1752" s="19" t="s">
        <v>1721</v>
      </c>
      <c r="D1752" s="19">
        <v>28</v>
      </c>
      <c r="E1752" s="19">
        <v>28</v>
      </c>
      <c r="F1752" s="19">
        <v>0.8</v>
      </c>
      <c r="G1752" s="19">
        <v>20260320</v>
      </c>
      <c r="H1752" s="20" t="b">
        <f t="shared" si="27"/>
        <v>0</v>
      </c>
      <c r="I1752" s="21" t="str" cm="1">
        <f t="array" ref="I1752">GET_TICKER_FINAL(C1752)</f>
        <v/>
      </c>
      <c r="J1752" s="5" t="s">
        <v>25</v>
      </c>
    </row>
    <row r="1753" spans="1:10" hidden="1">
      <c r="A1753" s="23">
        <v>1752</v>
      </c>
      <c r="B1753" s="22" t="s">
        <v>1376</v>
      </c>
      <c r="C1753" s="22" t="s">
        <v>1722</v>
      </c>
      <c r="D1753" s="22">
        <v>28</v>
      </c>
      <c r="E1753" s="22">
        <v>3</v>
      </c>
      <c r="F1753" s="22">
        <v>0.83</v>
      </c>
      <c r="G1753" s="22">
        <v>20260323</v>
      </c>
      <c r="H1753" s="23" t="b">
        <f t="shared" si="27"/>
        <v>0</v>
      </c>
      <c r="I1753" s="24" t="str" cm="1">
        <f t="array" ref="I1753">GET_TICKER_FINAL(C1753)</f>
        <v/>
      </c>
      <c r="J1753" s="5" t="s">
        <v>1792</v>
      </c>
    </row>
    <row r="1754" spans="1:10" hidden="1">
      <c r="A1754" s="20">
        <v>1753</v>
      </c>
      <c r="B1754" s="19" t="s">
        <v>1376</v>
      </c>
      <c r="C1754" s="19" t="s">
        <v>1723</v>
      </c>
      <c r="D1754" s="19">
        <v>26</v>
      </c>
      <c r="E1754" s="19">
        <v>143</v>
      </c>
      <c r="F1754" s="19">
        <v>0.6</v>
      </c>
      <c r="G1754" s="19">
        <v>20260402</v>
      </c>
      <c r="H1754" s="20" t="b">
        <f t="shared" si="27"/>
        <v>0</v>
      </c>
      <c r="I1754" s="21" t="str" cm="1">
        <f t="array" ref="I1754">GET_TICKER_FINAL(C1754)</f>
        <v/>
      </c>
      <c r="J1754" s="5" t="s">
        <v>16</v>
      </c>
    </row>
    <row r="1755" spans="1:10">
      <c r="A1755" s="23">
        <v>1754</v>
      </c>
      <c r="B1755" s="22" t="s">
        <v>1376</v>
      </c>
      <c r="C1755" s="22" t="s">
        <v>1724</v>
      </c>
      <c r="D1755" s="22">
        <v>26</v>
      </c>
      <c r="E1755" s="22">
        <v>10</v>
      </c>
      <c r="F1755" s="22">
        <v>0.79</v>
      </c>
      <c r="G1755" s="22">
        <v>20260331</v>
      </c>
      <c r="H1755" s="23" t="b">
        <f t="shared" si="27"/>
        <v>0</v>
      </c>
      <c r="I1755" s="24" t="str" cm="1">
        <f t="array" ref="I1755">GET_TICKER_FINAL(C1755)</f>
        <v>SPY</v>
      </c>
      <c r="J1755" s="5" t="s">
        <v>16</v>
      </c>
    </row>
    <row r="1756" spans="1:10" hidden="1">
      <c r="A1756" s="20">
        <v>1755</v>
      </c>
      <c r="B1756" s="19" t="s">
        <v>1376</v>
      </c>
      <c r="C1756" s="19" t="s">
        <v>1725</v>
      </c>
      <c r="D1756" s="19">
        <v>26</v>
      </c>
      <c r="E1756" s="19">
        <v>7</v>
      </c>
      <c r="F1756" s="19">
        <v>0.82</v>
      </c>
      <c r="G1756" s="19">
        <v>20260401</v>
      </c>
      <c r="H1756" s="20" t="b">
        <f t="shared" si="27"/>
        <v>0</v>
      </c>
      <c r="I1756" s="21" t="str" cm="1">
        <f t="array" ref="I1756">GET_TICKER_FINAL(C1756)</f>
        <v/>
      </c>
      <c r="J1756" s="5" t="s">
        <v>1792</v>
      </c>
    </row>
    <row r="1757" spans="1:10" hidden="1">
      <c r="A1757" s="23">
        <v>1756</v>
      </c>
      <c r="B1757" s="22" t="s">
        <v>1376</v>
      </c>
      <c r="C1757" s="22" t="s">
        <v>1726</v>
      </c>
      <c r="D1757" s="22">
        <v>25</v>
      </c>
      <c r="E1757" s="22">
        <v>10</v>
      </c>
      <c r="F1757" s="22">
        <v>0.9</v>
      </c>
      <c r="G1757" s="22">
        <v>20260402</v>
      </c>
      <c r="H1757" s="23" t="b">
        <f t="shared" si="27"/>
        <v>0</v>
      </c>
      <c r="I1757" s="24" t="str" cm="1">
        <f t="array" ref="I1757">GET_TICKER_FINAL(C1757)</f>
        <v/>
      </c>
      <c r="J1757" s="5" t="s">
        <v>25</v>
      </c>
    </row>
    <row r="1758" spans="1:10">
      <c r="A1758" s="20">
        <v>1757</v>
      </c>
      <c r="B1758" s="19" t="s">
        <v>1376</v>
      </c>
      <c r="C1758" s="19" t="s">
        <v>1727</v>
      </c>
      <c r="D1758" s="19">
        <v>24</v>
      </c>
      <c r="E1758" s="19">
        <v>9</v>
      </c>
      <c r="F1758" s="19">
        <v>0.84</v>
      </c>
      <c r="G1758" s="19">
        <v>20260402</v>
      </c>
      <c r="H1758" s="20" t="b">
        <f t="shared" si="27"/>
        <v>0</v>
      </c>
      <c r="I1758" s="21" t="str" cm="1">
        <f t="array" ref="I1758">GET_TICKER_FINAL(C1758)</f>
        <v>META</v>
      </c>
      <c r="J1758" s="5" t="s">
        <v>25</v>
      </c>
    </row>
    <row r="1759" spans="1:10" hidden="1">
      <c r="A1759" s="23">
        <v>1758</v>
      </c>
      <c r="B1759" s="22" t="s">
        <v>1376</v>
      </c>
      <c r="C1759" s="22" t="s">
        <v>1728</v>
      </c>
      <c r="D1759" s="22">
        <v>24</v>
      </c>
      <c r="E1759" s="22">
        <v>16</v>
      </c>
      <c r="F1759" s="22">
        <v>0.86</v>
      </c>
      <c r="G1759" s="22">
        <v>20260327</v>
      </c>
      <c r="H1759" s="23" t="b">
        <f t="shared" si="27"/>
        <v>0</v>
      </c>
      <c r="I1759" s="24" t="str" cm="1">
        <f t="array" ref="I1759">GET_TICKER_FINAL(C1759)</f>
        <v/>
      </c>
      <c r="J1759" s="5" t="s">
        <v>25</v>
      </c>
    </row>
    <row r="1760" spans="1:10">
      <c r="A1760" s="20">
        <v>1759</v>
      </c>
      <c r="B1760" s="19" t="s">
        <v>1376</v>
      </c>
      <c r="C1760" s="19" t="s">
        <v>1729</v>
      </c>
      <c r="D1760" s="19">
        <v>24</v>
      </c>
      <c r="E1760" s="19">
        <v>23</v>
      </c>
      <c r="F1760" s="19">
        <v>0.86</v>
      </c>
      <c r="G1760" s="19">
        <v>20260402</v>
      </c>
      <c r="H1760" s="20" t="b">
        <f t="shared" si="27"/>
        <v>0</v>
      </c>
      <c r="I1760" s="21" t="str" cm="1">
        <f t="array" ref="I1760">GET_TICKER_FINAL(C1760)</f>
        <v>USO</v>
      </c>
      <c r="J1760" s="5" t="s">
        <v>28</v>
      </c>
    </row>
    <row r="1761" spans="1:10" hidden="1">
      <c r="A1761" s="23">
        <v>1760</v>
      </c>
      <c r="B1761" s="22" t="s">
        <v>1376</v>
      </c>
      <c r="C1761" s="22" t="s">
        <v>1730</v>
      </c>
      <c r="D1761" s="22">
        <v>23</v>
      </c>
      <c r="E1761" s="22">
        <v>5</v>
      </c>
      <c r="F1761" s="22">
        <v>0.84</v>
      </c>
      <c r="G1761" s="22">
        <v>20260323</v>
      </c>
      <c r="H1761" s="23" t="b">
        <f t="shared" si="27"/>
        <v>0</v>
      </c>
      <c r="I1761" s="24" t="str" cm="1">
        <f t="array" ref="I1761">GET_TICKER_FINAL(C1761)</f>
        <v/>
      </c>
      <c r="J1761" s="5" t="s">
        <v>1792</v>
      </c>
    </row>
    <row r="1762" spans="1:10" hidden="1">
      <c r="A1762" s="20">
        <v>1761</v>
      </c>
      <c r="B1762" s="19" t="s">
        <v>1376</v>
      </c>
      <c r="C1762" s="19" t="s">
        <v>1731</v>
      </c>
      <c r="D1762" s="19">
        <v>23</v>
      </c>
      <c r="E1762" s="19">
        <v>12</v>
      </c>
      <c r="F1762" s="19">
        <v>0.86</v>
      </c>
      <c r="G1762" s="19">
        <v>20260401</v>
      </c>
      <c r="H1762" s="20" t="b">
        <f t="shared" si="27"/>
        <v>0</v>
      </c>
      <c r="I1762" s="21" t="str" cm="1">
        <f t="array" ref="I1762">GET_TICKER_FINAL(C1762)</f>
        <v/>
      </c>
      <c r="J1762" s="5" t="s">
        <v>25</v>
      </c>
    </row>
    <row r="1763" spans="1:10" hidden="1">
      <c r="A1763" s="23">
        <v>1762</v>
      </c>
      <c r="B1763" s="22" t="s">
        <v>1376</v>
      </c>
      <c r="C1763" s="22" t="s">
        <v>1732</v>
      </c>
      <c r="D1763" s="22">
        <v>22</v>
      </c>
      <c r="E1763" s="22">
        <v>2</v>
      </c>
      <c r="F1763" s="22">
        <v>0.89</v>
      </c>
      <c r="G1763" s="22">
        <v>20260401</v>
      </c>
      <c r="H1763" s="23" t="b">
        <f t="shared" si="27"/>
        <v>0</v>
      </c>
      <c r="I1763" s="24" t="str" cm="1">
        <f t="array" ref="I1763">GET_TICKER_FINAL(C1763)</f>
        <v/>
      </c>
      <c r="J1763" s="5" t="s">
        <v>25</v>
      </c>
    </row>
    <row r="1764" spans="1:10" hidden="1">
      <c r="A1764" s="20">
        <v>1763</v>
      </c>
      <c r="B1764" s="19" t="s">
        <v>1376</v>
      </c>
      <c r="C1764" s="19" t="s">
        <v>1733</v>
      </c>
      <c r="D1764" s="19">
        <v>22</v>
      </c>
      <c r="E1764" s="19">
        <v>29</v>
      </c>
      <c r="F1764" s="19">
        <v>0.83</v>
      </c>
      <c r="G1764" s="19">
        <v>20260320</v>
      </c>
      <c r="H1764" s="20" t="b">
        <f t="shared" si="27"/>
        <v>0</v>
      </c>
      <c r="I1764" s="21" t="str" cm="1">
        <f t="array" ref="I1764">GET_TICKER_FINAL(C1764)</f>
        <v/>
      </c>
      <c r="J1764" s="5" t="s">
        <v>1792</v>
      </c>
    </row>
    <row r="1765" spans="1:10" hidden="1">
      <c r="A1765" s="23">
        <v>1764</v>
      </c>
      <c r="B1765" s="22" t="s">
        <v>1376</v>
      </c>
      <c r="C1765" s="22" t="s">
        <v>1734</v>
      </c>
      <c r="D1765" s="22">
        <v>22</v>
      </c>
      <c r="E1765" s="22">
        <v>19</v>
      </c>
      <c r="F1765" s="22">
        <v>0.73</v>
      </c>
      <c r="G1765" s="22">
        <v>20260320</v>
      </c>
      <c r="H1765" s="23" t="b">
        <f t="shared" si="27"/>
        <v>1</v>
      </c>
      <c r="I1765" s="24" t="str" cm="1">
        <f t="array" ref="I1765">GET_TICKER_FINAL(C1765)</f>
        <v/>
      </c>
      <c r="J1765" s="5" t="s">
        <v>25</v>
      </c>
    </row>
    <row r="1766" spans="1:10" hidden="1">
      <c r="A1766" s="20">
        <v>1765</v>
      </c>
      <c r="B1766" s="19" t="s">
        <v>1376</v>
      </c>
      <c r="C1766" s="19" t="s">
        <v>1735</v>
      </c>
      <c r="D1766" s="19">
        <v>21</v>
      </c>
      <c r="E1766" s="19">
        <v>21</v>
      </c>
      <c r="F1766" s="19">
        <v>0.82</v>
      </c>
      <c r="G1766" s="19">
        <v>20260331</v>
      </c>
      <c r="H1766" s="20" t="b">
        <f t="shared" si="27"/>
        <v>1</v>
      </c>
      <c r="I1766" s="21" t="str" cm="1">
        <f t="array" ref="I1766">GET_TICKER_FINAL(C1766)</f>
        <v/>
      </c>
      <c r="J1766" s="5" t="s">
        <v>25</v>
      </c>
    </row>
    <row r="1767" spans="1:10" hidden="1">
      <c r="A1767" s="23">
        <v>1766</v>
      </c>
      <c r="B1767" s="22" t="s">
        <v>1376</v>
      </c>
      <c r="C1767" s="22" t="s">
        <v>1736</v>
      </c>
      <c r="D1767" s="22">
        <v>21</v>
      </c>
      <c r="E1767" s="22">
        <v>2</v>
      </c>
      <c r="F1767" s="22">
        <v>0.86</v>
      </c>
      <c r="G1767" s="22">
        <v>20260401</v>
      </c>
      <c r="H1767" s="23" t="b">
        <f t="shared" si="27"/>
        <v>0</v>
      </c>
      <c r="I1767" s="24" t="str" cm="1">
        <f t="array" ref="I1767">GET_TICKER_FINAL(C1767)</f>
        <v/>
      </c>
      <c r="J1767" s="5" t="s">
        <v>1792</v>
      </c>
    </row>
    <row r="1768" spans="1:10" hidden="1">
      <c r="A1768" s="20">
        <v>1767</v>
      </c>
      <c r="B1768" s="19" t="s">
        <v>1376</v>
      </c>
      <c r="C1768" s="19" t="s">
        <v>1737</v>
      </c>
      <c r="D1768" s="19">
        <v>20</v>
      </c>
      <c r="E1768" s="19">
        <v>17</v>
      </c>
      <c r="F1768" s="19">
        <v>0.95</v>
      </c>
      <c r="G1768" s="19">
        <v>20260331</v>
      </c>
      <c r="H1768" s="20" t="b">
        <f t="shared" si="27"/>
        <v>0</v>
      </c>
      <c r="I1768" s="21" t="str" cm="1">
        <f t="array" ref="I1768">GET_TICKER_FINAL(C1768)</f>
        <v/>
      </c>
      <c r="J1768" s="5" t="s">
        <v>16</v>
      </c>
    </row>
    <row r="1769" spans="1:10" hidden="1">
      <c r="A1769" s="23">
        <v>1768</v>
      </c>
      <c r="B1769" s="22" t="s">
        <v>1376</v>
      </c>
      <c r="C1769" s="22" t="s">
        <v>1738</v>
      </c>
      <c r="D1769" s="22">
        <v>17</v>
      </c>
      <c r="E1769" s="22">
        <v>4</v>
      </c>
      <c r="F1769" s="22">
        <v>0.77</v>
      </c>
      <c r="G1769" s="22">
        <v>20260331</v>
      </c>
      <c r="H1769" s="23" t="b">
        <f t="shared" si="27"/>
        <v>0</v>
      </c>
      <c r="I1769" s="24" t="str" cm="1">
        <f t="array" ref="I1769">GET_TICKER_FINAL(C1769)</f>
        <v/>
      </c>
      <c r="J1769" s="5" t="s">
        <v>1792</v>
      </c>
    </row>
    <row r="1770" spans="1:10" hidden="1">
      <c r="A1770" s="20">
        <v>1769</v>
      </c>
      <c r="B1770" s="19" t="s">
        <v>1376</v>
      </c>
      <c r="C1770" s="19" t="s">
        <v>1739</v>
      </c>
      <c r="D1770" s="19">
        <v>16</v>
      </c>
      <c r="E1770" s="19">
        <v>10</v>
      </c>
      <c r="F1770" s="19">
        <v>0.83</v>
      </c>
      <c r="G1770" s="19">
        <v>20260327</v>
      </c>
      <c r="H1770" s="20" t="b">
        <f t="shared" si="27"/>
        <v>0</v>
      </c>
      <c r="I1770" s="21" t="str" cm="1">
        <f t="array" ref="I1770">GET_TICKER_FINAL(C1770)</f>
        <v/>
      </c>
      <c r="J1770" s="5" t="s">
        <v>1792</v>
      </c>
    </row>
    <row r="1771" spans="1:10" hidden="1">
      <c r="A1771" s="23">
        <v>1770</v>
      </c>
      <c r="B1771" s="22" t="s">
        <v>1376</v>
      </c>
      <c r="C1771" s="22" t="s">
        <v>1740</v>
      </c>
      <c r="D1771" s="22">
        <v>16</v>
      </c>
      <c r="E1771" s="22">
        <v>7</v>
      </c>
      <c r="F1771" s="22">
        <v>0.78</v>
      </c>
      <c r="G1771" s="22">
        <v>20260330</v>
      </c>
      <c r="H1771" s="23" t="b">
        <f t="shared" si="27"/>
        <v>0</v>
      </c>
      <c r="I1771" s="24" t="str" cm="1">
        <f t="array" ref="I1771">GET_TICKER_FINAL(C1771)</f>
        <v/>
      </c>
      <c r="J1771" s="5" t="s">
        <v>1792</v>
      </c>
    </row>
    <row r="1772" spans="1:10" hidden="1">
      <c r="A1772" s="20">
        <v>1771</v>
      </c>
      <c r="B1772" s="19" t="s">
        <v>1376</v>
      </c>
      <c r="C1772" s="19" t="s">
        <v>1741</v>
      </c>
      <c r="D1772" s="19">
        <v>15</v>
      </c>
      <c r="E1772" s="19">
        <v>8</v>
      </c>
      <c r="F1772" s="19">
        <v>0.85</v>
      </c>
      <c r="G1772" s="19">
        <v>20260401</v>
      </c>
      <c r="H1772" s="20" t="b">
        <f t="shared" si="27"/>
        <v>0</v>
      </c>
      <c r="I1772" s="21" t="str" cm="1">
        <f t="array" ref="I1772">GET_TICKER_FINAL(C1772)</f>
        <v/>
      </c>
      <c r="J1772" s="5" t="s">
        <v>1792</v>
      </c>
    </row>
    <row r="1773" spans="1:10" hidden="1">
      <c r="A1773" s="23">
        <v>1772</v>
      </c>
      <c r="B1773" s="22" t="s">
        <v>1376</v>
      </c>
      <c r="C1773" s="22" t="s">
        <v>1742</v>
      </c>
      <c r="D1773" s="22">
        <v>15</v>
      </c>
      <c r="E1773" s="22">
        <v>24</v>
      </c>
      <c r="F1773" s="22">
        <v>0.76</v>
      </c>
      <c r="G1773" s="22">
        <v>20260326</v>
      </c>
      <c r="H1773" s="23" t="b">
        <f t="shared" si="27"/>
        <v>1</v>
      </c>
      <c r="I1773" s="24" t="str" cm="1">
        <f t="array" ref="I1773">GET_TICKER_FINAL(C1773)</f>
        <v/>
      </c>
      <c r="J1773" s="5" t="s">
        <v>1792</v>
      </c>
    </row>
    <row r="1774" spans="1:10">
      <c r="A1774" s="20">
        <v>1773</v>
      </c>
      <c r="B1774" s="19" t="s">
        <v>1376</v>
      </c>
      <c r="C1774" s="19" t="s">
        <v>1743</v>
      </c>
      <c r="D1774" s="19">
        <v>15</v>
      </c>
      <c r="E1774" s="19">
        <v>18</v>
      </c>
      <c r="F1774" s="19">
        <v>0.71</v>
      </c>
      <c r="G1774" s="19">
        <v>20260401</v>
      </c>
      <c r="H1774" s="20" t="b">
        <f t="shared" si="27"/>
        <v>0</v>
      </c>
      <c r="I1774" s="21" t="str" cm="1">
        <f t="array" ref="I1774">GET_TICKER_FINAL(C1774)</f>
        <v>SPY</v>
      </c>
      <c r="J1774" s="5" t="s">
        <v>16</v>
      </c>
    </row>
    <row r="1775" spans="1:10">
      <c r="A1775" s="23">
        <v>1774</v>
      </c>
      <c r="B1775" s="22" t="s">
        <v>1376</v>
      </c>
      <c r="C1775" s="22" t="s">
        <v>1744</v>
      </c>
      <c r="D1775" s="22">
        <v>14</v>
      </c>
      <c r="E1775" s="22">
        <v>30</v>
      </c>
      <c r="F1775" s="22">
        <v>0.75</v>
      </c>
      <c r="G1775" s="22">
        <v>20260330</v>
      </c>
      <c r="H1775" s="23" t="b">
        <f t="shared" si="27"/>
        <v>0</v>
      </c>
      <c r="I1775" s="24" t="str" cm="1">
        <f t="array" ref="I1775">GET_TICKER_FINAL(C1775)</f>
        <v>SPY</v>
      </c>
      <c r="J1775" s="5" t="s">
        <v>25</v>
      </c>
    </row>
    <row r="1776" spans="1:10" hidden="1">
      <c r="A1776" s="20">
        <v>1775</v>
      </c>
      <c r="B1776" s="19" t="s">
        <v>1376</v>
      </c>
      <c r="C1776" s="19" t="s">
        <v>1745</v>
      </c>
      <c r="D1776" s="19">
        <v>12</v>
      </c>
      <c r="E1776" s="19">
        <v>17</v>
      </c>
      <c r="F1776" s="19">
        <v>0.79</v>
      </c>
      <c r="G1776" s="19">
        <v>20260401</v>
      </c>
      <c r="H1776" s="20" t="b">
        <f t="shared" si="27"/>
        <v>0</v>
      </c>
      <c r="I1776" s="21" t="str" cm="1">
        <f t="array" ref="I1776">GET_TICKER_FINAL(C1776)</f>
        <v/>
      </c>
      <c r="J1776" s="5" t="s">
        <v>1792</v>
      </c>
    </row>
    <row r="1777" spans="1:10" hidden="1">
      <c r="A1777" s="23">
        <v>1776</v>
      </c>
      <c r="B1777" s="22" t="s">
        <v>1376</v>
      </c>
      <c r="C1777" s="22" t="s">
        <v>1746</v>
      </c>
      <c r="D1777" s="22">
        <v>10</v>
      </c>
      <c r="E1777" s="22">
        <v>5</v>
      </c>
      <c r="F1777" s="22">
        <v>0.7</v>
      </c>
      <c r="G1777" s="22">
        <v>20260320</v>
      </c>
      <c r="H1777" s="23" t="b">
        <f t="shared" si="27"/>
        <v>0</v>
      </c>
      <c r="I1777" s="24" t="str" cm="1">
        <f t="array" ref="I1777">GET_TICKER_FINAL(C1777)</f>
        <v/>
      </c>
      <c r="J1777" s="5" t="s">
        <v>25</v>
      </c>
    </row>
    <row r="1778" spans="1:10" hidden="1">
      <c r="A1778" s="20">
        <v>1777</v>
      </c>
      <c r="B1778" s="19" t="s">
        <v>1376</v>
      </c>
      <c r="C1778" s="19" t="s">
        <v>1747</v>
      </c>
      <c r="D1778" s="19">
        <v>10</v>
      </c>
      <c r="E1778" s="19">
        <v>37</v>
      </c>
      <c r="F1778" s="19">
        <v>0.54</v>
      </c>
      <c r="G1778" s="19">
        <v>20260326</v>
      </c>
      <c r="H1778" s="20" t="b">
        <f t="shared" si="27"/>
        <v>0</v>
      </c>
      <c r="I1778" s="21" t="str" cm="1">
        <f t="array" ref="I1778">GET_TICKER_FINAL(C1778)</f>
        <v/>
      </c>
      <c r="J1778" s="5" t="s">
        <v>16</v>
      </c>
    </row>
    <row r="1779" spans="1:10">
      <c r="A1779" s="23">
        <v>1778</v>
      </c>
      <c r="B1779" s="22" t="s">
        <v>1376</v>
      </c>
      <c r="C1779" s="22" t="s">
        <v>1748</v>
      </c>
      <c r="D1779" s="22">
        <v>9</v>
      </c>
      <c r="E1779" s="22">
        <v>3</v>
      </c>
      <c r="F1779" s="22">
        <v>0.84</v>
      </c>
      <c r="G1779" s="22">
        <v>20260402</v>
      </c>
      <c r="H1779" s="23" t="b">
        <f t="shared" si="27"/>
        <v>0</v>
      </c>
      <c r="I1779" s="24" t="str" cm="1">
        <f t="array" ref="I1779">GET_TICKER_FINAL(C1779)</f>
        <v>SPY</v>
      </c>
      <c r="J1779" s="5" t="s">
        <v>1792</v>
      </c>
    </row>
    <row r="1780" spans="1:10" hidden="1">
      <c r="A1780" s="20">
        <v>1779</v>
      </c>
      <c r="B1780" s="19" t="s">
        <v>1376</v>
      </c>
      <c r="C1780" s="19" t="s">
        <v>1749</v>
      </c>
      <c r="D1780" s="19">
        <v>7</v>
      </c>
      <c r="E1780" s="19">
        <v>43</v>
      </c>
      <c r="F1780" s="19">
        <v>0.56999999999999995</v>
      </c>
      <c r="G1780" s="19">
        <v>20260331</v>
      </c>
      <c r="H1780" s="20" t="b">
        <f t="shared" si="27"/>
        <v>0</v>
      </c>
      <c r="I1780" s="21" t="str" cm="1">
        <f t="array" ref="I1780">GET_TICKER_FINAL(C1780)</f>
        <v/>
      </c>
      <c r="J1780" s="5" t="s">
        <v>1792</v>
      </c>
    </row>
    <row r="1781" spans="1:10" hidden="1">
      <c r="A1781" s="23">
        <v>1780</v>
      </c>
      <c r="B1781" s="22" t="s">
        <v>1376</v>
      </c>
      <c r="C1781" s="22" t="s">
        <v>1750</v>
      </c>
      <c r="D1781" s="22">
        <v>6</v>
      </c>
      <c r="E1781" s="22">
        <v>23</v>
      </c>
      <c r="F1781" s="22">
        <v>0.68</v>
      </c>
      <c r="G1781" s="22">
        <v>20260401</v>
      </c>
      <c r="H1781" s="23" t="b">
        <f t="shared" si="27"/>
        <v>0</v>
      </c>
      <c r="I1781" s="24" t="str" cm="1">
        <f t="array" ref="I1781">GET_TICKER_FINAL(C1781)</f>
        <v/>
      </c>
      <c r="J1781" s="5" t="s">
        <v>16</v>
      </c>
    </row>
    <row r="1782" spans="1:10" hidden="1">
      <c r="A1782" s="20">
        <v>1781</v>
      </c>
      <c r="B1782" s="19" t="s">
        <v>1376</v>
      </c>
      <c r="C1782" s="19" t="s">
        <v>1751</v>
      </c>
      <c r="D1782" s="19">
        <v>6</v>
      </c>
      <c r="E1782" s="19">
        <v>21</v>
      </c>
      <c r="F1782" s="19">
        <v>0.63</v>
      </c>
      <c r="G1782" s="19">
        <v>20260327</v>
      </c>
      <c r="H1782" s="20" t="b">
        <f t="shared" si="27"/>
        <v>0</v>
      </c>
      <c r="I1782" s="21" t="str" cm="1">
        <f t="array" ref="I1782">GET_TICKER_FINAL(C1782)</f>
        <v/>
      </c>
      <c r="J1782" s="5" t="s">
        <v>25</v>
      </c>
    </row>
    <row r="1783" spans="1:10" hidden="1">
      <c r="A1783" s="23">
        <v>1782</v>
      </c>
      <c r="B1783" s="22" t="s">
        <v>1376</v>
      </c>
      <c r="C1783" s="22" t="s">
        <v>1752</v>
      </c>
      <c r="D1783" s="22">
        <v>5</v>
      </c>
      <c r="E1783" s="22">
        <v>4</v>
      </c>
      <c r="F1783" s="22">
        <v>0.69</v>
      </c>
      <c r="G1783" s="22">
        <v>20260327</v>
      </c>
      <c r="H1783" s="23" t="b">
        <f t="shared" si="27"/>
        <v>0</v>
      </c>
      <c r="I1783" s="24" t="str" cm="1">
        <f t="array" ref="I1783">GET_TICKER_FINAL(C1783)</f>
        <v/>
      </c>
      <c r="J1783" s="5" t="s">
        <v>25</v>
      </c>
    </row>
    <row r="1784" spans="1:10" hidden="1">
      <c r="A1784" s="20">
        <v>1783</v>
      </c>
      <c r="B1784" s="19" t="s">
        <v>1376</v>
      </c>
      <c r="C1784" s="19" t="s">
        <v>1753</v>
      </c>
      <c r="D1784" s="19">
        <v>4</v>
      </c>
      <c r="E1784" s="19">
        <v>6</v>
      </c>
      <c r="F1784" s="19">
        <v>0.75</v>
      </c>
      <c r="G1784" s="19">
        <v>20260402</v>
      </c>
      <c r="H1784" s="20" t="b">
        <f t="shared" si="27"/>
        <v>0</v>
      </c>
      <c r="I1784" s="21" t="str" cm="1">
        <f t="array" ref="I1784">GET_TICKER_FINAL(C1784)</f>
        <v/>
      </c>
      <c r="J1784" s="5" t="s">
        <v>1792</v>
      </c>
    </row>
    <row r="1785" spans="1:10" hidden="1">
      <c r="A1785" s="23">
        <v>1784</v>
      </c>
      <c r="B1785" s="22" t="s">
        <v>1376</v>
      </c>
      <c r="C1785" s="22" t="s">
        <v>1754</v>
      </c>
      <c r="D1785" s="22">
        <v>4</v>
      </c>
      <c r="E1785" s="22">
        <v>2</v>
      </c>
      <c r="F1785" s="22">
        <v>0.69</v>
      </c>
      <c r="G1785" s="22">
        <v>20260330</v>
      </c>
      <c r="H1785" s="23" t="b">
        <f t="shared" si="27"/>
        <v>0</v>
      </c>
      <c r="I1785" s="24" t="str" cm="1">
        <f t="array" ref="I1785">GET_TICKER_FINAL(C1785)</f>
        <v/>
      </c>
      <c r="J1785" s="5" t="s">
        <v>1792</v>
      </c>
    </row>
    <row r="1786" spans="1:10" hidden="1">
      <c r="A1786" s="20">
        <v>1785</v>
      </c>
      <c r="B1786" s="19" t="s">
        <v>1376</v>
      </c>
      <c r="C1786" s="19" t="s">
        <v>1755</v>
      </c>
      <c r="D1786" s="19">
        <v>1</v>
      </c>
      <c r="E1786" s="19">
        <v>1</v>
      </c>
      <c r="F1786" s="19">
        <v>1</v>
      </c>
      <c r="G1786" s="19">
        <v>20260326</v>
      </c>
      <c r="H1786" s="20" t="b">
        <f t="shared" si="27"/>
        <v>0</v>
      </c>
      <c r="I1786" s="21" t="str" cm="1">
        <f t="array" ref="I1786">GET_TICKER_FINAL(C1786)</f>
        <v/>
      </c>
      <c r="J1786" s="5" t="s">
        <v>16</v>
      </c>
    </row>
    <row r="1787" spans="1:10" hidden="1">
      <c r="A1787" s="23">
        <v>1786</v>
      </c>
      <c r="B1787" s="22" t="s">
        <v>1376</v>
      </c>
      <c r="C1787" s="22" t="s">
        <v>1756</v>
      </c>
      <c r="D1787" s="22">
        <v>1</v>
      </c>
      <c r="E1787" s="22">
        <v>8</v>
      </c>
      <c r="F1787" s="22">
        <v>0.56000000000000005</v>
      </c>
      <c r="G1787" s="22">
        <v>20260401</v>
      </c>
      <c r="H1787" s="23" t="b">
        <f t="shared" si="27"/>
        <v>0</v>
      </c>
      <c r="I1787" s="24" t="str" cm="1">
        <f t="array" ref="I1787">GET_TICKER_FINAL(C1787)</f>
        <v/>
      </c>
      <c r="J1787" s="5" t="s">
        <v>1792</v>
      </c>
    </row>
    <row r="1788" spans="1:10">
      <c r="A1788" s="20">
        <v>1787</v>
      </c>
      <c r="B1788" s="19" t="s">
        <v>1376</v>
      </c>
      <c r="C1788" s="19" t="s">
        <v>1757</v>
      </c>
      <c r="D1788" s="19">
        <v>1</v>
      </c>
      <c r="E1788" s="19">
        <v>23</v>
      </c>
      <c r="F1788" s="19">
        <v>0.51</v>
      </c>
      <c r="G1788" s="19">
        <v>20260330</v>
      </c>
      <c r="H1788" s="20" t="b">
        <f t="shared" si="27"/>
        <v>0</v>
      </c>
      <c r="I1788" s="21" t="str" cm="1">
        <f t="array" ref="I1788">GET_TICKER_FINAL(C1788)</f>
        <v>SOFI</v>
      </c>
      <c r="J1788" s="5" t="s">
        <v>1792</v>
      </c>
    </row>
    <row r="1789" spans="1:10" hidden="1">
      <c r="A1789" s="23">
        <v>1788</v>
      </c>
      <c r="B1789" s="22" t="s">
        <v>1376</v>
      </c>
      <c r="C1789" s="22" t="s">
        <v>1758</v>
      </c>
      <c r="D1789" s="22">
        <v>1</v>
      </c>
      <c r="E1789" s="22">
        <v>179</v>
      </c>
      <c r="F1789" s="22">
        <v>0.51</v>
      </c>
      <c r="G1789" s="22">
        <v>20260327</v>
      </c>
      <c r="H1789" s="23" t="b">
        <f t="shared" si="27"/>
        <v>0</v>
      </c>
      <c r="I1789" s="24" t="str" cm="1">
        <f t="array" ref="I1789">GET_TICKER_FINAL(C1789)</f>
        <v/>
      </c>
      <c r="J1789" s="5" t="s">
        <v>1792</v>
      </c>
    </row>
    <row r="1790" spans="1:10" hidden="1">
      <c r="A1790" s="20">
        <v>1789</v>
      </c>
      <c r="B1790" s="19" t="s">
        <v>1376</v>
      </c>
      <c r="C1790" s="19" t="s">
        <v>1759</v>
      </c>
      <c r="D1790" s="19">
        <v>0</v>
      </c>
      <c r="E1790" s="19">
        <v>12</v>
      </c>
      <c r="F1790" s="19">
        <v>0.23</v>
      </c>
      <c r="G1790" s="19">
        <v>20260320</v>
      </c>
      <c r="H1790" s="20" t="b">
        <f t="shared" si="27"/>
        <v>0</v>
      </c>
      <c r="I1790" s="21" t="str" cm="1">
        <f t="array" ref="I1790">GET_TICKER_FINAL(C1790)</f>
        <v/>
      </c>
      <c r="J1790" s="5" t="s">
        <v>16</v>
      </c>
    </row>
    <row r="1791" spans="1:10">
      <c r="A1791" s="23">
        <v>1790</v>
      </c>
      <c r="B1791" s="22" t="s">
        <v>1376</v>
      </c>
      <c r="C1791" s="22" t="s">
        <v>1760</v>
      </c>
      <c r="D1791" s="22">
        <v>0</v>
      </c>
      <c r="E1791" s="22">
        <v>5</v>
      </c>
      <c r="F1791" s="22">
        <v>0.33</v>
      </c>
      <c r="G1791" s="22">
        <v>20260327</v>
      </c>
      <c r="H1791" s="23" t="b">
        <f t="shared" si="27"/>
        <v>0</v>
      </c>
      <c r="I1791" s="24" t="str" cm="1">
        <f t="array" ref="I1791">GET_TICKER_FINAL(C1791)</f>
        <v>MSFT</v>
      </c>
      <c r="J1791" s="5" t="s">
        <v>16</v>
      </c>
    </row>
    <row r="1792" spans="1:10" hidden="1">
      <c r="A1792" s="20">
        <v>1791</v>
      </c>
      <c r="B1792" s="19" t="s">
        <v>1376</v>
      </c>
      <c r="C1792" s="19" t="s">
        <v>1761</v>
      </c>
      <c r="D1792" s="19">
        <v>0</v>
      </c>
      <c r="E1792" s="19">
        <v>150</v>
      </c>
      <c r="F1792" s="19">
        <v>0.28999999999999998</v>
      </c>
      <c r="G1792" s="19">
        <v>20260327</v>
      </c>
      <c r="H1792" s="20" t="b">
        <f t="shared" si="27"/>
        <v>0</v>
      </c>
      <c r="I1792" s="21" t="str" cm="1">
        <f t="array" ref="I1792">GET_TICKER_FINAL(C1792)</f>
        <v/>
      </c>
      <c r="J1792" s="5" t="s">
        <v>16</v>
      </c>
    </row>
    <row r="1793" spans="1:10" hidden="1">
      <c r="A1793" s="23">
        <v>1792</v>
      </c>
      <c r="B1793" s="22" t="s">
        <v>1376</v>
      </c>
      <c r="C1793" s="22" t="s">
        <v>1762</v>
      </c>
      <c r="D1793" s="22">
        <v>0</v>
      </c>
      <c r="E1793" s="22">
        <v>32</v>
      </c>
      <c r="F1793" s="22">
        <v>0.47</v>
      </c>
      <c r="G1793" s="22">
        <v>20260324</v>
      </c>
      <c r="H1793" s="23" t="b">
        <f t="shared" si="27"/>
        <v>0</v>
      </c>
      <c r="I1793" s="24" t="str" cm="1">
        <f t="array" ref="I1793">GET_TICKER_FINAL(C1793)</f>
        <v/>
      </c>
      <c r="J1793" s="5" t="s">
        <v>16</v>
      </c>
    </row>
    <row r="1794" spans="1:10" hidden="1">
      <c r="A1794" s="20">
        <v>1793</v>
      </c>
      <c r="B1794" s="19" t="s">
        <v>1376</v>
      </c>
      <c r="C1794" s="19" t="s">
        <v>1763</v>
      </c>
      <c r="D1794" s="19">
        <v>0</v>
      </c>
      <c r="E1794" s="19">
        <v>32</v>
      </c>
      <c r="F1794" s="19">
        <v>0.42</v>
      </c>
      <c r="G1794" s="19">
        <v>20260401</v>
      </c>
      <c r="H1794" s="20" t="b">
        <f t="shared" si="27"/>
        <v>0</v>
      </c>
      <c r="I1794" s="21" t="str" cm="1">
        <f t="array" ref="I1794">GET_TICKER_FINAL(C1794)</f>
        <v/>
      </c>
      <c r="J1794" s="5" t="s">
        <v>16</v>
      </c>
    </row>
    <row r="1795" spans="1:10" hidden="1">
      <c r="A1795" s="23">
        <v>1794</v>
      </c>
      <c r="B1795" s="22" t="s">
        <v>1376</v>
      </c>
      <c r="C1795" s="22" t="s">
        <v>1764</v>
      </c>
      <c r="D1795" s="22">
        <v>0</v>
      </c>
      <c r="E1795" s="22">
        <v>28</v>
      </c>
      <c r="F1795" s="22">
        <v>0.3</v>
      </c>
      <c r="G1795" s="22">
        <v>20260401</v>
      </c>
      <c r="H1795" s="23" t="b">
        <f t="shared" ref="H1795:H1796" si="28">OR(ISNUMBER(SEARCH("$A",C1795)),ISNUMBER(SEARCH("$B",C1795)),ISNUMBER(SEARCH("$C",C1795)),ISNUMBER(SEARCH("$D",C1795)),ISNUMBER(SEARCH("$E",C1795)),ISNUMBER(SEARCH("$F",C1795)),ISNUMBER(SEARCH("$G",C1795)),ISNUMBER(SEARCH("$H",C1795)),ISNUMBER(SEARCH("$I",C1795)),ISNUMBER(SEARCH("$J",C1795)),ISNUMBER(SEARCH("$K",C1795)),ISNUMBER(SEARCH("$L",C1795)),ISNUMBER(SEARCH("$M",C1795)),ISNUMBER(SEARCH("$N",C1795)),ISNUMBER(SEARCH("$O",C1795)),ISNUMBER(SEARCH("$P",C1795)),ISNUMBER(SEARCH("$Q",C1795)),ISNUMBER(SEARCH("$R",C1795)),ISNUMBER(SEARCH("$S",C1795)),ISNUMBER(SEARCH("$T",C1795)),ISNUMBER(SEARCH("$U",C1795)),ISNUMBER(SEARCH("$V",C1795)),ISNUMBER(SEARCH("$W",C1795)),ISNUMBER(SEARCH("$X",C1795)),ISNUMBER(SEARCH("$Y",C1795)),ISNUMBER(SEARCH("$Z",C1795)))</f>
        <v>0</v>
      </c>
      <c r="I1795" s="24" t="str" cm="1">
        <f t="array" ref="I1795">GET_TICKER_FINAL(C1795)</f>
        <v/>
      </c>
      <c r="J1795" s="5" t="s">
        <v>1792</v>
      </c>
    </row>
    <row r="1796" spans="1:10" hidden="1">
      <c r="A1796" s="14">
        <v>1795</v>
      </c>
      <c r="B1796" s="26" t="s">
        <v>1376</v>
      </c>
      <c r="C1796" s="26" t="s">
        <v>1765</v>
      </c>
      <c r="D1796" s="26">
        <v>0</v>
      </c>
      <c r="E1796" s="26">
        <v>66</v>
      </c>
      <c r="F1796" s="26">
        <v>0.38</v>
      </c>
      <c r="G1796" s="26">
        <v>20260402</v>
      </c>
      <c r="H1796" s="14" t="b">
        <f t="shared" si="28"/>
        <v>0</v>
      </c>
      <c r="I1796" s="15" t="str" cm="1">
        <f t="array" ref="I1796">GET_TICKER_FINAL(C1796)</f>
        <v/>
      </c>
      <c r="J1796" s="5" t="s">
        <v>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6670B-4ED3-4B51-899C-8FCFD6FF9F05}">
  <dimension ref="A1:G23"/>
  <sheetViews>
    <sheetView workbookViewId="0">
      <selection activeCell="I21" sqref="I21"/>
    </sheetView>
  </sheetViews>
  <sheetFormatPr defaultRowHeight="14.4"/>
  <cols>
    <col min="2" max="2" width="15.6640625" customWidth="1"/>
    <col min="3" max="3" width="12.21875" customWidth="1"/>
    <col min="4" max="4" width="17.5546875" customWidth="1"/>
    <col min="5" max="5" width="13.88671875" customWidth="1"/>
    <col min="6" max="6" width="14.5546875" customWidth="1"/>
    <col min="7" max="7" width="15" customWidth="1"/>
  </cols>
  <sheetData>
    <row r="1" spans="1:7">
      <c r="A1" s="33" t="s">
        <v>1767</v>
      </c>
      <c r="B1" s="33" t="s">
        <v>1768</v>
      </c>
      <c r="C1" s="33" t="s">
        <v>1769</v>
      </c>
      <c r="D1" s="33" t="s">
        <v>1770</v>
      </c>
      <c r="E1" s="33" t="s">
        <v>1771</v>
      </c>
      <c r="F1" s="33" t="s">
        <v>1772</v>
      </c>
      <c r="G1" s="33" t="s">
        <v>1773</v>
      </c>
    </row>
    <row r="2" spans="1:7">
      <c r="A2" s="20" t="s">
        <v>1774</v>
      </c>
      <c r="B2" s="20">
        <f>COUNTIFS(SentimentsWithTicker!I:I, "*"&amp;A2&amp;"*")</f>
        <v>19</v>
      </c>
      <c r="C2" s="20">
        <f>SUMIFS(SentimentsWithTicker!D:D, SentimentsWithTicker!I:I, "*"&amp;$A2&amp;"*")</f>
        <v>1096</v>
      </c>
      <c r="D2" s="29">
        <f>AVERAGEIFS(SentimentsWithTicker!F:F, SentimentsWithTicker!I:I, "*"&amp;$A2&amp;"*")</f>
        <v>0.78421052631578958</v>
      </c>
      <c r="E2" s="20">
        <f>COUNTIFS(SentimentsWithTicker!I:I, "*"&amp;$A2&amp;"*", SentimentsWithTicker!J:J, "Bullish")</f>
        <v>9</v>
      </c>
      <c r="F2" s="20">
        <f>COUNTIFS(SentimentsWithTicker!I:I, "*"&amp;$A2&amp;"*", SentimentsWithTicker!J:J, "Bearish")</f>
        <v>6</v>
      </c>
      <c r="G2" s="31">
        <f t="shared" ref="G2:G23" si="0">(E2 - F2) / B2</f>
        <v>0.15789473684210525</v>
      </c>
    </row>
    <row r="3" spans="1:7">
      <c r="A3" s="23" t="s">
        <v>1775</v>
      </c>
      <c r="B3" s="23">
        <f>COUNTIFS(SentimentsWithTicker!I:I, "*"&amp;$A3&amp;"*")</f>
        <v>89</v>
      </c>
      <c r="C3" s="23">
        <f>SUMIFS(SentimentsWithTicker!D:D, SentimentsWithTicker!I:I, "*"&amp;$A3&amp;"*")</f>
        <v>22082</v>
      </c>
      <c r="D3" s="30">
        <f>AVERAGEIFS(SentimentsWithTicker!F:F, SentimentsWithTicker!I:I, "*"&amp;$A3&amp;"*")</f>
        <v>0.79966292134831474</v>
      </c>
      <c r="E3" s="23">
        <f>COUNTIFS(SentimentsWithTicker!I:I, "*"&amp;$A3&amp;"*", SentimentsWithTicker!J:J, "Bullish")</f>
        <v>22</v>
      </c>
      <c r="F3" s="23">
        <f>COUNTIFS(SentimentsWithTicker!I:I, "*"&amp;$A3&amp;"*", SentimentsWithTicker!J:J, "Bearish")</f>
        <v>31</v>
      </c>
      <c r="G3" s="32">
        <f t="shared" si="0"/>
        <v>-0.10112359550561797</v>
      </c>
    </row>
    <row r="4" spans="1:7">
      <c r="A4" s="20" t="s">
        <v>1776</v>
      </c>
      <c r="B4" s="20">
        <f>COUNTIFS(SentimentsWithTicker!I:I, "*"&amp;A4&amp;"*")</f>
        <v>11</v>
      </c>
      <c r="C4" s="20">
        <f>SUMIFS(SentimentsWithTicker!D:D, SentimentsWithTicker!I:I, "*"&amp;$A4&amp;"*")</f>
        <v>1266</v>
      </c>
      <c r="D4" s="29">
        <f>AVERAGEIFS(SentimentsWithTicker!F:F, SentimentsWithTicker!I:I, "*"&amp;$A4&amp;"*")</f>
        <v>0.74545454545454537</v>
      </c>
      <c r="E4" s="20">
        <f>COUNTIFS(SentimentsWithTicker!I:I, "*"&amp;$A4&amp;"*", SentimentsWithTicker!J:J, "Bullish")</f>
        <v>2</v>
      </c>
      <c r="F4" s="20">
        <f>COUNTIFS(SentimentsWithTicker!I:I, "*"&amp;$A4&amp;"*", SentimentsWithTicker!J:J, "Bearish")</f>
        <v>5</v>
      </c>
      <c r="G4" s="31">
        <f t="shared" si="0"/>
        <v>-0.27272727272727271</v>
      </c>
    </row>
    <row r="5" spans="1:7">
      <c r="A5" s="23" t="s">
        <v>1777</v>
      </c>
      <c r="B5" s="23">
        <f>COUNTIFS(SentimentsWithTicker!I:I, "*"&amp;A5&amp;"*")</f>
        <v>4</v>
      </c>
      <c r="C5" s="23">
        <f>SUMIFS(SentimentsWithTicker!D:D, SentimentsWithTicker!I:I, "*"&amp;$A5&amp;"*")</f>
        <v>168</v>
      </c>
      <c r="D5" s="30">
        <f>AVERAGEIFS(SentimentsWithTicker!F:F, SentimentsWithTicker!I:I, "*"&amp;$A5&amp;"*")</f>
        <v>0.50749999999999995</v>
      </c>
      <c r="E5" s="23">
        <f>COUNTIFS(SentimentsWithTicker!I:I, "*"&amp;$A5&amp;"*", SentimentsWithTicker!J:J, "Bullish")</f>
        <v>1</v>
      </c>
      <c r="F5" s="23">
        <f>COUNTIFS(SentimentsWithTicker!I:I, "*"&amp;$A5&amp;"*", SentimentsWithTicker!J:J, "Bearish")</f>
        <v>1</v>
      </c>
      <c r="G5" s="32">
        <f t="shared" si="0"/>
        <v>0</v>
      </c>
    </row>
    <row r="6" spans="1:7">
      <c r="A6" s="20" t="s">
        <v>1778</v>
      </c>
      <c r="B6" s="20">
        <f>COUNTIFS(SentimentsWithTicker!I:I, "*"&amp;$A6&amp;"*")</f>
        <v>10</v>
      </c>
      <c r="C6" s="20">
        <f>SUMIFS(SentimentsWithTicker!D:D, SentimentsWithTicker!I:I, "*"&amp;$A6&amp;"*")</f>
        <v>1969</v>
      </c>
      <c r="D6" s="29">
        <f>AVERAGEIFS(SentimentsWithTicker!F:F, SentimentsWithTicker!I:I, "*"&amp;$A6&amp;"*")</f>
        <v>0.89300000000000002</v>
      </c>
      <c r="E6" s="20">
        <f>COUNTIFS(SentimentsWithTicker!I:I, "*"&amp;$A6&amp;"*", SentimentsWithTicker!J:J, "Bullish")</f>
        <v>3</v>
      </c>
      <c r="F6" s="20">
        <f>COUNTIFS(SentimentsWithTicker!I:I, "*"&amp;$A6&amp;"*", SentimentsWithTicker!J:J, "Bearish")</f>
        <v>4</v>
      </c>
      <c r="G6" s="31">
        <f t="shared" si="0"/>
        <v>-0.1</v>
      </c>
    </row>
    <row r="7" spans="1:7">
      <c r="A7" s="23" t="s">
        <v>1779</v>
      </c>
      <c r="B7" s="23">
        <f>COUNTIFS(SentimentsWithTicker!I:I, "*"&amp;A7&amp;"*")</f>
        <v>25</v>
      </c>
      <c r="C7" s="23">
        <f>SUMIFS(SentimentsWithTicker!D:D, SentimentsWithTicker!I:I, "*"&amp;$A7&amp;"*")</f>
        <v>15223</v>
      </c>
      <c r="D7" s="30">
        <f>AVERAGEIFS(SentimentsWithTicker!F:F, SentimentsWithTicker!I:I, "*"&amp;$A7&amp;"*")</f>
        <v>0.83360000000000001</v>
      </c>
      <c r="E7" s="23">
        <f>COUNTIFS(SentimentsWithTicker!I:I, "*"&amp;$A7&amp;"*", SentimentsWithTicker!J:J, "Bullish")</f>
        <v>9</v>
      </c>
      <c r="F7" s="23">
        <f>COUNTIFS(SentimentsWithTicker!I:I, "*"&amp;$A7&amp;"*", SentimentsWithTicker!J:J, "Bearish")</f>
        <v>8</v>
      </c>
      <c r="G7" s="32">
        <f t="shared" si="0"/>
        <v>0.04</v>
      </c>
    </row>
    <row r="8" spans="1:7">
      <c r="A8" s="20" t="s">
        <v>1780</v>
      </c>
      <c r="B8" s="20">
        <f>COUNTIFS(SentimentsWithTicker!I:I, "*"&amp;A8&amp;"*")</f>
        <v>14</v>
      </c>
      <c r="C8" s="20">
        <f>SUMIFS(SentimentsWithTicker!D:D, SentimentsWithTicker!I:I, "*"&amp;$A8&amp;"*")</f>
        <v>10193</v>
      </c>
      <c r="D8" s="29">
        <f>AVERAGEIFS(SentimentsWithTicker!F:F, SentimentsWithTicker!I:I, "*"&amp;$A8&amp;"*")</f>
        <v>0.76142857142857145</v>
      </c>
      <c r="E8" s="20">
        <f>COUNTIFS(SentimentsWithTicker!I:I, "*"&amp;$A8&amp;"*", SentimentsWithTicker!J:J, "Bullish")</f>
        <v>5</v>
      </c>
      <c r="F8" s="20">
        <f>COUNTIFS(SentimentsWithTicker!I:I, "*"&amp;$A8&amp;"*", SentimentsWithTicker!J:J, "Bearish")</f>
        <v>2</v>
      </c>
      <c r="G8" s="31">
        <f t="shared" si="0"/>
        <v>0.21428571428571427</v>
      </c>
    </row>
    <row r="9" spans="1:7">
      <c r="A9" s="23" t="s">
        <v>1781</v>
      </c>
      <c r="B9" s="23">
        <f>COUNTIFS(SentimentsWithTicker!I:I, "*"&amp;$A9&amp;"*")</f>
        <v>4</v>
      </c>
      <c r="C9" s="23">
        <f>SUMIFS(SentimentsWithTicker!D:D, SentimentsWithTicker!I:I, "*"&amp;$A9&amp;"*")</f>
        <v>2370</v>
      </c>
      <c r="D9" s="30">
        <f>AVERAGEIFS(SentimentsWithTicker!F:F, SentimentsWithTicker!I:I, "*"&amp;$A9&amp;"*")</f>
        <v>0.78</v>
      </c>
      <c r="E9" s="23">
        <f>COUNTIFS(SentimentsWithTicker!I:I, "*"&amp;$A9&amp;"*", SentimentsWithTicker!J:J, "Bullish")</f>
        <v>3</v>
      </c>
      <c r="F9" s="23">
        <f>COUNTIFS(SentimentsWithTicker!I:I, "*"&amp;$A9&amp;"*", SentimentsWithTicker!J:J, "Bearish")</f>
        <v>1</v>
      </c>
      <c r="G9" s="32">
        <f t="shared" si="0"/>
        <v>0.5</v>
      </c>
    </row>
    <row r="10" spans="1:7">
      <c r="A10" s="20" t="s">
        <v>1782</v>
      </c>
      <c r="B10" s="20">
        <f>COUNTIFS(SentimentsWithTicker!I:I, "*"&amp;A10&amp;"*")</f>
        <v>21</v>
      </c>
      <c r="C10" s="20">
        <f>SUMIFS(SentimentsWithTicker!D:D, SentimentsWithTicker!I:I, "*"&amp;$A10&amp;"*")</f>
        <v>2936</v>
      </c>
      <c r="D10" s="29">
        <f>AVERAGEIFS(SentimentsWithTicker!F:F, SentimentsWithTicker!I:I, "*"&amp;$A10&amp;"*")</f>
        <v>0.74714285714285711</v>
      </c>
      <c r="E10" s="20">
        <f>COUNTIFS(SentimentsWithTicker!I:I, "*"&amp;$A10&amp;"*", SentimentsWithTicker!J:J, "Bullish")</f>
        <v>10</v>
      </c>
      <c r="F10" s="20">
        <f>COUNTIFS(SentimentsWithTicker!I:I, "*"&amp;$A10&amp;"*", SentimentsWithTicker!J:J, "Bearish")</f>
        <v>4</v>
      </c>
      <c r="G10" s="31">
        <f t="shared" si="0"/>
        <v>0.2857142857142857</v>
      </c>
    </row>
    <row r="11" spans="1:7">
      <c r="A11" s="23" t="s">
        <v>1783</v>
      </c>
      <c r="B11" s="23">
        <f>COUNTIFS(SentimentsWithTicker!I:I, "*"&amp;A11&amp;"*")</f>
        <v>4</v>
      </c>
      <c r="C11" s="23">
        <f>SUMIFS(SentimentsWithTicker!D:D, SentimentsWithTicker!I:I, "*"&amp;$A11&amp;"*")</f>
        <v>520</v>
      </c>
      <c r="D11" s="30">
        <f>AVERAGEIFS(SentimentsWithTicker!F:F, SentimentsWithTicker!I:I, "*"&amp;$A11&amp;"*")</f>
        <v>0.95499999999999996</v>
      </c>
      <c r="E11" s="23">
        <f>COUNTIFS(SentimentsWithTicker!I:I, "*"&amp;$A11&amp;"*", SentimentsWithTicker!J:J, "Bullish")</f>
        <v>2</v>
      </c>
      <c r="F11" s="23">
        <f>COUNTIFS(SentimentsWithTicker!I:I, "*"&amp;$A11&amp;"*", SentimentsWithTicker!J:J, "Bearish")</f>
        <v>0</v>
      </c>
      <c r="G11" s="32">
        <f t="shared" si="0"/>
        <v>0.5</v>
      </c>
    </row>
    <row r="12" spans="1:7">
      <c r="A12" s="20" t="s">
        <v>1784</v>
      </c>
      <c r="B12" s="20">
        <f>COUNTIFS(SentimentsWithTicker!I:I, "*"&amp;$A12&amp;"*")</f>
        <v>3</v>
      </c>
      <c r="C12" s="20">
        <f>SUMIFS(SentimentsWithTicker!D:D, SentimentsWithTicker!I:I, "*"&amp;$A12&amp;"*")</f>
        <v>256</v>
      </c>
      <c r="D12" s="29">
        <f>AVERAGEIFS(SentimentsWithTicker!F:F, SentimentsWithTicker!I:I, "*"&amp;$A12&amp;"*")</f>
        <v>0.89666666666666661</v>
      </c>
      <c r="E12" s="20">
        <f>COUNTIFS(SentimentsWithTicker!I:I, "*"&amp;$A12&amp;"*", SentimentsWithTicker!J:J, "Bullish")</f>
        <v>1</v>
      </c>
      <c r="F12" s="20">
        <f>COUNTIFS(SentimentsWithTicker!I:I, "*"&amp;$A12&amp;"*", SentimentsWithTicker!J:J, "Bearish")</f>
        <v>2</v>
      </c>
      <c r="G12" s="31">
        <f t="shared" si="0"/>
        <v>-0.33333333333333331</v>
      </c>
    </row>
    <row r="13" spans="1:7">
      <c r="A13" s="23" t="s">
        <v>1785</v>
      </c>
      <c r="B13" s="23">
        <f>COUNTIFS(SentimentsWithTicker!I:I, "*"&amp;$A13&amp;"*")</f>
        <v>5</v>
      </c>
      <c r="C13" s="23">
        <f>SUMIFS(SentimentsWithTicker!D:D, SentimentsWithTicker!I:I, "*"&amp;$A13&amp;"*")</f>
        <v>140</v>
      </c>
      <c r="D13" s="30">
        <f>AVERAGEIFS(SentimentsWithTicker!F:F, SentimentsWithTicker!I:I, "*"&amp;$A13&amp;"*")</f>
        <v>0.79400000000000004</v>
      </c>
      <c r="E13" s="23">
        <f>COUNTIFS(SentimentsWithTicker!I:I, "*"&amp;$A13&amp;"*", SentimentsWithTicker!J:J, "Bullish")</f>
        <v>1</v>
      </c>
      <c r="F13" s="23">
        <f>COUNTIFS(SentimentsWithTicker!I:I, "*"&amp;$A13&amp;"*", SentimentsWithTicker!J:J, "Bearish")</f>
        <v>2</v>
      </c>
      <c r="G13" s="32">
        <f t="shared" si="0"/>
        <v>-0.2</v>
      </c>
    </row>
    <row r="14" spans="1:7">
      <c r="A14" s="20" t="s">
        <v>1786</v>
      </c>
      <c r="B14" s="20">
        <f>COUNTIFS(SentimentsWithTicker!I:I, "*"&amp;A14&amp;"*")</f>
        <v>4</v>
      </c>
      <c r="C14" s="20">
        <f>SUMIFS(SentimentsWithTicker!D:D, SentimentsWithTicker!I:I, "*"&amp;$A14&amp;"*")</f>
        <v>48</v>
      </c>
      <c r="D14" s="29">
        <f>AVERAGEIFS(SentimentsWithTicker!F:F, SentimentsWithTicker!I:I, "*"&amp;$A14&amp;"*")</f>
        <v>0.67500000000000004</v>
      </c>
      <c r="E14" s="20">
        <f>COUNTIFS(SentimentsWithTicker!I:I, "*"&amp;$A14&amp;"*", SentimentsWithTicker!J:J, "Bullish")</f>
        <v>2</v>
      </c>
      <c r="F14" s="20">
        <f>COUNTIFS(SentimentsWithTicker!I:I, "*"&amp;$A14&amp;"*", SentimentsWithTicker!J:J, "Bearish")</f>
        <v>0</v>
      </c>
      <c r="G14" s="31">
        <f t="shared" si="0"/>
        <v>0.5</v>
      </c>
    </row>
    <row r="15" spans="1:7">
      <c r="A15" s="23" t="s">
        <v>1787</v>
      </c>
      <c r="B15" s="23">
        <f>COUNTIFS(SentimentsWithTicker!I:I, "*"&amp;A15&amp;"*")</f>
        <v>2</v>
      </c>
      <c r="C15" s="23">
        <f>SUMIFS(SentimentsWithTicker!D:D, SentimentsWithTicker!I:I, "*"&amp;$A15&amp;"*")</f>
        <v>11686</v>
      </c>
      <c r="D15" s="30">
        <f>AVERAGEIFS(SentimentsWithTicker!F:F, SentimentsWithTicker!I:I, "*"&amp;$A15&amp;"*")</f>
        <v>0.97</v>
      </c>
      <c r="E15" s="23">
        <f>COUNTIFS(SentimentsWithTicker!I:I, "*"&amp;$A15&amp;"*", SentimentsWithTicker!J:J, "Bullish")</f>
        <v>0</v>
      </c>
      <c r="F15" s="23">
        <f>COUNTIFS(SentimentsWithTicker!I:I, "*"&amp;$A15&amp;"*", SentimentsWithTicker!J:J, "Bearish")</f>
        <v>2</v>
      </c>
      <c r="G15" s="32">
        <f t="shared" si="0"/>
        <v>-1</v>
      </c>
    </row>
    <row r="16" spans="1:7">
      <c r="A16" s="20" t="s">
        <v>1788</v>
      </c>
      <c r="B16" s="20">
        <f>COUNTIFS(SentimentsWithTicker!I:I, "*"&amp;$A16&amp;"*")</f>
        <v>4</v>
      </c>
      <c r="C16" s="20">
        <f>SUMIFS(SentimentsWithTicker!D:D, SentimentsWithTicker!I:I, "*"&amp;$A16&amp;"*")</f>
        <v>520</v>
      </c>
      <c r="D16" s="29">
        <f>AVERAGEIFS(SentimentsWithTicker!F:F, SentimentsWithTicker!I:I, "*"&amp;$A16&amp;"*")</f>
        <v>0.95499999999999996</v>
      </c>
      <c r="E16" s="20">
        <f>COUNTIFS(SentimentsWithTicker!I:I, "*"&amp;$A16&amp;"*", SentimentsWithTicker!J:J, "Bullish")</f>
        <v>2</v>
      </c>
      <c r="F16" s="20">
        <f>COUNTIFS(SentimentsWithTicker!I:I, "*"&amp;$A16&amp;"*", SentimentsWithTicker!J:J, "Bearish")</f>
        <v>0</v>
      </c>
      <c r="G16" s="31">
        <f t="shared" si="0"/>
        <v>0.5</v>
      </c>
    </row>
    <row r="17" spans="1:7">
      <c r="A17" s="23" t="s">
        <v>1789</v>
      </c>
      <c r="B17" s="23">
        <f>COUNTIFS(SentimentsWithTicker!I:I, "*"&amp;A17&amp;"*")</f>
        <v>6</v>
      </c>
      <c r="C17" s="23">
        <f>SUMIFS(SentimentsWithTicker!D:D, SentimentsWithTicker!I:I, "*"&amp;$A17&amp;"*")</f>
        <v>1023</v>
      </c>
      <c r="D17" s="30">
        <f>AVERAGEIFS(SentimentsWithTicker!F:F, SentimentsWithTicker!I:I, "*"&amp;$A17&amp;"*")</f>
        <v>0.78499999999999981</v>
      </c>
      <c r="E17" s="23">
        <f>COUNTIFS(SentimentsWithTicker!I:I, "*"&amp;$A17&amp;"*", SentimentsWithTicker!J:J, "Bullish")</f>
        <v>2</v>
      </c>
      <c r="F17" s="23">
        <f>COUNTIFS(SentimentsWithTicker!I:I, "*"&amp;$A17&amp;"*", SentimentsWithTicker!J:J, "Bearish")</f>
        <v>2</v>
      </c>
      <c r="G17" s="32">
        <f t="shared" si="0"/>
        <v>0</v>
      </c>
    </row>
    <row r="18" spans="1:7">
      <c r="A18" s="20" t="s">
        <v>1790</v>
      </c>
      <c r="B18" s="20">
        <f>COUNTIFS(SentimentsWithTicker!I:I, "*"&amp;$A18&amp;"*")</f>
        <v>5</v>
      </c>
      <c r="C18" s="20">
        <f>SUMIFS(SentimentsWithTicker!D:D, SentimentsWithTicker!I:I, "*"&amp;$A18&amp;"*")</f>
        <v>561</v>
      </c>
      <c r="D18" s="29">
        <f>AVERAGEIFS(SentimentsWithTicker!F:F, SentimentsWithTicker!I:I, "*"&amp;$A18&amp;"*")</f>
        <v>0.75</v>
      </c>
      <c r="E18" s="20">
        <f>COUNTIFS(SentimentsWithTicker!I:I, "*"&amp;$A18&amp;"*", SentimentsWithTicker!J:J, "Bullish")</f>
        <v>1</v>
      </c>
      <c r="F18" s="20">
        <f>COUNTIFS(SentimentsWithTicker!I:I, "*"&amp;$A18&amp;"*", SentimentsWithTicker!J:J, "Bearish")</f>
        <v>0</v>
      </c>
      <c r="G18" s="31">
        <f t="shared" si="0"/>
        <v>0.2</v>
      </c>
    </row>
    <row r="19" spans="1:7">
      <c r="A19" s="23" t="s">
        <v>1791</v>
      </c>
      <c r="B19" s="23">
        <f>COUNTIFS(SentimentsWithTicker!I:I, "*"&amp;A19&amp;"*")</f>
        <v>2</v>
      </c>
      <c r="C19" s="23">
        <f>SUMIFS(SentimentsWithTicker!D:D, SentimentsWithTicker!I:I, "*"&amp;$A19&amp;"*")</f>
        <v>7206</v>
      </c>
      <c r="D19" s="30">
        <f>AVERAGEIFS(SentimentsWithTicker!F:F, SentimentsWithTicker!I:I, "*"&amp;$A19&amp;"*")</f>
        <v>0.98499999999999999</v>
      </c>
      <c r="E19" s="23">
        <f>COUNTIFS(SentimentsWithTicker!I:I, "*"&amp;$A19&amp;"*", SentimentsWithTicker!J:J, "Bullish")</f>
        <v>0</v>
      </c>
      <c r="F19" s="23">
        <f>COUNTIFS(SentimentsWithTicker!I:I, "*"&amp;$A19&amp;"*", SentimentsWithTicker!J:J, "Bearish")</f>
        <v>2</v>
      </c>
      <c r="G19" s="32">
        <f t="shared" si="0"/>
        <v>-1</v>
      </c>
    </row>
    <row r="20" spans="1:7">
      <c r="A20" s="20" t="s">
        <v>1794</v>
      </c>
      <c r="B20" s="20">
        <f>COUNTIFS(SentimentsWithTicker!I:I, "*"&amp;A20&amp;"*")</f>
        <v>11</v>
      </c>
      <c r="C20" s="20">
        <f>SUMIFS(SentimentsWithTicker!D:D, SentimentsWithTicker!I:I, "*"&amp;$A20&amp;"*")</f>
        <v>1423</v>
      </c>
      <c r="D20" s="29">
        <f>AVERAGEIFS(SentimentsWithTicker!F:F, SentimentsWithTicker!I:I, "*"&amp;$A20&amp;"*")</f>
        <v>0.58454545454545448</v>
      </c>
      <c r="E20" s="20">
        <f>COUNTIFS(SentimentsWithTicker!I:I, "*"&amp;$A20&amp;"*", SentimentsWithTicker!J:J, "Bullish")</f>
        <v>2</v>
      </c>
      <c r="F20" s="20">
        <f>COUNTIFS(SentimentsWithTicker!I:I, "*"&amp;$A20&amp;"*", SentimentsWithTicker!J:J, "Bearish")</f>
        <v>1</v>
      </c>
      <c r="G20" s="31">
        <f t="shared" si="0"/>
        <v>9.0909090909090912E-2</v>
      </c>
    </row>
    <row r="21" spans="1:7">
      <c r="A21" s="23" t="s">
        <v>1795</v>
      </c>
      <c r="B21" s="23">
        <f>COUNTIFS(SentimentsWithTicker!I:I, "*"&amp;$A21&amp;"*")</f>
        <v>7</v>
      </c>
      <c r="C21" s="23">
        <f>SUMIFS(SentimentsWithTicker!D:D, SentimentsWithTicker!I:I, "*"&amp;$A21&amp;"*")</f>
        <v>267</v>
      </c>
      <c r="D21" s="30">
        <f>AVERAGEIFS(SentimentsWithTicker!F:F, SentimentsWithTicker!I:I, "*"&amp;$A21&amp;"*")</f>
        <v>0.8114285714285715</v>
      </c>
      <c r="E21" s="23">
        <f>COUNTIFS(SentimentsWithTicker!I:I, "*"&amp;$A21&amp;"*", SentimentsWithTicker!J:J, "Bullish")</f>
        <v>0</v>
      </c>
      <c r="F21" s="23">
        <f>COUNTIFS(SentimentsWithTicker!I:I, "*"&amp;$A21&amp;"*", SentimentsWithTicker!J:J, "Bearish")</f>
        <v>2</v>
      </c>
      <c r="G21" s="32">
        <f t="shared" si="0"/>
        <v>-0.2857142857142857</v>
      </c>
    </row>
    <row r="22" spans="1:7">
      <c r="A22" s="20" t="s">
        <v>1796</v>
      </c>
      <c r="B22" s="20">
        <f>COUNTIFS(SentimentsWithTicker!I:I, "*"&amp;A22&amp;"*")</f>
        <v>10</v>
      </c>
      <c r="C22" s="20">
        <f>SUMIFS(SentimentsWithTicker!D:D, SentimentsWithTicker!I:I, "*"&amp;$A22&amp;"*")</f>
        <v>340</v>
      </c>
      <c r="D22" s="29">
        <f>AVERAGEIFS(SentimentsWithTicker!F:F, SentimentsWithTicker!I:I, "*"&amp;$A22&amp;"*")</f>
        <v>0.56600000000000006</v>
      </c>
      <c r="E22" s="20">
        <f>COUNTIFS(SentimentsWithTicker!I:I, "*"&amp;$A22&amp;"*", SentimentsWithTicker!J:J, "Bullish")</f>
        <v>5</v>
      </c>
      <c r="F22" s="20">
        <f>COUNTIFS(SentimentsWithTicker!I:I, "*"&amp;$A22&amp;"*", SentimentsWithTicker!J:J, "Bearish")</f>
        <v>4</v>
      </c>
      <c r="G22" s="31">
        <f t="shared" si="0"/>
        <v>0.1</v>
      </c>
    </row>
    <row r="23" spans="1:7">
      <c r="A23" s="23" t="s">
        <v>1797</v>
      </c>
      <c r="B23" s="23">
        <f>COUNTIFS(SentimentsWithTicker!I:I, "*"&amp;A23&amp;"*")</f>
        <v>2</v>
      </c>
      <c r="C23" s="23">
        <f>SUMIFS(SentimentsWithTicker!D:D, SentimentsWithTicker!I:I, "*"&amp;$A23&amp;"*")</f>
        <v>4979</v>
      </c>
      <c r="D23" s="30">
        <f>AVERAGEIFS(SentimentsWithTicker!F:F, SentimentsWithTicker!I:I, "*"&amp;$A23&amp;"*")</f>
        <v>0.88</v>
      </c>
      <c r="E23" s="23">
        <f>COUNTIFS(SentimentsWithTicker!I:I, "*"&amp;$A23&amp;"*", SentimentsWithTicker!J:J, "Bullish")</f>
        <v>0</v>
      </c>
      <c r="F23" s="23">
        <f>COUNTIFS(SentimentsWithTicker!I:I, "*"&amp;$A23&amp;"*", SentimentsWithTicker!J:J, "Bearish")</f>
        <v>1</v>
      </c>
      <c r="G23" s="32">
        <f t="shared" si="0"/>
        <v>-0.5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77DC4-97E9-40D6-8549-FAFD5F721755}">
  <dimension ref="A3:B4"/>
  <sheetViews>
    <sheetView workbookViewId="0">
      <selection activeCell="M20" sqref="M20"/>
    </sheetView>
  </sheetViews>
  <sheetFormatPr defaultRowHeight="14.4"/>
  <cols>
    <col min="1" max="1" width="18.6640625" bestFit="1" customWidth="1"/>
    <col min="2" max="2" width="19.33203125" bestFit="1" customWidth="1"/>
  </cols>
  <sheetData>
    <row r="3" spans="1:2">
      <c r="A3" t="s">
        <v>1800</v>
      </c>
      <c r="B3" t="s">
        <v>1801</v>
      </c>
    </row>
    <row r="4" spans="1:2">
      <c r="A4">
        <v>82</v>
      </c>
      <c r="B4">
        <v>80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789C3-92F5-4873-ADDC-E8F2E2D0DAAB}">
  <dimension ref="A3:E7"/>
  <sheetViews>
    <sheetView workbookViewId="0">
      <selection activeCell="A6" sqref="A6"/>
    </sheetView>
  </sheetViews>
  <sheetFormatPr defaultRowHeight="14.4"/>
  <cols>
    <col min="1" max="1" width="12.5546875" bestFit="1" customWidth="1"/>
    <col min="2" max="2" width="13.6640625" bestFit="1" customWidth="1"/>
    <col min="3" max="3" width="12.88671875" bestFit="1" customWidth="1"/>
    <col min="4" max="4" width="12.6640625" bestFit="1" customWidth="1"/>
    <col min="5" max="5" width="13.77734375" bestFit="1" customWidth="1"/>
  </cols>
  <sheetData>
    <row r="3" spans="1:5">
      <c r="A3" s="28" t="s">
        <v>1798</v>
      </c>
      <c r="B3" t="s">
        <v>1807</v>
      </c>
      <c r="C3" t="s">
        <v>1808</v>
      </c>
      <c r="D3" t="s">
        <v>1809</v>
      </c>
      <c r="E3" t="s">
        <v>1810</v>
      </c>
    </row>
    <row r="4" spans="1:5">
      <c r="A4" s="4" t="s">
        <v>1806</v>
      </c>
      <c r="B4">
        <v>147</v>
      </c>
      <c r="C4">
        <v>100</v>
      </c>
      <c r="D4">
        <v>34</v>
      </c>
      <c r="E4">
        <v>9</v>
      </c>
    </row>
    <row r="5" spans="1:5">
      <c r="A5" s="4" t="s">
        <v>1805</v>
      </c>
      <c r="B5">
        <v>214</v>
      </c>
      <c r="C5">
        <v>129</v>
      </c>
      <c r="D5">
        <v>31</v>
      </c>
      <c r="E5">
        <v>4</v>
      </c>
    </row>
    <row r="6" spans="1:5">
      <c r="A6" s="4" t="s">
        <v>1804</v>
      </c>
      <c r="B6">
        <v>145</v>
      </c>
      <c r="C6">
        <v>108</v>
      </c>
      <c r="D6">
        <v>22</v>
      </c>
      <c r="E6">
        <v>4</v>
      </c>
    </row>
    <row r="7" spans="1:5">
      <c r="A7" s="4" t="s">
        <v>1799</v>
      </c>
      <c r="B7">
        <v>506</v>
      </c>
      <c r="C7">
        <v>337</v>
      </c>
      <c r="D7">
        <v>87</v>
      </c>
      <c r="E7">
        <v>17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2EA04-8A06-4FA4-B0F1-767D5BC8D16F}">
  <dimension ref="A3:L68"/>
  <sheetViews>
    <sheetView topLeftCell="A48" workbookViewId="0">
      <selection activeCell="O64" sqref="O64"/>
    </sheetView>
  </sheetViews>
  <sheetFormatPr defaultRowHeight="14.4"/>
  <cols>
    <col min="1" max="1" width="21" bestFit="1" customWidth="1"/>
    <col min="2" max="2" width="15.5546875" bestFit="1" customWidth="1"/>
    <col min="3" max="3" width="6.44140625" bestFit="1" customWidth="1"/>
    <col min="4" max="4" width="6.21875" bestFit="1" customWidth="1"/>
    <col min="5" max="5" width="7.21875" bestFit="1" customWidth="1"/>
    <col min="6" max="6" width="4.77734375" bestFit="1" customWidth="1"/>
    <col min="7" max="7" width="10.77734375" bestFit="1" customWidth="1"/>
  </cols>
  <sheetData>
    <row r="3" spans="1:7">
      <c r="A3" s="28" t="s">
        <v>1803</v>
      </c>
      <c r="B3" s="28" t="s">
        <v>1802</v>
      </c>
    </row>
    <row r="4" spans="1:7">
      <c r="A4" s="28" t="s">
        <v>1798</v>
      </c>
      <c r="B4" t="s">
        <v>16</v>
      </c>
      <c r="C4" t="s">
        <v>25</v>
      </c>
      <c r="D4" t="s">
        <v>28</v>
      </c>
      <c r="E4" t="s">
        <v>14</v>
      </c>
      <c r="F4" t="s">
        <v>1792</v>
      </c>
      <c r="G4" t="s">
        <v>1799</v>
      </c>
    </row>
    <row r="5" spans="1:7">
      <c r="A5" s="4" t="s">
        <v>1778</v>
      </c>
      <c r="B5">
        <v>4</v>
      </c>
      <c r="C5">
        <v>3</v>
      </c>
      <c r="F5">
        <v>3</v>
      </c>
      <c r="G5">
        <v>10</v>
      </c>
    </row>
    <row r="6" spans="1:7">
      <c r="A6" s="4" t="s">
        <v>1794</v>
      </c>
      <c r="B6">
        <v>1</v>
      </c>
      <c r="C6">
        <v>2</v>
      </c>
      <c r="F6">
        <v>8</v>
      </c>
      <c r="G6">
        <v>11</v>
      </c>
    </row>
    <row r="7" spans="1:7">
      <c r="A7" s="4" t="s">
        <v>1780</v>
      </c>
      <c r="B7">
        <v>2</v>
      </c>
      <c r="C7">
        <v>5</v>
      </c>
      <c r="D7">
        <v>2</v>
      </c>
      <c r="F7">
        <v>5</v>
      </c>
      <c r="G7">
        <v>14</v>
      </c>
    </row>
    <row r="8" spans="1:7">
      <c r="A8" s="4" t="s">
        <v>1811</v>
      </c>
      <c r="B8">
        <v>8</v>
      </c>
      <c r="C8">
        <v>2</v>
      </c>
      <c r="D8">
        <v>3</v>
      </c>
      <c r="F8">
        <v>4</v>
      </c>
      <c r="G8">
        <v>17</v>
      </c>
    </row>
    <row r="9" spans="1:7">
      <c r="A9" s="4" t="s">
        <v>1779</v>
      </c>
      <c r="B9">
        <v>8</v>
      </c>
      <c r="C9">
        <v>9</v>
      </c>
      <c r="D9">
        <v>3</v>
      </c>
      <c r="F9">
        <v>5</v>
      </c>
      <c r="G9">
        <v>25</v>
      </c>
    </row>
    <row r="10" spans="1:7">
      <c r="A10" s="4" t="s">
        <v>1782</v>
      </c>
      <c r="B10">
        <v>4</v>
      </c>
      <c r="C10">
        <v>10</v>
      </c>
      <c r="D10">
        <v>1</v>
      </c>
      <c r="F10">
        <v>6</v>
      </c>
      <c r="G10">
        <v>21</v>
      </c>
    </row>
    <row r="11" spans="1:7">
      <c r="A11" s="4" t="s">
        <v>1774</v>
      </c>
      <c r="B11">
        <v>6</v>
      </c>
      <c r="C11">
        <v>9</v>
      </c>
      <c r="F11">
        <v>4</v>
      </c>
      <c r="G11">
        <v>19</v>
      </c>
    </row>
    <row r="12" spans="1:7">
      <c r="A12" s="4" t="s">
        <v>1796</v>
      </c>
      <c r="B12">
        <v>4</v>
      </c>
      <c r="C12">
        <v>5</v>
      </c>
      <c r="D12">
        <v>1</v>
      </c>
      <c r="G12">
        <v>10</v>
      </c>
    </row>
    <row r="13" spans="1:7">
      <c r="A13" s="4" t="s">
        <v>1775</v>
      </c>
      <c r="B13">
        <v>31</v>
      </c>
      <c r="C13">
        <v>22</v>
      </c>
      <c r="D13">
        <v>3</v>
      </c>
      <c r="E13">
        <v>1</v>
      </c>
      <c r="F13">
        <v>32</v>
      </c>
      <c r="G13">
        <v>89</v>
      </c>
    </row>
    <row r="14" spans="1:7">
      <c r="A14" s="4" t="s">
        <v>1776</v>
      </c>
      <c r="B14">
        <v>5</v>
      </c>
      <c r="C14">
        <v>2</v>
      </c>
      <c r="D14">
        <v>1</v>
      </c>
      <c r="F14">
        <v>3</v>
      </c>
      <c r="G14">
        <v>11</v>
      </c>
    </row>
    <row r="15" spans="1:7">
      <c r="A15" s="4" t="s">
        <v>1799</v>
      </c>
      <c r="B15">
        <v>73</v>
      </c>
      <c r="C15">
        <v>69</v>
      </c>
      <c r="D15">
        <v>14</v>
      </c>
      <c r="E15">
        <v>1</v>
      </c>
      <c r="F15">
        <v>70</v>
      </c>
      <c r="G15">
        <v>227</v>
      </c>
    </row>
    <row r="23" spans="1:9">
      <c r="A23" s="34" t="s">
        <v>1812</v>
      </c>
      <c r="B23" s="35"/>
      <c r="C23" s="35"/>
      <c r="D23" s="35"/>
      <c r="E23" s="36"/>
    </row>
    <row r="24" spans="1:9">
      <c r="A24" s="37"/>
      <c r="E24" s="38"/>
    </row>
    <row r="25" spans="1:9">
      <c r="A25" s="37" t="s">
        <v>1813</v>
      </c>
      <c r="E25" s="38"/>
    </row>
    <row r="26" spans="1:9">
      <c r="A26" s="37" t="s">
        <v>1814</v>
      </c>
      <c r="E26" s="38"/>
    </row>
    <row r="27" spans="1:9">
      <c r="A27" s="37" t="s">
        <v>1815</v>
      </c>
      <c r="E27" s="38"/>
    </row>
    <row r="28" spans="1:9">
      <c r="A28" s="39" t="s">
        <v>1816</v>
      </c>
      <c r="B28" s="40"/>
      <c r="C28" s="40"/>
      <c r="D28" s="40"/>
      <c r="E28" s="41"/>
    </row>
    <row r="30" spans="1:9">
      <c r="A30" s="34" t="s">
        <v>1817</v>
      </c>
      <c r="B30" s="35"/>
      <c r="C30" s="35"/>
      <c r="D30" s="35"/>
      <c r="E30" s="35"/>
      <c r="F30" s="35"/>
      <c r="G30" s="35"/>
      <c r="H30" s="35"/>
      <c r="I30" s="36"/>
    </row>
    <row r="31" spans="1:9">
      <c r="A31" s="37"/>
      <c r="I31" s="38"/>
    </row>
    <row r="32" spans="1:9">
      <c r="A32" s="37" t="s">
        <v>1818</v>
      </c>
      <c r="I32" s="38"/>
    </row>
    <row r="33" spans="1:9">
      <c r="A33" s="37" t="s">
        <v>1819</v>
      </c>
      <c r="I33" s="38"/>
    </row>
    <row r="34" spans="1:9">
      <c r="A34" s="37" t="s">
        <v>1838</v>
      </c>
      <c r="I34" s="38"/>
    </row>
    <row r="35" spans="1:9">
      <c r="A35" s="42"/>
      <c r="I35" s="38"/>
    </row>
    <row r="36" spans="1:9">
      <c r="A36" s="42" t="s">
        <v>1820</v>
      </c>
      <c r="I36" s="38"/>
    </row>
    <row r="37" spans="1:9">
      <c r="A37" s="37"/>
      <c r="I37" s="38"/>
    </row>
    <row r="38" spans="1:9">
      <c r="A38" s="43" t="s">
        <v>1839</v>
      </c>
      <c r="I38" s="38"/>
    </row>
    <row r="39" spans="1:9">
      <c r="A39" s="43" t="s">
        <v>1840</v>
      </c>
      <c r="I39" s="38"/>
    </row>
    <row r="40" spans="1:9">
      <c r="A40" s="42"/>
      <c r="I40" s="38"/>
    </row>
    <row r="41" spans="1:9">
      <c r="A41" s="42" t="s">
        <v>1832</v>
      </c>
      <c r="I41" s="38"/>
    </row>
    <row r="42" spans="1:9">
      <c r="A42" s="44" t="s">
        <v>1841</v>
      </c>
      <c r="B42" s="40"/>
      <c r="C42" s="40"/>
      <c r="D42" s="40"/>
      <c r="E42" s="40"/>
      <c r="F42" s="40"/>
      <c r="G42" s="40"/>
      <c r="H42" s="40"/>
      <c r="I42" s="41"/>
    </row>
    <row r="44" spans="1:9">
      <c r="A44" s="34" t="s">
        <v>1821</v>
      </c>
      <c r="B44" s="35"/>
      <c r="C44" s="35"/>
      <c r="D44" s="35"/>
      <c r="E44" s="35"/>
      <c r="F44" s="35"/>
      <c r="G44" s="35"/>
      <c r="H44" s="35"/>
      <c r="I44" s="36"/>
    </row>
    <row r="45" spans="1:9">
      <c r="A45" s="42"/>
      <c r="I45" s="38"/>
    </row>
    <row r="46" spans="1:9" ht="28.8">
      <c r="A46" s="45" t="s">
        <v>1822</v>
      </c>
      <c r="B46" s="46" t="s">
        <v>1823</v>
      </c>
      <c r="C46" s="46" t="s">
        <v>1824</v>
      </c>
      <c r="I46" s="38"/>
    </row>
    <row r="47" spans="1:9">
      <c r="A47" s="47">
        <v>46101</v>
      </c>
      <c r="B47" s="48">
        <v>0.42</v>
      </c>
      <c r="C47" s="48">
        <v>0.46</v>
      </c>
      <c r="I47" s="38"/>
    </row>
    <row r="48" spans="1:9">
      <c r="A48" s="47">
        <v>46104</v>
      </c>
      <c r="B48" s="49">
        <v>0.62</v>
      </c>
      <c r="C48" s="48">
        <v>0.3</v>
      </c>
      <c r="I48" s="38"/>
    </row>
    <row r="49" spans="1:12">
      <c r="A49" s="47">
        <v>46107</v>
      </c>
      <c r="B49" s="48">
        <v>0.56999999999999995</v>
      </c>
      <c r="C49" s="48">
        <v>0.35</v>
      </c>
      <c r="I49" s="38"/>
    </row>
    <row r="50" spans="1:12">
      <c r="A50" s="47">
        <v>46112</v>
      </c>
      <c r="B50" s="49">
        <v>0.66</v>
      </c>
      <c r="C50" s="48">
        <v>0.26</v>
      </c>
      <c r="D50" t="s">
        <v>1827</v>
      </c>
      <c r="I50" s="38"/>
    </row>
    <row r="51" spans="1:12">
      <c r="A51" s="47">
        <v>46114</v>
      </c>
      <c r="B51" s="48">
        <v>0.5</v>
      </c>
      <c r="C51" s="48">
        <v>0.37</v>
      </c>
      <c r="I51" s="38"/>
    </row>
    <row r="52" spans="1:12">
      <c r="A52" s="42"/>
      <c r="I52" s="38"/>
    </row>
    <row r="53" spans="1:12">
      <c r="A53" s="42" t="s">
        <v>1833</v>
      </c>
      <c r="I53" s="38"/>
    </row>
    <row r="54" spans="1:12">
      <c r="A54" s="42" t="s">
        <v>1834</v>
      </c>
      <c r="I54" s="38"/>
    </row>
    <row r="55" spans="1:12">
      <c r="A55" s="44" t="s">
        <v>1835</v>
      </c>
      <c r="B55" s="40"/>
      <c r="C55" s="40"/>
      <c r="D55" s="40"/>
      <c r="E55" s="40"/>
      <c r="F55" s="40"/>
      <c r="G55" s="40"/>
      <c r="H55" s="40"/>
      <c r="I55" s="41"/>
    </row>
    <row r="58" spans="1:12">
      <c r="A58" s="34" t="s">
        <v>1825</v>
      </c>
      <c r="B58" s="35"/>
      <c r="C58" s="35"/>
      <c r="D58" s="35"/>
      <c r="E58" s="35"/>
      <c r="F58" s="35"/>
      <c r="G58" s="35"/>
      <c r="H58" s="35"/>
      <c r="I58" s="35"/>
      <c r="J58" s="35"/>
      <c r="K58" s="35"/>
      <c r="L58" s="36"/>
    </row>
    <row r="59" spans="1:12">
      <c r="A59" s="37"/>
      <c r="L59" s="38"/>
    </row>
    <row r="60" spans="1:12">
      <c r="A60" s="37" t="s">
        <v>1826</v>
      </c>
      <c r="L60" s="38"/>
    </row>
    <row r="61" spans="1:12">
      <c r="A61" s="42"/>
      <c r="L61" s="38"/>
    </row>
    <row r="62" spans="1:12">
      <c r="A62" s="42" t="s">
        <v>1828</v>
      </c>
      <c r="L62" s="38"/>
    </row>
    <row r="63" spans="1:12">
      <c r="A63" s="37"/>
      <c r="L63" s="38"/>
    </row>
    <row r="64" spans="1:12">
      <c r="A64" s="43" t="s">
        <v>1830</v>
      </c>
      <c r="L64" s="38"/>
    </row>
    <row r="65" spans="1:12">
      <c r="A65" s="37" t="s">
        <v>1829</v>
      </c>
      <c r="L65" s="38"/>
    </row>
    <row r="66" spans="1:12">
      <c r="A66" s="43" t="s">
        <v>1831</v>
      </c>
      <c r="L66" s="38"/>
    </row>
    <row r="67" spans="1:12">
      <c r="A67" s="42" t="s">
        <v>1836</v>
      </c>
      <c r="L67" s="38"/>
    </row>
    <row r="68" spans="1:12">
      <c r="A68" s="44" t="s">
        <v>1837</v>
      </c>
      <c r="B68" s="40"/>
      <c r="C68" s="40"/>
      <c r="D68" s="40"/>
      <c r="E68" s="40"/>
      <c r="F68" s="40"/>
      <c r="G68" s="40"/>
      <c r="H68" s="40"/>
      <c r="I68" s="40"/>
      <c r="J68" s="40"/>
      <c r="K68" s="40"/>
      <c r="L68" s="41"/>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1853-D909-4DC6-AD63-30F91FE297BC}">
  <dimension ref="A1:H15"/>
  <sheetViews>
    <sheetView workbookViewId="0">
      <selection activeCell="E5" sqref="E5"/>
    </sheetView>
  </sheetViews>
  <sheetFormatPr defaultRowHeight="14.4"/>
  <cols>
    <col min="1" max="1" width="10" customWidth="1"/>
    <col min="2" max="2" width="16" customWidth="1"/>
    <col min="3" max="3" width="10" customWidth="1"/>
    <col min="4" max="4" width="12" customWidth="1"/>
    <col min="5" max="5" width="16" customWidth="1"/>
    <col min="6" max="6" width="11" customWidth="1"/>
    <col min="7" max="7" width="12" customWidth="1"/>
    <col min="8" max="8" width="30" customWidth="1"/>
  </cols>
  <sheetData>
    <row r="1" spans="1:8" ht="17.399999999999999">
      <c r="A1" s="63" t="s">
        <v>1842</v>
      </c>
      <c r="B1" s="64"/>
      <c r="C1" s="64"/>
      <c r="D1" s="64"/>
      <c r="E1" s="64"/>
      <c r="F1" s="64"/>
      <c r="G1" s="64"/>
      <c r="H1" s="64"/>
    </row>
    <row r="3" spans="1:8" ht="28.8">
      <c r="A3" s="65" t="s">
        <v>1767</v>
      </c>
      <c r="B3" s="65" t="s">
        <v>1843</v>
      </c>
      <c r="C3" s="65" t="s">
        <v>1844</v>
      </c>
      <c r="D3" s="65" t="s">
        <v>1845</v>
      </c>
      <c r="E3" s="65" t="s">
        <v>1846</v>
      </c>
      <c r="F3" s="65" t="s">
        <v>1847</v>
      </c>
      <c r="G3" s="65" t="s">
        <v>1848</v>
      </c>
      <c r="H3" s="65" t="s">
        <v>1849</v>
      </c>
    </row>
    <row r="4" spans="1:8">
      <c r="A4" s="66" t="s">
        <v>1788</v>
      </c>
      <c r="B4">
        <v>0.5</v>
      </c>
      <c r="C4">
        <v>4</v>
      </c>
      <c r="D4" t="s">
        <v>25</v>
      </c>
      <c r="E4" t="s">
        <v>1850</v>
      </c>
      <c r="F4" t="s">
        <v>1851</v>
      </c>
      <c r="G4" s="67" t="s">
        <v>1852</v>
      </c>
      <c r="H4" t="s">
        <v>1853</v>
      </c>
    </row>
    <row r="5" spans="1:8">
      <c r="A5" s="66" t="s">
        <v>1783</v>
      </c>
      <c r="B5">
        <v>0.5</v>
      </c>
      <c r="C5">
        <v>4</v>
      </c>
      <c r="D5" t="s">
        <v>25</v>
      </c>
      <c r="E5" t="s">
        <v>16</v>
      </c>
      <c r="F5" t="s">
        <v>1854</v>
      </c>
      <c r="G5" s="68" t="s">
        <v>1855</v>
      </c>
      <c r="H5" t="s">
        <v>1856</v>
      </c>
    </row>
    <row r="6" spans="1:8">
      <c r="A6" s="66" t="s">
        <v>1787</v>
      </c>
      <c r="B6">
        <v>-1</v>
      </c>
      <c r="C6">
        <v>2</v>
      </c>
      <c r="D6" t="s">
        <v>16</v>
      </c>
      <c r="E6" t="s">
        <v>1850</v>
      </c>
      <c r="F6" t="s">
        <v>1851</v>
      </c>
      <c r="G6" s="67" t="s">
        <v>1852</v>
      </c>
      <c r="H6" t="s">
        <v>1857</v>
      </c>
    </row>
    <row r="7" spans="1:8">
      <c r="A7" s="66" t="s">
        <v>1780</v>
      </c>
      <c r="B7">
        <v>0.214</v>
      </c>
      <c r="C7">
        <v>14</v>
      </c>
      <c r="D7" t="s">
        <v>25</v>
      </c>
      <c r="E7" t="s">
        <v>25</v>
      </c>
      <c r="F7" t="s">
        <v>1854</v>
      </c>
      <c r="G7" s="69" t="s">
        <v>1858</v>
      </c>
      <c r="H7" t="s">
        <v>1859</v>
      </c>
    </row>
    <row r="8" spans="1:8">
      <c r="A8" s="66" t="s">
        <v>1779</v>
      </c>
      <c r="B8">
        <v>0.04</v>
      </c>
      <c r="C8">
        <v>25</v>
      </c>
      <c r="D8" t="s">
        <v>14</v>
      </c>
      <c r="E8" t="s">
        <v>25</v>
      </c>
      <c r="F8" t="s">
        <v>1854</v>
      </c>
      <c r="G8" s="68" t="s">
        <v>1855</v>
      </c>
      <c r="H8" t="s">
        <v>1860</v>
      </c>
    </row>
    <row r="9" spans="1:8">
      <c r="A9" s="66" t="s">
        <v>1782</v>
      </c>
      <c r="B9">
        <v>0.28599999999999998</v>
      </c>
      <c r="C9">
        <v>21</v>
      </c>
      <c r="D9" t="s">
        <v>25</v>
      </c>
      <c r="E9" t="s">
        <v>25</v>
      </c>
      <c r="F9" t="s">
        <v>1861</v>
      </c>
      <c r="G9" s="69" t="s">
        <v>1858</v>
      </c>
      <c r="H9" t="s">
        <v>1862</v>
      </c>
    </row>
    <row r="10" spans="1:8">
      <c r="A10" s="66" t="s">
        <v>1774</v>
      </c>
      <c r="B10">
        <v>0.158</v>
      </c>
      <c r="C10">
        <v>19</v>
      </c>
      <c r="D10" t="s">
        <v>14</v>
      </c>
      <c r="E10" t="s">
        <v>25</v>
      </c>
      <c r="F10" t="s">
        <v>1863</v>
      </c>
      <c r="G10" s="68" t="s">
        <v>1855</v>
      </c>
      <c r="H10" t="s">
        <v>1864</v>
      </c>
    </row>
    <row r="11" spans="1:8">
      <c r="A11" s="66" t="s">
        <v>1786</v>
      </c>
      <c r="B11">
        <v>0.5</v>
      </c>
      <c r="C11">
        <v>4</v>
      </c>
      <c r="D11" t="s">
        <v>25</v>
      </c>
      <c r="E11" t="s">
        <v>1850</v>
      </c>
      <c r="F11" t="s">
        <v>1851</v>
      </c>
      <c r="G11" s="67" t="s">
        <v>1852</v>
      </c>
      <c r="H11" t="s">
        <v>1865</v>
      </c>
    </row>
    <row r="12" spans="1:8">
      <c r="A12" s="66" t="s">
        <v>1781</v>
      </c>
      <c r="B12">
        <v>0.5</v>
      </c>
      <c r="C12">
        <v>4</v>
      </c>
      <c r="D12" t="s">
        <v>25</v>
      </c>
      <c r="E12" t="s">
        <v>1850</v>
      </c>
      <c r="F12" t="s">
        <v>1851</v>
      </c>
      <c r="G12" s="67" t="s">
        <v>1852</v>
      </c>
      <c r="H12" t="s">
        <v>1866</v>
      </c>
    </row>
    <row r="13" spans="1:8">
      <c r="A13" s="66" t="s">
        <v>1775</v>
      </c>
      <c r="B13">
        <v>-0.10100000000000001</v>
      </c>
      <c r="C13">
        <v>89</v>
      </c>
      <c r="D13" t="s">
        <v>14</v>
      </c>
      <c r="E13" t="s">
        <v>16</v>
      </c>
      <c r="F13" t="s">
        <v>1854</v>
      </c>
      <c r="G13" s="68" t="s">
        <v>1855</v>
      </c>
      <c r="H13" t="s">
        <v>1867</v>
      </c>
    </row>
    <row r="14" spans="1:8">
      <c r="A14" s="66" t="s">
        <v>1776</v>
      </c>
      <c r="B14">
        <v>-0.27300000000000002</v>
      </c>
      <c r="C14">
        <v>11</v>
      </c>
      <c r="D14" t="s">
        <v>16</v>
      </c>
      <c r="E14" t="s">
        <v>16</v>
      </c>
      <c r="F14" t="s">
        <v>1854</v>
      </c>
      <c r="G14" s="69" t="s">
        <v>1858</v>
      </c>
      <c r="H14" t="s">
        <v>1868</v>
      </c>
    </row>
    <row r="15" spans="1:8">
      <c r="A15" s="66" t="s">
        <v>1791</v>
      </c>
      <c r="B15">
        <v>-1</v>
      </c>
      <c r="C15">
        <v>2</v>
      </c>
      <c r="D15" t="s">
        <v>16</v>
      </c>
      <c r="E15" t="s">
        <v>16</v>
      </c>
      <c r="F15" t="s">
        <v>1863</v>
      </c>
      <c r="G15" s="69" t="s">
        <v>1858</v>
      </c>
      <c r="H15" t="s">
        <v>1869</v>
      </c>
    </row>
  </sheetData>
  <mergeCells count="1">
    <mergeCell ref="A1:H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DCB7C-4B68-4479-9C7D-48CC221DEFCF}">
  <dimension ref="A1:B16"/>
  <sheetViews>
    <sheetView topLeftCell="A12" workbookViewId="0">
      <selection activeCell="E5" sqref="E5"/>
    </sheetView>
  </sheetViews>
  <sheetFormatPr defaultRowHeight="14.4"/>
  <cols>
    <col min="1" max="1" width="120" customWidth="1"/>
    <col min="2" max="2" width="2" customWidth="1"/>
  </cols>
  <sheetData>
    <row r="1" spans="1:2" ht="15.6">
      <c r="A1" s="70" t="s">
        <v>1870</v>
      </c>
      <c r="B1" s="64"/>
    </row>
    <row r="3" spans="1:2">
      <c r="A3" s="71" t="s">
        <v>1871</v>
      </c>
      <c r="B3" s="64"/>
    </row>
    <row r="4" spans="1:2" ht="199.95" customHeight="1">
      <c r="A4" s="72" t="s">
        <v>1872</v>
      </c>
      <c r="B4" s="64"/>
    </row>
    <row r="7" spans="1:2">
      <c r="A7" s="71" t="s">
        <v>1873</v>
      </c>
      <c r="B7" s="64"/>
    </row>
    <row r="8" spans="1:2" ht="220.05" customHeight="1">
      <c r="A8" s="72" t="s">
        <v>1874</v>
      </c>
      <c r="B8" s="64"/>
    </row>
    <row r="11" spans="1:2">
      <c r="A11" s="71" t="s">
        <v>1875</v>
      </c>
      <c r="B11" s="64"/>
    </row>
    <row r="12" spans="1:2" ht="160.05000000000001" customHeight="1">
      <c r="A12" s="72" t="s">
        <v>1876</v>
      </c>
      <c r="B12" s="64"/>
    </row>
    <row r="15" spans="1:2">
      <c r="A15" s="71" t="s">
        <v>1877</v>
      </c>
      <c r="B15" s="64"/>
    </row>
    <row r="16" spans="1:2" ht="280.05" customHeight="1">
      <c r="A16" s="72" t="s">
        <v>1878</v>
      </c>
      <c r="B16" s="64"/>
    </row>
  </sheetData>
  <mergeCells count="9">
    <mergeCell ref="A12:B12"/>
    <mergeCell ref="A15:B15"/>
    <mergeCell ref="A16:B16"/>
    <mergeCell ref="A1:B1"/>
    <mergeCell ref="A3:B3"/>
    <mergeCell ref="A4:B4"/>
    <mergeCell ref="A7:B7"/>
    <mergeCell ref="A8:B8"/>
    <mergeCell ref="A11:B1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06DB2-F872-4FC6-BCDC-BA42A1128609}">
  <dimension ref="A1:B29"/>
  <sheetViews>
    <sheetView workbookViewId="0">
      <selection activeCell="E5" sqref="E5"/>
    </sheetView>
  </sheetViews>
  <sheetFormatPr defaultRowHeight="14.4"/>
  <cols>
    <col min="1" max="1" width="35" customWidth="1"/>
    <col min="2" max="2" width="55" customWidth="1"/>
  </cols>
  <sheetData>
    <row r="1" spans="1:2" ht="15.6">
      <c r="A1" s="73" t="s">
        <v>1879</v>
      </c>
    </row>
    <row r="4" spans="1:2">
      <c r="A4" s="66" t="s">
        <v>1880</v>
      </c>
      <c r="B4">
        <v>12</v>
      </c>
    </row>
    <row r="5" spans="1:2">
      <c r="A5" s="66" t="s">
        <v>1881</v>
      </c>
      <c r="B5">
        <v>8</v>
      </c>
    </row>
    <row r="6" spans="1:2">
      <c r="A6" s="66" t="s">
        <v>1882</v>
      </c>
      <c r="B6">
        <v>4</v>
      </c>
    </row>
    <row r="7" spans="1:2">
      <c r="A7" s="66" t="s">
        <v>1883</v>
      </c>
      <c r="B7" t="s">
        <v>1884</v>
      </c>
    </row>
    <row r="9" spans="1:2">
      <c r="A9" s="74" t="s">
        <v>1885</v>
      </c>
    </row>
    <row r="10" spans="1:2">
      <c r="A10" s="66" t="s">
        <v>1886</v>
      </c>
      <c r="B10" t="s">
        <v>1887</v>
      </c>
    </row>
    <row r="11" spans="1:2">
      <c r="A11" s="66" t="s">
        <v>1888</v>
      </c>
      <c r="B11" t="s">
        <v>1889</v>
      </c>
    </row>
    <row r="12" spans="1:2">
      <c r="A12" s="66" t="s">
        <v>1890</v>
      </c>
      <c r="B12" t="s">
        <v>1891</v>
      </c>
    </row>
    <row r="14" spans="1:2">
      <c r="A14" s="74" t="s">
        <v>1892</v>
      </c>
    </row>
    <row r="15" spans="1:2">
      <c r="A15" s="66" t="s">
        <v>1893</v>
      </c>
      <c r="B15" t="s">
        <v>1894</v>
      </c>
    </row>
    <row r="16" spans="1:2">
      <c r="A16" s="66" t="s">
        <v>1895</v>
      </c>
      <c r="B16" t="s">
        <v>1896</v>
      </c>
    </row>
    <row r="17" spans="1:2">
      <c r="A17" s="66" t="s">
        <v>1897</v>
      </c>
      <c r="B17" t="s">
        <v>1898</v>
      </c>
    </row>
    <row r="19" spans="1:2">
      <c r="A19" s="74" t="s">
        <v>1899</v>
      </c>
    </row>
    <row r="20" spans="1:2">
      <c r="A20" s="66" t="s">
        <v>1900</v>
      </c>
      <c r="B20" t="s">
        <v>1901</v>
      </c>
    </row>
    <row r="21" spans="1:2">
      <c r="A21" s="66" t="s">
        <v>1902</v>
      </c>
      <c r="B21" t="s">
        <v>1903</v>
      </c>
    </row>
    <row r="22" spans="1:2">
      <c r="A22" s="66" t="s">
        <v>1904</v>
      </c>
      <c r="B22" t="s">
        <v>1905</v>
      </c>
    </row>
    <row r="24" spans="1:2">
      <c r="A24" s="74" t="s">
        <v>1906</v>
      </c>
    </row>
    <row r="25" spans="1:2">
      <c r="A25" s="66" t="s">
        <v>1907</v>
      </c>
      <c r="B25" t="s">
        <v>1908</v>
      </c>
    </row>
    <row r="26" spans="1:2">
      <c r="A26" s="66" t="s">
        <v>1909</v>
      </c>
      <c r="B26" t="s">
        <v>1910</v>
      </c>
    </row>
    <row r="27" spans="1:2">
      <c r="A27" s="66" t="s">
        <v>1911</v>
      </c>
      <c r="B27" t="s">
        <v>1912</v>
      </c>
    </row>
    <row r="28" spans="1:2">
      <c r="A28" s="66" t="s">
        <v>1913</v>
      </c>
      <c r="B28" t="s">
        <v>1914</v>
      </c>
    </row>
    <row r="29" spans="1:2">
      <c r="A29" s="66" t="s">
        <v>1915</v>
      </c>
      <c r="B29" t="s">
        <v>1916</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BB2D3-ACAB-433F-91AA-1A4C0D224B7A}">
  <sheetPr codeName="Sheet13"/>
  <dimension ref="A2:EH103"/>
  <sheetViews>
    <sheetView topLeftCell="A74" zoomScale="85" workbookViewId="0">
      <selection activeCell="F12" sqref="F12"/>
    </sheetView>
  </sheetViews>
  <sheetFormatPr defaultColWidth="8.88671875" defaultRowHeight="14.4"/>
  <cols>
    <col min="1" max="1" width="11.88671875" customWidth="1"/>
    <col min="2" max="2" width="18.88671875" bestFit="1" customWidth="1"/>
    <col min="3" max="3" width="13" customWidth="1"/>
    <col min="4" max="4" width="16" customWidth="1"/>
    <col min="5" max="5" width="14.6640625" customWidth="1"/>
    <col min="6" max="6" width="15.5546875" bestFit="1" customWidth="1"/>
    <col min="8" max="8" width="15.5546875" bestFit="1" customWidth="1"/>
    <col min="10" max="10" width="17.88671875" customWidth="1"/>
    <col min="12" max="12" width="15.5546875" bestFit="1" customWidth="1"/>
    <col min="14" max="14" width="15.5546875" bestFit="1" customWidth="1"/>
    <col min="16" max="16" width="15.5546875" bestFit="1" customWidth="1"/>
    <col min="18" max="18" width="15.5546875" bestFit="1" customWidth="1"/>
    <col min="20" max="20" width="15.5546875" bestFit="1" customWidth="1"/>
    <col min="22" max="22" width="15.5546875" bestFit="1" customWidth="1"/>
    <col min="24" max="24" width="15.5546875" bestFit="1" customWidth="1"/>
    <col min="26" max="26" width="15.5546875" bestFit="1" customWidth="1"/>
    <col min="28" max="28" width="15.5546875" bestFit="1" customWidth="1"/>
    <col min="30" max="30" width="15.5546875" bestFit="1" customWidth="1"/>
    <col min="32" max="32" width="15.5546875" bestFit="1" customWidth="1"/>
    <col min="34" max="34" width="15.5546875" bestFit="1" customWidth="1"/>
    <col min="36" max="36" width="15.5546875" bestFit="1" customWidth="1"/>
    <col min="38" max="38" width="15.5546875" bestFit="1" customWidth="1"/>
    <col min="40" max="40" width="15.5546875" bestFit="1" customWidth="1"/>
    <col min="42" max="42" width="15.5546875" bestFit="1" customWidth="1"/>
    <col min="44" max="44" width="15.5546875" bestFit="1" customWidth="1"/>
    <col min="46" max="46" width="15.5546875" bestFit="1" customWidth="1"/>
    <col min="48" max="48" width="15.5546875" bestFit="1" customWidth="1"/>
    <col min="50" max="50" width="15.5546875" bestFit="1" customWidth="1"/>
    <col min="52" max="52" width="15.5546875" bestFit="1" customWidth="1"/>
    <col min="54" max="54" width="15.5546875" bestFit="1" customWidth="1"/>
    <col min="56" max="56" width="15.5546875" bestFit="1" customWidth="1"/>
    <col min="58" max="58" width="15.5546875" bestFit="1" customWidth="1"/>
    <col min="60" max="60" width="15.5546875" bestFit="1" customWidth="1"/>
    <col min="62" max="62" width="15.5546875" bestFit="1" customWidth="1"/>
    <col min="64" max="64" width="15.5546875" bestFit="1" customWidth="1"/>
    <col min="66" max="66" width="15.5546875" bestFit="1" customWidth="1"/>
    <col min="68" max="68" width="15.5546875" bestFit="1" customWidth="1"/>
    <col min="70" max="70" width="15.5546875" bestFit="1" customWidth="1"/>
    <col min="72" max="72" width="15.5546875" bestFit="1" customWidth="1"/>
    <col min="74" max="74" width="15.5546875" bestFit="1" customWidth="1"/>
    <col min="76" max="76" width="15.5546875" bestFit="1" customWidth="1"/>
    <col min="78" max="78" width="15.5546875" bestFit="1" customWidth="1"/>
    <col min="80" max="80" width="15.5546875" bestFit="1" customWidth="1"/>
    <col min="82" max="82" width="15.5546875" bestFit="1" customWidth="1"/>
    <col min="84" max="84" width="15.5546875" bestFit="1" customWidth="1"/>
    <col min="86" max="86" width="15.5546875" bestFit="1" customWidth="1"/>
    <col min="88" max="88" width="15.5546875" bestFit="1" customWidth="1"/>
    <col min="90" max="90" width="15.5546875" bestFit="1" customWidth="1"/>
    <col min="92" max="92" width="15.5546875" bestFit="1" customWidth="1"/>
    <col min="94" max="94" width="15.5546875" bestFit="1" customWidth="1"/>
    <col min="96" max="96" width="15.5546875" bestFit="1" customWidth="1"/>
    <col min="98" max="98" width="15.5546875" bestFit="1" customWidth="1"/>
    <col min="100" max="100" width="15.5546875" bestFit="1" customWidth="1"/>
    <col min="102" max="102" width="15.5546875" bestFit="1" customWidth="1"/>
    <col min="104" max="104" width="15.5546875" bestFit="1" customWidth="1"/>
    <col min="106" max="106" width="15.5546875" bestFit="1" customWidth="1"/>
    <col min="108" max="108" width="15.5546875" bestFit="1" customWidth="1"/>
    <col min="110" max="110" width="15.5546875" bestFit="1" customWidth="1"/>
    <col min="112" max="112" width="15.5546875" bestFit="1" customWidth="1"/>
    <col min="114" max="114" width="15.5546875" bestFit="1" customWidth="1"/>
    <col min="116" max="116" width="15.5546875" bestFit="1" customWidth="1"/>
    <col min="118" max="118" width="15.5546875" bestFit="1" customWidth="1"/>
    <col min="120" max="120" width="15.5546875" bestFit="1" customWidth="1"/>
    <col min="122" max="122" width="15.5546875" bestFit="1" customWidth="1"/>
    <col min="124" max="124" width="15.5546875" bestFit="1" customWidth="1"/>
    <col min="126" max="126" width="15.5546875" bestFit="1" customWidth="1"/>
    <col min="128" max="128" width="15.5546875" bestFit="1" customWidth="1"/>
    <col min="130" max="130" width="15.5546875" bestFit="1" customWidth="1"/>
    <col min="132" max="132" width="15.5546875" bestFit="1" customWidth="1"/>
    <col min="134" max="134" width="15.5546875" bestFit="1" customWidth="1"/>
    <col min="136" max="136" width="15.5546875" bestFit="1" customWidth="1"/>
    <col min="138" max="138" width="12.33203125" bestFit="1" customWidth="1"/>
  </cols>
  <sheetData>
    <row r="2" spans="1:9" ht="15.6">
      <c r="A2" t="s">
        <v>1798</v>
      </c>
      <c r="B2" t="s">
        <v>1917</v>
      </c>
      <c r="C2" t="s">
        <v>1918</v>
      </c>
      <c r="D2" t="s">
        <v>1919</v>
      </c>
      <c r="H2" t="s">
        <v>1920</v>
      </c>
      <c r="I2" s="75">
        <v>0.05</v>
      </c>
    </row>
    <row r="3" spans="1:9" ht="15.6">
      <c r="A3" t="s">
        <v>1921</v>
      </c>
      <c r="B3">
        <v>1</v>
      </c>
      <c r="C3">
        <v>2589</v>
      </c>
      <c r="D3">
        <f t="shared" ref="D3:D66" si="0">$I$2*B3+$I$3*LOG(1+C3)</f>
        <v>8.4132997640812529E-2</v>
      </c>
      <c r="H3" t="s">
        <v>1922</v>
      </c>
      <c r="I3" s="75">
        <v>0.01</v>
      </c>
    </row>
    <row r="4" spans="1:9">
      <c r="A4" t="s">
        <v>1923</v>
      </c>
      <c r="B4">
        <v>1</v>
      </c>
      <c r="C4">
        <v>209</v>
      </c>
      <c r="D4">
        <f t="shared" si="0"/>
        <v>7.3222192947339199E-2</v>
      </c>
    </row>
    <row r="5" spans="1:9">
      <c r="A5" t="s">
        <v>1924</v>
      </c>
      <c r="B5">
        <v>1</v>
      </c>
      <c r="C5">
        <v>196</v>
      </c>
      <c r="D5">
        <f t="shared" si="0"/>
        <v>7.2944662261615931E-2</v>
      </c>
    </row>
    <row r="6" spans="1:9">
      <c r="A6" t="s">
        <v>1925</v>
      </c>
      <c r="B6">
        <v>1</v>
      </c>
      <c r="C6">
        <v>150</v>
      </c>
      <c r="D6">
        <f t="shared" si="0"/>
        <v>7.1789769472931697E-2</v>
      </c>
    </row>
    <row r="7" spans="1:9">
      <c r="A7" t="s">
        <v>1926</v>
      </c>
      <c r="B7">
        <v>1</v>
      </c>
      <c r="C7">
        <v>133</v>
      </c>
      <c r="D7">
        <f t="shared" si="0"/>
        <v>7.1271047983648084E-2</v>
      </c>
    </row>
    <row r="8" spans="1:9">
      <c r="A8" t="s">
        <v>1927</v>
      </c>
      <c r="B8">
        <v>1</v>
      </c>
      <c r="C8">
        <v>68</v>
      </c>
      <c r="D8">
        <f t="shared" si="0"/>
        <v>6.8388490907372562E-2</v>
      </c>
    </row>
    <row r="9" spans="1:9">
      <c r="A9" t="s">
        <v>1928</v>
      </c>
      <c r="B9">
        <v>1</v>
      </c>
      <c r="C9">
        <v>65</v>
      </c>
      <c r="D9">
        <f t="shared" si="0"/>
        <v>6.8195439355418691E-2</v>
      </c>
    </row>
    <row r="10" spans="1:9">
      <c r="A10" t="s">
        <v>1929</v>
      </c>
      <c r="B10">
        <v>1</v>
      </c>
      <c r="C10">
        <v>41</v>
      </c>
      <c r="D10">
        <f t="shared" si="0"/>
        <v>6.6232492903979007E-2</v>
      </c>
    </row>
    <row r="11" spans="1:9">
      <c r="A11" t="s">
        <v>1930</v>
      </c>
      <c r="B11">
        <v>1</v>
      </c>
      <c r="C11">
        <v>39</v>
      </c>
      <c r="D11">
        <f t="shared" si="0"/>
        <v>6.6020599913279632E-2</v>
      </c>
    </row>
    <row r="12" spans="1:9">
      <c r="A12" t="s">
        <v>1931</v>
      </c>
      <c r="B12">
        <v>1</v>
      </c>
      <c r="C12">
        <v>37</v>
      </c>
      <c r="D12">
        <f t="shared" si="0"/>
        <v>6.5797835966168103E-2</v>
      </c>
    </row>
    <row r="13" spans="1:9">
      <c r="A13" t="s">
        <v>1932</v>
      </c>
      <c r="B13">
        <v>1</v>
      </c>
      <c r="C13">
        <v>15</v>
      </c>
      <c r="D13">
        <f t="shared" si="0"/>
        <v>6.204119982655925E-2</v>
      </c>
    </row>
    <row r="14" spans="1:9">
      <c r="A14" t="s">
        <v>1933</v>
      </c>
      <c r="B14">
        <v>1</v>
      </c>
      <c r="C14">
        <v>11</v>
      </c>
      <c r="D14">
        <f t="shared" si="0"/>
        <v>6.0791812460476255E-2</v>
      </c>
    </row>
    <row r="15" spans="1:9">
      <c r="A15" t="s">
        <v>1934</v>
      </c>
      <c r="B15">
        <v>1</v>
      </c>
      <c r="C15">
        <v>9</v>
      </c>
      <c r="D15">
        <f t="shared" si="0"/>
        <v>6.0000000000000005E-2</v>
      </c>
    </row>
    <row r="16" spans="1:9">
      <c r="A16" t="s">
        <v>1781</v>
      </c>
      <c r="B16">
        <v>0.5</v>
      </c>
      <c r="C16">
        <v>2370</v>
      </c>
      <c r="D16">
        <f t="shared" si="0"/>
        <v>5.8749315539781882E-2</v>
      </c>
    </row>
    <row r="17" spans="1:18">
      <c r="A17" t="s">
        <v>1935</v>
      </c>
      <c r="B17">
        <v>1</v>
      </c>
      <c r="C17">
        <v>5</v>
      </c>
      <c r="D17">
        <f t="shared" si="0"/>
        <v>5.7781512503836438E-2</v>
      </c>
    </row>
    <row r="18" spans="1:18">
      <c r="A18" t="s">
        <v>1936</v>
      </c>
      <c r="B18">
        <v>1</v>
      </c>
      <c r="C18">
        <v>5</v>
      </c>
      <c r="D18">
        <f t="shared" si="0"/>
        <v>5.7781512503836438E-2</v>
      </c>
    </row>
    <row r="19" spans="1:18">
      <c r="A19" t="s">
        <v>1937</v>
      </c>
      <c r="B19">
        <v>1</v>
      </c>
      <c r="C19">
        <v>3</v>
      </c>
      <c r="D19">
        <f t="shared" si="0"/>
        <v>5.602059991327963E-2</v>
      </c>
    </row>
    <row r="20" spans="1:18">
      <c r="A20" t="s">
        <v>1782</v>
      </c>
      <c r="B20">
        <v>0.31818181800000001</v>
      </c>
      <c r="C20">
        <v>10002</v>
      </c>
      <c r="D20">
        <f t="shared" si="0"/>
        <v>5.5910393588052276E-2</v>
      </c>
    </row>
    <row r="21" spans="1:18">
      <c r="A21" t="s">
        <v>1938</v>
      </c>
      <c r="B21">
        <v>1</v>
      </c>
      <c r="C21">
        <v>2</v>
      </c>
      <c r="D21">
        <f t="shared" si="0"/>
        <v>5.4771212547196628E-2</v>
      </c>
    </row>
    <row r="22" spans="1:18">
      <c r="A22" t="s">
        <v>1939</v>
      </c>
      <c r="B22">
        <v>1</v>
      </c>
      <c r="C22">
        <v>2</v>
      </c>
      <c r="D22">
        <f t="shared" si="0"/>
        <v>5.4771212547196628E-2</v>
      </c>
      <c r="I22" s="76" t="s">
        <v>1940</v>
      </c>
      <c r="J22" s="76"/>
    </row>
    <row r="23" spans="1:18" ht="21" customHeight="1">
      <c r="A23" t="s">
        <v>1799</v>
      </c>
      <c r="B23">
        <v>0.109848485</v>
      </c>
      <c r="C23">
        <v>74532</v>
      </c>
      <c r="D23">
        <f t="shared" si="0"/>
        <v>5.4215910272073668E-2</v>
      </c>
      <c r="I23" s="77">
        <v>1</v>
      </c>
      <c r="J23" s="78" t="s">
        <v>1941</v>
      </c>
      <c r="K23" s="79"/>
      <c r="L23" s="79"/>
      <c r="M23" s="79"/>
      <c r="N23" s="79"/>
      <c r="O23" s="79"/>
      <c r="P23" s="79"/>
      <c r="Q23" s="79"/>
      <c r="R23" s="79"/>
    </row>
    <row r="24" spans="1:18">
      <c r="A24" t="s">
        <v>1811</v>
      </c>
      <c r="B24">
        <v>0.66666666699999999</v>
      </c>
      <c r="C24">
        <v>120</v>
      </c>
      <c r="D24">
        <f t="shared" si="0"/>
        <v>5.41611870531645E-2</v>
      </c>
      <c r="I24" s="77"/>
      <c r="J24" s="79"/>
      <c r="K24" s="79"/>
      <c r="L24" s="79"/>
      <c r="M24" s="79"/>
      <c r="N24" s="79"/>
      <c r="O24" s="79"/>
      <c r="P24" s="79"/>
      <c r="Q24" s="79"/>
      <c r="R24" s="79"/>
    </row>
    <row r="25" spans="1:18">
      <c r="A25" t="s">
        <v>1942</v>
      </c>
      <c r="B25">
        <v>1</v>
      </c>
      <c r="C25">
        <v>1</v>
      </c>
      <c r="D25">
        <f t="shared" si="0"/>
        <v>5.3010299956639813E-2</v>
      </c>
      <c r="I25" s="77"/>
      <c r="J25" s="79" t="s">
        <v>1943</v>
      </c>
      <c r="K25" s="79"/>
      <c r="L25" s="79"/>
      <c r="M25" s="79"/>
      <c r="N25" s="79"/>
      <c r="O25" s="79"/>
      <c r="P25" s="79"/>
      <c r="Q25" s="79"/>
      <c r="R25" s="79"/>
    </row>
    <row r="26" spans="1:18">
      <c r="A26" t="s">
        <v>1779</v>
      </c>
      <c r="B26">
        <v>0.21739130400000001</v>
      </c>
      <c r="C26">
        <v>15358</v>
      </c>
      <c r="D26">
        <f t="shared" si="0"/>
        <v>5.2733194603947313E-2</v>
      </c>
      <c r="I26" s="77"/>
      <c r="J26" s="79"/>
      <c r="K26" s="79"/>
      <c r="L26" s="79"/>
      <c r="M26" s="79"/>
      <c r="N26" s="79"/>
      <c r="O26" s="79"/>
      <c r="P26" s="79"/>
      <c r="Q26" s="79"/>
      <c r="R26" s="79"/>
    </row>
    <row r="27" spans="1:18">
      <c r="A27" t="s">
        <v>1944</v>
      </c>
      <c r="B27">
        <v>0.33333333300000001</v>
      </c>
      <c r="C27">
        <v>1232</v>
      </c>
      <c r="D27">
        <f t="shared" si="0"/>
        <v>4.7576297415957314E-2</v>
      </c>
      <c r="I27" s="77"/>
      <c r="J27" s="79"/>
      <c r="K27" s="79"/>
      <c r="L27" s="79"/>
      <c r="M27" s="79"/>
      <c r="N27" s="79"/>
      <c r="O27" s="79"/>
      <c r="P27" s="79"/>
      <c r="Q27" s="79"/>
      <c r="R27" s="79"/>
    </row>
    <row r="28" spans="1:18">
      <c r="A28" t="s">
        <v>1795</v>
      </c>
      <c r="B28">
        <v>0.428571429</v>
      </c>
      <c r="C28">
        <v>267</v>
      </c>
      <c r="D28">
        <f t="shared" si="0"/>
        <v>4.5709919390287894E-2</v>
      </c>
      <c r="I28" s="77"/>
      <c r="J28" s="79"/>
      <c r="K28" s="79"/>
      <c r="L28" s="79"/>
      <c r="M28" s="79"/>
      <c r="N28" s="79"/>
      <c r="O28" s="79"/>
      <c r="P28" s="79"/>
      <c r="Q28" s="79"/>
      <c r="R28" s="79"/>
    </row>
    <row r="29" spans="1:18">
      <c r="A29" t="s">
        <v>1945</v>
      </c>
      <c r="B29">
        <v>0.5</v>
      </c>
      <c r="C29">
        <v>76</v>
      </c>
      <c r="D29">
        <f t="shared" si="0"/>
        <v>4.3864907251724816E-2</v>
      </c>
      <c r="I29" s="77"/>
      <c r="J29" s="79"/>
      <c r="K29" s="79"/>
      <c r="L29" s="79"/>
      <c r="M29" s="79"/>
      <c r="N29" s="79"/>
      <c r="O29" s="79"/>
      <c r="P29" s="79"/>
      <c r="Q29" s="79"/>
      <c r="R29" s="79"/>
    </row>
    <row r="30" spans="1:18" ht="18" customHeight="1">
      <c r="A30" t="s">
        <v>1786</v>
      </c>
      <c r="B30">
        <v>0.5</v>
      </c>
      <c r="C30">
        <v>48</v>
      </c>
      <c r="D30">
        <f t="shared" si="0"/>
        <v>4.1901960800285139E-2</v>
      </c>
      <c r="I30" s="77"/>
      <c r="J30" s="79"/>
      <c r="K30" s="79"/>
      <c r="L30" s="79"/>
      <c r="M30" s="79"/>
      <c r="N30" s="79"/>
      <c r="O30" s="79"/>
      <c r="P30" s="79"/>
      <c r="Q30" s="79"/>
      <c r="R30" s="79"/>
    </row>
    <row r="31" spans="1:18" ht="15" customHeight="1">
      <c r="A31" t="s">
        <v>1946</v>
      </c>
      <c r="B31">
        <v>0.5</v>
      </c>
      <c r="C31">
        <v>31</v>
      </c>
      <c r="D31">
        <f t="shared" si="0"/>
        <v>4.0051499783199065E-2</v>
      </c>
      <c r="I31" s="80">
        <v>2</v>
      </c>
      <c r="J31" s="78" t="s">
        <v>1947</v>
      </c>
      <c r="K31" s="79"/>
      <c r="L31" s="79"/>
      <c r="M31" s="79"/>
      <c r="N31" s="79"/>
      <c r="O31" s="79"/>
      <c r="P31" s="79"/>
      <c r="Q31" s="79"/>
      <c r="R31" s="79"/>
    </row>
    <row r="32" spans="1:18">
      <c r="A32" t="s">
        <v>1780</v>
      </c>
      <c r="B32">
        <v>7.6923077000000006E-2</v>
      </c>
      <c r="C32">
        <v>3076</v>
      </c>
      <c r="D32">
        <f t="shared" si="0"/>
        <v>3.8727428812474589E-2</v>
      </c>
      <c r="I32" s="80"/>
      <c r="J32" s="79"/>
      <c r="K32" s="79"/>
      <c r="L32" s="79"/>
      <c r="M32" s="79"/>
      <c r="N32" s="79"/>
      <c r="O32" s="79"/>
      <c r="P32" s="79"/>
      <c r="Q32" s="79"/>
      <c r="R32" s="79"/>
    </row>
    <row r="33" spans="1:18">
      <c r="A33" t="s">
        <v>1778</v>
      </c>
      <c r="B33">
        <v>0.1</v>
      </c>
      <c r="C33">
        <v>1777</v>
      </c>
      <c r="D33">
        <f t="shared" si="0"/>
        <v>3.749931756634195E-2</v>
      </c>
      <c r="I33" s="80"/>
      <c r="J33" s="79" t="s">
        <v>1948</v>
      </c>
      <c r="K33" s="79"/>
      <c r="L33" s="79"/>
      <c r="M33" s="79"/>
      <c r="N33" s="79"/>
      <c r="O33" s="79"/>
      <c r="P33" s="79"/>
      <c r="Q33" s="79"/>
      <c r="R33" s="79"/>
    </row>
    <row r="34" spans="1:18">
      <c r="A34" t="s">
        <v>1785</v>
      </c>
      <c r="B34">
        <v>0.33333333300000001</v>
      </c>
      <c r="C34">
        <v>117</v>
      </c>
      <c r="D34">
        <f t="shared" si="0"/>
        <v>3.7385486723061259E-2</v>
      </c>
      <c r="I34" s="80"/>
      <c r="J34" s="79"/>
      <c r="K34" s="79"/>
      <c r="L34" s="79"/>
      <c r="M34" s="79"/>
      <c r="N34" s="79"/>
      <c r="O34" s="79"/>
      <c r="P34" s="79"/>
      <c r="Q34" s="79"/>
      <c r="R34" s="79"/>
    </row>
    <row r="35" spans="1:18">
      <c r="A35" t="s">
        <v>1797</v>
      </c>
      <c r="B35">
        <v>0</v>
      </c>
      <c r="C35">
        <v>4979</v>
      </c>
      <c r="D35">
        <f t="shared" si="0"/>
        <v>3.6972293427597176E-2</v>
      </c>
      <c r="I35" s="80"/>
      <c r="J35" s="79"/>
      <c r="K35" s="79"/>
      <c r="L35" s="79"/>
      <c r="M35" s="79"/>
      <c r="N35" s="79"/>
      <c r="O35" s="79"/>
      <c r="P35" s="79"/>
      <c r="Q35" s="79"/>
      <c r="R35" s="79"/>
    </row>
    <row r="36" spans="1:18">
      <c r="A36" t="s">
        <v>1949</v>
      </c>
      <c r="B36">
        <v>0.33333333300000001</v>
      </c>
      <c r="C36">
        <v>90</v>
      </c>
      <c r="D36">
        <f t="shared" si="0"/>
        <v>3.6257080573210934E-2</v>
      </c>
      <c r="I36" s="80"/>
      <c r="J36" s="79"/>
      <c r="K36" s="79"/>
      <c r="L36" s="79"/>
      <c r="M36" s="79"/>
      <c r="N36" s="79"/>
      <c r="O36" s="79"/>
      <c r="P36" s="79"/>
      <c r="Q36" s="79"/>
      <c r="R36" s="79"/>
    </row>
    <row r="37" spans="1:18">
      <c r="A37" t="s">
        <v>1774</v>
      </c>
      <c r="B37">
        <v>0.111111111</v>
      </c>
      <c r="C37">
        <v>1062</v>
      </c>
      <c r="D37">
        <f t="shared" si="0"/>
        <v>3.5820888195232964E-2</v>
      </c>
      <c r="I37" s="80"/>
      <c r="J37" s="79"/>
      <c r="K37" s="79"/>
      <c r="L37" s="79"/>
      <c r="M37" s="79"/>
      <c r="N37" s="79"/>
      <c r="O37" s="79"/>
      <c r="P37" s="79"/>
      <c r="Q37" s="79"/>
      <c r="R37" s="79"/>
    </row>
    <row r="38" spans="1:18">
      <c r="A38" t="s">
        <v>1950</v>
      </c>
      <c r="B38">
        <v>0.14285714299999999</v>
      </c>
      <c r="C38">
        <v>600</v>
      </c>
      <c r="D38">
        <f t="shared" si="0"/>
        <v>3.4931601870027397E-2</v>
      </c>
      <c r="I38" s="80"/>
      <c r="J38" s="79"/>
      <c r="K38" s="79"/>
      <c r="L38" s="79"/>
      <c r="M38" s="79"/>
      <c r="N38" s="79"/>
      <c r="O38" s="79"/>
      <c r="P38" s="79"/>
      <c r="Q38" s="79"/>
      <c r="R38" s="79"/>
    </row>
    <row r="39" spans="1:18">
      <c r="A39" t="s">
        <v>1951</v>
      </c>
      <c r="B39">
        <v>0.5</v>
      </c>
      <c r="C39">
        <v>7</v>
      </c>
      <c r="D39">
        <f t="shared" si="0"/>
        <v>3.4030899869919438E-2</v>
      </c>
      <c r="I39" s="81"/>
      <c r="J39" s="82"/>
    </row>
    <row r="40" spans="1:18">
      <c r="A40" t="s">
        <v>1952</v>
      </c>
      <c r="B40">
        <v>0.2</v>
      </c>
      <c r="C40">
        <v>123</v>
      </c>
      <c r="D40">
        <f t="shared" si="0"/>
        <v>3.0934216851622353E-2</v>
      </c>
    </row>
    <row r="41" spans="1:18">
      <c r="A41" t="s">
        <v>1953</v>
      </c>
      <c r="B41">
        <v>0.33333333300000001</v>
      </c>
      <c r="C41">
        <v>23</v>
      </c>
      <c r="D41">
        <f t="shared" si="0"/>
        <v>3.0468779067116061E-2</v>
      </c>
    </row>
    <row r="42" spans="1:18">
      <c r="A42" t="s">
        <v>1790</v>
      </c>
      <c r="B42">
        <v>0</v>
      </c>
      <c r="C42">
        <v>561</v>
      </c>
      <c r="D42">
        <f t="shared" si="0"/>
        <v>2.749736315569061E-2</v>
      </c>
    </row>
    <row r="43" spans="1:18">
      <c r="A43" t="s">
        <v>1783</v>
      </c>
      <c r="B43">
        <v>0</v>
      </c>
      <c r="C43">
        <v>520</v>
      </c>
      <c r="D43">
        <f t="shared" si="0"/>
        <v>2.7168377232995249E-2</v>
      </c>
    </row>
    <row r="44" spans="1:18">
      <c r="A44" t="s">
        <v>1775</v>
      </c>
      <c r="B44">
        <v>-0.30769230800000003</v>
      </c>
      <c r="C44">
        <v>5961</v>
      </c>
      <c r="D44">
        <f t="shared" si="0"/>
        <v>2.236930431696612E-2</v>
      </c>
    </row>
    <row r="45" spans="1:18">
      <c r="A45" t="s">
        <v>1777</v>
      </c>
      <c r="B45">
        <v>0</v>
      </c>
      <c r="C45">
        <v>168</v>
      </c>
      <c r="D45">
        <f t="shared" si="0"/>
        <v>2.2278867046136734E-2</v>
      </c>
    </row>
    <row r="46" spans="1:18">
      <c r="A46" t="s">
        <v>1954</v>
      </c>
      <c r="B46">
        <v>-9.0909090999999997E-2</v>
      </c>
      <c r="C46">
        <v>469</v>
      </c>
      <c r="D46">
        <f t="shared" si="0"/>
        <v>2.2175524029357175E-2</v>
      </c>
    </row>
    <row r="47" spans="1:18">
      <c r="A47" t="s">
        <v>1955</v>
      </c>
      <c r="B47">
        <v>0</v>
      </c>
      <c r="C47">
        <v>74</v>
      </c>
      <c r="D47">
        <f t="shared" si="0"/>
        <v>1.8750612633917002E-2</v>
      </c>
    </row>
    <row r="48" spans="1:18">
      <c r="A48" t="s">
        <v>1956</v>
      </c>
      <c r="B48">
        <v>0</v>
      </c>
      <c r="C48">
        <v>61</v>
      </c>
      <c r="D48">
        <f t="shared" si="0"/>
        <v>1.7923916894982541E-2</v>
      </c>
    </row>
    <row r="49" spans="1:4">
      <c r="A49" t="s">
        <v>1957</v>
      </c>
      <c r="B49">
        <v>0</v>
      </c>
      <c r="C49">
        <v>10</v>
      </c>
      <c r="D49">
        <f t="shared" si="0"/>
        <v>1.0413926851582251E-2</v>
      </c>
    </row>
    <row r="50" spans="1:4">
      <c r="A50" t="s">
        <v>1958</v>
      </c>
      <c r="B50">
        <v>0</v>
      </c>
      <c r="C50">
        <v>8</v>
      </c>
      <c r="D50">
        <f t="shared" si="0"/>
        <v>9.5424250943932486E-3</v>
      </c>
    </row>
    <row r="51" spans="1:4">
      <c r="A51" t="s">
        <v>1959</v>
      </c>
      <c r="B51">
        <v>0</v>
      </c>
      <c r="C51">
        <v>7</v>
      </c>
      <c r="D51">
        <f t="shared" si="0"/>
        <v>9.0308998699194353E-3</v>
      </c>
    </row>
    <row r="52" spans="1:4">
      <c r="A52" t="s">
        <v>1960</v>
      </c>
      <c r="B52">
        <v>0</v>
      </c>
      <c r="C52">
        <v>4</v>
      </c>
      <c r="D52">
        <f t="shared" si="0"/>
        <v>6.9897000433601884E-3</v>
      </c>
    </row>
    <row r="53" spans="1:4">
      <c r="A53" t="s">
        <v>1961</v>
      </c>
      <c r="B53">
        <v>0</v>
      </c>
      <c r="C53">
        <v>4</v>
      </c>
      <c r="D53">
        <f t="shared" si="0"/>
        <v>6.9897000433601884E-3</v>
      </c>
    </row>
    <row r="54" spans="1:4">
      <c r="A54" t="s">
        <v>1962</v>
      </c>
      <c r="B54">
        <v>0</v>
      </c>
      <c r="C54">
        <v>3</v>
      </c>
      <c r="D54">
        <f t="shared" si="0"/>
        <v>6.0205999132796244E-3</v>
      </c>
    </row>
    <row r="55" spans="1:4">
      <c r="A55" t="s">
        <v>1963</v>
      </c>
      <c r="B55">
        <v>0</v>
      </c>
      <c r="C55">
        <v>3</v>
      </c>
      <c r="D55">
        <f t="shared" si="0"/>
        <v>6.0205999132796244E-3</v>
      </c>
    </row>
    <row r="56" spans="1:4">
      <c r="A56" t="s">
        <v>1789</v>
      </c>
      <c r="B56">
        <v>-0.5</v>
      </c>
      <c r="C56">
        <v>1023</v>
      </c>
      <c r="D56">
        <f t="shared" si="0"/>
        <v>5.1029995663981198E-3</v>
      </c>
    </row>
    <row r="57" spans="1:4">
      <c r="A57" t="s">
        <v>1964</v>
      </c>
      <c r="B57">
        <v>0</v>
      </c>
      <c r="C57">
        <v>2</v>
      </c>
      <c r="D57">
        <f t="shared" si="0"/>
        <v>4.7712125471966243E-3</v>
      </c>
    </row>
    <row r="58" spans="1:4">
      <c r="A58" t="s">
        <v>1796</v>
      </c>
      <c r="B58">
        <v>-0.25</v>
      </c>
      <c r="C58">
        <v>44</v>
      </c>
      <c r="D58">
        <f t="shared" si="0"/>
        <v>4.0321251377534381E-3</v>
      </c>
    </row>
    <row r="59" spans="1:4">
      <c r="A59" t="s">
        <v>1965</v>
      </c>
      <c r="B59">
        <v>0</v>
      </c>
      <c r="C59">
        <v>1</v>
      </c>
      <c r="D59">
        <f t="shared" si="0"/>
        <v>3.0102999566398122E-3</v>
      </c>
    </row>
    <row r="60" spans="1:4">
      <c r="A60" t="s">
        <v>1966</v>
      </c>
      <c r="B60">
        <v>-0.33333333300000001</v>
      </c>
      <c r="C60">
        <v>64</v>
      </c>
      <c r="D60">
        <f t="shared" si="0"/>
        <v>1.4624669164285536E-3</v>
      </c>
    </row>
    <row r="61" spans="1:4">
      <c r="A61" t="s">
        <v>1967</v>
      </c>
      <c r="B61">
        <v>0</v>
      </c>
      <c r="C61">
        <v>0</v>
      </c>
      <c r="D61">
        <f t="shared" si="0"/>
        <v>0</v>
      </c>
    </row>
    <row r="62" spans="1:4">
      <c r="A62" t="s">
        <v>1776</v>
      </c>
      <c r="B62">
        <v>-0.77777777800000003</v>
      </c>
      <c r="C62">
        <v>1258</v>
      </c>
      <c r="D62">
        <f t="shared" si="0"/>
        <v>-7.8886315989213744E-3</v>
      </c>
    </row>
    <row r="63" spans="1:4">
      <c r="A63" t="s">
        <v>1787</v>
      </c>
      <c r="B63">
        <v>-1</v>
      </c>
      <c r="C63">
        <v>11686</v>
      </c>
      <c r="D63">
        <f t="shared" si="0"/>
        <v>-9.3229695595993464E-3</v>
      </c>
    </row>
    <row r="64" spans="1:4">
      <c r="A64" t="s">
        <v>1791</v>
      </c>
      <c r="B64">
        <v>-1</v>
      </c>
      <c r="C64">
        <v>7206</v>
      </c>
      <c r="D64">
        <f t="shared" si="0"/>
        <v>-1.142245477940558E-2</v>
      </c>
    </row>
    <row r="65" spans="1:138">
      <c r="A65" t="s">
        <v>1968</v>
      </c>
      <c r="B65">
        <v>-0.5</v>
      </c>
      <c r="C65">
        <v>18</v>
      </c>
      <c r="D65">
        <f t="shared" si="0"/>
        <v>-1.2212463990471713E-2</v>
      </c>
    </row>
    <row r="66" spans="1:138">
      <c r="A66" t="s">
        <v>1969</v>
      </c>
      <c r="B66">
        <v>-0.5</v>
      </c>
      <c r="C66">
        <v>11</v>
      </c>
      <c r="D66">
        <f t="shared" si="0"/>
        <v>-1.4208187539523753E-2</v>
      </c>
    </row>
    <row r="67" spans="1:138">
      <c r="A67" t="s">
        <v>1970</v>
      </c>
      <c r="B67">
        <v>-1</v>
      </c>
      <c r="C67">
        <v>276</v>
      </c>
      <c r="D67">
        <f t="shared" ref="D67:D71" si="1">$I$2*B67+$I$3*LOG(1+C67)</f>
        <v>-2.5575202309355515E-2</v>
      </c>
    </row>
    <row r="68" spans="1:138">
      <c r="A68" t="s">
        <v>1971</v>
      </c>
      <c r="B68">
        <v>-1</v>
      </c>
      <c r="C68">
        <v>49</v>
      </c>
      <c r="D68">
        <f t="shared" si="1"/>
        <v>-3.3010299956639816E-2</v>
      </c>
    </row>
    <row r="69" spans="1:138">
      <c r="A69" t="s">
        <v>1784</v>
      </c>
      <c r="B69">
        <v>-1</v>
      </c>
      <c r="C69">
        <v>47</v>
      </c>
      <c r="D69">
        <f t="shared" si="1"/>
        <v>-3.3187587626244131E-2</v>
      </c>
    </row>
    <row r="70" spans="1:138">
      <c r="A70" t="s">
        <v>1972</v>
      </c>
      <c r="B70">
        <v>-1</v>
      </c>
      <c r="C70">
        <v>37</v>
      </c>
      <c r="D70">
        <f t="shared" si="1"/>
        <v>-3.4202164033831903E-2</v>
      </c>
    </row>
    <row r="71" spans="1:138">
      <c r="A71" t="s">
        <v>1973</v>
      </c>
      <c r="B71">
        <v>-1</v>
      </c>
      <c r="C71">
        <v>19</v>
      </c>
      <c r="D71">
        <f t="shared" si="1"/>
        <v>-3.6989700043360191E-2</v>
      </c>
    </row>
    <row r="74" spans="1:138" ht="30.75" customHeight="1">
      <c r="A74" s="83" t="s">
        <v>1974</v>
      </c>
      <c r="B74" s="83"/>
      <c r="C74" s="83"/>
      <c r="D74" s="84"/>
    </row>
    <row r="75" spans="1:138">
      <c r="A75" s="85" t="s">
        <v>1798</v>
      </c>
      <c r="B75" s="86" t="s">
        <v>1777</v>
      </c>
      <c r="C75" s="86" t="s">
        <v>1777</v>
      </c>
      <c r="D75" s="87" t="s">
        <v>1964</v>
      </c>
      <c r="E75" s="86" t="s">
        <v>1964</v>
      </c>
      <c r="F75" s="86" t="s">
        <v>1970</v>
      </c>
      <c r="G75" s="86" t="s">
        <v>1970</v>
      </c>
      <c r="H75" s="86" t="s">
        <v>1778</v>
      </c>
      <c r="I75" s="86" t="s">
        <v>1778</v>
      </c>
      <c r="J75" s="86" t="s">
        <v>1953</v>
      </c>
      <c r="K75" s="86" t="s">
        <v>1953</v>
      </c>
      <c r="L75" s="86" t="s">
        <v>1938</v>
      </c>
      <c r="M75" s="86" t="s">
        <v>1938</v>
      </c>
      <c r="N75" s="86" t="s">
        <v>1973</v>
      </c>
      <c r="O75" s="86" t="s">
        <v>1973</v>
      </c>
      <c r="P75" s="86" t="s">
        <v>1783</v>
      </c>
      <c r="Q75" s="86" t="s">
        <v>1783</v>
      </c>
      <c r="R75" s="86" t="s">
        <v>1956</v>
      </c>
      <c r="S75" s="86" t="s">
        <v>1956</v>
      </c>
      <c r="T75" s="86" t="s">
        <v>1934</v>
      </c>
      <c r="U75" s="86" t="s">
        <v>1934</v>
      </c>
      <c r="V75" s="86" t="s">
        <v>1942</v>
      </c>
      <c r="W75" s="86" t="s">
        <v>1942</v>
      </c>
      <c r="X75" s="86" t="s">
        <v>1937</v>
      </c>
      <c r="Y75" s="86" t="s">
        <v>1937</v>
      </c>
      <c r="Z75" s="86" t="s">
        <v>1787</v>
      </c>
      <c r="AA75" s="86" t="s">
        <v>1787</v>
      </c>
      <c r="AB75" s="86" t="s">
        <v>1967</v>
      </c>
      <c r="AC75" s="86" t="s">
        <v>1967</v>
      </c>
      <c r="AD75" s="86" t="s">
        <v>1960</v>
      </c>
      <c r="AE75" s="86" t="s">
        <v>1960</v>
      </c>
      <c r="AF75" s="86" t="s">
        <v>1965</v>
      </c>
      <c r="AG75" s="86" t="s">
        <v>1965</v>
      </c>
      <c r="AH75" s="86" t="s">
        <v>1961</v>
      </c>
      <c r="AI75" s="86" t="s">
        <v>1961</v>
      </c>
      <c r="AJ75" s="86" t="s">
        <v>1931</v>
      </c>
      <c r="AK75" s="86" t="s">
        <v>1931</v>
      </c>
      <c r="AL75" s="86" t="s">
        <v>1924</v>
      </c>
      <c r="AM75" s="86" t="s">
        <v>1924</v>
      </c>
      <c r="AN75" s="86" t="s">
        <v>1780</v>
      </c>
      <c r="AO75" s="86" t="s">
        <v>1780</v>
      </c>
      <c r="AP75" s="86" t="s">
        <v>1969</v>
      </c>
      <c r="AQ75" s="86" t="s">
        <v>1969</v>
      </c>
      <c r="AR75" s="86" t="s">
        <v>1929</v>
      </c>
      <c r="AS75" s="86" t="s">
        <v>1929</v>
      </c>
      <c r="AT75" s="86" t="s">
        <v>1921</v>
      </c>
      <c r="AU75" s="86" t="s">
        <v>1921</v>
      </c>
      <c r="AV75" s="86" t="s">
        <v>1959</v>
      </c>
      <c r="AW75" s="86" t="s">
        <v>1959</v>
      </c>
      <c r="AX75" s="86" t="s">
        <v>1933</v>
      </c>
      <c r="AY75" s="86" t="s">
        <v>1933</v>
      </c>
      <c r="AZ75" s="86" t="s">
        <v>1939</v>
      </c>
      <c r="BA75" s="86" t="s">
        <v>1939</v>
      </c>
      <c r="BB75" s="86" t="s">
        <v>1927</v>
      </c>
      <c r="BC75" s="86" t="s">
        <v>1927</v>
      </c>
      <c r="BD75" s="86" t="s">
        <v>1958</v>
      </c>
      <c r="BE75" s="86" t="s">
        <v>1958</v>
      </c>
      <c r="BF75" s="86" t="s">
        <v>1955</v>
      </c>
      <c r="BG75" s="86" t="s">
        <v>1955</v>
      </c>
      <c r="BH75" s="86" t="s">
        <v>1935</v>
      </c>
      <c r="BI75" s="86" t="s">
        <v>1935</v>
      </c>
      <c r="BJ75" s="86" t="s">
        <v>1932</v>
      </c>
      <c r="BK75" s="86" t="s">
        <v>1932</v>
      </c>
      <c r="BL75" s="86" t="s">
        <v>1811</v>
      </c>
      <c r="BM75" s="86" t="s">
        <v>1811</v>
      </c>
      <c r="BN75" s="86" t="s">
        <v>1949</v>
      </c>
      <c r="BO75" s="86" t="s">
        <v>1949</v>
      </c>
      <c r="BP75" s="86" t="s">
        <v>1779</v>
      </c>
      <c r="BQ75" s="86" t="s">
        <v>1779</v>
      </c>
      <c r="BR75" s="86" t="s">
        <v>1928</v>
      </c>
      <c r="BS75" s="86" t="s">
        <v>1928</v>
      </c>
      <c r="BT75" s="86" t="s">
        <v>1782</v>
      </c>
      <c r="BU75" s="86" t="s">
        <v>1782</v>
      </c>
      <c r="BV75" s="86" t="s">
        <v>1797</v>
      </c>
      <c r="BW75" s="86" t="s">
        <v>1797</v>
      </c>
      <c r="BX75" s="86" t="s">
        <v>1950</v>
      </c>
      <c r="BY75" s="86" t="s">
        <v>1950</v>
      </c>
      <c r="BZ75" s="86" t="s">
        <v>1971</v>
      </c>
      <c r="CA75" s="86" t="s">
        <v>1971</v>
      </c>
      <c r="CB75" s="86" t="s">
        <v>1774</v>
      </c>
      <c r="CC75" s="86" t="s">
        <v>1774</v>
      </c>
      <c r="CD75" s="86" t="s">
        <v>1789</v>
      </c>
      <c r="CE75" s="86" t="s">
        <v>1789</v>
      </c>
      <c r="CF75" s="86" t="s">
        <v>1786</v>
      </c>
      <c r="CG75" s="86" t="s">
        <v>1786</v>
      </c>
      <c r="CH75" s="86" t="s">
        <v>1952</v>
      </c>
      <c r="CI75" s="86" t="s">
        <v>1952</v>
      </c>
      <c r="CJ75" s="86" t="s">
        <v>1972</v>
      </c>
      <c r="CK75" s="86" t="s">
        <v>1972</v>
      </c>
      <c r="CL75" s="86" t="s">
        <v>1968</v>
      </c>
      <c r="CM75" s="86" t="s">
        <v>1968</v>
      </c>
      <c r="CN75" s="86" t="s">
        <v>1951</v>
      </c>
      <c r="CO75" s="86" t="s">
        <v>1951</v>
      </c>
      <c r="CP75" s="86" t="s">
        <v>1925</v>
      </c>
      <c r="CQ75" s="86" t="s">
        <v>1925</v>
      </c>
      <c r="CR75" s="86" t="s">
        <v>1781</v>
      </c>
      <c r="CS75" s="86" t="s">
        <v>1781</v>
      </c>
      <c r="CT75" s="86" t="s">
        <v>1945</v>
      </c>
      <c r="CU75" s="86" t="s">
        <v>1945</v>
      </c>
      <c r="CV75" s="86" t="s">
        <v>1930</v>
      </c>
      <c r="CW75" s="86" t="s">
        <v>1930</v>
      </c>
      <c r="CX75" s="86" t="s">
        <v>1963</v>
      </c>
      <c r="CY75" s="86" t="s">
        <v>1963</v>
      </c>
      <c r="CZ75" s="86" t="s">
        <v>1923</v>
      </c>
      <c r="DA75" s="86" t="s">
        <v>1923</v>
      </c>
      <c r="DB75" s="86" t="s">
        <v>1785</v>
      </c>
      <c r="DC75" s="86" t="s">
        <v>1785</v>
      </c>
      <c r="DD75" s="86" t="s">
        <v>1944</v>
      </c>
      <c r="DE75" s="86" t="s">
        <v>1944</v>
      </c>
      <c r="DF75" s="86" t="s">
        <v>1796</v>
      </c>
      <c r="DG75" s="86" t="s">
        <v>1796</v>
      </c>
      <c r="DH75" s="86" t="s">
        <v>1790</v>
      </c>
      <c r="DI75" s="86" t="s">
        <v>1790</v>
      </c>
      <c r="DJ75" s="86" t="s">
        <v>1775</v>
      </c>
      <c r="DK75" s="86" t="s">
        <v>1775</v>
      </c>
      <c r="DL75" s="86" t="s">
        <v>1776</v>
      </c>
      <c r="DM75" s="86" t="s">
        <v>1776</v>
      </c>
      <c r="DN75" s="86" t="s">
        <v>1936</v>
      </c>
      <c r="DO75" s="86" t="s">
        <v>1936</v>
      </c>
      <c r="DP75" s="86" t="s">
        <v>1791</v>
      </c>
      <c r="DQ75" s="86" t="s">
        <v>1791</v>
      </c>
      <c r="DR75" s="86" t="s">
        <v>1957</v>
      </c>
      <c r="DS75" s="86" t="s">
        <v>1957</v>
      </c>
      <c r="DT75" s="86" t="s">
        <v>1784</v>
      </c>
      <c r="DU75" s="86" t="s">
        <v>1784</v>
      </c>
      <c r="DV75" s="86" t="s">
        <v>1962</v>
      </c>
      <c r="DW75" s="86" t="s">
        <v>1962</v>
      </c>
      <c r="DX75" s="86" t="s">
        <v>1795</v>
      </c>
      <c r="DY75" s="86" t="s">
        <v>1795</v>
      </c>
      <c r="DZ75" s="86" t="s">
        <v>1954</v>
      </c>
      <c r="EA75" s="86" t="s">
        <v>1954</v>
      </c>
      <c r="EB75" s="86" t="s">
        <v>1946</v>
      </c>
      <c r="EC75" s="86" t="s">
        <v>1946</v>
      </c>
      <c r="ED75" s="86" t="s">
        <v>1966</v>
      </c>
      <c r="EE75" s="86" t="s">
        <v>1966</v>
      </c>
      <c r="EF75" s="86" t="s">
        <v>1926</v>
      </c>
      <c r="EG75" s="86" t="s">
        <v>1926</v>
      </c>
      <c r="EH75" s="86" t="s">
        <v>1799</v>
      </c>
    </row>
    <row r="76" spans="1:138" ht="28.8">
      <c r="A76" s="85" t="s">
        <v>1917</v>
      </c>
      <c r="B76" s="86">
        <v>0</v>
      </c>
      <c r="C76" s="86"/>
      <c r="D76" s="86">
        <v>0</v>
      </c>
      <c r="E76" s="86"/>
      <c r="F76" s="86">
        <v>-1</v>
      </c>
      <c r="G76" s="86"/>
      <c r="H76" s="86">
        <v>0.1</v>
      </c>
      <c r="I76" s="86"/>
      <c r="J76" s="86">
        <v>0.33333333300000001</v>
      </c>
      <c r="K76" s="86"/>
      <c r="L76" s="86">
        <v>1</v>
      </c>
      <c r="M76" s="86"/>
      <c r="N76" s="86">
        <v>-1</v>
      </c>
      <c r="O76" s="86"/>
      <c r="P76" s="86">
        <v>0</v>
      </c>
      <c r="Q76" s="86"/>
      <c r="R76" s="86">
        <v>0</v>
      </c>
      <c r="S76" s="86"/>
      <c r="T76" s="86">
        <v>1</v>
      </c>
      <c r="U76" s="86"/>
      <c r="V76" s="86">
        <v>1</v>
      </c>
      <c r="W76" s="86"/>
      <c r="X76" s="86">
        <v>1</v>
      </c>
      <c r="Y76" s="86"/>
      <c r="Z76" s="86">
        <v>-1</v>
      </c>
      <c r="AA76" s="86"/>
      <c r="AB76" s="86">
        <v>0</v>
      </c>
      <c r="AC76" s="86"/>
      <c r="AD76" s="86">
        <v>0</v>
      </c>
      <c r="AE76" s="86"/>
      <c r="AF76" s="86">
        <v>0</v>
      </c>
      <c r="AG76" s="86"/>
      <c r="AH76" s="86">
        <v>0</v>
      </c>
      <c r="AI76" s="86"/>
      <c r="AJ76" s="86">
        <v>1</v>
      </c>
      <c r="AK76" s="86"/>
      <c r="AL76" s="86">
        <v>1</v>
      </c>
      <c r="AM76" s="86"/>
      <c r="AN76" s="86">
        <v>7.6923077000000006E-2</v>
      </c>
      <c r="AO76" s="86"/>
      <c r="AP76" s="86">
        <v>-0.5</v>
      </c>
      <c r="AQ76" s="86"/>
      <c r="AR76" s="86">
        <v>1</v>
      </c>
      <c r="AS76" s="86"/>
      <c r="AT76" s="86">
        <v>1</v>
      </c>
      <c r="AU76" s="86"/>
      <c r="AV76" s="86">
        <v>0</v>
      </c>
      <c r="AW76" s="86"/>
      <c r="AX76" s="86">
        <v>1</v>
      </c>
      <c r="AY76" s="86"/>
      <c r="AZ76" s="86">
        <v>1</v>
      </c>
      <c r="BA76" s="86"/>
      <c r="BB76" s="86">
        <v>1</v>
      </c>
      <c r="BC76" s="86"/>
      <c r="BD76" s="86">
        <v>0</v>
      </c>
      <c r="BE76" s="86"/>
      <c r="BF76" s="86">
        <v>0</v>
      </c>
      <c r="BG76" s="86"/>
      <c r="BH76" s="86">
        <v>1</v>
      </c>
      <c r="BI76" s="86"/>
      <c r="BJ76" s="86">
        <v>1</v>
      </c>
      <c r="BK76" s="86"/>
      <c r="BL76" s="86">
        <v>0.66666666699999999</v>
      </c>
      <c r="BM76" s="86"/>
      <c r="BN76" s="86">
        <v>0.33333333300000001</v>
      </c>
      <c r="BO76" s="86"/>
      <c r="BP76" s="86">
        <v>0.21739130400000001</v>
      </c>
      <c r="BQ76" s="86"/>
      <c r="BR76" s="86">
        <v>1</v>
      </c>
      <c r="BS76" s="86"/>
      <c r="BT76" s="86">
        <v>0.31818181800000001</v>
      </c>
      <c r="BU76" s="86"/>
      <c r="BV76" s="86">
        <v>0</v>
      </c>
      <c r="BW76" s="86"/>
      <c r="BX76" s="86">
        <v>0.14285714299999999</v>
      </c>
      <c r="BY76" s="86"/>
      <c r="BZ76" s="86">
        <v>-1</v>
      </c>
      <c r="CA76" s="86"/>
      <c r="CB76" s="86">
        <v>0.111111111</v>
      </c>
      <c r="CC76" s="86"/>
      <c r="CD76" s="86">
        <v>-0.5</v>
      </c>
      <c r="CE76" s="86"/>
      <c r="CF76" s="86">
        <v>0.5</v>
      </c>
      <c r="CG76" s="86"/>
      <c r="CH76" s="86">
        <v>0.2</v>
      </c>
      <c r="CI76" s="86"/>
      <c r="CJ76" s="86">
        <v>-1</v>
      </c>
      <c r="CK76" s="86"/>
      <c r="CL76" s="86">
        <v>-0.5</v>
      </c>
      <c r="CM76" s="86"/>
      <c r="CN76" s="86">
        <v>0.5</v>
      </c>
      <c r="CO76" s="86"/>
      <c r="CP76" s="86">
        <v>1</v>
      </c>
      <c r="CQ76" s="86"/>
      <c r="CR76" s="86">
        <v>0.5</v>
      </c>
      <c r="CS76" s="86"/>
      <c r="CT76" s="86">
        <v>0.5</v>
      </c>
      <c r="CU76" s="86"/>
      <c r="CV76" s="86">
        <v>1</v>
      </c>
      <c r="CW76" s="86"/>
      <c r="CX76" s="86">
        <v>0</v>
      </c>
      <c r="CY76" s="86"/>
      <c r="CZ76" s="86">
        <v>1</v>
      </c>
      <c r="DA76" s="86"/>
      <c r="DB76" s="86">
        <v>0.33333333300000001</v>
      </c>
      <c r="DC76" s="86"/>
      <c r="DD76" s="86">
        <v>0.33333333300000001</v>
      </c>
      <c r="DE76" s="86"/>
      <c r="DF76" s="86">
        <v>-0.25</v>
      </c>
      <c r="DG76" s="86"/>
      <c r="DH76" s="86">
        <v>0</v>
      </c>
      <c r="DI76" s="86"/>
      <c r="DJ76" s="86">
        <v>-0.30769230800000003</v>
      </c>
      <c r="DK76" s="86"/>
      <c r="DL76" s="86">
        <v>-0.77777777800000003</v>
      </c>
      <c r="DM76" s="86"/>
      <c r="DN76" s="86">
        <v>1</v>
      </c>
      <c r="DO76" s="86"/>
      <c r="DP76" s="86">
        <v>-1</v>
      </c>
      <c r="DQ76" s="86"/>
      <c r="DR76" s="86">
        <v>0</v>
      </c>
      <c r="DS76" s="86"/>
      <c r="DT76" s="86">
        <v>-1</v>
      </c>
      <c r="DU76" s="86"/>
      <c r="DV76" s="86">
        <v>0</v>
      </c>
      <c r="DW76" s="86"/>
      <c r="DX76" s="86">
        <v>0.428571429</v>
      </c>
      <c r="DY76" s="86"/>
      <c r="DZ76" s="86">
        <v>-9.0909090999999997E-2</v>
      </c>
      <c r="EA76" s="86"/>
      <c r="EB76" s="86">
        <v>0.5</v>
      </c>
      <c r="EC76" s="86"/>
      <c r="ED76" s="86">
        <v>-0.33333333300000001</v>
      </c>
      <c r="EE76" s="86"/>
      <c r="EF76" s="86">
        <v>1</v>
      </c>
      <c r="EG76" s="86"/>
      <c r="EH76" s="86">
        <v>0.109848485</v>
      </c>
    </row>
    <row r="77" spans="1:138" ht="28.8">
      <c r="A77" s="85" t="s">
        <v>1918</v>
      </c>
      <c r="B77" s="86">
        <v>168</v>
      </c>
      <c r="C77" s="86"/>
      <c r="D77" s="86">
        <v>2</v>
      </c>
      <c r="E77" s="86"/>
      <c r="F77" s="86">
        <v>276</v>
      </c>
      <c r="G77" s="86"/>
      <c r="H77" s="86">
        <v>1777</v>
      </c>
      <c r="I77" s="86"/>
      <c r="J77" s="86">
        <v>23</v>
      </c>
      <c r="K77" s="86"/>
      <c r="L77" s="86">
        <v>2</v>
      </c>
      <c r="M77" s="86"/>
      <c r="N77" s="86">
        <v>19</v>
      </c>
      <c r="O77" s="86"/>
      <c r="P77" s="86">
        <v>520</v>
      </c>
      <c r="Q77" s="86"/>
      <c r="R77" s="86">
        <v>61</v>
      </c>
      <c r="S77" s="86"/>
      <c r="T77" s="86">
        <v>9</v>
      </c>
      <c r="U77" s="86"/>
      <c r="V77" s="86">
        <v>1</v>
      </c>
      <c r="W77" s="86"/>
      <c r="X77" s="86">
        <v>3</v>
      </c>
      <c r="Y77" s="86"/>
      <c r="Z77" s="86">
        <v>11686</v>
      </c>
      <c r="AA77" s="86"/>
      <c r="AB77" s="86">
        <v>0</v>
      </c>
      <c r="AC77" s="86"/>
      <c r="AD77" s="86">
        <v>4</v>
      </c>
      <c r="AE77" s="86"/>
      <c r="AF77" s="86">
        <v>1</v>
      </c>
      <c r="AG77" s="86"/>
      <c r="AH77" s="86">
        <v>4</v>
      </c>
      <c r="AI77" s="86"/>
      <c r="AJ77" s="86">
        <v>37</v>
      </c>
      <c r="AK77" s="86"/>
      <c r="AL77" s="86">
        <v>196</v>
      </c>
      <c r="AM77" s="86"/>
      <c r="AN77" s="86">
        <v>3076</v>
      </c>
      <c r="AO77" s="86"/>
      <c r="AP77" s="86">
        <v>11</v>
      </c>
      <c r="AQ77" s="86"/>
      <c r="AR77" s="86">
        <v>41</v>
      </c>
      <c r="AS77" s="86"/>
      <c r="AT77" s="86">
        <v>2589</v>
      </c>
      <c r="AU77" s="86"/>
      <c r="AV77" s="86">
        <v>7</v>
      </c>
      <c r="AW77" s="86"/>
      <c r="AX77" s="86">
        <v>11</v>
      </c>
      <c r="AY77" s="86"/>
      <c r="AZ77" s="86">
        <v>2</v>
      </c>
      <c r="BA77" s="86"/>
      <c r="BB77" s="86">
        <v>68</v>
      </c>
      <c r="BC77" s="86"/>
      <c r="BD77" s="86">
        <v>8</v>
      </c>
      <c r="BE77" s="86"/>
      <c r="BF77" s="86">
        <v>74</v>
      </c>
      <c r="BG77" s="86"/>
      <c r="BH77" s="86">
        <v>5</v>
      </c>
      <c r="BI77" s="86"/>
      <c r="BJ77" s="86">
        <v>15</v>
      </c>
      <c r="BK77" s="86"/>
      <c r="BL77" s="86">
        <v>120</v>
      </c>
      <c r="BM77" s="86"/>
      <c r="BN77" s="86">
        <v>90</v>
      </c>
      <c r="BO77" s="86"/>
      <c r="BP77" s="86">
        <v>15358</v>
      </c>
      <c r="BQ77" s="86"/>
      <c r="BR77" s="86">
        <v>65</v>
      </c>
      <c r="BS77" s="86"/>
      <c r="BT77" s="86">
        <v>10002</v>
      </c>
      <c r="BU77" s="86"/>
      <c r="BV77" s="86">
        <v>4979</v>
      </c>
      <c r="BW77" s="86"/>
      <c r="BX77" s="86">
        <v>600</v>
      </c>
      <c r="BY77" s="86"/>
      <c r="BZ77" s="86">
        <v>49</v>
      </c>
      <c r="CA77" s="86"/>
      <c r="CB77" s="86">
        <v>1062</v>
      </c>
      <c r="CC77" s="86"/>
      <c r="CD77" s="86">
        <v>1023</v>
      </c>
      <c r="CE77" s="86"/>
      <c r="CF77" s="86">
        <v>48</v>
      </c>
      <c r="CG77" s="86"/>
      <c r="CH77" s="86">
        <v>123</v>
      </c>
      <c r="CI77" s="86"/>
      <c r="CJ77" s="86">
        <v>37</v>
      </c>
      <c r="CK77" s="86"/>
      <c r="CL77" s="86">
        <v>18</v>
      </c>
      <c r="CM77" s="86"/>
      <c r="CN77" s="86">
        <v>7</v>
      </c>
      <c r="CO77" s="86"/>
      <c r="CP77" s="86">
        <v>150</v>
      </c>
      <c r="CQ77" s="86"/>
      <c r="CR77" s="86">
        <v>2370</v>
      </c>
      <c r="CS77" s="86"/>
      <c r="CT77" s="86">
        <v>76</v>
      </c>
      <c r="CU77" s="86"/>
      <c r="CV77" s="86">
        <v>39</v>
      </c>
      <c r="CW77" s="86"/>
      <c r="CX77" s="86">
        <v>3</v>
      </c>
      <c r="CY77" s="86"/>
      <c r="CZ77" s="86">
        <v>209</v>
      </c>
      <c r="DA77" s="86"/>
      <c r="DB77" s="86">
        <v>117</v>
      </c>
      <c r="DC77" s="86"/>
      <c r="DD77" s="86">
        <v>1232</v>
      </c>
      <c r="DE77" s="86"/>
      <c r="DF77" s="86">
        <v>44</v>
      </c>
      <c r="DG77" s="86"/>
      <c r="DH77" s="86">
        <v>561</v>
      </c>
      <c r="DI77" s="86"/>
      <c r="DJ77" s="86">
        <v>5961</v>
      </c>
      <c r="DK77" s="86"/>
      <c r="DL77" s="86">
        <v>1258</v>
      </c>
      <c r="DM77" s="86"/>
      <c r="DN77" s="86">
        <v>5</v>
      </c>
      <c r="DO77" s="86"/>
      <c r="DP77" s="86">
        <v>7206</v>
      </c>
      <c r="DQ77" s="86"/>
      <c r="DR77" s="86">
        <v>10</v>
      </c>
      <c r="DS77" s="86"/>
      <c r="DT77" s="86">
        <v>47</v>
      </c>
      <c r="DU77" s="86"/>
      <c r="DV77" s="86">
        <v>3</v>
      </c>
      <c r="DW77" s="86"/>
      <c r="DX77" s="86">
        <v>267</v>
      </c>
      <c r="DY77" s="86"/>
      <c r="DZ77" s="86">
        <v>469</v>
      </c>
      <c r="EA77" s="86"/>
      <c r="EB77" s="86">
        <v>31</v>
      </c>
      <c r="EC77" s="86"/>
      <c r="ED77" s="86">
        <v>64</v>
      </c>
      <c r="EE77" s="86"/>
      <c r="EF77" s="86">
        <v>133</v>
      </c>
      <c r="EG77" s="86"/>
      <c r="EH77" s="86">
        <v>74532</v>
      </c>
    </row>
    <row r="78" spans="1:138" ht="28.8">
      <c r="A78" s="85" t="s">
        <v>1919</v>
      </c>
      <c r="B78" s="86">
        <v>2.2278867000000001E-2</v>
      </c>
      <c r="C78" s="86"/>
      <c r="D78" s="86">
        <v>4.7712129999999998E-3</v>
      </c>
      <c r="E78" s="86"/>
      <c r="F78" s="86">
        <v>-2.5575201999999998E-2</v>
      </c>
      <c r="G78" s="86"/>
      <c r="H78" s="86">
        <v>3.7499317999999997E-2</v>
      </c>
      <c r="I78" s="86"/>
      <c r="J78" s="86">
        <v>3.0468779000000001E-2</v>
      </c>
      <c r="K78" s="86"/>
      <c r="L78" s="86">
        <v>5.4771212999999999E-2</v>
      </c>
      <c r="M78" s="86"/>
      <c r="N78" s="86">
        <v>-3.69897E-2</v>
      </c>
      <c r="O78" s="86"/>
      <c r="P78" s="86">
        <v>2.7168377E-2</v>
      </c>
      <c r="Q78" s="86"/>
      <c r="R78" s="86">
        <v>1.7923917000000001E-2</v>
      </c>
      <c r="S78" s="86"/>
      <c r="T78" s="86">
        <v>0.06</v>
      </c>
      <c r="U78" s="86"/>
      <c r="V78" s="86">
        <v>5.3010300000000003E-2</v>
      </c>
      <c r="W78" s="86"/>
      <c r="X78" s="86">
        <v>5.6020599999999997E-2</v>
      </c>
      <c r="Y78" s="86"/>
      <c r="Z78" s="86">
        <v>-9.3229699999999999E-3</v>
      </c>
      <c r="AA78" s="86"/>
      <c r="AB78" s="86">
        <v>0</v>
      </c>
      <c r="AC78" s="86"/>
      <c r="AD78" s="86">
        <v>6.9896999999999997E-3</v>
      </c>
      <c r="AE78" s="86"/>
      <c r="AF78" s="86">
        <v>3.0103E-3</v>
      </c>
      <c r="AG78" s="86"/>
      <c r="AH78" s="86">
        <v>6.9896999999999997E-3</v>
      </c>
      <c r="AI78" s="86"/>
      <c r="AJ78" s="86">
        <v>6.5797835999999998E-2</v>
      </c>
      <c r="AK78" s="86"/>
      <c r="AL78" s="86">
        <v>7.2944661999999993E-2</v>
      </c>
      <c r="AM78" s="86"/>
      <c r="AN78" s="86">
        <v>3.8727429000000001E-2</v>
      </c>
      <c r="AO78" s="86"/>
      <c r="AP78" s="86">
        <v>-1.4208188E-2</v>
      </c>
      <c r="AQ78" s="86"/>
      <c r="AR78" s="86">
        <v>6.6232493000000003E-2</v>
      </c>
      <c r="AS78" s="86"/>
      <c r="AT78" s="86">
        <v>8.4132998000000001E-2</v>
      </c>
      <c r="AU78" s="86"/>
      <c r="AV78" s="86">
        <v>9.0308999999999997E-3</v>
      </c>
      <c r="AW78" s="86"/>
      <c r="AX78" s="86">
        <v>6.0791812000000001E-2</v>
      </c>
      <c r="AY78" s="86"/>
      <c r="AZ78" s="86">
        <v>5.4771212999999999E-2</v>
      </c>
      <c r="BA78" s="86"/>
      <c r="BB78" s="86">
        <v>6.8388490999999996E-2</v>
      </c>
      <c r="BC78" s="86"/>
      <c r="BD78" s="86">
        <v>9.5424250000000002E-3</v>
      </c>
      <c r="BE78" s="86"/>
      <c r="BF78" s="86">
        <v>1.8750612999999999E-2</v>
      </c>
      <c r="BG78" s="86"/>
      <c r="BH78" s="86">
        <v>5.7781513E-2</v>
      </c>
      <c r="BI78" s="86"/>
      <c r="BJ78" s="86">
        <v>6.2041199999999998E-2</v>
      </c>
      <c r="BK78" s="86"/>
      <c r="BL78" s="86">
        <v>5.4161187E-2</v>
      </c>
      <c r="BM78" s="86"/>
      <c r="BN78" s="86">
        <v>3.6257080999999997E-2</v>
      </c>
      <c r="BO78" s="86"/>
      <c r="BP78" s="86">
        <v>5.2733194999999997E-2</v>
      </c>
      <c r="BQ78" s="86"/>
      <c r="BR78" s="86">
        <v>6.8195438999999997E-2</v>
      </c>
      <c r="BS78" s="86"/>
      <c r="BT78" s="86">
        <v>5.5910394000000002E-2</v>
      </c>
      <c r="BU78" s="86"/>
      <c r="BV78" s="86">
        <v>3.6972293000000003E-2</v>
      </c>
      <c r="BW78" s="86"/>
      <c r="BX78" s="86">
        <v>3.4931601999999999E-2</v>
      </c>
      <c r="BY78" s="86"/>
      <c r="BZ78" s="86">
        <v>-3.3010299999999999E-2</v>
      </c>
      <c r="CA78" s="86"/>
      <c r="CB78" s="86">
        <v>3.5820888000000002E-2</v>
      </c>
      <c r="CC78" s="86"/>
      <c r="CD78" s="86">
        <v>5.1029999999999999E-3</v>
      </c>
      <c r="CE78" s="86"/>
      <c r="CF78" s="86">
        <v>4.1901961000000001E-2</v>
      </c>
      <c r="CG78" s="86"/>
      <c r="CH78" s="86">
        <v>3.0934217E-2</v>
      </c>
      <c r="CI78" s="86"/>
      <c r="CJ78" s="86">
        <v>-3.4202164E-2</v>
      </c>
      <c r="CK78" s="86"/>
      <c r="CL78" s="86">
        <v>-1.2212463999999999E-2</v>
      </c>
      <c r="CM78" s="86"/>
      <c r="CN78" s="86">
        <v>3.4030900000000003E-2</v>
      </c>
      <c r="CO78" s="86"/>
      <c r="CP78" s="86">
        <v>7.1789769000000003E-2</v>
      </c>
      <c r="CQ78" s="86"/>
      <c r="CR78" s="86">
        <v>5.8749316000000003E-2</v>
      </c>
      <c r="CS78" s="86"/>
      <c r="CT78" s="86">
        <v>4.3864907000000002E-2</v>
      </c>
      <c r="CU78" s="86"/>
      <c r="CV78" s="86">
        <v>6.6020599999999999E-2</v>
      </c>
      <c r="CW78" s="86"/>
      <c r="CX78" s="86">
        <v>6.0206000000000001E-3</v>
      </c>
      <c r="CY78" s="86"/>
      <c r="CZ78" s="86">
        <v>7.3222193000000005E-2</v>
      </c>
      <c r="DA78" s="86"/>
      <c r="DB78" s="86">
        <v>3.7385487000000002E-2</v>
      </c>
      <c r="DC78" s="86"/>
      <c r="DD78" s="86">
        <v>4.7576296999999997E-2</v>
      </c>
      <c r="DE78" s="86"/>
      <c r="DF78" s="86">
        <v>4.0321250000000001E-3</v>
      </c>
      <c r="DG78" s="86"/>
      <c r="DH78" s="86">
        <v>2.7497363E-2</v>
      </c>
      <c r="DI78" s="86"/>
      <c r="DJ78" s="86">
        <v>2.2369304E-2</v>
      </c>
      <c r="DK78" s="86"/>
      <c r="DL78" s="86">
        <v>-7.8886319999999996E-3</v>
      </c>
      <c r="DM78" s="86"/>
      <c r="DN78" s="86">
        <v>5.7781513E-2</v>
      </c>
      <c r="DO78" s="86"/>
      <c r="DP78" s="86">
        <v>-1.1422455E-2</v>
      </c>
      <c r="DQ78" s="86"/>
      <c r="DR78" s="86">
        <v>1.0413927E-2</v>
      </c>
      <c r="DS78" s="86"/>
      <c r="DT78" s="86">
        <v>-3.3187587999999997E-2</v>
      </c>
      <c r="DU78" s="86"/>
      <c r="DV78" s="86">
        <v>6.0206000000000001E-3</v>
      </c>
      <c r="DW78" s="86"/>
      <c r="DX78" s="86">
        <v>4.5709919000000002E-2</v>
      </c>
      <c r="DY78" s="86"/>
      <c r="DZ78" s="86">
        <v>2.2175523999999999E-2</v>
      </c>
      <c r="EA78" s="86"/>
      <c r="EB78" s="86">
        <v>4.0051499999999997E-2</v>
      </c>
      <c r="EC78" s="86"/>
      <c r="ED78" s="86">
        <v>1.4624670000000001E-3</v>
      </c>
      <c r="EE78" s="86"/>
      <c r="EF78" s="86">
        <v>7.1271048000000004E-2</v>
      </c>
      <c r="EG78" s="86"/>
      <c r="EH78" s="86">
        <v>5.4215909999999999E-2</v>
      </c>
    </row>
    <row r="79" spans="1:138">
      <c r="A79" s="6"/>
    </row>
    <row r="80" spans="1:138">
      <c r="A80" s="6" t="s">
        <v>1975</v>
      </c>
      <c r="B80" t="s">
        <v>1822</v>
      </c>
      <c r="C80" t="s">
        <v>1976</v>
      </c>
      <c r="D80" t="s">
        <v>1822</v>
      </c>
      <c r="E80" t="s">
        <v>1976</v>
      </c>
      <c r="F80" t="s">
        <v>1822</v>
      </c>
      <c r="G80" t="s">
        <v>1976</v>
      </c>
      <c r="H80" t="s">
        <v>1822</v>
      </c>
      <c r="I80" t="s">
        <v>1976</v>
      </c>
      <c r="J80" t="s">
        <v>1822</v>
      </c>
      <c r="K80" t="s">
        <v>1976</v>
      </c>
      <c r="L80" t="s">
        <v>1822</v>
      </c>
      <c r="M80" t="s">
        <v>1976</v>
      </c>
      <c r="N80" t="s">
        <v>1822</v>
      </c>
      <c r="O80" t="s">
        <v>1976</v>
      </c>
      <c r="P80" t="s">
        <v>1822</v>
      </c>
      <c r="Q80" t="s">
        <v>1976</v>
      </c>
      <c r="R80" t="s">
        <v>1822</v>
      </c>
      <c r="S80" t="s">
        <v>1976</v>
      </c>
      <c r="T80" t="s">
        <v>1822</v>
      </c>
      <c r="U80" t="s">
        <v>1976</v>
      </c>
      <c r="V80" t="s">
        <v>1822</v>
      </c>
      <c r="W80" t="s">
        <v>1976</v>
      </c>
      <c r="X80" t="s">
        <v>1822</v>
      </c>
      <c r="Y80" t="s">
        <v>1976</v>
      </c>
      <c r="Z80" t="s">
        <v>1822</v>
      </c>
      <c r="AA80" t="s">
        <v>1976</v>
      </c>
      <c r="AB80" t="s">
        <v>1822</v>
      </c>
      <c r="AC80" t="s">
        <v>1976</v>
      </c>
      <c r="AD80" t="s">
        <v>1822</v>
      </c>
      <c r="AE80" t="s">
        <v>1976</v>
      </c>
      <c r="AF80" t="s">
        <v>1822</v>
      </c>
      <c r="AG80" t="s">
        <v>1976</v>
      </c>
      <c r="AH80" t="s">
        <v>1822</v>
      </c>
      <c r="AI80" t="s">
        <v>1976</v>
      </c>
      <c r="AJ80" t="s">
        <v>1822</v>
      </c>
      <c r="AK80" t="s">
        <v>1976</v>
      </c>
      <c r="AL80" t="s">
        <v>1822</v>
      </c>
      <c r="AM80" t="s">
        <v>1976</v>
      </c>
      <c r="AN80" t="s">
        <v>1822</v>
      </c>
      <c r="AO80" t="s">
        <v>1976</v>
      </c>
      <c r="AP80" t="s">
        <v>1822</v>
      </c>
      <c r="AQ80" t="s">
        <v>1976</v>
      </c>
      <c r="AR80" t="s">
        <v>1822</v>
      </c>
      <c r="AS80" t="s">
        <v>1976</v>
      </c>
      <c r="AT80" t="s">
        <v>1822</v>
      </c>
      <c r="AU80" t="s">
        <v>1976</v>
      </c>
      <c r="AV80" t="s">
        <v>1822</v>
      </c>
      <c r="AW80" t="s">
        <v>1976</v>
      </c>
      <c r="AX80" t="s">
        <v>1822</v>
      </c>
      <c r="AY80" t="s">
        <v>1976</v>
      </c>
      <c r="AZ80" t="s">
        <v>1822</v>
      </c>
      <c r="BA80" t="s">
        <v>1976</v>
      </c>
      <c r="BB80" t="s">
        <v>1822</v>
      </c>
      <c r="BC80" t="s">
        <v>1976</v>
      </c>
      <c r="BD80" t="s">
        <v>1822</v>
      </c>
      <c r="BE80" t="s">
        <v>1976</v>
      </c>
      <c r="BF80" t="s">
        <v>1822</v>
      </c>
      <c r="BG80" t="s">
        <v>1976</v>
      </c>
      <c r="BH80" t="s">
        <v>1822</v>
      </c>
      <c r="BI80" t="s">
        <v>1976</v>
      </c>
      <c r="BJ80" t="s">
        <v>1822</v>
      </c>
      <c r="BK80" t="s">
        <v>1976</v>
      </c>
      <c r="BL80" t="s">
        <v>1822</v>
      </c>
      <c r="BM80" t="s">
        <v>1976</v>
      </c>
      <c r="BN80" t="s">
        <v>1822</v>
      </c>
      <c r="BO80" t="s">
        <v>1976</v>
      </c>
      <c r="BP80" t="s">
        <v>1822</v>
      </c>
      <c r="BQ80" t="s">
        <v>1976</v>
      </c>
      <c r="BR80" t="s">
        <v>1822</v>
      </c>
      <c r="BS80" t="s">
        <v>1976</v>
      </c>
      <c r="BT80" t="s">
        <v>1822</v>
      </c>
      <c r="BU80" t="s">
        <v>1976</v>
      </c>
      <c r="BV80" t="s">
        <v>1822</v>
      </c>
      <c r="BW80" t="s">
        <v>1976</v>
      </c>
      <c r="BX80" t="s">
        <v>1822</v>
      </c>
      <c r="BY80" t="s">
        <v>1976</v>
      </c>
      <c r="BZ80" t="s">
        <v>1822</v>
      </c>
      <c r="CA80" t="s">
        <v>1976</v>
      </c>
      <c r="CB80" t="s">
        <v>1822</v>
      </c>
      <c r="CC80" t="s">
        <v>1976</v>
      </c>
      <c r="CD80" t="s">
        <v>1822</v>
      </c>
      <c r="CE80" t="s">
        <v>1976</v>
      </c>
      <c r="CF80" t="s">
        <v>1822</v>
      </c>
      <c r="CG80" t="s">
        <v>1976</v>
      </c>
      <c r="CH80" t="s">
        <v>1822</v>
      </c>
      <c r="CI80" t="s">
        <v>1976</v>
      </c>
      <c r="CJ80" t="s">
        <v>1822</v>
      </c>
      <c r="CK80" t="s">
        <v>1976</v>
      </c>
      <c r="CL80" t="s">
        <v>1822</v>
      </c>
      <c r="CM80" t="s">
        <v>1976</v>
      </c>
      <c r="CN80" t="s">
        <v>1822</v>
      </c>
      <c r="CO80" t="s">
        <v>1976</v>
      </c>
      <c r="CP80" t="s">
        <v>1822</v>
      </c>
      <c r="CQ80" t="s">
        <v>1976</v>
      </c>
      <c r="CR80" t="s">
        <v>1822</v>
      </c>
      <c r="CS80" t="s">
        <v>1976</v>
      </c>
      <c r="CT80" t="s">
        <v>1822</v>
      </c>
      <c r="CU80" t="s">
        <v>1976</v>
      </c>
      <c r="CV80" t="s">
        <v>1822</v>
      </c>
      <c r="CW80" t="s">
        <v>1976</v>
      </c>
      <c r="CX80" t="s">
        <v>1822</v>
      </c>
      <c r="CY80" t="s">
        <v>1976</v>
      </c>
      <c r="CZ80" t="s">
        <v>1822</v>
      </c>
      <c r="DA80" t="s">
        <v>1976</v>
      </c>
      <c r="DB80" t="s">
        <v>1822</v>
      </c>
      <c r="DC80" t="s">
        <v>1976</v>
      </c>
      <c r="DD80" t="s">
        <v>1822</v>
      </c>
      <c r="DE80" t="s">
        <v>1976</v>
      </c>
      <c r="DF80" t="s">
        <v>1822</v>
      </c>
      <c r="DG80" t="s">
        <v>1976</v>
      </c>
      <c r="DH80" t="s">
        <v>1822</v>
      </c>
      <c r="DI80" t="s">
        <v>1976</v>
      </c>
      <c r="DJ80" t="s">
        <v>1822</v>
      </c>
      <c r="DK80" t="s">
        <v>1976</v>
      </c>
      <c r="DL80" t="s">
        <v>1822</v>
      </c>
      <c r="DM80" t="s">
        <v>1976</v>
      </c>
      <c r="DN80" t="s">
        <v>1822</v>
      </c>
      <c r="DO80" t="s">
        <v>1976</v>
      </c>
      <c r="DP80" t="s">
        <v>1822</v>
      </c>
      <c r="DQ80" t="s">
        <v>1976</v>
      </c>
      <c r="DR80" t="s">
        <v>1822</v>
      </c>
      <c r="DS80" t="s">
        <v>1976</v>
      </c>
      <c r="DT80" t="s">
        <v>1822</v>
      </c>
      <c r="DU80" t="s">
        <v>1976</v>
      </c>
      <c r="DV80" t="s">
        <v>1822</v>
      </c>
      <c r="DW80" t="s">
        <v>1976</v>
      </c>
      <c r="DX80" t="s">
        <v>1822</v>
      </c>
      <c r="DY80" t="s">
        <v>1976</v>
      </c>
      <c r="DZ80" t="s">
        <v>1822</v>
      </c>
      <c r="EA80" t="s">
        <v>1976</v>
      </c>
      <c r="EB80" t="s">
        <v>1822</v>
      </c>
      <c r="EC80" t="s">
        <v>1976</v>
      </c>
      <c r="ED80" t="s">
        <v>1822</v>
      </c>
      <c r="EE80" t="s">
        <v>1976</v>
      </c>
      <c r="EF80" t="s">
        <v>1822</v>
      </c>
      <c r="EG80" t="s">
        <v>1976</v>
      </c>
    </row>
    <row r="81" spans="1:137">
      <c r="A81" s="6"/>
      <c r="B81" s="88">
        <v>46118.666666666664</v>
      </c>
      <c r="C81">
        <v>258.86</v>
      </c>
      <c r="D81" s="88">
        <v>46118.666666666664</v>
      </c>
      <c r="E81">
        <v>244.36</v>
      </c>
      <c r="F81" s="88">
        <v>46118.666666666664</v>
      </c>
      <c r="G81">
        <v>37.979999999999997</v>
      </c>
      <c r="H81" s="88">
        <v>46118.666666666664</v>
      </c>
      <c r="I81">
        <v>212.79</v>
      </c>
      <c r="J81" s="88">
        <v>46118.666666666664</v>
      </c>
      <c r="K81">
        <v>94.81</v>
      </c>
      <c r="L81" s="88">
        <v>46118.666666666664</v>
      </c>
      <c r="M81">
        <v>17.48</v>
      </c>
      <c r="N81" s="88">
        <v>46118.666666666664</v>
      </c>
      <c r="O81">
        <v>314.43</v>
      </c>
      <c r="P81" s="88">
        <v>46118.666666666664</v>
      </c>
      <c r="Q81">
        <v>122.31</v>
      </c>
      <c r="R81" s="88">
        <v>46118.666666666664</v>
      </c>
      <c r="S81">
        <v>20.6</v>
      </c>
      <c r="T81" s="88">
        <v>46118.666666666664</v>
      </c>
      <c r="U81">
        <v>33.03</v>
      </c>
      <c r="V81" s="88">
        <v>46118.666666666664</v>
      </c>
      <c r="W81">
        <v>1.0900000000000001</v>
      </c>
      <c r="X81" s="88">
        <v>46118.666666666664</v>
      </c>
      <c r="Y81">
        <v>8.5299999999999994</v>
      </c>
      <c r="Z81" s="88">
        <v>46118.666666666664</v>
      </c>
      <c r="AA81">
        <v>96.28</v>
      </c>
      <c r="AB81" s="88">
        <v>46118.666666666664</v>
      </c>
      <c r="AC81">
        <v>199.66</v>
      </c>
      <c r="AD81" s="88">
        <v>46118.666666666664</v>
      </c>
      <c r="AE81">
        <v>111.09</v>
      </c>
      <c r="AF81" s="88">
        <v>46118.666666666664</v>
      </c>
      <c r="AG81">
        <v>26.47</v>
      </c>
      <c r="AH81" s="88">
        <v>46118.666666666664</v>
      </c>
      <c r="AI81">
        <v>923.68</v>
      </c>
      <c r="AJ81" s="88">
        <v>46118.666666666664</v>
      </c>
      <c r="AK81">
        <v>21.42</v>
      </c>
      <c r="AL81" s="88">
        <v>46118.666666666664</v>
      </c>
      <c r="AM81">
        <v>34.85</v>
      </c>
      <c r="AN81" s="88">
        <v>46118.666666666664</v>
      </c>
      <c r="AO81">
        <v>299.99</v>
      </c>
      <c r="AP81" s="88">
        <v>46118.666666666664</v>
      </c>
      <c r="AQ81">
        <v>866.05</v>
      </c>
      <c r="AR81" s="88">
        <v>46118.666666666664</v>
      </c>
      <c r="AS81">
        <v>326.64999999999998</v>
      </c>
      <c r="AT81" s="88">
        <v>46118.666666666664</v>
      </c>
      <c r="AU81">
        <v>69.78</v>
      </c>
      <c r="AV81" s="88">
        <v>46118.666666666664</v>
      </c>
      <c r="AW81">
        <v>26.89</v>
      </c>
      <c r="AX81" s="88">
        <v>46118.666666666664</v>
      </c>
      <c r="AY81">
        <v>35.130000000000003</v>
      </c>
      <c r="AZ81" s="88">
        <v>46118.666666666664</v>
      </c>
      <c r="BA81">
        <v>9.7200000000000006</v>
      </c>
      <c r="BB81" s="88">
        <v>46118.666666666664</v>
      </c>
      <c r="BC81">
        <v>772.28</v>
      </c>
      <c r="BD81" s="88">
        <v>46118.666666666664</v>
      </c>
      <c r="BE81">
        <v>156.18</v>
      </c>
      <c r="BF81" s="88">
        <v>46118.666666666664</v>
      </c>
      <c r="BG81">
        <v>22.92</v>
      </c>
      <c r="BH81" s="88">
        <v>46118.666666666664</v>
      </c>
      <c r="BI81">
        <v>160.12</v>
      </c>
      <c r="BJ81" s="88">
        <v>46118.666666666664</v>
      </c>
      <c r="BK81">
        <v>5.9</v>
      </c>
      <c r="BL81" s="88">
        <v>46118.666666666664</v>
      </c>
      <c r="BM81">
        <v>573.02</v>
      </c>
      <c r="BN81" s="88">
        <v>46118.666666666664</v>
      </c>
      <c r="BO81">
        <v>26.51</v>
      </c>
      <c r="BP81" s="88">
        <v>46118.666666666664</v>
      </c>
      <c r="BQ81">
        <v>372.88</v>
      </c>
      <c r="BR81" s="88">
        <v>46118.666666666664</v>
      </c>
      <c r="BS81">
        <v>129.63</v>
      </c>
      <c r="BT81" s="88">
        <v>46118.666666666664</v>
      </c>
      <c r="BU81">
        <v>377.76</v>
      </c>
      <c r="BV81" s="88">
        <v>46118.666666666664</v>
      </c>
      <c r="BW81">
        <v>98.93</v>
      </c>
      <c r="BX81" s="88">
        <v>46118.666666666664</v>
      </c>
      <c r="BY81">
        <v>44.03</v>
      </c>
      <c r="BZ81" s="88">
        <v>46118.666666666664</v>
      </c>
      <c r="CA81">
        <v>16.61</v>
      </c>
      <c r="CB81" s="88">
        <v>46118.666666666664</v>
      </c>
      <c r="CC81">
        <v>177.64</v>
      </c>
      <c r="CD81" s="88">
        <v>46118.666666666664</v>
      </c>
      <c r="CE81">
        <v>36.67</v>
      </c>
      <c r="CF81" s="88">
        <v>46118.666666666664</v>
      </c>
      <c r="CG81">
        <v>48.76</v>
      </c>
      <c r="CH81" s="88">
        <v>46118.666666666664</v>
      </c>
      <c r="CI81">
        <v>9.52</v>
      </c>
      <c r="CJ81" s="88">
        <v>46118.666666666664</v>
      </c>
      <c r="CK81">
        <v>145.54</v>
      </c>
      <c r="CL81" s="88">
        <v>46118.666666666664</v>
      </c>
      <c r="CM81">
        <v>62.96</v>
      </c>
      <c r="CN81" s="88">
        <v>46118.666666666664</v>
      </c>
      <c r="CO81">
        <v>11.15</v>
      </c>
      <c r="CP81" s="88">
        <v>46118.666666666664</v>
      </c>
      <c r="CQ81">
        <v>35.020000000000003</v>
      </c>
      <c r="CR81" s="88">
        <v>46118.666666666664</v>
      </c>
      <c r="CS81">
        <v>147.93</v>
      </c>
      <c r="CT81" s="88">
        <v>46118.666666666664</v>
      </c>
      <c r="CU81">
        <v>6.08</v>
      </c>
      <c r="CV81" s="88">
        <v>46118.666666666664</v>
      </c>
      <c r="CW81">
        <v>13.06</v>
      </c>
      <c r="CX81" s="88">
        <v>46118.666666666664</v>
      </c>
      <c r="CY81">
        <v>9.64</v>
      </c>
      <c r="CZ81" s="88">
        <v>46118.666666666664</v>
      </c>
      <c r="DA81">
        <v>15.29</v>
      </c>
      <c r="DB81" s="88">
        <v>46118.666666666664</v>
      </c>
      <c r="DC81">
        <v>67.67</v>
      </c>
      <c r="DD81" s="88">
        <v>46118.666666666664</v>
      </c>
      <c r="DE81">
        <v>22.05</v>
      </c>
      <c r="DF81" s="88">
        <v>46118.666666666664</v>
      </c>
      <c r="DG81">
        <v>4.71</v>
      </c>
      <c r="DH81" s="88">
        <v>46118.666666666664</v>
      </c>
      <c r="DI81">
        <v>16.27</v>
      </c>
      <c r="DJ81" s="88">
        <v>46118.666666666664</v>
      </c>
      <c r="DK81">
        <v>658.93</v>
      </c>
      <c r="DL81" s="88">
        <v>46118.666666666664</v>
      </c>
      <c r="DM81">
        <v>352.82</v>
      </c>
      <c r="DN81" s="88">
        <v>46118.666666666664</v>
      </c>
      <c r="DO81">
        <v>18.61</v>
      </c>
      <c r="DP81" s="88">
        <v>46118.666666666664</v>
      </c>
      <c r="DQ81">
        <v>90.97</v>
      </c>
      <c r="DR81" s="88">
        <v>46118.666666666664</v>
      </c>
      <c r="DS81">
        <v>8.2799999999999994</v>
      </c>
      <c r="DT81" s="88">
        <v>46118.666666666664</v>
      </c>
      <c r="DU81">
        <v>72.17</v>
      </c>
      <c r="DV81" s="88">
        <v>46118.666666666664</v>
      </c>
      <c r="DW81">
        <v>13.71</v>
      </c>
      <c r="DX81" s="88">
        <v>46118.666666666664</v>
      </c>
      <c r="DY81">
        <v>138.94</v>
      </c>
      <c r="DZ81" s="88">
        <v>46118.666666666664</v>
      </c>
      <c r="EA81">
        <v>118</v>
      </c>
      <c r="EB81" s="88">
        <v>46118.666666666664</v>
      </c>
      <c r="EC81">
        <v>15.94</v>
      </c>
      <c r="ED81" s="88">
        <v>46118.666666666664</v>
      </c>
      <c r="EE81">
        <v>7.09</v>
      </c>
      <c r="EF81" s="88">
        <v>46118.666666666664</v>
      </c>
      <c r="EG81">
        <v>82.68</v>
      </c>
    </row>
    <row r="82" spans="1:137">
      <c r="A82" s="6"/>
      <c r="B82" s="88">
        <v>46119.666666666664</v>
      </c>
      <c r="C82">
        <v>253.5</v>
      </c>
      <c r="D82" s="88">
        <v>46119.666666666664</v>
      </c>
      <c r="E82">
        <v>240.14</v>
      </c>
      <c r="F82" s="88">
        <v>46119.666666666664</v>
      </c>
      <c r="G82">
        <v>36.93</v>
      </c>
      <c r="H82" s="88">
        <v>46119.666666666664</v>
      </c>
      <c r="I82">
        <v>213.77</v>
      </c>
      <c r="J82" s="88">
        <v>46119.666666666664</v>
      </c>
      <c r="K82">
        <v>92.57</v>
      </c>
      <c r="L82" s="88">
        <v>46119.666666666664</v>
      </c>
      <c r="M82">
        <v>17.510000000000002</v>
      </c>
      <c r="N82" s="88">
        <v>46119.666666666664</v>
      </c>
      <c r="O82">
        <v>333.97</v>
      </c>
      <c r="P82" s="88">
        <v>46119.666666666664</v>
      </c>
      <c r="Q82">
        <v>119.72</v>
      </c>
      <c r="R82" s="88">
        <v>46119.666666666664</v>
      </c>
      <c r="S82">
        <v>20.170000000000002</v>
      </c>
      <c r="T82" s="88">
        <v>46119.666666666664</v>
      </c>
      <c r="U82">
        <v>31.96</v>
      </c>
      <c r="V82" s="88">
        <v>46119.666666666664</v>
      </c>
      <c r="W82">
        <v>1.01</v>
      </c>
      <c r="X82" s="88">
        <v>46119.666666666664</v>
      </c>
      <c r="Y82">
        <v>8.7100000000000009</v>
      </c>
      <c r="Z82" s="88">
        <v>46119.666666666664</v>
      </c>
      <c r="AA82">
        <v>95.78</v>
      </c>
      <c r="AB82" s="88">
        <v>46119.666666666664</v>
      </c>
      <c r="AC82">
        <v>200.35</v>
      </c>
      <c r="AD82" s="88">
        <v>46119.666666666664</v>
      </c>
      <c r="AE82">
        <v>106.42</v>
      </c>
      <c r="AF82" s="88">
        <v>46119.666666666664</v>
      </c>
      <c r="AG82">
        <v>26.58</v>
      </c>
      <c r="AH82" s="88">
        <v>46119.666666666664</v>
      </c>
      <c r="AI82">
        <v>914.17</v>
      </c>
      <c r="AJ82" s="88">
        <v>46119.666666666664</v>
      </c>
      <c r="AK82">
        <v>21.19</v>
      </c>
      <c r="AL82" s="88">
        <v>46119.666666666664</v>
      </c>
      <c r="AM82">
        <v>35.57</v>
      </c>
      <c r="AN82" s="88">
        <v>46119.666666666664</v>
      </c>
      <c r="AO82">
        <v>305.45999999999998</v>
      </c>
      <c r="AP82" s="88">
        <v>46119.666666666664</v>
      </c>
      <c r="AQ82">
        <v>864.15</v>
      </c>
      <c r="AR82" s="88">
        <v>46119.666666666664</v>
      </c>
      <c r="AS82">
        <v>318.77</v>
      </c>
      <c r="AT82" s="88">
        <v>46119.666666666664</v>
      </c>
      <c r="AU82">
        <v>69.650000000000006</v>
      </c>
      <c r="AV82" s="88">
        <v>46119.666666666664</v>
      </c>
      <c r="AW82">
        <v>27.21</v>
      </c>
      <c r="AX82" s="88">
        <v>46119.666666666664</v>
      </c>
      <c r="AY82">
        <v>35.74</v>
      </c>
      <c r="AZ82" s="88">
        <v>46119.666666666664</v>
      </c>
      <c r="BA82">
        <v>9.7899999999999991</v>
      </c>
      <c r="BB82" s="88">
        <v>46119.666666666664</v>
      </c>
      <c r="BC82">
        <v>815.75</v>
      </c>
      <c r="BD82" s="88">
        <v>46119.666666666664</v>
      </c>
      <c r="BE82">
        <v>153.66999999999999</v>
      </c>
      <c r="BF82" s="88">
        <v>46119.666666666664</v>
      </c>
      <c r="BG82">
        <v>22.73</v>
      </c>
      <c r="BH82" s="88">
        <v>46119.666666666664</v>
      </c>
      <c r="BI82">
        <v>158.29</v>
      </c>
      <c r="BJ82" s="88">
        <v>46119.666666666664</v>
      </c>
      <c r="BK82">
        <v>5.67</v>
      </c>
      <c r="BL82" s="88">
        <v>46119.666666666664</v>
      </c>
      <c r="BM82">
        <v>575.04999999999995</v>
      </c>
      <c r="BN82" s="88">
        <v>46119.666666666664</v>
      </c>
      <c r="BO82">
        <v>26.37</v>
      </c>
      <c r="BP82" s="88">
        <v>46119.666666666664</v>
      </c>
      <c r="BQ82">
        <v>372.29</v>
      </c>
      <c r="BR82" s="88">
        <v>46119.666666666664</v>
      </c>
      <c r="BS82">
        <v>129.71</v>
      </c>
      <c r="BT82" s="88">
        <v>46119.666666666664</v>
      </c>
      <c r="BU82">
        <v>377.58</v>
      </c>
      <c r="BV82" s="88">
        <v>46119.666666666664</v>
      </c>
      <c r="BW82">
        <v>98.82</v>
      </c>
      <c r="BX82" s="88">
        <v>46119.666666666664</v>
      </c>
      <c r="BY82">
        <v>42.69</v>
      </c>
      <c r="BZ82" s="88">
        <v>46119.666666666664</v>
      </c>
      <c r="CA82">
        <v>15.07</v>
      </c>
      <c r="CB82" s="88">
        <v>46119.666666666664</v>
      </c>
      <c r="CC82">
        <v>178.1</v>
      </c>
      <c r="CD82" s="88">
        <v>46119.666666666664</v>
      </c>
      <c r="CE82">
        <v>36.909999999999997</v>
      </c>
      <c r="CF82" s="88">
        <v>46119.666666666664</v>
      </c>
      <c r="CG82">
        <v>46.59</v>
      </c>
      <c r="CH82" s="88">
        <v>46119.666666666664</v>
      </c>
      <c r="CI82">
        <v>9.5299999999999994</v>
      </c>
      <c r="CJ82" s="88">
        <v>46119.666666666664</v>
      </c>
      <c r="CK82">
        <v>143.16999999999999</v>
      </c>
      <c r="CL82" s="88">
        <v>46119.666666666664</v>
      </c>
      <c r="CM82">
        <v>62.94</v>
      </c>
      <c r="CN82" s="88">
        <v>46119.666666666664</v>
      </c>
      <c r="CO82">
        <v>10.95</v>
      </c>
      <c r="CP82" s="88">
        <v>46119.666666666664</v>
      </c>
      <c r="CQ82">
        <v>35.17</v>
      </c>
      <c r="CR82" s="88">
        <v>46119.666666666664</v>
      </c>
      <c r="CS82">
        <v>150.07</v>
      </c>
      <c r="CT82" s="88">
        <v>46119.666666666664</v>
      </c>
      <c r="CU82">
        <v>5.96</v>
      </c>
      <c r="CV82" s="88">
        <v>46119.666666666664</v>
      </c>
      <c r="CW82">
        <v>12.08</v>
      </c>
      <c r="CX82" s="88">
        <v>46119.666666666664</v>
      </c>
      <c r="CY82">
        <v>9.5</v>
      </c>
      <c r="CZ82" s="88">
        <v>46119.666666666664</v>
      </c>
      <c r="DA82">
        <v>14.69</v>
      </c>
      <c r="DB82" s="88">
        <v>46119.666666666664</v>
      </c>
      <c r="DC82">
        <v>66.319999999999993</v>
      </c>
      <c r="DD82" s="88">
        <v>46119.666666666664</v>
      </c>
      <c r="DE82">
        <v>22.67</v>
      </c>
      <c r="DF82" s="88">
        <v>46119.666666666664</v>
      </c>
      <c r="DG82">
        <v>4.8</v>
      </c>
      <c r="DH82" s="88">
        <v>46119.666666666664</v>
      </c>
      <c r="DI82">
        <v>16.11</v>
      </c>
      <c r="DJ82" s="88">
        <v>46119.666666666664</v>
      </c>
      <c r="DK82">
        <v>659.22</v>
      </c>
      <c r="DL82" s="88">
        <v>46119.666666666664</v>
      </c>
      <c r="DM82">
        <v>346.65</v>
      </c>
      <c r="DN82" s="88">
        <v>46119.666666666664</v>
      </c>
      <c r="DO82">
        <v>18.91</v>
      </c>
      <c r="DP82" s="88">
        <v>46119.666666666664</v>
      </c>
      <c r="DQ82">
        <v>89.29</v>
      </c>
      <c r="DR82" s="88">
        <v>46119.666666666664</v>
      </c>
      <c r="DS82">
        <v>8.1300000000000008</v>
      </c>
      <c r="DT82" s="88">
        <v>46119.666666666664</v>
      </c>
      <c r="DU82">
        <v>71.73</v>
      </c>
      <c r="DV82" s="88">
        <v>46119.666666666664</v>
      </c>
      <c r="DW82">
        <v>13.15</v>
      </c>
      <c r="DX82" s="88">
        <v>46119.666666666664</v>
      </c>
      <c r="DY82">
        <v>138.08000000000001</v>
      </c>
      <c r="DZ82" s="88">
        <v>46119.666666666664</v>
      </c>
      <c r="EA82">
        <v>113.71</v>
      </c>
      <c r="EB82" s="88">
        <v>46119.666666666664</v>
      </c>
      <c r="EC82">
        <v>15.99</v>
      </c>
      <c r="ED82" s="88">
        <v>46119.666666666664</v>
      </c>
      <c r="EE82">
        <v>6.89</v>
      </c>
      <c r="EF82" s="88">
        <v>46119.666666666664</v>
      </c>
      <c r="EG82">
        <v>84.02</v>
      </c>
    </row>
    <row r="83" spans="1:137">
      <c r="A83" s="6"/>
      <c r="B83" s="88">
        <v>46120.666666666664</v>
      </c>
      <c r="C83">
        <v>258.89999999999998</v>
      </c>
      <c r="D83" s="88">
        <v>46120.666666666664</v>
      </c>
      <c r="E83">
        <v>239.31</v>
      </c>
      <c r="F83" s="88">
        <v>46120.666666666664</v>
      </c>
      <c r="G83">
        <v>39.909999999999997</v>
      </c>
      <c r="H83" s="88">
        <v>46120.666666666664</v>
      </c>
      <c r="I83">
        <v>221.25</v>
      </c>
      <c r="J83" s="88">
        <v>46120.666666666664</v>
      </c>
      <c r="K83">
        <v>96.46</v>
      </c>
      <c r="L83" s="88">
        <v>46120.666666666664</v>
      </c>
      <c r="M83">
        <v>18.12</v>
      </c>
      <c r="N83" s="88">
        <v>46120.666666666664</v>
      </c>
      <c r="O83">
        <v>350.63</v>
      </c>
      <c r="P83" s="88">
        <v>46120.666666666664</v>
      </c>
      <c r="Q83">
        <v>125.32</v>
      </c>
      <c r="R83" s="88">
        <v>46120.666666666664</v>
      </c>
      <c r="S83">
        <v>21.52</v>
      </c>
      <c r="T83" s="88">
        <v>46120.666666666664</v>
      </c>
      <c r="U83">
        <v>30.18</v>
      </c>
      <c r="V83" s="88">
        <v>46120.666666666664</v>
      </c>
      <c r="W83">
        <v>1.08</v>
      </c>
      <c r="X83" s="88">
        <v>46120.666666666664</v>
      </c>
      <c r="Y83">
        <v>9.0399999999999991</v>
      </c>
      <c r="Z83" s="88">
        <v>46120.666666666664</v>
      </c>
      <c r="AA83">
        <v>99.18</v>
      </c>
      <c r="AB83" s="88">
        <v>46120.666666666664</v>
      </c>
      <c r="AC83">
        <v>204.75</v>
      </c>
      <c r="AD83" s="88">
        <v>46120.666666666664</v>
      </c>
      <c r="AE83">
        <v>105.62</v>
      </c>
      <c r="AF83" s="88">
        <v>46120.666666666664</v>
      </c>
      <c r="AG83">
        <v>27.39</v>
      </c>
      <c r="AH83" s="88">
        <v>46120.666666666664</v>
      </c>
      <c r="AI83">
        <v>920.52</v>
      </c>
      <c r="AJ83" s="88">
        <v>46120.666666666664</v>
      </c>
      <c r="AK83">
        <v>20.149999999999999</v>
      </c>
      <c r="AL83" s="88">
        <v>46120.666666666664</v>
      </c>
      <c r="AM83">
        <v>38.119999999999997</v>
      </c>
      <c r="AN83" s="88">
        <v>46120.666666666664</v>
      </c>
      <c r="AO83">
        <v>317.32</v>
      </c>
      <c r="AP83" s="88">
        <v>46120.666666666664</v>
      </c>
      <c r="AQ83">
        <v>905.75</v>
      </c>
      <c r="AR83" s="88">
        <v>46120.666666666664</v>
      </c>
      <c r="AS83">
        <v>336.16</v>
      </c>
      <c r="AT83" s="88">
        <v>46120.666666666664</v>
      </c>
      <c r="AU83">
        <v>71.83</v>
      </c>
      <c r="AV83" s="88">
        <v>46120.666666666664</v>
      </c>
      <c r="AW83">
        <v>30.95</v>
      </c>
      <c r="AX83" s="88">
        <v>46120.666666666664</v>
      </c>
      <c r="AY83">
        <v>36.83</v>
      </c>
      <c r="AZ83" s="88">
        <v>46120.666666666664</v>
      </c>
      <c r="BA83">
        <v>10.45</v>
      </c>
      <c r="BB83" s="88">
        <v>46120.666666666664</v>
      </c>
      <c r="BC83">
        <v>896.02</v>
      </c>
      <c r="BD83" s="88">
        <v>46120.666666666664</v>
      </c>
      <c r="BE83">
        <v>158.86000000000001</v>
      </c>
      <c r="BF83" s="88">
        <v>46120.666666666664</v>
      </c>
      <c r="BG83">
        <v>23.39</v>
      </c>
      <c r="BH83" s="88">
        <v>46120.666666666664</v>
      </c>
      <c r="BI83">
        <v>163.56</v>
      </c>
      <c r="BJ83" s="88">
        <v>46120.666666666664</v>
      </c>
      <c r="BK83">
        <v>5.84</v>
      </c>
      <c r="BL83" s="88">
        <v>46120.666666666664</v>
      </c>
      <c r="BM83">
        <v>612.41999999999996</v>
      </c>
      <c r="BN83" s="88">
        <v>46120.666666666664</v>
      </c>
      <c r="BO83">
        <v>26.62</v>
      </c>
      <c r="BP83" s="88">
        <v>46120.666666666664</v>
      </c>
      <c r="BQ83">
        <v>374.33</v>
      </c>
      <c r="BR83" s="88">
        <v>46120.666666666664</v>
      </c>
      <c r="BS83">
        <v>129.5</v>
      </c>
      <c r="BT83" s="88">
        <v>46120.666666666664</v>
      </c>
      <c r="BU83">
        <v>406.73</v>
      </c>
      <c r="BV83" s="88">
        <v>46120.666666666664</v>
      </c>
      <c r="BW83">
        <v>99.39</v>
      </c>
      <c r="BX83" s="88">
        <v>46120.666666666664</v>
      </c>
      <c r="BY83">
        <v>43.13</v>
      </c>
      <c r="BZ83" s="88">
        <v>46120.666666666664</v>
      </c>
      <c r="CA83">
        <v>14.59</v>
      </c>
      <c r="CB83" s="88">
        <v>46120.666666666664</v>
      </c>
      <c r="CC83">
        <v>182.08</v>
      </c>
      <c r="CD83" s="88">
        <v>46120.666666666664</v>
      </c>
      <c r="CE83">
        <v>37.61</v>
      </c>
      <c r="CF83" s="88">
        <v>46120.666666666664</v>
      </c>
      <c r="CG83">
        <v>50.21</v>
      </c>
      <c r="CH83" s="88">
        <v>46120.666666666664</v>
      </c>
      <c r="CI83">
        <v>9.4499999999999993</v>
      </c>
      <c r="CJ83" s="88">
        <v>46120.666666666664</v>
      </c>
      <c r="CK83">
        <v>143.66</v>
      </c>
      <c r="CL83" s="88">
        <v>46120.666666666664</v>
      </c>
      <c r="CM83">
        <v>59.77</v>
      </c>
      <c r="CN83" s="88">
        <v>46120.666666666664</v>
      </c>
      <c r="CO83">
        <v>10.39</v>
      </c>
      <c r="CP83" s="88">
        <v>46120.666666666664</v>
      </c>
      <c r="CQ83">
        <v>36.549999999999997</v>
      </c>
      <c r="CR83" s="88">
        <v>46120.666666666664</v>
      </c>
      <c r="CS83">
        <v>140.76</v>
      </c>
      <c r="CT83" s="88">
        <v>46120.666666666664</v>
      </c>
      <c r="CU83">
        <v>6.22</v>
      </c>
      <c r="CV83" s="88">
        <v>46120.666666666664</v>
      </c>
      <c r="CW83">
        <v>13.04</v>
      </c>
      <c r="CX83" s="88">
        <v>46120.666666666664</v>
      </c>
      <c r="CY83">
        <v>9.7899999999999991</v>
      </c>
      <c r="CZ83" s="88">
        <v>46120.666666666664</v>
      </c>
      <c r="DA83">
        <v>15.14</v>
      </c>
      <c r="DB83" s="88">
        <v>46120.666666666664</v>
      </c>
      <c r="DC83">
        <v>69.08</v>
      </c>
      <c r="DD83" s="88">
        <v>46120.666666666664</v>
      </c>
      <c r="DE83">
        <v>23.37</v>
      </c>
      <c r="DF83" s="88">
        <v>46120.666666666664</v>
      </c>
      <c r="DG83">
        <v>4.7300000000000004</v>
      </c>
      <c r="DH83" s="88">
        <v>46120.666666666664</v>
      </c>
      <c r="DI83">
        <v>16.489999999999998</v>
      </c>
      <c r="DJ83" s="88">
        <v>46120.666666666664</v>
      </c>
      <c r="DK83">
        <v>676.01</v>
      </c>
      <c r="DL83" s="88">
        <v>46120.666666666664</v>
      </c>
      <c r="DM83">
        <v>343.25</v>
      </c>
      <c r="DN83" s="88">
        <v>46120.666666666664</v>
      </c>
      <c r="DO83">
        <v>19.399999999999999</v>
      </c>
      <c r="DP83" s="88">
        <v>46120.666666666664</v>
      </c>
      <c r="DQ83">
        <v>96.3</v>
      </c>
      <c r="DR83" s="88">
        <v>46120.666666666664</v>
      </c>
      <c r="DS83">
        <v>8.84</v>
      </c>
      <c r="DT83" s="88">
        <v>46120.666666666664</v>
      </c>
      <c r="DU83">
        <v>72.38</v>
      </c>
      <c r="DV83" s="88">
        <v>46120.666666666664</v>
      </c>
      <c r="DW83">
        <v>12.85</v>
      </c>
      <c r="DX83" s="88">
        <v>46120.666666666664</v>
      </c>
      <c r="DY83">
        <v>124.58</v>
      </c>
      <c r="DZ83" s="88">
        <v>46120.666666666664</v>
      </c>
      <c r="EA83">
        <v>119.74</v>
      </c>
      <c r="EB83" s="88">
        <v>46120.666666666664</v>
      </c>
      <c r="EC83">
        <v>14.44</v>
      </c>
      <c r="ED83" s="88">
        <v>46120.666666666664</v>
      </c>
      <c r="EE83">
        <v>7.06</v>
      </c>
      <c r="EF83" s="88">
        <v>46120.666666666664</v>
      </c>
      <c r="EG83">
        <v>83.23</v>
      </c>
    </row>
    <row r="84" spans="1:137">
      <c r="A84" s="6"/>
      <c r="B84" s="88">
        <v>46121.666666666664</v>
      </c>
      <c r="C84">
        <v>260.49</v>
      </c>
      <c r="D84" s="88">
        <v>46121.666666666664</v>
      </c>
      <c r="E84">
        <v>229.94</v>
      </c>
      <c r="F84" s="88">
        <v>46121.666666666664</v>
      </c>
      <c r="G84">
        <v>39.9</v>
      </c>
      <c r="H84" s="88">
        <v>46121.666666666664</v>
      </c>
      <c r="I84">
        <v>233.65</v>
      </c>
      <c r="J84" s="88">
        <v>46121.666666666664</v>
      </c>
      <c r="K84">
        <v>91.61</v>
      </c>
      <c r="L84" s="88">
        <v>46121.666666666664</v>
      </c>
      <c r="M84">
        <v>18.12</v>
      </c>
      <c r="N84" s="88">
        <v>46121.666666666664</v>
      </c>
      <c r="O84">
        <v>354.91</v>
      </c>
      <c r="P84" s="88">
        <v>46121.666666666664</v>
      </c>
      <c r="Q84">
        <v>127.68</v>
      </c>
      <c r="R84" s="88">
        <v>46121.666666666664</v>
      </c>
      <c r="S84">
        <v>21.08</v>
      </c>
      <c r="T84" s="88">
        <v>46121.666666666664</v>
      </c>
      <c r="U84">
        <v>27.71</v>
      </c>
      <c r="V84" s="88">
        <v>46121.666666666664</v>
      </c>
      <c r="W84">
        <v>1.07</v>
      </c>
      <c r="X84" s="88">
        <v>46121.666666666664</v>
      </c>
      <c r="Y84">
        <v>9.23</v>
      </c>
      <c r="Z84" s="88">
        <v>46121.666666666664</v>
      </c>
      <c r="AA84">
        <v>99.79</v>
      </c>
      <c r="AB84" s="88">
        <v>46121.666666666664</v>
      </c>
      <c r="AC84">
        <v>212.62</v>
      </c>
      <c r="AD84" s="88">
        <v>46121.666666666664</v>
      </c>
      <c r="AE84">
        <v>102.6</v>
      </c>
      <c r="AF84" s="88">
        <v>46121.666666666664</v>
      </c>
      <c r="AG84">
        <v>27.7</v>
      </c>
      <c r="AH84" s="88">
        <v>46121.666666666664</v>
      </c>
      <c r="AI84">
        <v>928.47</v>
      </c>
      <c r="AJ84" s="88">
        <v>46121.666666666664</v>
      </c>
      <c r="AK84">
        <v>19.079999999999998</v>
      </c>
      <c r="AL84" s="88">
        <v>46121.666666666664</v>
      </c>
      <c r="AM84">
        <v>37.57</v>
      </c>
      <c r="AN84" s="88">
        <v>46121.666666666664</v>
      </c>
      <c r="AO84">
        <v>318.49</v>
      </c>
      <c r="AP84" s="88">
        <v>46121.666666666664</v>
      </c>
      <c r="AQ84">
        <v>903.72</v>
      </c>
      <c r="AR84" s="88">
        <v>46121.666666666664</v>
      </c>
      <c r="AS84">
        <v>339.58</v>
      </c>
      <c r="AT84" s="88">
        <v>46121.666666666664</v>
      </c>
      <c r="AU84">
        <v>70.12</v>
      </c>
      <c r="AV84" s="88">
        <v>46121.666666666664</v>
      </c>
      <c r="AW84">
        <v>31.12</v>
      </c>
      <c r="AX84" s="88">
        <v>46121.666666666664</v>
      </c>
      <c r="AY84">
        <v>37.06</v>
      </c>
      <c r="AZ84" s="88">
        <v>46121.666666666664</v>
      </c>
      <c r="BA84">
        <v>10.64</v>
      </c>
      <c r="BB84" s="88">
        <v>46121.666666666664</v>
      </c>
      <c r="BC84">
        <v>894.13</v>
      </c>
      <c r="BD84" s="88">
        <v>46121.666666666664</v>
      </c>
      <c r="BE84">
        <v>166.51</v>
      </c>
      <c r="BF84" s="88">
        <v>46121.666666666664</v>
      </c>
      <c r="BG84">
        <v>21.97</v>
      </c>
      <c r="BH84" s="88">
        <v>46121.666666666664</v>
      </c>
      <c r="BI84">
        <v>163.66</v>
      </c>
      <c r="BJ84" s="88">
        <v>46121.666666666664</v>
      </c>
      <c r="BK84">
        <v>5.87</v>
      </c>
      <c r="BL84" s="88">
        <v>46121.666666666664</v>
      </c>
      <c r="BM84">
        <v>628.39</v>
      </c>
      <c r="BN84" s="88">
        <v>46121.666666666664</v>
      </c>
      <c r="BO84">
        <v>25.27</v>
      </c>
      <c r="BP84" s="88">
        <v>46121.666666666664</v>
      </c>
      <c r="BQ84">
        <v>373.07</v>
      </c>
      <c r="BR84" s="88">
        <v>46121.666666666664</v>
      </c>
      <c r="BS84">
        <v>129.57</v>
      </c>
      <c r="BT84" s="88">
        <v>46121.666666666664</v>
      </c>
      <c r="BU84">
        <v>421.51</v>
      </c>
      <c r="BV84" s="88">
        <v>46121.666666666664</v>
      </c>
      <c r="BW84">
        <v>102.05</v>
      </c>
      <c r="BX84" s="88">
        <v>46121.666666666664</v>
      </c>
      <c r="BY84">
        <v>44</v>
      </c>
      <c r="BZ84" s="88">
        <v>46121.666666666664</v>
      </c>
      <c r="CA84">
        <v>15.11</v>
      </c>
      <c r="CB84" s="88">
        <v>46121.666666666664</v>
      </c>
      <c r="CC84">
        <v>183.91</v>
      </c>
      <c r="CD84" s="88">
        <v>46121.666666666664</v>
      </c>
      <c r="CE84">
        <v>37.44</v>
      </c>
      <c r="CF84" s="88">
        <v>46121.666666666664</v>
      </c>
      <c r="CG84">
        <v>47.75</v>
      </c>
      <c r="CH84" s="88">
        <v>46121.666666666664</v>
      </c>
      <c r="CI84">
        <v>9.14</v>
      </c>
      <c r="CJ84" s="88">
        <v>46121.666666666664</v>
      </c>
      <c r="CK84">
        <v>137.86000000000001</v>
      </c>
      <c r="CL84" s="88">
        <v>46121.666666666664</v>
      </c>
      <c r="CM84">
        <v>58.53</v>
      </c>
      <c r="CN84" s="88">
        <v>46121.666666666664</v>
      </c>
      <c r="CO84">
        <v>9.94</v>
      </c>
      <c r="CP84" s="88">
        <v>46121.666666666664</v>
      </c>
      <c r="CQ84">
        <v>34.229999999999997</v>
      </c>
      <c r="CR84" s="88">
        <v>46121.666666666664</v>
      </c>
      <c r="CS84">
        <v>130.49</v>
      </c>
      <c r="CT84" s="88">
        <v>46121.666666666664</v>
      </c>
      <c r="CU84">
        <v>6.08</v>
      </c>
      <c r="CV84" s="88">
        <v>46121.666666666664</v>
      </c>
      <c r="CW84">
        <v>11.93</v>
      </c>
      <c r="CX84" s="88">
        <v>46121.666666666664</v>
      </c>
      <c r="CY84">
        <v>9.91</v>
      </c>
      <c r="CZ84" s="88">
        <v>46121.666666666664</v>
      </c>
      <c r="DA84">
        <v>15.24</v>
      </c>
      <c r="DB84" s="88">
        <v>46121.666666666664</v>
      </c>
      <c r="DC84">
        <v>66.739999999999995</v>
      </c>
      <c r="DD84" s="88">
        <v>46121.666666666664</v>
      </c>
      <c r="DE84">
        <v>23.22</v>
      </c>
      <c r="DF84" s="88">
        <v>46121.666666666664</v>
      </c>
      <c r="DG84">
        <v>4.95</v>
      </c>
      <c r="DH84" s="88">
        <v>46121.666666666664</v>
      </c>
      <c r="DI84">
        <v>16.27</v>
      </c>
      <c r="DJ84" s="88">
        <v>46121.666666666664</v>
      </c>
      <c r="DK84">
        <v>679.91</v>
      </c>
      <c r="DL84" s="88">
        <v>46121.666666666664</v>
      </c>
      <c r="DM84">
        <v>345.62</v>
      </c>
      <c r="DN84" s="88">
        <v>46121.666666666664</v>
      </c>
      <c r="DO84">
        <v>18.440000000000001</v>
      </c>
      <c r="DP84" s="88">
        <v>46121.666666666664</v>
      </c>
      <c r="DQ84">
        <v>97.67</v>
      </c>
      <c r="DR84" s="88">
        <v>46121.666666666664</v>
      </c>
      <c r="DS84">
        <v>8.77</v>
      </c>
      <c r="DT84" s="88">
        <v>46121.666666666664</v>
      </c>
      <c r="DU84">
        <v>71.81</v>
      </c>
      <c r="DV84" s="88">
        <v>46121.666666666664</v>
      </c>
      <c r="DW84">
        <v>12.41</v>
      </c>
      <c r="DX84" s="88">
        <v>46121.666666666664</v>
      </c>
      <c r="DY84">
        <v>126.96</v>
      </c>
      <c r="DZ84" s="88">
        <v>46121.666666666664</v>
      </c>
      <c r="EA84">
        <v>115</v>
      </c>
      <c r="EB84" s="88">
        <v>46121.666666666664</v>
      </c>
      <c r="EC84">
        <v>12.99</v>
      </c>
      <c r="ED84" s="88">
        <v>46121.666666666664</v>
      </c>
      <c r="EE84">
        <v>7.1</v>
      </c>
      <c r="EF84" s="88">
        <v>46121.666666666664</v>
      </c>
      <c r="EG84">
        <v>84.03</v>
      </c>
    </row>
    <row r="85" spans="1:137">
      <c r="A85" s="6"/>
      <c r="B85" s="88">
        <v>46122.666666666664</v>
      </c>
      <c r="C85">
        <v>260.48</v>
      </c>
      <c r="D85" s="88">
        <v>46122.666666666664</v>
      </c>
      <c r="E85">
        <v>225.35</v>
      </c>
      <c r="F85" s="88">
        <v>46122.666666666664</v>
      </c>
      <c r="G85">
        <v>39.5</v>
      </c>
      <c r="H85" s="88">
        <v>46122.666666666664</v>
      </c>
      <c r="I85">
        <v>238.38</v>
      </c>
      <c r="J85" s="88">
        <v>46122.666666666664</v>
      </c>
      <c r="K85">
        <v>94.9</v>
      </c>
      <c r="L85" s="88">
        <v>46122.666666666664</v>
      </c>
      <c r="M85">
        <v>17.899999999999999</v>
      </c>
      <c r="N85" s="88">
        <v>46122.666666666664</v>
      </c>
      <c r="O85">
        <v>371.55</v>
      </c>
      <c r="P85" s="88">
        <v>46122.666666666664</v>
      </c>
      <c r="Q85">
        <v>127.33</v>
      </c>
      <c r="R85" s="88">
        <v>46122.666666666664</v>
      </c>
      <c r="S85">
        <v>21.28</v>
      </c>
      <c r="T85" s="88">
        <v>46122.666666666664</v>
      </c>
      <c r="U85">
        <v>28.29</v>
      </c>
      <c r="V85" s="88">
        <v>46122.666666666664</v>
      </c>
      <c r="W85">
        <v>1.06</v>
      </c>
      <c r="X85" s="88">
        <v>46122.666666666664</v>
      </c>
      <c r="Y85">
        <v>9.0399999999999991</v>
      </c>
      <c r="Z85" s="88">
        <v>46122.666666666664</v>
      </c>
      <c r="AA85">
        <v>99.17</v>
      </c>
      <c r="AB85" s="88">
        <v>46122.666666666664</v>
      </c>
      <c r="AC85">
        <v>212.46</v>
      </c>
      <c r="AD85" s="88">
        <v>46122.666666666664</v>
      </c>
      <c r="AE85">
        <v>99.55</v>
      </c>
      <c r="AF85" s="88">
        <v>46122.666666666664</v>
      </c>
      <c r="AG85">
        <v>27.34</v>
      </c>
      <c r="AH85" s="88">
        <v>46122.666666666664</v>
      </c>
      <c r="AI85">
        <v>925.24</v>
      </c>
      <c r="AJ85" s="88">
        <v>46122.666666666664</v>
      </c>
      <c r="AK85">
        <v>18.16</v>
      </c>
      <c r="AL85" s="88">
        <v>46122.666666666664</v>
      </c>
      <c r="AM85">
        <v>37.54</v>
      </c>
      <c r="AN85" s="88">
        <v>46122.666666666664</v>
      </c>
      <c r="AO85">
        <v>317.24</v>
      </c>
      <c r="AP85" s="88">
        <v>46122.666666666664</v>
      </c>
      <c r="AQ85">
        <v>907.8</v>
      </c>
      <c r="AR85" s="88">
        <v>46122.666666666664</v>
      </c>
      <c r="AS85">
        <v>337.34</v>
      </c>
      <c r="AT85" s="88">
        <v>46122.666666666664</v>
      </c>
      <c r="AU85">
        <v>69.19</v>
      </c>
      <c r="AV85" s="88">
        <v>46122.666666666664</v>
      </c>
      <c r="AW85">
        <v>31.89</v>
      </c>
      <c r="AX85" s="88">
        <v>46122.666666666664</v>
      </c>
      <c r="AY85">
        <v>39.32</v>
      </c>
      <c r="AZ85" s="88">
        <v>46122.666666666664</v>
      </c>
      <c r="BA85">
        <v>10.88</v>
      </c>
      <c r="BB85" s="88">
        <v>46122.666666666664</v>
      </c>
      <c r="BC85">
        <v>897.3</v>
      </c>
      <c r="BD85" s="88">
        <v>46122.666666666664</v>
      </c>
      <c r="BE85">
        <v>163.86</v>
      </c>
      <c r="BF85" s="88">
        <v>46122.666666666664</v>
      </c>
      <c r="BG85">
        <v>23.57</v>
      </c>
      <c r="BH85" s="88">
        <v>46122.666666666664</v>
      </c>
      <c r="BI85">
        <v>160.59</v>
      </c>
      <c r="BJ85" s="88">
        <v>46122.666666666664</v>
      </c>
      <c r="BK85">
        <v>5.35</v>
      </c>
      <c r="BL85" s="88">
        <v>46122.666666666664</v>
      </c>
      <c r="BM85">
        <v>629.86</v>
      </c>
      <c r="BN85" s="88">
        <v>46122.666666666664</v>
      </c>
      <c r="BO85">
        <v>24.76</v>
      </c>
      <c r="BP85" s="88">
        <v>46122.666666666664</v>
      </c>
      <c r="BQ85">
        <v>370.87</v>
      </c>
      <c r="BR85" s="88">
        <v>46122.666666666664</v>
      </c>
      <c r="BS85">
        <v>127.87</v>
      </c>
      <c r="BT85" s="88">
        <v>46122.666666666664</v>
      </c>
      <c r="BU85">
        <v>420.59</v>
      </c>
      <c r="BV85" s="88">
        <v>46122.666666666664</v>
      </c>
      <c r="BW85">
        <v>103.01</v>
      </c>
      <c r="BX85" s="88">
        <v>46122.666666666664</v>
      </c>
      <c r="BY85">
        <v>42.62</v>
      </c>
      <c r="BZ85" s="88">
        <v>46122.666666666664</v>
      </c>
      <c r="CA85">
        <v>15.28</v>
      </c>
      <c r="CB85" s="88">
        <v>46122.666666666664</v>
      </c>
      <c r="CC85">
        <v>188.63</v>
      </c>
      <c r="CD85" s="88">
        <v>46122.666666666664</v>
      </c>
      <c r="CE85">
        <v>37.520000000000003</v>
      </c>
      <c r="CF85" s="88">
        <v>46122.666666666664</v>
      </c>
      <c r="CG85">
        <v>50.25</v>
      </c>
      <c r="CH85" s="88">
        <v>46122.666666666664</v>
      </c>
      <c r="CI85">
        <v>9.1300000000000008</v>
      </c>
      <c r="CJ85" s="88">
        <v>46122.666666666664</v>
      </c>
      <c r="CK85">
        <v>138.09</v>
      </c>
      <c r="CL85" s="88">
        <v>46122.666666666664</v>
      </c>
      <c r="CM85">
        <v>57.97</v>
      </c>
      <c r="CN85" s="88">
        <v>46122.666666666664</v>
      </c>
      <c r="CO85">
        <v>9.3800000000000008</v>
      </c>
      <c r="CP85" s="88">
        <v>46122.666666666664</v>
      </c>
      <c r="CQ85">
        <v>34.67</v>
      </c>
      <c r="CR85" s="88">
        <v>46122.666666666664</v>
      </c>
      <c r="CS85">
        <v>128.06</v>
      </c>
      <c r="CT85" s="88">
        <v>46122.666666666664</v>
      </c>
      <c r="CU85">
        <v>7.04</v>
      </c>
      <c r="CV85" s="88">
        <v>46122.666666666664</v>
      </c>
      <c r="CW85">
        <v>12.37</v>
      </c>
      <c r="CX85" s="88">
        <v>46122.666666666664</v>
      </c>
      <c r="CY85">
        <v>9.94</v>
      </c>
      <c r="CZ85" s="88">
        <v>46122.666666666664</v>
      </c>
      <c r="DA85">
        <v>15.43</v>
      </c>
      <c r="DB85" s="88">
        <v>46122.666666666664</v>
      </c>
      <c r="DC85">
        <v>68.05</v>
      </c>
      <c r="DD85" s="88">
        <v>46122.666666666664</v>
      </c>
      <c r="DE85">
        <v>25.26</v>
      </c>
      <c r="DF85" s="88">
        <v>46122.666666666664</v>
      </c>
      <c r="DG85">
        <v>4.82</v>
      </c>
      <c r="DH85" s="88">
        <v>46122.666666666664</v>
      </c>
      <c r="DI85">
        <v>16.22</v>
      </c>
      <c r="DJ85" s="88">
        <v>46122.666666666664</v>
      </c>
      <c r="DK85">
        <v>679.46</v>
      </c>
      <c r="DL85" s="88">
        <v>46122.666666666664</v>
      </c>
      <c r="DM85">
        <v>348.95</v>
      </c>
      <c r="DN85" s="88">
        <v>46122.666666666664</v>
      </c>
      <c r="DO85">
        <v>17.920000000000002</v>
      </c>
      <c r="DP85" s="88">
        <v>46122.666666666664</v>
      </c>
      <c r="DQ85">
        <v>96.4</v>
      </c>
      <c r="DR85" s="88">
        <v>46122.666666666664</v>
      </c>
      <c r="DS85">
        <v>8.36</v>
      </c>
      <c r="DT85" s="88">
        <v>46122.666666666664</v>
      </c>
      <c r="DU85">
        <v>70.48</v>
      </c>
      <c r="DV85" s="88">
        <v>46122.666666666664</v>
      </c>
      <c r="DW85">
        <v>13.7</v>
      </c>
      <c r="DX85" s="88">
        <v>46122.666666666664</v>
      </c>
      <c r="DY85">
        <v>124.82</v>
      </c>
      <c r="DZ85" s="88">
        <v>46122.666666666664</v>
      </c>
      <c r="EA85">
        <v>112.99</v>
      </c>
      <c r="EB85" s="88">
        <v>46122.666666666664</v>
      </c>
      <c r="EC85">
        <v>12.97</v>
      </c>
      <c r="ED85" s="88">
        <v>46122.666666666664</v>
      </c>
      <c r="EE85">
        <v>6.89</v>
      </c>
      <c r="EF85" s="88">
        <v>46122.666666666664</v>
      </c>
      <c r="EG85">
        <v>79.239999999999995</v>
      </c>
    </row>
    <row r="86" spans="1:137">
      <c r="A86" s="6"/>
      <c r="B86" s="88">
        <v>46125.666666666664</v>
      </c>
      <c r="C86">
        <v>259.2</v>
      </c>
      <c r="D86" s="88">
        <v>46125.666666666664</v>
      </c>
      <c r="E86">
        <v>240.11</v>
      </c>
      <c r="F86" s="88">
        <v>46125.666666666664</v>
      </c>
      <c r="G86">
        <v>39.97</v>
      </c>
      <c r="H86" s="88">
        <v>46125.666666666664</v>
      </c>
      <c r="I86">
        <v>239.89</v>
      </c>
      <c r="J86" s="88">
        <v>46125.666666666664</v>
      </c>
      <c r="K86">
        <v>98.97</v>
      </c>
      <c r="L86" s="88">
        <v>46125.666666666664</v>
      </c>
      <c r="M86">
        <v>17.850000000000001</v>
      </c>
      <c r="N86" s="88">
        <v>46125.666666666664</v>
      </c>
      <c r="O86">
        <v>379.75</v>
      </c>
      <c r="P86" s="88">
        <v>46125.666666666664</v>
      </c>
      <c r="Q86">
        <v>128.01</v>
      </c>
      <c r="R86" s="88">
        <v>46125.666666666664</v>
      </c>
      <c r="S86">
        <v>21.51</v>
      </c>
      <c r="T86" s="88">
        <v>46125.666666666664</v>
      </c>
      <c r="U86">
        <v>28.48</v>
      </c>
      <c r="V86" s="88">
        <v>46125.666666666664</v>
      </c>
      <c r="W86">
        <v>1.08</v>
      </c>
      <c r="X86" s="88">
        <v>46125.666666666664</v>
      </c>
      <c r="Y86">
        <v>9.34</v>
      </c>
      <c r="Z86" s="88">
        <v>46125.666666666664</v>
      </c>
      <c r="AA86">
        <v>101.18</v>
      </c>
      <c r="AB86" s="88">
        <v>46125.666666666664</v>
      </c>
      <c r="AC86">
        <v>210.57</v>
      </c>
      <c r="AD86" s="88">
        <v>46125.666666666664</v>
      </c>
      <c r="AE86">
        <v>102.13</v>
      </c>
      <c r="AF86" s="88">
        <v>46125.666666666664</v>
      </c>
      <c r="AG86">
        <v>27.61</v>
      </c>
      <c r="AH86" s="88">
        <v>46125.666666666664</v>
      </c>
      <c r="AI86">
        <v>935.05</v>
      </c>
      <c r="AJ86" s="88">
        <v>46125.666666666664</v>
      </c>
      <c r="AK86">
        <v>19.18</v>
      </c>
      <c r="AL86" s="88">
        <v>46125.666666666664</v>
      </c>
      <c r="AM86">
        <v>38.799999999999997</v>
      </c>
      <c r="AN86" s="88">
        <v>46125.666666666664</v>
      </c>
      <c r="AO86">
        <v>321.31</v>
      </c>
      <c r="AP86" s="88">
        <v>46125.666666666664</v>
      </c>
      <c r="AQ86">
        <v>890.79</v>
      </c>
      <c r="AR86" s="88">
        <v>46125.666666666664</v>
      </c>
      <c r="AS86">
        <v>341.16</v>
      </c>
      <c r="AT86" s="88">
        <v>46125.666666666664</v>
      </c>
      <c r="AU86">
        <v>71.67</v>
      </c>
      <c r="AV86" s="88">
        <v>46125.666666666664</v>
      </c>
      <c r="AW86">
        <v>33.409999999999997</v>
      </c>
      <c r="AX86" s="88">
        <v>46125.666666666664</v>
      </c>
      <c r="AY86">
        <v>43.07</v>
      </c>
      <c r="AZ86" s="88">
        <v>46125.666666666664</v>
      </c>
      <c r="BA86">
        <v>11.07</v>
      </c>
      <c r="BB86" s="88">
        <v>46125.666666666664</v>
      </c>
      <c r="BC86">
        <v>871.18</v>
      </c>
      <c r="BD86" s="88">
        <v>46125.666666666664</v>
      </c>
      <c r="BE86">
        <v>162.56</v>
      </c>
      <c r="BF86" s="88">
        <v>46125.666666666664</v>
      </c>
      <c r="BG86">
        <v>24.41</v>
      </c>
      <c r="BH86" s="88">
        <v>46125.666666666664</v>
      </c>
      <c r="BI86">
        <v>165.72</v>
      </c>
      <c r="BJ86" s="88">
        <v>46125.666666666664</v>
      </c>
      <c r="BK86">
        <v>6.11</v>
      </c>
      <c r="BL86" s="88">
        <v>46125.666666666664</v>
      </c>
      <c r="BM86">
        <v>634.53</v>
      </c>
      <c r="BN86" s="88">
        <v>46125.666666666664</v>
      </c>
      <c r="BO86">
        <v>24.54</v>
      </c>
      <c r="BP86" s="88">
        <v>46125.666666666664</v>
      </c>
      <c r="BQ86">
        <v>384.37</v>
      </c>
      <c r="BR86" s="88">
        <v>46125.666666666664</v>
      </c>
      <c r="BS86">
        <v>130.18</v>
      </c>
      <c r="BT86" s="88">
        <v>46125.666666666664</v>
      </c>
      <c r="BU86">
        <v>426.56</v>
      </c>
      <c r="BV86" s="88">
        <v>46125.666666666664</v>
      </c>
      <c r="BW86">
        <v>103.16</v>
      </c>
      <c r="BX86" s="88">
        <v>46125.666666666664</v>
      </c>
      <c r="BY86">
        <v>42.91</v>
      </c>
      <c r="BZ86" s="88">
        <v>46125.666666666664</v>
      </c>
      <c r="CA86">
        <v>15.57</v>
      </c>
      <c r="CB86" s="88">
        <v>46125.666666666664</v>
      </c>
      <c r="CC86">
        <v>189.31</v>
      </c>
      <c r="CD86" s="88">
        <v>46125.666666666664</v>
      </c>
      <c r="CE86">
        <v>37.979999999999997</v>
      </c>
      <c r="CF86" s="88">
        <v>46125.666666666664</v>
      </c>
      <c r="CG86">
        <v>53.94</v>
      </c>
      <c r="CH86" s="88">
        <v>46125.666666666664</v>
      </c>
      <c r="CI86">
        <v>9.4700000000000006</v>
      </c>
      <c r="CJ86" s="88">
        <v>46125.666666666664</v>
      </c>
      <c r="CK86">
        <v>155.62</v>
      </c>
      <c r="CL86" s="88">
        <v>46125.666666666664</v>
      </c>
      <c r="CM86">
        <v>58.06</v>
      </c>
      <c r="CN86" s="88">
        <v>46125.666666666664</v>
      </c>
      <c r="CO86">
        <v>10.119999999999999</v>
      </c>
      <c r="CP86" s="88">
        <v>46125.666666666664</v>
      </c>
      <c r="CQ86">
        <v>34.32</v>
      </c>
      <c r="CR86" s="88">
        <v>46125.666666666664</v>
      </c>
      <c r="CS86">
        <v>132.37</v>
      </c>
      <c r="CT86" s="88">
        <v>46125.666666666664</v>
      </c>
      <c r="CU86">
        <v>7.3</v>
      </c>
      <c r="CV86" s="88">
        <v>46125.666666666664</v>
      </c>
      <c r="CW86">
        <v>12.9</v>
      </c>
      <c r="CX86" s="88">
        <v>46125.666666666664</v>
      </c>
      <c r="CY86">
        <v>10.09</v>
      </c>
      <c r="CZ86" s="88">
        <v>46125.666666666664</v>
      </c>
      <c r="DA86">
        <v>15.9</v>
      </c>
      <c r="DB86" s="88">
        <v>46125.666666666664</v>
      </c>
      <c r="DC86">
        <v>70.62</v>
      </c>
      <c r="DD86" s="88">
        <v>46125.666666666664</v>
      </c>
      <c r="DE86">
        <v>25.97</v>
      </c>
      <c r="DF86" s="88">
        <v>46125.666666666664</v>
      </c>
      <c r="DG86">
        <v>5.15</v>
      </c>
      <c r="DH86" s="88">
        <v>46125.666666666664</v>
      </c>
      <c r="DI86">
        <v>17.05</v>
      </c>
      <c r="DJ86" s="88">
        <v>46125.666666666664</v>
      </c>
      <c r="DK86">
        <v>686.1</v>
      </c>
      <c r="DL86" s="88">
        <v>46125.666666666664</v>
      </c>
      <c r="DM86">
        <v>352.42</v>
      </c>
      <c r="DN86" s="88">
        <v>46125.666666666664</v>
      </c>
      <c r="DO86">
        <v>18.329999999999998</v>
      </c>
      <c r="DP86" s="88">
        <v>46125.666666666664</v>
      </c>
      <c r="DQ86">
        <v>95.2</v>
      </c>
      <c r="DR86" s="88">
        <v>46125.666666666664</v>
      </c>
      <c r="DS86">
        <v>9.2899999999999991</v>
      </c>
      <c r="DT86" s="88">
        <v>46125.666666666664</v>
      </c>
      <c r="DU86">
        <v>72.34</v>
      </c>
      <c r="DV86" s="88">
        <v>46125.666666666664</v>
      </c>
      <c r="DW86">
        <v>14</v>
      </c>
      <c r="DX86" s="88">
        <v>46125.666666666664</v>
      </c>
      <c r="DY86">
        <v>128.47</v>
      </c>
      <c r="DZ86" s="88">
        <v>46125.666666666664</v>
      </c>
      <c r="EA86">
        <v>114.05</v>
      </c>
      <c r="EB86" s="88">
        <v>46125.666666666664</v>
      </c>
      <c r="EC86">
        <v>12.75</v>
      </c>
      <c r="ED86" s="88">
        <v>46125.666666666664</v>
      </c>
      <c r="EE86">
        <v>6.7</v>
      </c>
      <c r="EF86" s="88">
        <v>46125.666666666664</v>
      </c>
      <c r="EG86">
        <v>82.8</v>
      </c>
    </row>
    <row r="87" spans="1:137">
      <c r="A87" s="6"/>
      <c r="B87" s="88">
        <v>46126.666666666664</v>
      </c>
      <c r="C87">
        <v>258.83</v>
      </c>
      <c r="D87" s="88">
        <v>46126.666666666664</v>
      </c>
      <c r="E87">
        <v>235.72</v>
      </c>
      <c r="F87" s="88">
        <v>46126.666666666664</v>
      </c>
      <c r="G87">
        <v>42.62</v>
      </c>
      <c r="H87" s="88">
        <v>46126.666666666664</v>
      </c>
      <c r="I87">
        <v>249.02</v>
      </c>
      <c r="J87" s="88">
        <v>46126.666666666664</v>
      </c>
      <c r="K87">
        <v>88.57</v>
      </c>
      <c r="L87" s="88">
        <v>46126.666666666664</v>
      </c>
      <c r="M87">
        <v>18.13</v>
      </c>
      <c r="N87" s="88">
        <v>46126.666666666664</v>
      </c>
      <c r="O87">
        <v>380.78</v>
      </c>
      <c r="P87" s="88">
        <v>46126.666666666664</v>
      </c>
      <c r="Q87">
        <v>131.35</v>
      </c>
      <c r="R87" s="88">
        <v>46126.666666666664</v>
      </c>
      <c r="S87">
        <v>21.48</v>
      </c>
      <c r="T87" s="88">
        <v>46126.666666666664</v>
      </c>
      <c r="U87">
        <v>27.69</v>
      </c>
      <c r="V87" s="88">
        <v>46126.666666666664</v>
      </c>
      <c r="W87">
        <v>1.1100000000000001</v>
      </c>
      <c r="X87" s="88">
        <v>46126.666666666664</v>
      </c>
      <c r="Y87">
        <v>9.4499999999999993</v>
      </c>
      <c r="Z87" s="88">
        <v>46126.666666666664</v>
      </c>
      <c r="AA87">
        <v>102.59</v>
      </c>
      <c r="AB87" s="88">
        <v>46126.666666666664</v>
      </c>
      <c r="AC87">
        <v>216.24</v>
      </c>
      <c r="AD87" s="88">
        <v>46126.666666666664</v>
      </c>
      <c r="AE87">
        <v>100.67</v>
      </c>
      <c r="AF87" s="88">
        <v>46126.666666666664</v>
      </c>
      <c r="AG87">
        <v>27.18</v>
      </c>
      <c r="AH87" s="88">
        <v>46126.666666666664</v>
      </c>
      <c r="AI87">
        <v>920.79</v>
      </c>
      <c r="AJ87" s="88">
        <v>46126.666666666664</v>
      </c>
      <c r="AK87">
        <v>18.420000000000002</v>
      </c>
      <c r="AL87" s="88">
        <v>46126.666666666664</v>
      </c>
      <c r="AM87">
        <v>36.61</v>
      </c>
      <c r="AN87" s="88">
        <v>46126.666666666664</v>
      </c>
      <c r="AO87">
        <v>332.91</v>
      </c>
      <c r="AP87" s="88">
        <v>46126.666666666664</v>
      </c>
      <c r="AQ87">
        <v>909.63</v>
      </c>
      <c r="AR87" s="88">
        <v>46126.666666666664</v>
      </c>
      <c r="AS87">
        <v>342.71</v>
      </c>
      <c r="AT87" s="88">
        <v>46126.666666666664</v>
      </c>
      <c r="AU87">
        <v>79.09</v>
      </c>
      <c r="AV87" s="88">
        <v>46126.666666666664</v>
      </c>
      <c r="AW87">
        <v>33.549999999999997</v>
      </c>
      <c r="AX87" s="88">
        <v>46126.666666666664</v>
      </c>
      <c r="AY87">
        <v>47.37</v>
      </c>
      <c r="AZ87" s="88">
        <v>46126.666666666664</v>
      </c>
      <c r="BA87">
        <v>11.09</v>
      </c>
      <c r="BB87" s="88">
        <v>46126.666666666664</v>
      </c>
      <c r="BC87">
        <v>852.79</v>
      </c>
      <c r="BD87" s="88">
        <v>46126.666666666664</v>
      </c>
      <c r="BE87">
        <v>160.6</v>
      </c>
      <c r="BF87" s="88">
        <v>46126.666666666664</v>
      </c>
      <c r="BG87">
        <v>23.67</v>
      </c>
      <c r="BH87" s="88">
        <v>46126.666666666664</v>
      </c>
      <c r="BI87">
        <v>166.28</v>
      </c>
      <c r="BJ87" s="88">
        <v>46126.666666666664</v>
      </c>
      <c r="BK87">
        <v>6.71</v>
      </c>
      <c r="BL87" s="88">
        <v>46126.666666666664</v>
      </c>
      <c r="BM87">
        <v>662.49</v>
      </c>
      <c r="BN87" s="88">
        <v>46126.666666666664</v>
      </c>
      <c r="BO87">
        <v>23.94</v>
      </c>
      <c r="BP87" s="88">
        <v>46126.666666666664</v>
      </c>
      <c r="BQ87">
        <v>393.11</v>
      </c>
      <c r="BR87" s="88">
        <v>46126.666666666664</v>
      </c>
      <c r="BS87">
        <v>129.12</v>
      </c>
      <c r="BT87" s="88">
        <v>46126.666666666664</v>
      </c>
      <c r="BU87">
        <v>465.66</v>
      </c>
      <c r="BV87" s="88">
        <v>46126.666666666664</v>
      </c>
      <c r="BW87">
        <v>106.28</v>
      </c>
      <c r="BX87" s="88">
        <v>46126.666666666664</v>
      </c>
      <c r="BY87">
        <v>44.2</v>
      </c>
      <c r="BZ87" s="88">
        <v>46126.666666666664</v>
      </c>
      <c r="CA87">
        <v>16.12</v>
      </c>
      <c r="CB87" s="88">
        <v>46126.666666666664</v>
      </c>
      <c r="CC87">
        <v>196.51</v>
      </c>
      <c r="CD87" s="88">
        <v>46126.666666666664</v>
      </c>
      <c r="CE87">
        <v>39.32</v>
      </c>
      <c r="CF87" s="88">
        <v>46126.666666666664</v>
      </c>
      <c r="CG87">
        <v>58.58</v>
      </c>
      <c r="CH87" s="88">
        <v>46126.666666666664</v>
      </c>
      <c r="CI87">
        <v>9.4</v>
      </c>
      <c r="CJ87" s="88">
        <v>46126.666666666664</v>
      </c>
      <c r="CK87">
        <v>163</v>
      </c>
      <c r="CL87" s="88">
        <v>46126.666666666664</v>
      </c>
      <c r="CM87">
        <v>55.38</v>
      </c>
      <c r="CN87" s="88">
        <v>46126.666666666664</v>
      </c>
      <c r="CO87">
        <v>10.02</v>
      </c>
      <c r="CP87" s="88">
        <v>46126.666666666664</v>
      </c>
      <c r="CQ87">
        <v>33.93</v>
      </c>
      <c r="CR87" s="88">
        <v>46126.666666666664</v>
      </c>
      <c r="CS87">
        <v>135.69999999999999</v>
      </c>
      <c r="CT87" s="88">
        <v>46126.666666666664</v>
      </c>
      <c r="CU87">
        <v>6.71</v>
      </c>
      <c r="CV87" s="88">
        <v>46126.666666666664</v>
      </c>
      <c r="CW87">
        <v>12.64</v>
      </c>
      <c r="CX87" s="88">
        <v>46126.666666666664</v>
      </c>
      <c r="CY87">
        <v>10.119999999999999</v>
      </c>
      <c r="CZ87" s="88">
        <v>46126.666666666664</v>
      </c>
      <c r="DA87">
        <v>15.99</v>
      </c>
      <c r="DB87" s="88">
        <v>46126.666666666664</v>
      </c>
      <c r="DC87">
        <v>72.22</v>
      </c>
      <c r="DD87" s="88">
        <v>46126.666666666664</v>
      </c>
      <c r="DE87">
        <v>27.2</v>
      </c>
      <c r="DF87" s="88">
        <v>46126.666666666664</v>
      </c>
      <c r="DG87">
        <v>5.6</v>
      </c>
      <c r="DH87" s="88">
        <v>46126.666666666664</v>
      </c>
      <c r="DI87">
        <v>17.91</v>
      </c>
      <c r="DJ87" s="88">
        <v>46126.666666666664</v>
      </c>
      <c r="DK87">
        <v>694.46</v>
      </c>
      <c r="DL87" s="88">
        <v>46126.666666666664</v>
      </c>
      <c r="DM87">
        <v>364.2</v>
      </c>
      <c r="DN87" s="88">
        <v>46126.666666666664</v>
      </c>
      <c r="DO87">
        <v>18.07</v>
      </c>
      <c r="DP87" s="88">
        <v>46126.666666666664</v>
      </c>
      <c r="DQ87">
        <v>97.2</v>
      </c>
      <c r="DR87" s="88">
        <v>46126.666666666664</v>
      </c>
      <c r="DS87">
        <v>9.3699999999999992</v>
      </c>
      <c r="DT87" s="88">
        <v>46126.666666666664</v>
      </c>
      <c r="DU87">
        <v>72.91</v>
      </c>
      <c r="DV87" s="88">
        <v>46126.666666666664</v>
      </c>
      <c r="DW87">
        <v>13.99</v>
      </c>
      <c r="DX87" s="88">
        <v>46126.666666666664</v>
      </c>
      <c r="DY87">
        <v>123.85</v>
      </c>
      <c r="DZ87" s="88">
        <v>46126.666666666664</v>
      </c>
      <c r="EA87">
        <v>96.01</v>
      </c>
      <c r="EB87" s="88">
        <v>46126.666666666664</v>
      </c>
      <c r="EC87">
        <v>12.51</v>
      </c>
      <c r="ED87" s="88">
        <v>46126.666666666664</v>
      </c>
      <c r="EE87">
        <v>6.78</v>
      </c>
      <c r="EF87" s="88">
        <v>46126.666666666664</v>
      </c>
      <c r="EG87">
        <v>82.4</v>
      </c>
    </row>
    <row r="88" spans="1:137">
      <c r="A88" s="6"/>
      <c r="B88" s="88">
        <v>46127.666666666664</v>
      </c>
      <c r="C88">
        <v>266.43</v>
      </c>
      <c r="D88" s="88">
        <v>46127.666666666664</v>
      </c>
      <c r="E88">
        <v>244.66</v>
      </c>
      <c r="F88" s="88">
        <v>46127.666666666664</v>
      </c>
      <c r="G88">
        <v>42.54</v>
      </c>
      <c r="H88" s="88">
        <v>46127.666666666664</v>
      </c>
      <c r="I88">
        <v>248.5</v>
      </c>
      <c r="J88" s="88">
        <v>46127.666666666664</v>
      </c>
      <c r="K88">
        <v>86.91</v>
      </c>
      <c r="L88" s="88">
        <v>46127.666666666664</v>
      </c>
      <c r="M88">
        <v>18.350000000000001</v>
      </c>
      <c r="N88" s="88">
        <v>46127.666666666664</v>
      </c>
      <c r="O88">
        <v>396.72</v>
      </c>
      <c r="P88" s="88">
        <v>46127.666666666664</v>
      </c>
      <c r="Q88">
        <v>133.28</v>
      </c>
      <c r="R88" s="88">
        <v>46127.666666666664</v>
      </c>
      <c r="S88">
        <v>22.34</v>
      </c>
      <c r="T88" s="88">
        <v>46127.666666666664</v>
      </c>
      <c r="U88">
        <v>28.03</v>
      </c>
      <c r="V88" s="88">
        <v>46127.666666666664</v>
      </c>
      <c r="W88">
        <v>1.07</v>
      </c>
      <c r="X88" s="88">
        <v>46127.666666666664</v>
      </c>
      <c r="Y88">
        <v>9.66</v>
      </c>
      <c r="Z88" s="88">
        <v>46127.666666666664</v>
      </c>
      <c r="AA88">
        <v>103.04</v>
      </c>
      <c r="AB88" s="88">
        <v>46127.666666666664</v>
      </c>
      <c r="AC88">
        <v>216.98</v>
      </c>
      <c r="AD88" s="88">
        <v>46127.666666666664</v>
      </c>
      <c r="AE88">
        <v>101.33</v>
      </c>
      <c r="AF88" s="88">
        <v>46127.666666666664</v>
      </c>
      <c r="AG88">
        <v>26.75</v>
      </c>
      <c r="AH88" s="88">
        <v>46127.666666666664</v>
      </c>
      <c r="AI88">
        <v>899</v>
      </c>
      <c r="AJ88" s="88">
        <v>46127.666666666664</v>
      </c>
      <c r="AK88">
        <v>20.34</v>
      </c>
      <c r="AL88" s="88">
        <v>46127.666666666664</v>
      </c>
      <c r="AM88">
        <v>37.619999999999997</v>
      </c>
      <c r="AN88" s="88">
        <v>46127.666666666664</v>
      </c>
      <c r="AO88">
        <v>337.12</v>
      </c>
      <c r="AP88" s="88">
        <v>46127.666666666664</v>
      </c>
      <c r="AQ88">
        <v>899.49</v>
      </c>
      <c r="AR88" s="88">
        <v>46127.666666666664</v>
      </c>
      <c r="AS88">
        <v>338.91</v>
      </c>
      <c r="AT88" s="88">
        <v>46127.666666666664</v>
      </c>
      <c r="AU88">
        <v>87.32</v>
      </c>
      <c r="AV88" s="88">
        <v>46127.666666666664</v>
      </c>
      <c r="AW88">
        <v>33.72</v>
      </c>
      <c r="AX88" s="88">
        <v>46127.666666666664</v>
      </c>
      <c r="AY88">
        <v>48.82</v>
      </c>
      <c r="AZ88" s="88">
        <v>46127.666666666664</v>
      </c>
      <c r="BA88">
        <v>10.66</v>
      </c>
      <c r="BB88" s="88">
        <v>46127.666666666664</v>
      </c>
      <c r="BC88">
        <v>824.01</v>
      </c>
      <c r="BD88" s="88">
        <v>46127.666666666664</v>
      </c>
      <c r="BE88">
        <v>162.74</v>
      </c>
      <c r="BF88" s="88">
        <v>46127.666666666664</v>
      </c>
      <c r="BG88">
        <v>23.88</v>
      </c>
      <c r="BH88" s="88">
        <v>46127.666666666664</v>
      </c>
      <c r="BI88">
        <v>155.82</v>
      </c>
      <c r="BJ88" s="88">
        <v>46127.666666666664</v>
      </c>
      <c r="BK88">
        <v>7.88</v>
      </c>
      <c r="BL88" s="88">
        <v>46127.666666666664</v>
      </c>
      <c r="BM88">
        <v>671.58</v>
      </c>
      <c r="BN88" s="88">
        <v>46127.666666666664</v>
      </c>
      <c r="BO88">
        <v>23.73</v>
      </c>
      <c r="BP88" s="88">
        <v>46127.666666666664</v>
      </c>
      <c r="BQ88">
        <v>411.22</v>
      </c>
      <c r="BR88" s="88">
        <v>46127.666666666664</v>
      </c>
      <c r="BS88">
        <v>128.22999999999999</v>
      </c>
      <c r="BT88" s="88">
        <v>46127.666666666664</v>
      </c>
      <c r="BU88">
        <v>456.23</v>
      </c>
      <c r="BV88" s="88">
        <v>46127.666666666664</v>
      </c>
      <c r="BW88">
        <v>107.71</v>
      </c>
      <c r="BX88" s="88">
        <v>46127.666666666664</v>
      </c>
      <c r="BY88">
        <v>45.44</v>
      </c>
      <c r="BZ88" s="88">
        <v>46127.666666666664</v>
      </c>
      <c r="CA88">
        <v>16.97</v>
      </c>
      <c r="CB88" s="88">
        <v>46127.666666666664</v>
      </c>
      <c r="CC88">
        <v>198.87</v>
      </c>
      <c r="CD88" s="88">
        <v>46127.666666666664</v>
      </c>
      <c r="CE88">
        <v>40.81</v>
      </c>
      <c r="CF88" s="88">
        <v>46127.666666666664</v>
      </c>
      <c r="CG88">
        <v>63.35</v>
      </c>
      <c r="CH88" s="88">
        <v>46127.666666666664</v>
      </c>
      <c r="CI88">
        <v>10.029999999999999</v>
      </c>
      <c r="CJ88" s="88">
        <v>46127.666666666664</v>
      </c>
      <c r="CK88">
        <v>169.81</v>
      </c>
      <c r="CL88" s="88">
        <v>46127.666666666664</v>
      </c>
      <c r="CM88">
        <v>55.83</v>
      </c>
      <c r="CN88" s="88">
        <v>46127.666666666664</v>
      </c>
      <c r="CO88">
        <v>10.61</v>
      </c>
      <c r="CP88" s="88">
        <v>46127.666666666664</v>
      </c>
      <c r="CQ88">
        <v>34.409999999999997</v>
      </c>
      <c r="CR88" s="88">
        <v>46127.666666666664</v>
      </c>
      <c r="CS88">
        <v>142.15</v>
      </c>
      <c r="CT88" s="88">
        <v>46127.666666666664</v>
      </c>
      <c r="CU88">
        <v>6.97</v>
      </c>
      <c r="CV88" s="88">
        <v>46127.666666666664</v>
      </c>
      <c r="CW88">
        <v>13.03</v>
      </c>
      <c r="CX88" s="88">
        <v>46127.666666666664</v>
      </c>
      <c r="CY88">
        <v>10.18</v>
      </c>
      <c r="CZ88" s="88">
        <v>46127.666666666664</v>
      </c>
      <c r="DA88">
        <v>16.41</v>
      </c>
      <c r="DB88" s="88">
        <v>46127.666666666664</v>
      </c>
      <c r="DC88">
        <v>73.599999999999994</v>
      </c>
      <c r="DD88" s="88">
        <v>46127.666666666664</v>
      </c>
      <c r="DE88">
        <v>27.29</v>
      </c>
      <c r="DF88" s="88">
        <v>46127.666666666664</v>
      </c>
      <c r="DG88">
        <v>6.04</v>
      </c>
      <c r="DH88" s="88">
        <v>46127.666666666664</v>
      </c>
      <c r="DI88">
        <v>18.79</v>
      </c>
      <c r="DJ88" s="88">
        <v>46127.666666666664</v>
      </c>
      <c r="DK88">
        <v>699.94</v>
      </c>
      <c r="DL88" s="88">
        <v>46127.666666666664</v>
      </c>
      <c r="DM88">
        <v>391.95</v>
      </c>
      <c r="DN88" s="88">
        <v>46127.666666666664</v>
      </c>
      <c r="DO88">
        <v>18.489999999999998</v>
      </c>
      <c r="DP88" s="88">
        <v>46127.666666666664</v>
      </c>
      <c r="DQ88">
        <v>94.27</v>
      </c>
      <c r="DR88" s="88">
        <v>46127.666666666664</v>
      </c>
      <c r="DS88">
        <v>10.7</v>
      </c>
      <c r="DT88" s="88">
        <v>46127.666666666664</v>
      </c>
      <c r="DU88">
        <v>77.28</v>
      </c>
      <c r="DV88" s="88">
        <v>46127.666666666664</v>
      </c>
      <c r="DW88">
        <v>15.42</v>
      </c>
      <c r="DX88" s="88">
        <v>46127.666666666664</v>
      </c>
      <c r="DY88">
        <v>122.59</v>
      </c>
      <c r="DZ88" s="88">
        <v>46127.666666666664</v>
      </c>
      <c r="EA88">
        <v>91.49</v>
      </c>
      <c r="EB88" s="88">
        <v>46127.666666666664</v>
      </c>
      <c r="EC88">
        <v>12.18</v>
      </c>
      <c r="ED88" s="88">
        <v>46127.666666666664</v>
      </c>
      <c r="EE88">
        <v>6.9</v>
      </c>
      <c r="EF88" s="88">
        <v>46127.666666666664</v>
      </c>
      <c r="EG88">
        <v>89.03</v>
      </c>
    </row>
    <row r="89" spans="1:137">
      <c r="A89" s="6"/>
      <c r="B89" s="88">
        <v>46128.666666666664</v>
      </c>
      <c r="C89">
        <v>263.39999999999998</v>
      </c>
      <c r="D89" s="88">
        <v>46128.666666666664</v>
      </c>
      <c r="E89">
        <v>248.16</v>
      </c>
      <c r="F89" s="88">
        <v>46128.666666666664</v>
      </c>
      <c r="G89">
        <v>41.15</v>
      </c>
      <c r="H89" s="88">
        <v>46128.666666666664</v>
      </c>
      <c r="I89">
        <v>249.7</v>
      </c>
      <c r="J89" s="88">
        <v>46128.666666666664</v>
      </c>
      <c r="K89">
        <v>90.94</v>
      </c>
      <c r="L89" s="88">
        <v>46128.666666666664</v>
      </c>
      <c r="M89">
        <v>18.7</v>
      </c>
      <c r="N89" s="88">
        <v>46128.666666666664</v>
      </c>
      <c r="O89">
        <v>398.47</v>
      </c>
      <c r="P89" s="88">
        <v>46128.666666666664</v>
      </c>
      <c r="Q89">
        <v>138.59</v>
      </c>
      <c r="R89" s="88">
        <v>46128.666666666664</v>
      </c>
      <c r="S89">
        <v>22.44</v>
      </c>
      <c r="T89" s="88">
        <v>46128.666666666664</v>
      </c>
      <c r="U89">
        <v>26.93</v>
      </c>
      <c r="V89" s="88">
        <v>46128.666666666664</v>
      </c>
      <c r="W89">
        <v>1.06</v>
      </c>
      <c r="X89" s="88">
        <v>46128.666666666664</v>
      </c>
      <c r="Y89">
        <v>9.7200000000000006</v>
      </c>
      <c r="Z89" s="88">
        <v>46128.666666666664</v>
      </c>
      <c r="AA89">
        <v>103.9</v>
      </c>
      <c r="AB89" s="88">
        <v>46128.666666666664</v>
      </c>
      <c r="AC89">
        <v>217.86</v>
      </c>
      <c r="AD89" s="88">
        <v>46128.666666666664</v>
      </c>
      <c r="AE89">
        <v>99.93</v>
      </c>
      <c r="AF89" s="88">
        <v>46128.666666666664</v>
      </c>
      <c r="AG89">
        <v>26.87</v>
      </c>
      <c r="AH89" s="88">
        <v>46128.666666666664</v>
      </c>
      <c r="AI89">
        <v>869.79</v>
      </c>
      <c r="AJ89" s="88">
        <v>46128.666666666664</v>
      </c>
      <c r="AK89">
        <v>20.32</v>
      </c>
      <c r="AL89" s="88">
        <v>46128.666666666664</v>
      </c>
      <c r="AM89">
        <v>44.17</v>
      </c>
      <c r="AN89" s="88">
        <v>46128.666666666664</v>
      </c>
      <c r="AO89">
        <v>336.02</v>
      </c>
      <c r="AP89" s="88">
        <v>46128.666666666664</v>
      </c>
      <c r="AQ89">
        <v>900</v>
      </c>
      <c r="AR89" s="88">
        <v>46128.666666666664</v>
      </c>
      <c r="AS89">
        <v>337.15</v>
      </c>
      <c r="AT89" s="88">
        <v>46128.666666666664</v>
      </c>
      <c r="AU89">
        <v>86.85</v>
      </c>
      <c r="AV89" s="88">
        <v>46128.666666666664</v>
      </c>
      <c r="AW89">
        <v>33.409999999999997</v>
      </c>
      <c r="AX89" s="88">
        <v>46128.666666666664</v>
      </c>
      <c r="AY89">
        <v>47.7</v>
      </c>
      <c r="AZ89" s="88">
        <v>46128.666666666664</v>
      </c>
      <c r="BA89">
        <v>11.07</v>
      </c>
      <c r="BB89" s="88">
        <v>46128.666666666664</v>
      </c>
      <c r="BC89">
        <v>891.22</v>
      </c>
      <c r="BD89" s="88">
        <v>46128.666666666664</v>
      </c>
      <c r="BE89">
        <v>162.91999999999999</v>
      </c>
      <c r="BF89" s="88">
        <v>46128.666666666664</v>
      </c>
      <c r="BG89">
        <v>27.28</v>
      </c>
      <c r="BH89" s="88">
        <v>46128.666666666664</v>
      </c>
      <c r="BI89">
        <v>160.59</v>
      </c>
      <c r="BJ89" s="88">
        <v>46128.666666666664</v>
      </c>
      <c r="BK89">
        <v>7.48</v>
      </c>
      <c r="BL89" s="88">
        <v>46128.666666666664</v>
      </c>
      <c r="BM89">
        <v>676.87</v>
      </c>
      <c r="BN89" s="88">
        <v>46128.666666666664</v>
      </c>
      <c r="BO89">
        <v>24.73</v>
      </c>
      <c r="BP89" s="88">
        <v>46128.666666666664</v>
      </c>
      <c r="BQ89">
        <v>420.26</v>
      </c>
      <c r="BR89" s="88">
        <v>46128.666666666664</v>
      </c>
      <c r="BS89">
        <v>129.31</v>
      </c>
      <c r="BT89" s="88">
        <v>46128.666666666664</v>
      </c>
      <c r="BU89">
        <v>457.23</v>
      </c>
      <c r="BV89" s="88">
        <v>46128.666666666664</v>
      </c>
      <c r="BW89">
        <v>107.79</v>
      </c>
      <c r="BX89" s="88">
        <v>46128.666666666664</v>
      </c>
      <c r="BY89">
        <v>45.7</v>
      </c>
      <c r="BZ89" s="88">
        <v>46128.666666666664</v>
      </c>
      <c r="CA89">
        <v>21.49</v>
      </c>
      <c r="CB89" s="88">
        <v>46128.666666666664</v>
      </c>
      <c r="CC89">
        <v>198.35</v>
      </c>
      <c r="CD89" s="88">
        <v>46128.666666666664</v>
      </c>
      <c r="CE89">
        <v>40.93</v>
      </c>
      <c r="CF89" s="88">
        <v>46128.666666666664</v>
      </c>
      <c r="CG89">
        <v>64.209999999999994</v>
      </c>
      <c r="CH89" s="88">
        <v>46128.666666666664</v>
      </c>
      <c r="CI89">
        <v>10.199999999999999</v>
      </c>
      <c r="CJ89" s="88">
        <v>46128.666666666664</v>
      </c>
      <c r="CK89">
        <v>178.34</v>
      </c>
      <c r="CL89" s="88">
        <v>46128.666666666664</v>
      </c>
      <c r="CM89">
        <v>56.87</v>
      </c>
      <c r="CN89" s="88">
        <v>46128.666666666664</v>
      </c>
      <c r="CO89">
        <v>10.61</v>
      </c>
      <c r="CP89" s="88">
        <v>46128.666666666664</v>
      </c>
      <c r="CQ89">
        <v>39.89</v>
      </c>
      <c r="CR89" s="88">
        <v>46128.666666666664</v>
      </c>
      <c r="CS89">
        <v>142.76</v>
      </c>
      <c r="CT89" s="88">
        <v>46128.666666666664</v>
      </c>
      <c r="CU89">
        <v>7.34</v>
      </c>
      <c r="CV89" s="88">
        <v>46128.666666666664</v>
      </c>
      <c r="CW89">
        <v>13.71</v>
      </c>
      <c r="CX89" s="88">
        <v>46128.666666666664</v>
      </c>
      <c r="CY89">
        <v>9.9600000000000009</v>
      </c>
      <c r="CZ89" s="88">
        <v>46128.666666666664</v>
      </c>
      <c r="DA89">
        <v>16.89</v>
      </c>
      <c r="DB89" s="88">
        <v>46128.666666666664</v>
      </c>
      <c r="DC89">
        <v>82.93</v>
      </c>
      <c r="DD89" s="88">
        <v>46128.666666666664</v>
      </c>
      <c r="DE89">
        <v>28.4</v>
      </c>
      <c r="DF89" s="88">
        <v>46128.666666666664</v>
      </c>
      <c r="DG89">
        <v>6.02</v>
      </c>
      <c r="DH89" s="88">
        <v>46128.666666666664</v>
      </c>
      <c r="DI89">
        <v>19.03</v>
      </c>
      <c r="DJ89" s="88">
        <v>46128.666666666664</v>
      </c>
      <c r="DK89">
        <v>701.66</v>
      </c>
      <c r="DL89" s="88">
        <v>46128.666666666664</v>
      </c>
      <c r="DM89">
        <v>388.9</v>
      </c>
      <c r="DN89" s="88">
        <v>46128.666666666664</v>
      </c>
      <c r="DO89">
        <v>18.87</v>
      </c>
      <c r="DP89" s="88">
        <v>46128.666666666664</v>
      </c>
      <c r="DQ89">
        <v>95.03</v>
      </c>
      <c r="DR89" s="88">
        <v>46128.666666666664</v>
      </c>
      <c r="DS89">
        <v>10.42</v>
      </c>
      <c r="DT89" s="88">
        <v>46128.666666666664</v>
      </c>
      <c r="DU89">
        <v>76.48</v>
      </c>
      <c r="DV89" s="88">
        <v>46128.666666666664</v>
      </c>
      <c r="DW89">
        <v>15.91</v>
      </c>
      <c r="DX89" s="88">
        <v>46128.666666666664</v>
      </c>
      <c r="DY89">
        <v>125.84</v>
      </c>
      <c r="DZ89" s="88">
        <v>46128.666666666664</v>
      </c>
      <c r="EA89">
        <v>76.88</v>
      </c>
      <c r="EB89" s="88">
        <v>46128.666666666664</v>
      </c>
      <c r="EC89">
        <v>12.68</v>
      </c>
      <c r="ED89" s="88">
        <v>46128.666666666664</v>
      </c>
      <c r="EE89">
        <v>6.85</v>
      </c>
      <c r="EF89" s="88">
        <v>46128.666666666664</v>
      </c>
      <c r="EG89">
        <v>86.68</v>
      </c>
    </row>
    <row r="90" spans="1:137">
      <c r="A90" s="6"/>
      <c r="B90" s="88">
        <v>46129.666666666664</v>
      </c>
      <c r="C90">
        <v>270.23</v>
      </c>
      <c r="D90" s="88">
        <v>46129.666666666664</v>
      </c>
      <c r="E90">
        <v>244.45</v>
      </c>
      <c r="F90" s="88">
        <v>46129.666666666664</v>
      </c>
      <c r="G90">
        <v>45.4</v>
      </c>
      <c r="H90" s="88">
        <v>46129.666666666664</v>
      </c>
      <c r="I90">
        <v>250.56</v>
      </c>
      <c r="J90" s="88">
        <v>46129.666666666664</v>
      </c>
      <c r="K90">
        <v>85.53</v>
      </c>
      <c r="L90" s="88">
        <v>46129.666666666664</v>
      </c>
      <c r="M90">
        <v>18.72</v>
      </c>
      <c r="N90" s="88">
        <v>46129.666666666664</v>
      </c>
      <c r="O90">
        <v>406.54</v>
      </c>
      <c r="P90" s="88">
        <v>46129.666666666664</v>
      </c>
      <c r="Q90">
        <v>141.01</v>
      </c>
      <c r="R90" s="88">
        <v>46129.666666666664</v>
      </c>
      <c r="S90">
        <v>22.95</v>
      </c>
      <c r="T90" s="88">
        <v>46129.666666666664</v>
      </c>
      <c r="U90">
        <v>25.65</v>
      </c>
      <c r="V90" s="88">
        <v>46129.666666666664</v>
      </c>
      <c r="W90">
        <v>1.08</v>
      </c>
      <c r="X90" s="88">
        <v>46129.666666666664</v>
      </c>
      <c r="Y90">
        <v>9.94</v>
      </c>
      <c r="Z90" s="88">
        <v>46129.666666666664</v>
      </c>
      <c r="AA90">
        <v>106.29</v>
      </c>
      <c r="AB90" s="88">
        <v>46129.666666666664</v>
      </c>
      <c r="AC90">
        <v>224.36</v>
      </c>
      <c r="AD90" s="88">
        <v>46129.666666666664</v>
      </c>
      <c r="AE90">
        <v>105.93</v>
      </c>
      <c r="AF90" s="88">
        <v>46129.666666666664</v>
      </c>
      <c r="AG90">
        <v>27.37</v>
      </c>
      <c r="AH90" s="88">
        <v>46129.666666666664</v>
      </c>
      <c r="AI90">
        <v>872.58</v>
      </c>
      <c r="AJ90" s="88">
        <v>46129.666666666664</v>
      </c>
      <c r="AK90">
        <v>18.920000000000002</v>
      </c>
      <c r="AL90" s="88">
        <v>46129.666666666664</v>
      </c>
      <c r="AM90">
        <v>43.72</v>
      </c>
      <c r="AN90" s="88">
        <v>46129.666666666664</v>
      </c>
      <c r="AO90">
        <v>341.68</v>
      </c>
      <c r="AP90" s="88">
        <v>46129.666666666664</v>
      </c>
      <c r="AQ90">
        <v>925.95</v>
      </c>
      <c r="AR90" s="88">
        <v>46129.666666666664</v>
      </c>
      <c r="AS90">
        <v>349.4</v>
      </c>
      <c r="AT90" s="88">
        <v>46129.666666666664</v>
      </c>
      <c r="AU90">
        <v>90.75</v>
      </c>
      <c r="AV90" s="88">
        <v>46129.666666666664</v>
      </c>
      <c r="AW90">
        <v>32.880000000000003</v>
      </c>
      <c r="AX90" s="88">
        <v>46129.666666666664</v>
      </c>
      <c r="AY90">
        <v>48.12</v>
      </c>
      <c r="AZ90" s="88">
        <v>46129.666666666664</v>
      </c>
      <c r="BA90">
        <v>12.45</v>
      </c>
      <c r="BB90" s="88">
        <v>46129.666666666664</v>
      </c>
      <c r="BC90">
        <v>894.07</v>
      </c>
      <c r="BD90" s="88">
        <v>46129.666666666664</v>
      </c>
      <c r="BE90">
        <v>167.28</v>
      </c>
      <c r="BF90" s="88">
        <v>46129.666666666664</v>
      </c>
      <c r="BG90">
        <v>27.58</v>
      </c>
      <c r="BH90" s="88">
        <v>46129.666666666664</v>
      </c>
      <c r="BI90">
        <v>156.56</v>
      </c>
      <c r="BJ90" s="88">
        <v>46129.666666666664</v>
      </c>
      <c r="BK90">
        <v>9.84</v>
      </c>
      <c r="BL90" s="88">
        <v>46129.666666666664</v>
      </c>
      <c r="BM90">
        <v>688.55</v>
      </c>
      <c r="BN90" s="88">
        <v>46129.666666666664</v>
      </c>
      <c r="BO90">
        <v>24.57</v>
      </c>
      <c r="BP90" s="88">
        <v>46129.666666666664</v>
      </c>
      <c r="BQ90">
        <v>422.79</v>
      </c>
      <c r="BR90" s="88">
        <v>46129.666666666664</v>
      </c>
      <c r="BS90">
        <v>133.22</v>
      </c>
      <c r="BT90" s="88">
        <v>46129.666666666664</v>
      </c>
      <c r="BU90">
        <v>455.07</v>
      </c>
      <c r="BV90" s="88">
        <v>46129.666666666664</v>
      </c>
      <c r="BW90">
        <v>97.31</v>
      </c>
      <c r="BX90" s="88">
        <v>46129.666666666664</v>
      </c>
      <c r="BY90">
        <v>46.03</v>
      </c>
      <c r="BZ90" s="88">
        <v>46129.666666666664</v>
      </c>
      <c r="CA90">
        <v>22.83</v>
      </c>
      <c r="CB90" s="88">
        <v>46129.666666666664</v>
      </c>
      <c r="CC90">
        <v>201.68</v>
      </c>
      <c r="CD90" s="88">
        <v>46129.666666666664</v>
      </c>
      <c r="CE90">
        <v>40.520000000000003</v>
      </c>
      <c r="CF90" s="88">
        <v>46129.666666666664</v>
      </c>
      <c r="CG90">
        <v>66.81</v>
      </c>
      <c r="CH90" s="88">
        <v>46129.666666666664</v>
      </c>
      <c r="CI90">
        <v>10</v>
      </c>
      <c r="CJ90" s="88">
        <v>46129.666666666664</v>
      </c>
      <c r="CK90">
        <v>175.06</v>
      </c>
      <c r="CL90" s="88">
        <v>46129.666666666664</v>
      </c>
      <c r="CM90">
        <v>53.79</v>
      </c>
      <c r="CN90" s="88">
        <v>46129.666666666664</v>
      </c>
      <c r="CO90">
        <v>10.41</v>
      </c>
      <c r="CP90" s="88">
        <v>46129.666666666664</v>
      </c>
      <c r="CQ90">
        <v>38.479999999999997</v>
      </c>
      <c r="CR90" s="88">
        <v>46129.666666666664</v>
      </c>
      <c r="CS90">
        <v>146.38999999999999</v>
      </c>
      <c r="CT90" s="88">
        <v>46129.666666666664</v>
      </c>
      <c r="CU90">
        <v>7.26</v>
      </c>
      <c r="CV90" s="88">
        <v>46129.666666666664</v>
      </c>
      <c r="CW90">
        <v>12.72</v>
      </c>
      <c r="CX90" s="88">
        <v>46129.666666666664</v>
      </c>
      <c r="CY90">
        <v>10.16</v>
      </c>
      <c r="CZ90" s="88">
        <v>46129.666666666664</v>
      </c>
      <c r="DA90">
        <v>17.23</v>
      </c>
      <c r="DB90" s="88">
        <v>46129.666666666664</v>
      </c>
      <c r="DC90">
        <v>84.8</v>
      </c>
      <c r="DD90" s="88">
        <v>46129.666666666664</v>
      </c>
      <c r="DE90">
        <v>28.56</v>
      </c>
      <c r="DF90" s="88">
        <v>46129.666666666664</v>
      </c>
      <c r="DG90">
        <v>6.03</v>
      </c>
      <c r="DH90" s="88">
        <v>46129.666666666664</v>
      </c>
      <c r="DI90">
        <v>19.43</v>
      </c>
      <c r="DJ90" s="88">
        <v>46129.666666666664</v>
      </c>
      <c r="DK90">
        <v>710.14</v>
      </c>
      <c r="DL90" s="88">
        <v>46129.666666666664</v>
      </c>
      <c r="DM90">
        <v>400.62</v>
      </c>
      <c r="DN90" s="88">
        <v>46129.666666666664</v>
      </c>
      <c r="DO90">
        <v>18.78</v>
      </c>
      <c r="DP90" s="88">
        <v>46129.666666666664</v>
      </c>
      <c r="DQ90">
        <v>101.8</v>
      </c>
      <c r="DR90" s="88">
        <v>46129.666666666664</v>
      </c>
      <c r="DS90">
        <v>10.57</v>
      </c>
      <c r="DT90" s="88">
        <v>46129.666666666664</v>
      </c>
      <c r="DU90">
        <v>77.12</v>
      </c>
      <c r="DV90" s="88">
        <v>46129.666666666664</v>
      </c>
      <c r="DW90">
        <v>14.09</v>
      </c>
      <c r="DX90" s="88">
        <v>46129.666666666664</v>
      </c>
      <c r="DY90">
        <v>116.04</v>
      </c>
      <c r="DZ90" s="88">
        <v>46129.666666666664</v>
      </c>
      <c r="EA90">
        <v>84.47</v>
      </c>
      <c r="EB90" s="88">
        <v>46129.666666666664</v>
      </c>
      <c r="EC90">
        <v>11.46</v>
      </c>
      <c r="ED90" s="88">
        <v>46129.666666666664</v>
      </c>
      <c r="EE90">
        <v>6.95</v>
      </c>
      <c r="EF90" s="88">
        <v>46129.666666666664</v>
      </c>
      <c r="EG90">
        <v>88.02</v>
      </c>
    </row>
    <row r="91" spans="1:137">
      <c r="A91" s="6"/>
      <c r="B91" s="88">
        <v>46132.666666666664</v>
      </c>
      <c r="C91">
        <v>273.05</v>
      </c>
      <c r="D91" s="88">
        <v>46132.666666666664</v>
      </c>
      <c r="E91">
        <v>248.63</v>
      </c>
      <c r="F91" s="88">
        <v>46132.666666666664</v>
      </c>
      <c r="G91">
        <v>43.54</v>
      </c>
      <c r="H91" s="88">
        <v>46132.666666666664</v>
      </c>
      <c r="I91">
        <v>248.28</v>
      </c>
      <c r="J91" s="88">
        <v>46132.666666666664</v>
      </c>
      <c r="K91">
        <v>81</v>
      </c>
      <c r="L91" s="88">
        <v>46132.666666666664</v>
      </c>
      <c r="M91">
        <v>18.89</v>
      </c>
      <c r="N91" s="88">
        <v>46132.666666666664</v>
      </c>
      <c r="O91">
        <v>399.63</v>
      </c>
      <c r="P91" s="88">
        <v>46132.666666666664</v>
      </c>
      <c r="Q91">
        <v>140.16999999999999</v>
      </c>
      <c r="R91" s="88">
        <v>46132.666666666664</v>
      </c>
      <c r="S91">
        <v>22.53</v>
      </c>
      <c r="T91" s="88">
        <v>46132.666666666664</v>
      </c>
      <c r="U91">
        <v>25.72</v>
      </c>
      <c r="V91" s="88">
        <v>46132.666666666664</v>
      </c>
      <c r="W91">
        <v>1.08</v>
      </c>
      <c r="X91" s="88">
        <v>46132.666666666664</v>
      </c>
      <c r="Y91">
        <v>9.73</v>
      </c>
      <c r="Z91" s="88">
        <v>46132.666666666664</v>
      </c>
      <c r="AA91">
        <v>106.3</v>
      </c>
      <c r="AB91" s="88">
        <v>46132.666666666664</v>
      </c>
      <c r="AC91">
        <v>230.62</v>
      </c>
      <c r="AD91" s="88">
        <v>46132.666666666664</v>
      </c>
      <c r="AE91">
        <v>107.25</v>
      </c>
      <c r="AF91" s="88">
        <v>46132.666666666664</v>
      </c>
      <c r="AG91">
        <v>27.39</v>
      </c>
      <c r="AH91" s="88">
        <v>46132.666666666664</v>
      </c>
      <c r="AI91">
        <v>881.98</v>
      </c>
      <c r="AJ91" s="88">
        <v>46132.666666666664</v>
      </c>
      <c r="AK91">
        <v>19.010000000000002</v>
      </c>
      <c r="AL91" s="88">
        <v>46132.666666666664</v>
      </c>
      <c r="AM91">
        <v>42.79</v>
      </c>
      <c r="AN91" s="88">
        <v>46132.666666666664</v>
      </c>
      <c r="AO91">
        <v>337.42</v>
      </c>
      <c r="AP91" s="88">
        <v>46132.666666666664</v>
      </c>
      <c r="AQ91">
        <v>941.74</v>
      </c>
      <c r="AR91" s="88">
        <v>46132.666666666664</v>
      </c>
      <c r="AS91">
        <v>350.99</v>
      </c>
      <c r="AT91" s="88">
        <v>46132.666666666664</v>
      </c>
      <c r="AU91">
        <v>91.28</v>
      </c>
      <c r="AV91" s="88">
        <v>46132.666666666664</v>
      </c>
      <c r="AW91">
        <v>31.41</v>
      </c>
      <c r="AX91" s="88">
        <v>46132.666666666664</v>
      </c>
      <c r="AY91">
        <v>48.72</v>
      </c>
      <c r="AZ91" s="88">
        <v>46132.666666666664</v>
      </c>
      <c r="BA91">
        <v>12.45</v>
      </c>
      <c r="BB91" s="88">
        <v>46132.666666666664</v>
      </c>
      <c r="BC91">
        <v>895.11</v>
      </c>
      <c r="BD91" s="88">
        <v>46132.666666666664</v>
      </c>
      <c r="BE91">
        <v>166.81</v>
      </c>
      <c r="BF91" s="88">
        <v>46132.666666666664</v>
      </c>
      <c r="BG91">
        <v>27.52</v>
      </c>
      <c r="BH91" s="88">
        <v>46132.666666666664</v>
      </c>
      <c r="BI91">
        <v>156.09</v>
      </c>
      <c r="BJ91" s="88">
        <v>46132.666666666664</v>
      </c>
      <c r="BK91">
        <v>10.34</v>
      </c>
      <c r="BL91" s="88">
        <v>46132.666666666664</v>
      </c>
      <c r="BM91">
        <v>670.91</v>
      </c>
      <c r="BN91" s="88">
        <v>46132.666666666664</v>
      </c>
      <c r="BO91">
        <v>24.11</v>
      </c>
      <c r="BP91" s="88">
        <v>46132.666666666664</v>
      </c>
      <c r="BQ91">
        <v>418.07</v>
      </c>
      <c r="BR91" s="88">
        <v>46132.666666666664</v>
      </c>
      <c r="BS91">
        <v>133.05000000000001</v>
      </c>
      <c r="BT91" s="88">
        <v>46132.666666666664</v>
      </c>
      <c r="BU91">
        <v>448.42</v>
      </c>
      <c r="BV91" s="88">
        <v>46132.666666666664</v>
      </c>
      <c r="BW91">
        <v>94.83</v>
      </c>
      <c r="BX91" s="88">
        <v>46132.666666666664</v>
      </c>
      <c r="BY91">
        <v>46.48</v>
      </c>
      <c r="BZ91" s="88">
        <v>46132.666666666664</v>
      </c>
      <c r="CA91">
        <v>23.2</v>
      </c>
      <c r="CB91" s="88">
        <v>46132.666666666664</v>
      </c>
      <c r="CC91">
        <v>202.06</v>
      </c>
      <c r="CD91" s="88">
        <v>46132.666666666664</v>
      </c>
      <c r="CE91">
        <v>40.46</v>
      </c>
      <c r="CF91" s="88">
        <v>46132.666666666664</v>
      </c>
      <c r="CG91">
        <v>68.13</v>
      </c>
      <c r="CH91" s="88">
        <v>46132.666666666664</v>
      </c>
      <c r="CI91">
        <v>10.73</v>
      </c>
      <c r="CJ91" s="88">
        <v>46132.666666666664</v>
      </c>
      <c r="CK91">
        <v>177.58</v>
      </c>
      <c r="CL91" s="88">
        <v>46132.666666666664</v>
      </c>
      <c r="CM91">
        <v>54.48</v>
      </c>
      <c r="CN91" s="88">
        <v>46132.666666666664</v>
      </c>
      <c r="CO91">
        <v>10.56</v>
      </c>
      <c r="CP91" s="88">
        <v>46132.666666666664</v>
      </c>
      <c r="CQ91">
        <v>37.5</v>
      </c>
      <c r="CR91" s="88">
        <v>46132.666666666664</v>
      </c>
      <c r="CS91">
        <v>145.88999999999999</v>
      </c>
      <c r="CT91" s="88">
        <v>46132.666666666664</v>
      </c>
      <c r="CU91">
        <v>8.59</v>
      </c>
      <c r="CV91" s="88">
        <v>46132.666666666664</v>
      </c>
      <c r="CW91">
        <v>12.6</v>
      </c>
      <c r="CX91" s="88">
        <v>46132.666666666664</v>
      </c>
      <c r="CY91">
        <v>10.1</v>
      </c>
      <c r="CZ91" s="88">
        <v>46132.666666666664</v>
      </c>
      <c r="DA91">
        <v>16.920000000000002</v>
      </c>
      <c r="DB91" s="88">
        <v>46132.666666666664</v>
      </c>
      <c r="DC91">
        <v>89.46</v>
      </c>
      <c r="DD91" s="88">
        <v>46132.666666666664</v>
      </c>
      <c r="DE91">
        <v>28.81</v>
      </c>
      <c r="DF91" s="88">
        <v>46132.666666666664</v>
      </c>
      <c r="DG91">
        <v>6</v>
      </c>
      <c r="DH91" s="88">
        <v>46132.666666666664</v>
      </c>
      <c r="DI91">
        <v>19.5</v>
      </c>
      <c r="DJ91" s="88">
        <v>46132.666666666664</v>
      </c>
      <c r="DK91">
        <v>708.72</v>
      </c>
      <c r="DL91" s="88">
        <v>46132.666666666664</v>
      </c>
      <c r="DM91">
        <v>392.5</v>
      </c>
      <c r="DN91" s="88">
        <v>46132.666666666664</v>
      </c>
      <c r="DO91">
        <v>19.75</v>
      </c>
      <c r="DP91" s="88">
        <v>46132.666666666664</v>
      </c>
      <c r="DQ91">
        <v>98.91</v>
      </c>
      <c r="DR91" s="88">
        <v>46132.666666666664</v>
      </c>
      <c r="DS91">
        <v>10.64</v>
      </c>
      <c r="DT91" s="88">
        <v>46132.666666666664</v>
      </c>
      <c r="DU91">
        <v>77.489999999999995</v>
      </c>
      <c r="DV91" s="88">
        <v>46132.666666666664</v>
      </c>
      <c r="DW91">
        <v>15.44</v>
      </c>
      <c r="DX91" s="88">
        <v>46132.666666666664</v>
      </c>
      <c r="DY91">
        <v>121.32</v>
      </c>
      <c r="DZ91" s="88">
        <v>46132.666666666664</v>
      </c>
      <c r="EA91">
        <v>91.92</v>
      </c>
      <c r="EB91" s="88">
        <v>46132.666666666664</v>
      </c>
      <c r="EC91">
        <v>11.45</v>
      </c>
      <c r="ED91" s="88">
        <v>46132.666666666664</v>
      </c>
      <c r="EE91">
        <v>7.13</v>
      </c>
      <c r="EF91" s="88">
        <v>46132.666666666664</v>
      </c>
      <c r="EG91">
        <v>90.56</v>
      </c>
    </row>
    <row r="92" spans="1:137">
      <c r="A92" s="6"/>
      <c r="B92" s="88">
        <v>46133.666666666664</v>
      </c>
      <c r="C92">
        <v>266.17</v>
      </c>
      <c r="D92" s="88">
        <v>46133.666666666664</v>
      </c>
      <c r="E92">
        <v>247.18</v>
      </c>
      <c r="F92" s="88">
        <v>46133.666666666664</v>
      </c>
      <c r="G92">
        <v>41.45</v>
      </c>
      <c r="H92" s="88">
        <v>46133.666666666664</v>
      </c>
      <c r="I92">
        <v>249.91</v>
      </c>
      <c r="J92" s="88">
        <v>46133.666666666664</v>
      </c>
      <c r="K92">
        <v>80.010000000000005</v>
      </c>
      <c r="L92" s="88">
        <v>46133.666666666664</v>
      </c>
      <c r="M92">
        <v>18.7</v>
      </c>
      <c r="N92" s="88">
        <v>46133.666666666664</v>
      </c>
      <c r="O92">
        <v>402.17</v>
      </c>
      <c r="P92" s="88">
        <v>46133.666666666664</v>
      </c>
      <c r="Q92">
        <v>135.38</v>
      </c>
      <c r="R92" s="88">
        <v>46133.666666666664</v>
      </c>
      <c r="S92">
        <v>21.71</v>
      </c>
      <c r="T92" s="88">
        <v>46133.666666666664</v>
      </c>
      <c r="U92">
        <v>27.04</v>
      </c>
      <c r="V92" s="88">
        <v>46133.666666666664</v>
      </c>
      <c r="W92">
        <v>1.04</v>
      </c>
      <c r="X92" s="88">
        <v>46133.666666666664</v>
      </c>
      <c r="Y92">
        <v>9.1300000000000008</v>
      </c>
      <c r="Z92" s="88">
        <v>46133.666666666664</v>
      </c>
      <c r="AA92">
        <v>104.29</v>
      </c>
      <c r="AB92" s="88">
        <v>46133.666666666664</v>
      </c>
      <c r="AC92">
        <v>228.81</v>
      </c>
      <c r="AD92" s="88">
        <v>46133.666666666664</v>
      </c>
      <c r="AE92">
        <v>103.83</v>
      </c>
      <c r="AF92" s="88">
        <v>46133.666666666664</v>
      </c>
      <c r="AG92">
        <v>26.9</v>
      </c>
      <c r="AH92" s="88">
        <v>46133.666666666664</v>
      </c>
      <c r="AI92">
        <v>865.48</v>
      </c>
      <c r="AJ92" s="88">
        <v>46133.666666666664</v>
      </c>
      <c r="AK92">
        <v>18.72</v>
      </c>
      <c r="AL92" s="88">
        <v>46133.666666666664</v>
      </c>
      <c r="AM92">
        <v>42.09</v>
      </c>
      <c r="AN92" s="88">
        <v>46133.666666666664</v>
      </c>
      <c r="AO92">
        <v>332.29</v>
      </c>
      <c r="AP92" s="88">
        <v>46133.666666666664</v>
      </c>
      <c r="AQ92">
        <v>926.55</v>
      </c>
      <c r="AR92" s="88">
        <v>46133.666666666664</v>
      </c>
      <c r="AS92">
        <v>343.92</v>
      </c>
      <c r="AT92" s="88">
        <v>46133.666666666664</v>
      </c>
      <c r="AU92">
        <v>86.43</v>
      </c>
      <c r="AV92" s="88">
        <v>46133.666666666664</v>
      </c>
      <c r="AW92">
        <v>29.7</v>
      </c>
      <c r="AX92" s="88">
        <v>46133.666666666664</v>
      </c>
      <c r="AY92">
        <v>45.17</v>
      </c>
      <c r="AZ92" s="88">
        <v>46133.666666666664</v>
      </c>
      <c r="BA92">
        <v>11.52</v>
      </c>
      <c r="BB92" s="88">
        <v>46133.666666666664</v>
      </c>
      <c r="BC92">
        <v>836.92</v>
      </c>
      <c r="BD92" s="88">
        <v>46133.666666666664</v>
      </c>
      <c r="BE92">
        <v>166.7</v>
      </c>
      <c r="BF92" s="88">
        <v>46133.666666666664</v>
      </c>
      <c r="BG92">
        <v>27.82</v>
      </c>
      <c r="BH92" s="88">
        <v>46133.666666666664</v>
      </c>
      <c r="BI92">
        <v>153.37</v>
      </c>
      <c r="BJ92" s="88">
        <v>46133.666666666664</v>
      </c>
      <c r="BK92">
        <v>9.08</v>
      </c>
      <c r="BL92" s="88">
        <v>46133.666666666664</v>
      </c>
      <c r="BM92">
        <v>668.84</v>
      </c>
      <c r="BN92" s="88">
        <v>46133.666666666664</v>
      </c>
      <c r="BO92">
        <v>24.2</v>
      </c>
      <c r="BP92" s="88">
        <v>46133.666666666664</v>
      </c>
      <c r="BQ92">
        <v>424.16</v>
      </c>
      <c r="BR92" s="88">
        <v>46133.666666666664</v>
      </c>
      <c r="BS92">
        <v>132.68</v>
      </c>
      <c r="BT92" s="88">
        <v>46133.666666666664</v>
      </c>
      <c r="BU92">
        <v>449.38</v>
      </c>
      <c r="BV92" s="88">
        <v>46133.666666666664</v>
      </c>
      <c r="BW92">
        <v>92.58</v>
      </c>
      <c r="BX92" s="88">
        <v>46133.666666666664</v>
      </c>
      <c r="BY92">
        <v>46.39</v>
      </c>
      <c r="BZ92" s="88">
        <v>46133.666666666664</v>
      </c>
      <c r="CA92">
        <v>22.57</v>
      </c>
      <c r="CB92" s="88">
        <v>46133.666666666664</v>
      </c>
      <c r="CC92">
        <v>199.88</v>
      </c>
      <c r="CD92" s="88">
        <v>46133.666666666664</v>
      </c>
      <c r="CE92">
        <v>39.42</v>
      </c>
      <c r="CF92" s="88">
        <v>46133.666666666664</v>
      </c>
      <c r="CG92">
        <v>62.61</v>
      </c>
      <c r="CH92" s="88">
        <v>46133.666666666664</v>
      </c>
      <c r="CI92">
        <v>10.87</v>
      </c>
      <c r="CJ92" s="88">
        <v>46133.666666666664</v>
      </c>
      <c r="CK92">
        <v>181.17</v>
      </c>
      <c r="CL92" s="88">
        <v>46133.666666666664</v>
      </c>
      <c r="CM92">
        <v>56.33</v>
      </c>
      <c r="CN92" s="88">
        <v>46133.666666666664</v>
      </c>
      <c r="CO92">
        <v>10.78</v>
      </c>
      <c r="CP92" s="88">
        <v>46133.666666666664</v>
      </c>
      <c r="CQ92">
        <v>38.03</v>
      </c>
      <c r="CR92" s="88">
        <v>46133.666666666664</v>
      </c>
      <c r="CS92">
        <v>145.97</v>
      </c>
      <c r="CT92" s="88">
        <v>46133.666666666664</v>
      </c>
      <c r="CU92">
        <v>10.25</v>
      </c>
      <c r="CV92" s="88">
        <v>46133.666666666664</v>
      </c>
      <c r="CW92">
        <v>12.57</v>
      </c>
      <c r="CX92" s="88">
        <v>46133.666666666664</v>
      </c>
      <c r="CY92">
        <v>10.17</v>
      </c>
      <c r="CZ92" s="88">
        <v>46133.666666666664</v>
      </c>
      <c r="DA92">
        <v>17.149999999999999</v>
      </c>
      <c r="DB92" s="88">
        <v>46133.666666666664</v>
      </c>
      <c r="DC92">
        <v>86.64</v>
      </c>
      <c r="DD92" s="88">
        <v>46133.666666666664</v>
      </c>
      <c r="DE92">
        <v>28.43</v>
      </c>
      <c r="DF92" s="88">
        <v>46133.666666666664</v>
      </c>
      <c r="DG92">
        <v>5.64</v>
      </c>
      <c r="DH92" s="88">
        <v>46133.666666666664</v>
      </c>
      <c r="DI92">
        <v>18.829999999999998</v>
      </c>
      <c r="DJ92" s="88">
        <v>46133.666666666664</v>
      </c>
      <c r="DK92">
        <v>704.08</v>
      </c>
      <c r="DL92" s="88">
        <v>46133.666666666664</v>
      </c>
      <c r="DM92">
        <v>386.42</v>
      </c>
      <c r="DN92" s="88">
        <v>46133.666666666664</v>
      </c>
      <c r="DO92">
        <v>20</v>
      </c>
      <c r="DP92" s="88">
        <v>46133.666666666664</v>
      </c>
      <c r="DQ92">
        <v>97.13</v>
      </c>
      <c r="DR92" s="88">
        <v>46133.666666666664</v>
      </c>
      <c r="DS92">
        <v>10.07</v>
      </c>
      <c r="DT92" s="88">
        <v>46133.666666666664</v>
      </c>
      <c r="DU92">
        <v>77.260000000000005</v>
      </c>
      <c r="DV92" s="88">
        <v>46133.666666666664</v>
      </c>
      <c r="DW92">
        <v>15.37</v>
      </c>
      <c r="DX92" s="88">
        <v>46133.666666666664</v>
      </c>
      <c r="DY92">
        <v>128.25</v>
      </c>
      <c r="DZ92" s="88">
        <v>46133.666666666664</v>
      </c>
      <c r="EA92">
        <v>89</v>
      </c>
      <c r="EB92" s="88">
        <v>46133.666666666664</v>
      </c>
      <c r="EC92">
        <v>12.09</v>
      </c>
      <c r="ED92" s="88">
        <v>46133.666666666664</v>
      </c>
      <c r="EE92">
        <v>7.11</v>
      </c>
      <c r="EF92" s="88">
        <v>46133.666666666664</v>
      </c>
      <c r="EG92">
        <v>90.96</v>
      </c>
    </row>
    <row r="93" spans="1:137">
      <c r="A93" s="6"/>
      <c r="B93" s="88">
        <v>46134.666666666664</v>
      </c>
      <c r="C93">
        <v>273.17</v>
      </c>
      <c r="D93" s="88">
        <v>46134.666666666664</v>
      </c>
      <c r="E93">
        <v>255.94</v>
      </c>
      <c r="F93" s="88">
        <v>46134.666666666664</v>
      </c>
      <c r="G93">
        <v>40.78</v>
      </c>
      <c r="H93" s="88">
        <v>46134.666666666664</v>
      </c>
      <c r="I93">
        <v>255.36</v>
      </c>
      <c r="J93" s="88">
        <v>46134.666666666664</v>
      </c>
      <c r="K93">
        <v>84.66</v>
      </c>
      <c r="L93" s="88">
        <v>46134.666666666664</v>
      </c>
      <c r="M93">
        <v>18.7</v>
      </c>
      <c r="N93" s="88">
        <v>46134.666666666664</v>
      </c>
      <c r="O93">
        <v>422.65</v>
      </c>
      <c r="P93" s="88">
        <v>46134.666666666664</v>
      </c>
      <c r="Q93">
        <v>136.41999999999999</v>
      </c>
      <c r="R93" s="88">
        <v>46134.666666666664</v>
      </c>
      <c r="S93">
        <v>23.31</v>
      </c>
      <c r="T93" s="88">
        <v>46134.666666666664</v>
      </c>
      <c r="U93">
        <v>27.71</v>
      </c>
      <c r="V93" s="88">
        <v>46134.666666666664</v>
      </c>
      <c r="W93">
        <v>1.02</v>
      </c>
      <c r="X93" s="88">
        <v>46134.666666666664</v>
      </c>
      <c r="Y93">
        <v>9.5</v>
      </c>
      <c r="Z93" s="88">
        <v>46134.666666666664</v>
      </c>
      <c r="AA93">
        <v>104.82</v>
      </c>
      <c r="AB93" s="88">
        <v>46134.666666666664</v>
      </c>
      <c r="AC93">
        <v>228.21</v>
      </c>
      <c r="AD93" s="88">
        <v>46134.666666666664</v>
      </c>
      <c r="AE93">
        <v>101.97</v>
      </c>
      <c r="AF93" s="88">
        <v>46134.666666666664</v>
      </c>
      <c r="AG93">
        <v>27.12</v>
      </c>
      <c r="AH93" s="88">
        <v>46134.666666666664</v>
      </c>
      <c r="AI93">
        <v>860.97</v>
      </c>
      <c r="AJ93" s="88">
        <v>46134.666666666664</v>
      </c>
      <c r="AK93">
        <v>19.170000000000002</v>
      </c>
      <c r="AL93" s="88">
        <v>46134.666666666664</v>
      </c>
      <c r="AM93">
        <v>41.45</v>
      </c>
      <c r="AN93" s="88">
        <v>46134.666666666664</v>
      </c>
      <c r="AO93">
        <v>339.32</v>
      </c>
      <c r="AP93" s="88">
        <v>46134.666666666664</v>
      </c>
      <c r="AQ93">
        <v>934.84</v>
      </c>
      <c r="AR93" s="88">
        <v>46134.666666666664</v>
      </c>
      <c r="AS93">
        <v>339.5</v>
      </c>
      <c r="AT93" s="88">
        <v>46134.666666666664</v>
      </c>
      <c r="AU93">
        <v>88.43</v>
      </c>
      <c r="AV93" s="88">
        <v>46134.666666666664</v>
      </c>
      <c r="AW93">
        <v>31.64</v>
      </c>
      <c r="AX93" s="88">
        <v>46134.666666666664</v>
      </c>
      <c r="AY93">
        <v>48.39</v>
      </c>
      <c r="AZ93" s="88">
        <v>46134.666666666664</v>
      </c>
      <c r="BA93">
        <v>11.23</v>
      </c>
      <c r="BB93" s="88">
        <v>46134.666666666664</v>
      </c>
      <c r="BC93">
        <v>873.6</v>
      </c>
      <c r="BD93" s="88">
        <v>46134.666666666664</v>
      </c>
      <c r="BE93">
        <v>163.44999999999999</v>
      </c>
      <c r="BF93" s="88">
        <v>46134.666666666664</v>
      </c>
      <c r="BG93">
        <v>29.94</v>
      </c>
      <c r="BH93" s="88">
        <v>46134.666666666664</v>
      </c>
      <c r="BI93">
        <v>154.63</v>
      </c>
      <c r="BJ93" s="88">
        <v>46134.666666666664</v>
      </c>
      <c r="BK93">
        <v>10.3</v>
      </c>
      <c r="BL93" s="88">
        <v>46134.666666666664</v>
      </c>
      <c r="BM93">
        <v>674.72</v>
      </c>
      <c r="BN93" s="88">
        <v>46134.666666666664</v>
      </c>
      <c r="BO93">
        <v>24.52</v>
      </c>
      <c r="BP93" s="88">
        <v>46134.666666666664</v>
      </c>
      <c r="BQ93">
        <v>432.92</v>
      </c>
      <c r="BR93" s="88">
        <v>46134.666666666664</v>
      </c>
      <c r="BS93">
        <v>130.13999999999999</v>
      </c>
      <c r="BT93" s="88">
        <v>46134.666666666664</v>
      </c>
      <c r="BU93">
        <v>487.48</v>
      </c>
      <c r="BV93" s="88">
        <v>46134.666666666664</v>
      </c>
      <c r="BW93">
        <v>93.24</v>
      </c>
      <c r="BX93" s="88">
        <v>46134.666666666664</v>
      </c>
      <c r="BY93">
        <v>45.68</v>
      </c>
      <c r="BZ93" s="88">
        <v>46134.666666666664</v>
      </c>
      <c r="CA93">
        <v>17.57</v>
      </c>
      <c r="CB93" s="88">
        <v>46134.666666666664</v>
      </c>
      <c r="CC93">
        <v>202.5</v>
      </c>
      <c r="CD93" s="88">
        <v>46134.666666666664</v>
      </c>
      <c r="CE93">
        <v>39.15</v>
      </c>
      <c r="CF93" s="88">
        <v>46134.666666666664</v>
      </c>
      <c r="CG93">
        <v>72.41</v>
      </c>
      <c r="CH93" s="88">
        <v>46134.666666666664</v>
      </c>
      <c r="CI93">
        <v>11.06</v>
      </c>
      <c r="CJ93" s="88">
        <v>46134.666666666664</v>
      </c>
      <c r="CK93">
        <v>187.5</v>
      </c>
      <c r="CL93" s="88">
        <v>46134.666666666664</v>
      </c>
      <c r="CM93">
        <v>57.05</v>
      </c>
      <c r="CN93" s="88">
        <v>46134.666666666664</v>
      </c>
      <c r="CO93">
        <v>10.89</v>
      </c>
      <c r="CP93" s="88">
        <v>46134.666666666664</v>
      </c>
      <c r="CQ93">
        <v>39.47</v>
      </c>
      <c r="CR93" s="88">
        <v>46134.666666666664</v>
      </c>
      <c r="CS93">
        <v>152.62</v>
      </c>
      <c r="CT93" s="88">
        <v>46134.666666666664</v>
      </c>
      <c r="CU93">
        <v>12.77</v>
      </c>
      <c r="CV93" s="88">
        <v>46134.666666666664</v>
      </c>
      <c r="CW93">
        <v>13.55</v>
      </c>
      <c r="CX93" s="88">
        <v>46134.666666666664</v>
      </c>
      <c r="CY93">
        <v>10.18</v>
      </c>
      <c r="CZ93" s="88">
        <v>46134.666666666664</v>
      </c>
      <c r="DA93">
        <v>17.739999999999998</v>
      </c>
      <c r="DB93" s="88">
        <v>46134.666666666664</v>
      </c>
      <c r="DC93">
        <v>90.04</v>
      </c>
      <c r="DD93" s="88">
        <v>46134.666666666664</v>
      </c>
      <c r="DE93">
        <v>29.18</v>
      </c>
      <c r="DF93" s="88">
        <v>46134.666666666664</v>
      </c>
      <c r="DG93">
        <v>5.84</v>
      </c>
      <c r="DH93" s="88">
        <v>46134.666666666664</v>
      </c>
      <c r="DI93">
        <v>19.059999999999999</v>
      </c>
      <c r="DJ93" s="88">
        <v>46134.666666666664</v>
      </c>
      <c r="DK93">
        <v>711.21</v>
      </c>
      <c r="DL93" s="88">
        <v>46134.666666666664</v>
      </c>
      <c r="DM93">
        <v>387.51</v>
      </c>
      <c r="DN93" s="88">
        <v>46134.666666666664</v>
      </c>
      <c r="DO93">
        <v>20.12</v>
      </c>
      <c r="DP93" s="88">
        <v>46134.666666666664</v>
      </c>
      <c r="DQ93">
        <v>91.71</v>
      </c>
      <c r="DR93" s="88">
        <v>46134.666666666664</v>
      </c>
      <c r="DS93">
        <v>10.6</v>
      </c>
      <c r="DT93" s="88">
        <v>46134.666666666664</v>
      </c>
      <c r="DU93">
        <v>75.58</v>
      </c>
      <c r="DV93" s="88">
        <v>46134.666666666664</v>
      </c>
      <c r="DW93">
        <v>16.45</v>
      </c>
      <c r="DX93" s="88">
        <v>46134.666666666664</v>
      </c>
      <c r="DY93">
        <v>129.4</v>
      </c>
      <c r="DZ93" s="88">
        <v>46134.666666666664</v>
      </c>
      <c r="EA93">
        <v>92.91</v>
      </c>
      <c r="EB93" s="88">
        <v>46134.666666666664</v>
      </c>
      <c r="EC93">
        <v>12.34</v>
      </c>
      <c r="ED93" s="88">
        <v>46134.666666666664</v>
      </c>
      <c r="EE93">
        <v>7.1</v>
      </c>
      <c r="EF93" s="88">
        <v>46134.666666666664</v>
      </c>
      <c r="EG93">
        <v>91.92</v>
      </c>
    </row>
    <row r="94" spans="1:137">
      <c r="A94" s="6"/>
      <c r="B94" s="88">
        <v>46135.666666666664</v>
      </c>
      <c r="C94">
        <v>273.43</v>
      </c>
      <c r="D94" s="88">
        <v>46135.666666666664</v>
      </c>
      <c r="E94">
        <v>238.98</v>
      </c>
      <c r="F94" s="88">
        <v>46135.666666666664</v>
      </c>
      <c r="G94">
        <v>41.16</v>
      </c>
      <c r="H94" s="88">
        <v>46135.666666666664</v>
      </c>
      <c r="I94">
        <v>255.08</v>
      </c>
      <c r="J94" s="88">
        <v>46135.666666666664</v>
      </c>
      <c r="K94">
        <v>78.75</v>
      </c>
      <c r="L94" s="88">
        <v>46135.666666666664</v>
      </c>
      <c r="M94">
        <v>18.37</v>
      </c>
      <c r="N94" s="88">
        <v>46135.666666666664</v>
      </c>
      <c r="O94">
        <v>419.94</v>
      </c>
      <c r="P94" s="88">
        <v>46135.666666666664</v>
      </c>
      <c r="Q94">
        <v>131.69999999999999</v>
      </c>
      <c r="R94" s="88">
        <v>46135.666666666664</v>
      </c>
      <c r="S94">
        <v>22</v>
      </c>
      <c r="T94" s="88">
        <v>46135.666666666664</v>
      </c>
      <c r="U94">
        <v>27.36</v>
      </c>
      <c r="V94" s="88">
        <v>46135.666666666664</v>
      </c>
      <c r="W94">
        <v>0.99</v>
      </c>
      <c r="X94" s="88">
        <v>46135.666666666664</v>
      </c>
      <c r="Y94">
        <v>9.09</v>
      </c>
      <c r="Z94" s="88">
        <v>46135.666666666664</v>
      </c>
      <c r="AA94">
        <v>103.65</v>
      </c>
      <c r="AB94" s="88">
        <v>46135.666666666664</v>
      </c>
      <c r="AC94">
        <v>224.46</v>
      </c>
      <c r="AD94" s="88">
        <v>46135.666666666664</v>
      </c>
      <c r="AE94">
        <v>102.25</v>
      </c>
      <c r="AF94" s="88">
        <v>46135.666666666664</v>
      </c>
      <c r="AG94">
        <v>27.35</v>
      </c>
      <c r="AH94" s="88">
        <v>46135.666666666664</v>
      </c>
      <c r="AI94">
        <v>852.34</v>
      </c>
      <c r="AJ94" s="88">
        <v>46135.666666666664</v>
      </c>
      <c r="AK94">
        <v>17.32</v>
      </c>
      <c r="AL94" s="88">
        <v>46135.666666666664</v>
      </c>
      <c r="AM94">
        <v>38.54</v>
      </c>
      <c r="AN94" s="88">
        <v>46135.666666666664</v>
      </c>
      <c r="AO94">
        <v>338.89</v>
      </c>
      <c r="AP94" s="88">
        <v>46135.666666666664</v>
      </c>
      <c r="AQ94">
        <v>931.3</v>
      </c>
      <c r="AR94" s="88">
        <v>46135.666666666664</v>
      </c>
      <c r="AS94">
        <v>340.16</v>
      </c>
      <c r="AT94" s="88">
        <v>46135.666666666664</v>
      </c>
      <c r="AU94">
        <v>83.54</v>
      </c>
      <c r="AV94" s="88">
        <v>46135.666666666664</v>
      </c>
      <c r="AW94">
        <v>29.72</v>
      </c>
      <c r="AX94" s="88">
        <v>46135.666666666664</v>
      </c>
      <c r="AY94">
        <v>52.02</v>
      </c>
      <c r="AZ94" s="88">
        <v>46135.666666666664</v>
      </c>
      <c r="BA94">
        <v>11.34</v>
      </c>
      <c r="BB94" s="88">
        <v>46135.666666666664</v>
      </c>
      <c r="BC94">
        <v>846.89</v>
      </c>
      <c r="BD94" s="88">
        <v>46135.666666666664</v>
      </c>
      <c r="BE94">
        <v>141.66</v>
      </c>
      <c r="BF94" s="88">
        <v>46135.666666666664</v>
      </c>
      <c r="BG94">
        <v>27.56</v>
      </c>
      <c r="BH94" s="88">
        <v>46135.666666666664</v>
      </c>
      <c r="BI94">
        <v>153.21</v>
      </c>
      <c r="BJ94" s="88">
        <v>46135.666666666664</v>
      </c>
      <c r="BK94">
        <v>9.11</v>
      </c>
      <c r="BL94" s="88">
        <v>46135.666666666664</v>
      </c>
      <c r="BM94">
        <v>659.15</v>
      </c>
      <c r="BN94" s="88">
        <v>46135.666666666664</v>
      </c>
      <c r="BO94">
        <v>24.28</v>
      </c>
      <c r="BP94" s="88">
        <v>46135.666666666664</v>
      </c>
      <c r="BQ94">
        <v>415.75</v>
      </c>
      <c r="BR94" s="88">
        <v>46135.666666666664</v>
      </c>
      <c r="BS94">
        <v>123.57</v>
      </c>
      <c r="BT94" s="88">
        <v>46135.666666666664</v>
      </c>
      <c r="BU94">
        <v>481.72</v>
      </c>
      <c r="BV94" s="88">
        <v>46135.666666666664</v>
      </c>
      <c r="BW94">
        <v>92.82</v>
      </c>
      <c r="BX94" s="88">
        <v>46135.666666666664</v>
      </c>
      <c r="BY94">
        <v>44.78</v>
      </c>
      <c r="BZ94" s="88">
        <v>46135.666666666664</v>
      </c>
      <c r="CA94">
        <v>17.920000000000002</v>
      </c>
      <c r="CB94" s="88">
        <v>46135.666666666664</v>
      </c>
      <c r="CC94">
        <v>199.64</v>
      </c>
      <c r="CD94" s="88">
        <v>46135.666666666664</v>
      </c>
      <c r="CE94">
        <v>38.520000000000003</v>
      </c>
      <c r="CF94" s="88">
        <v>46135.666666666664</v>
      </c>
      <c r="CG94">
        <v>76.459999999999994</v>
      </c>
      <c r="CH94" s="88">
        <v>46135.666666666664</v>
      </c>
      <c r="CI94">
        <v>10.54</v>
      </c>
      <c r="CJ94" s="88">
        <v>46135.666666666664</v>
      </c>
      <c r="CK94">
        <v>176.28</v>
      </c>
      <c r="CL94" s="88">
        <v>46135.666666666664</v>
      </c>
      <c r="CM94">
        <v>57.83</v>
      </c>
      <c r="CN94" s="88">
        <v>46135.666666666664</v>
      </c>
      <c r="CO94">
        <v>10.09</v>
      </c>
      <c r="CP94" s="88">
        <v>46135.666666666664</v>
      </c>
      <c r="CQ94">
        <v>38.29</v>
      </c>
      <c r="CR94" s="88">
        <v>46135.666666666664</v>
      </c>
      <c r="CS94">
        <v>141.57</v>
      </c>
      <c r="CT94" s="88">
        <v>46135.666666666664</v>
      </c>
      <c r="CU94">
        <v>11.72</v>
      </c>
      <c r="CV94" s="88">
        <v>46135.666666666664</v>
      </c>
      <c r="CW94">
        <v>12.54</v>
      </c>
      <c r="CX94" s="88">
        <v>46135.666666666664</v>
      </c>
      <c r="CY94">
        <v>10.119999999999999</v>
      </c>
      <c r="CZ94" s="88">
        <v>46135.666666666664</v>
      </c>
      <c r="DA94">
        <v>16.95</v>
      </c>
      <c r="DB94" s="88">
        <v>46135.666666666664</v>
      </c>
      <c r="DC94">
        <v>84.6</v>
      </c>
      <c r="DD94" s="88">
        <v>46135.666666666664</v>
      </c>
      <c r="DE94">
        <v>26.75</v>
      </c>
      <c r="DF94" s="88">
        <v>46135.666666666664</v>
      </c>
      <c r="DG94">
        <v>5.57</v>
      </c>
      <c r="DH94" s="88">
        <v>46135.666666666664</v>
      </c>
      <c r="DI94">
        <v>18.32</v>
      </c>
      <c r="DJ94" s="88">
        <v>46135.666666666664</v>
      </c>
      <c r="DK94">
        <v>708.45</v>
      </c>
      <c r="DL94" s="88">
        <v>46135.666666666664</v>
      </c>
      <c r="DM94">
        <v>373.72</v>
      </c>
      <c r="DN94" s="88">
        <v>46135.666666666664</v>
      </c>
      <c r="DO94">
        <v>19.97</v>
      </c>
      <c r="DP94" s="88">
        <v>46135.666666666664</v>
      </c>
      <c r="DQ94">
        <v>91.25</v>
      </c>
      <c r="DR94" s="88">
        <v>46135.666666666664</v>
      </c>
      <c r="DS94">
        <v>10.119999999999999</v>
      </c>
      <c r="DT94" s="88">
        <v>46135.666666666664</v>
      </c>
      <c r="DU94">
        <v>74.7</v>
      </c>
      <c r="DV94" s="88">
        <v>46135.666666666664</v>
      </c>
      <c r="DW94">
        <v>16.13</v>
      </c>
      <c r="DX94" s="88">
        <v>46135.666666666664</v>
      </c>
      <c r="DY94">
        <v>134.72</v>
      </c>
      <c r="DZ94" s="88">
        <v>46135.666666666664</v>
      </c>
      <c r="EA94">
        <v>89.74</v>
      </c>
      <c r="EB94" s="88">
        <v>46135.666666666664</v>
      </c>
      <c r="EC94">
        <v>12.95</v>
      </c>
      <c r="ED94" s="88">
        <v>46135.666666666664</v>
      </c>
      <c r="EE94">
        <v>6.93</v>
      </c>
      <c r="EF94" s="88">
        <v>46135.666666666664</v>
      </c>
      <c r="EG94">
        <v>90.01</v>
      </c>
    </row>
    <row r="95" spans="1:137">
      <c r="A95" s="6"/>
      <c r="B95" s="88">
        <v>46136.666666666664</v>
      </c>
      <c r="C95">
        <v>271.06</v>
      </c>
      <c r="D95" s="88">
        <v>46136.666666666664</v>
      </c>
      <c r="E95">
        <v>245.44</v>
      </c>
      <c r="F95" s="88">
        <v>46136.666666666664</v>
      </c>
      <c r="G95">
        <v>41.59</v>
      </c>
      <c r="H95" s="88">
        <v>46136.666666666664</v>
      </c>
      <c r="I95">
        <v>263.99</v>
      </c>
      <c r="J95" s="88">
        <v>46136.666666666664</v>
      </c>
      <c r="K95">
        <v>76.400000000000006</v>
      </c>
      <c r="L95" s="88">
        <v>46136.666666666664</v>
      </c>
      <c r="M95">
        <v>18.5</v>
      </c>
      <c r="N95" s="88">
        <v>46136.666666666664</v>
      </c>
      <c r="O95">
        <v>422.76</v>
      </c>
      <c r="P95" s="88">
        <v>46136.666666666664</v>
      </c>
      <c r="Q95">
        <v>135.82</v>
      </c>
      <c r="R95" s="88">
        <v>46136.666666666664</v>
      </c>
      <c r="S95">
        <v>22.14</v>
      </c>
      <c r="T95" s="88">
        <v>46136.666666666664</v>
      </c>
      <c r="U95">
        <v>26.6</v>
      </c>
      <c r="V95" s="88">
        <v>46136.666666666664</v>
      </c>
      <c r="W95">
        <v>0.99</v>
      </c>
      <c r="X95" s="88">
        <v>46136.666666666664</v>
      </c>
      <c r="Y95">
        <v>9.76</v>
      </c>
      <c r="Z95" s="88">
        <v>46136.666666666664</v>
      </c>
      <c r="AA95">
        <v>102.6</v>
      </c>
      <c r="AB95" s="88">
        <v>46136.666666666664</v>
      </c>
      <c r="AC95">
        <v>225.91</v>
      </c>
      <c r="AD95" s="88">
        <v>46136.666666666664</v>
      </c>
      <c r="AE95">
        <v>103.75</v>
      </c>
      <c r="AF95" s="88">
        <v>46136.666666666664</v>
      </c>
      <c r="AG95">
        <v>27.37</v>
      </c>
      <c r="AH95" s="88">
        <v>46136.666666666664</v>
      </c>
      <c r="AI95">
        <v>821.96</v>
      </c>
      <c r="AJ95" s="88">
        <v>46136.666666666664</v>
      </c>
      <c r="AK95">
        <v>17.47</v>
      </c>
      <c r="AL95" s="88">
        <v>46136.666666666664</v>
      </c>
      <c r="AM95">
        <v>35.130000000000003</v>
      </c>
      <c r="AN95" s="88">
        <v>46136.666666666664</v>
      </c>
      <c r="AO95">
        <v>344.4</v>
      </c>
      <c r="AP95" s="88">
        <v>46136.666666666664</v>
      </c>
      <c r="AQ95">
        <v>926.91</v>
      </c>
      <c r="AR95" s="88">
        <v>46136.666666666664</v>
      </c>
      <c r="AS95">
        <v>335.89</v>
      </c>
      <c r="AT95" s="88">
        <v>46136.666666666664</v>
      </c>
      <c r="AU95">
        <v>84.71</v>
      </c>
      <c r="AV95" s="88">
        <v>46136.666666666664</v>
      </c>
      <c r="AW95">
        <v>29.43</v>
      </c>
      <c r="AX95" s="88">
        <v>46136.666666666664</v>
      </c>
      <c r="AY95">
        <v>50.64</v>
      </c>
      <c r="AZ95" s="88">
        <v>46136.666666666664</v>
      </c>
      <c r="BA95">
        <v>11.43</v>
      </c>
      <c r="BB95" s="88">
        <v>46136.666666666664</v>
      </c>
      <c r="BC95">
        <v>881.64</v>
      </c>
      <c r="BD95" s="88">
        <v>46136.666666666664</v>
      </c>
      <c r="BE95">
        <v>143.80000000000001</v>
      </c>
      <c r="BF95" s="88">
        <v>46136.666666666664</v>
      </c>
      <c r="BG95">
        <v>25.53</v>
      </c>
      <c r="BH95" s="88">
        <v>46136.666666666664</v>
      </c>
      <c r="BI95">
        <v>156.63999999999999</v>
      </c>
      <c r="BJ95" s="88">
        <v>46136.666666666664</v>
      </c>
      <c r="BK95">
        <v>9.1999999999999993</v>
      </c>
      <c r="BL95" s="88">
        <v>46136.666666666664</v>
      </c>
      <c r="BM95">
        <v>675.03</v>
      </c>
      <c r="BN95" s="88">
        <v>46136.666666666664</v>
      </c>
      <c r="BO95">
        <v>24</v>
      </c>
      <c r="BP95" s="88">
        <v>46136.666666666664</v>
      </c>
      <c r="BQ95">
        <v>424.62</v>
      </c>
      <c r="BR95" s="88">
        <v>46136.666666666664</v>
      </c>
      <c r="BS95">
        <v>119.02</v>
      </c>
      <c r="BT95" s="88">
        <v>46136.666666666664</v>
      </c>
      <c r="BU95">
        <v>496.72</v>
      </c>
      <c r="BV95" s="88">
        <v>46136.666666666664</v>
      </c>
      <c r="BW95">
        <v>92.44</v>
      </c>
      <c r="BX95" s="88">
        <v>46136.666666666664</v>
      </c>
      <c r="BY95">
        <v>44.69</v>
      </c>
      <c r="BZ95" s="88">
        <v>46136.666666666664</v>
      </c>
      <c r="CA95">
        <v>17.71</v>
      </c>
      <c r="CB95" s="88">
        <v>46136.666666666664</v>
      </c>
      <c r="CC95">
        <v>208.27</v>
      </c>
      <c r="CD95" s="88">
        <v>46136.666666666664</v>
      </c>
      <c r="CE95">
        <v>41.17</v>
      </c>
      <c r="CF95" s="88">
        <v>46136.666666666664</v>
      </c>
      <c r="CG95">
        <v>71</v>
      </c>
      <c r="CH95" s="88">
        <v>46136.666666666664</v>
      </c>
      <c r="CI95">
        <v>10.55</v>
      </c>
      <c r="CJ95" s="88">
        <v>46136.666666666664</v>
      </c>
      <c r="CK95">
        <v>173.28</v>
      </c>
      <c r="CL95" s="88">
        <v>46136.666666666664</v>
      </c>
      <c r="CM95">
        <v>57.12</v>
      </c>
      <c r="CN95" s="88">
        <v>46136.666666666664</v>
      </c>
      <c r="CO95">
        <v>10.37</v>
      </c>
      <c r="CP95" s="88">
        <v>46136.666666666664</v>
      </c>
      <c r="CQ95">
        <v>35.44</v>
      </c>
      <c r="CR95" s="88">
        <v>46136.666666666664</v>
      </c>
      <c r="CS95">
        <v>143.09</v>
      </c>
      <c r="CT95" s="88">
        <v>46136.666666666664</v>
      </c>
      <c r="CU95">
        <v>15.1</v>
      </c>
      <c r="CV95" s="88">
        <v>46136.666666666664</v>
      </c>
      <c r="CW95">
        <v>11.8</v>
      </c>
      <c r="CX95" s="88">
        <v>46136.666666666664</v>
      </c>
      <c r="CY95">
        <v>10.130000000000001</v>
      </c>
      <c r="CZ95" s="88">
        <v>46136.666666666664</v>
      </c>
      <c r="DA95">
        <v>16.52</v>
      </c>
      <c r="DB95" s="88">
        <v>46136.666666666664</v>
      </c>
      <c r="DC95">
        <v>79.680000000000007</v>
      </c>
      <c r="DD95" s="88">
        <v>46136.666666666664</v>
      </c>
      <c r="DE95">
        <v>29.08</v>
      </c>
      <c r="DF95" s="88">
        <v>46136.666666666664</v>
      </c>
      <c r="DG95">
        <v>5.65</v>
      </c>
      <c r="DH95" s="88">
        <v>46136.666666666664</v>
      </c>
      <c r="DI95">
        <v>18.440000000000001</v>
      </c>
      <c r="DJ95" s="88">
        <v>46136.666666666664</v>
      </c>
      <c r="DK95">
        <v>713.94</v>
      </c>
      <c r="DL95" s="88">
        <v>46136.666666666664</v>
      </c>
      <c r="DM95">
        <v>376.3</v>
      </c>
      <c r="DN95" s="88">
        <v>46136.666666666664</v>
      </c>
      <c r="DO95">
        <v>19.8</v>
      </c>
      <c r="DP95" s="88">
        <v>46136.666666666664</v>
      </c>
      <c r="DQ95">
        <v>93</v>
      </c>
      <c r="DR95" s="88">
        <v>46136.666666666664</v>
      </c>
      <c r="DS95">
        <v>9.74</v>
      </c>
      <c r="DT95" s="88">
        <v>46136.666666666664</v>
      </c>
      <c r="DU95">
        <v>74.64</v>
      </c>
      <c r="DV95" s="88">
        <v>46136.666666666664</v>
      </c>
      <c r="DW95">
        <v>14.65</v>
      </c>
      <c r="DX95" s="88">
        <v>46136.666666666664</v>
      </c>
      <c r="DY95">
        <v>132.4</v>
      </c>
      <c r="DZ95" s="88">
        <v>46136.666666666664</v>
      </c>
      <c r="EA95">
        <v>85.48</v>
      </c>
      <c r="EB95" s="88">
        <v>46136.666666666664</v>
      </c>
      <c r="EC95">
        <v>11.9</v>
      </c>
      <c r="ED95" s="88">
        <v>46136.666666666664</v>
      </c>
      <c r="EE95">
        <v>7.14</v>
      </c>
      <c r="EF95" s="88">
        <v>46136.666666666664</v>
      </c>
      <c r="EG95">
        <v>92.03</v>
      </c>
    </row>
    <row r="96" spans="1:137">
      <c r="A96" s="6"/>
      <c r="B96" s="88">
        <v>46139.666666666664</v>
      </c>
      <c r="C96">
        <v>267.61</v>
      </c>
      <c r="D96" s="88">
        <v>46139.666666666664</v>
      </c>
      <c r="E96">
        <v>239.31</v>
      </c>
      <c r="F96" s="88">
        <v>46139.666666666664</v>
      </c>
      <c r="G96">
        <v>40.44</v>
      </c>
      <c r="H96" s="88">
        <v>46139.666666666664</v>
      </c>
      <c r="I96">
        <v>261.12</v>
      </c>
      <c r="J96" s="88">
        <v>46139.666666666664</v>
      </c>
      <c r="K96">
        <v>77.2</v>
      </c>
      <c r="L96" s="88">
        <v>46139.666666666664</v>
      </c>
      <c r="M96">
        <v>18.46</v>
      </c>
      <c r="N96" s="88">
        <v>46139.666666666664</v>
      </c>
      <c r="O96">
        <v>418.2</v>
      </c>
      <c r="P96" s="88">
        <v>46139.666666666664</v>
      </c>
      <c r="Q96">
        <v>132.52000000000001</v>
      </c>
      <c r="R96" s="88">
        <v>46139.666666666664</v>
      </c>
      <c r="S96">
        <v>21.55</v>
      </c>
      <c r="T96" s="88">
        <v>46139.666666666664</v>
      </c>
      <c r="U96">
        <v>27.07</v>
      </c>
      <c r="V96" s="88">
        <v>46139.666666666664</v>
      </c>
      <c r="W96">
        <v>1</v>
      </c>
      <c r="X96" s="88">
        <v>46139.666666666664</v>
      </c>
      <c r="Y96">
        <v>10.61</v>
      </c>
      <c r="Z96" s="88">
        <v>46139.666666666664</v>
      </c>
      <c r="AA96">
        <v>102.35</v>
      </c>
      <c r="AB96" s="88">
        <v>46139.666666666664</v>
      </c>
      <c r="AC96">
        <v>229.34</v>
      </c>
      <c r="AD96" s="88">
        <v>46139.666666666664</v>
      </c>
      <c r="AE96">
        <v>98</v>
      </c>
      <c r="AF96" s="88">
        <v>46139.666666666664</v>
      </c>
      <c r="AG96">
        <v>27.22</v>
      </c>
      <c r="AH96" s="88">
        <v>46139.666666666664</v>
      </c>
      <c r="AI96">
        <v>819.65</v>
      </c>
      <c r="AJ96" s="88">
        <v>46139.666666666664</v>
      </c>
      <c r="AK96">
        <v>17.309999999999999</v>
      </c>
      <c r="AL96" s="88">
        <v>46139.666666666664</v>
      </c>
      <c r="AM96">
        <v>34.51</v>
      </c>
      <c r="AN96" s="88">
        <v>46139.666666666664</v>
      </c>
      <c r="AO96">
        <v>350.34</v>
      </c>
      <c r="AP96" s="88">
        <v>46139.666666666664</v>
      </c>
      <c r="AQ96">
        <v>937.81</v>
      </c>
      <c r="AR96" s="88">
        <v>46139.666666666664</v>
      </c>
      <c r="AS96">
        <v>332.3</v>
      </c>
      <c r="AT96" s="88">
        <v>46139.666666666664</v>
      </c>
      <c r="AU96">
        <v>83.95</v>
      </c>
      <c r="AV96" s="88">
        <v>46139.666666666664</v>
      </c>
      <c r="AW96">
        <v>32.65</v>
      </c>
      <c r="AX96" s="88">
        <v>46139.666666666664</v>
      </c>
      <c r="AY96">
        <v>48.36</v>
      </c>
      <c r="AZ96" s="88">
        <v>46139.666666666664</v>
      </c>
      <c r="BA96">
        <v>12.24</v>
      </c>
      <c r="BB96" s="88">
        <v>46139.666666666664</v>
      </c>
      <c r="BC96">
        <v>859.68</v>
      </c>
      <c r="BD96" s="88">
        <v>46139.666666666664</v>
      </c>
      <c r="BE96">
        <v>146.94</v>
      </c>
      <c r="BF96" s="88">
        <v>46139.666666666664</v>
      </c>
      <c r="BG96">
        <v>26.2</v>
      </c>
      <c r="BH96" s="88">
        <v>46139.666666666664</v>
      </c>
      <c r="BI96">
        <v>156.49</v>
      </c>
      <c r="BJ96" s="88">
        <v>46139.666666666664</v>
      </c>
      <c r="BK96">
        <v>8.75</v>
      </c>
      <c r="BL96" s="88">
        <v>46139.666666666664</v>
      </c>
      <c r="BM96">
        <v>678.62</v>
      </c>
      <c r="BN96" s="88">
        <v>46139.666666666664</v>
      </c>
      <c r="BO96">
        <v>23.22</v>
      </c>
      <c r="BP96" s="88">
        <v>46139.666666666664</v>
      </c>
      <c r="BQ96">
        <v>424.82</v>
      </c>
      <c r="BR96" s="88">
        <v>46139.666666666664</v>
      </c>
      <c r="BS96">
        <v>120.51</v>
      </c>
      <c r="BT96" s="88">
        <v>46139.666666666664</v>
      </c>
      <c r="BU96">
        <v>524.55999999999995</v>
      </c>
      <c r="BV96" s="88">
        <v>46139.666666666664</v>
      </c>
      <c r="BW96">
        <v>91.37</v>
      </c>
      <c r="BX96" s="88">
        <v>46139.666666666664</v>
      </c>
      <c r="BY96">
        <v>45.14</v>
      </c>
      <c r="BZ96" s="88">
        <v>46139.666666666664</v>
      </c>
      <c r="CA96">
        <v>17.010000000000002</v>
      </c>
      <c r="CB96" s="88">
        <v>46139.666666666664</v>
      </c>
      <c r="CC96">
        <v>216.61</v>
      </c>
      <c r="CD96" s="88">
        <v>46139.666666666664</v>
      </c>
      <c r="CE96">
        <v>41.2</v>
      </c>
      <c r="CF96" s="88">
        <v>46139.666666666664</v>
      </c>
      <c r="CG96">
        <v>75.930000000000007</v>
      </c>
      <c r="CH96" s="88">
        <v>46139.666666666664</v>
      </c>
      <c r="CI96">
        <v>10.95</v>
      </c>
      <c r="CJ96" s="88">
        <v>46139.666666666664</v>
      </c>
      <c r="CK96">
        <v>172.96</v>
      </c>
      <c r="CL96" s="88">
        <v>46139.666666666664</v>
      </c>
      <c r="CM96">
        <v>57.27</v>
      </c>
      <c r="CN96" s="88">
        <v>46139.666666666664</v>
      </c>
      <c r="CO96">
        <v>10.46</v>
      </c>
      <c r="CP96" s="88">
        <v>46139.666666666664</v>
      </c>
      <c r="CQ96">
        <v>35.450000000000003</v>
      </c>
      <c r="CR96" s="88">
        <v>46139.666666666664</v>
      </c>
      <c r="CS96">
        <v>143.1</v>
      </c>
      <c r="CT96" s="88">
        <v>46139.666666666664</v>
      </c>
      <c r="CU96">
        <v>7.95</v>
      </c>
      <c r="CV96" s="88">
        <v>46139.666666666664</v>
      </c>
      <c r="CW96">
        <v>11.69</v>
      </c>
      <c r="CX96" s="88">
        <v>46139.666666666664</v>
      </c>
      <c r="CY96">
        <v>10.119999999999999</v>
      </c>
      <c r="CZ96" s="88">
        <v>46139.666666666664</v>
      </c>
      <c r="DA96">
        <v>16.72</v>
      </c>
      <c r="DB96" s="88">
        <v>46139.666666666664</v>
      </c>
      <c r="DC96">
        <v>82.29</v>
      </c>
      <c r="DD96" s="88">
        <v>46139.666666666664</v>
      </c>
      <c r="DE96">
        <v>27.85</v>
      </c>
      <c r="DF96" s="88">
        <v>46139.666666666664</v>
      </c>
      <c r="DG96">
        <v>6.06</v>
      </c>
      <c r="DH96" s="88">
        <v>46139.666666666664</v>
      </c>
      <c r="DI96">
        <v>18.760000000000002</v>
      </c>
      <c r="DJ96" s="88">
        <v>46139.666666666664</v>
      </c>
      <c r="DK96">
        <v>715.17</v>
      </c>
      <c r="DL96" s="88">
        <v>46139.666666666664</v>
      </c>
      <c r="DM96">
        <v>378.67</v>
      </c>
      <c r="DN96" s="88">
        <v>46139.666666666664</v>
      </c>
      <c r="DO96">
        <v>19.73</v>
      </c>
      <c r="DP96" s="88">
        <v>46139.666666666664</v>
      </c>
      <c r="DQ96">
        <v>91.9</v>
      </c>
      <c r="DR96" s="88">
        <v>46139.666666666664</v>
      </c>
      <c r="DS96">
        <v>11.18</v>
      </c>
      <c r="DT96" s="88">
        <v>46139.666666666664</v>
      </c>
      <c r="DU96">
        <v>76.27</v>
      </c>
      <c r="DV96" s="88">
        <v>46139.666666666664</v>
      </c>
      <c r="DW96">
        <v>14.82</v>
      </c>
      <c r="DX96" s="88">
        <v>46139.666666666664</v>
      </c>
      <c r="DY96">
        <v>134.72</v>
      </c>
      <c r="DZ96" s="88">
        <v>46139.666666666664</v>
      </c>
      <c r="EA96">
        <v>85</v>
      </c>
      <c r="EB96" s="88">
        <v>46139.666666666664</v>
      </c>
      <c r="EC96">
        <v>12.19</v>
      </c>
      <c r="ED96" s="88">
        <v>46139.666666666664</v>
      </c>
      <c r="EE96">
        <v>6.9</v>
      </c>
      <c r="EF96" s="88">
        <v>46139.666666666664</v>
      </c>
      <c r="EG96">
        <v>90.83</v>
      </c>
    </row>
    <row r="97" spans="1:137">
      <c r="A97" s="6"/>
      <c r="B97" s="88">
        <v>46140.666666666664</v>
      </c>
      <c r="C97">
        <v>270.70999999999998</v>
      </c>
      <c r="D97" s="88">
        <v>46140.666666666664</v>
      </c>
      <c r="E97">
        <v>243.2</v>
      </c>
      <c r="F97" s="88">
        <v>46140.666666666664</v>
      </c>
      <c r="G97">
        <v>39.79</v>
      </c>
      <c r="H97" s="88">
        <v>46140.666666666664</v>
      </c>
      <c r="I97">
        <v>259.7</v>
      </c>
      <c r="J97" s="88">
        <v>46140.666666666664</v>
      </c>
      <c r="K97">
        <v>71.88</v>
      </c>
      <c r="L97" s="88">
        <v>46140.666666666664</v>
      </c>
      <c r="M97">
        <v>18.260000000000002</v>
      </c>
      <c r="N97" s="88">
        <v>46140.666666666664</v>
      </c>
      <c r="O97">
        <v>399.83</v>
      </c>
      <c r="P97" s="88">
        <v>46140.666666666664</v>
      </c>
      <c r="Q97">
        <v>130.85</v>
      </c>
      <c r="R97" s="88">
        <v>46140.666666666664</v>
      </c>
      <c r="S97">
        <v>21.48</v>
      </c>
      <c r="T97" s="88">
        <v>46140.666666666664</v>
      </c>
      <c r="U97">
        <v>26.9</v>
      </c>
      <c r="V97" s="88">
        <v>46140.666666666664</v>
      </c>
      <c r="W97">
        <v>0.98</v>
      </c>
      <c r="X97" s="88">
        <v>46140.666666666664</v>
      </c>
      <c r="Y97">
        <v>10.220000000000001</v>
      </c>
      <c r="Z97" s="88">
        <v>46140.666666666664</v>
      </c>
      <c r="AA97">
        <v>101.47</v>
      </c>
      <c r="AB97" s="88">
        <v>46140.666666666664</v>
      </c>
      <c r="AC97">
        <v>226.34</v>
      </c>
      <c r="AD97" s="88">
        <v>46140.666666666664</v>
      </c>
      <c r="AE97">
        <v>98.22</v>
      </c>
      <c r="AF97" s="88">
        <v>46140.666666666664</v>
      </c>
      <c r="AG97">
        <v>27.21</v>
      </c>
      <c r="AH97" s="88">
        <v>46140.666666666664</v>
      </c>
      <c r="AI97">
        <v>834.05</v>
      </c>
      <c r="AJ97" s="88">
        <v>46140.666666666664</v>
      </c>
      <c r="AK97">
        <v>17.18</v>
      </c>
      <c r="AL97" s="88">
        <v>46140.666666666664</v>
      </c>
      <c r="AM97">
        <v>34.22</v>
      </c>
      <c r="AN97" s="88">
        <v>46140.666666666664</v>
      </c>
      <c r="AO97">
        <v>349.78</v>
      </c>
      <c r="AP97" s="88">
        <v>46140.666666666664</v>
      </c>
      <c r="AQ97">
        <v>926.55</v>
      </c>
      <c r="AR97" s="88">
        <v>46140.666666666664</v>
      </c>
      <c r="AS97">
        <v>329.06</v>
      </c>
      <c r="AT97" s="88">
        <v>46140.666666666664</v>
      </c>
      <c r="AU97">
        <v>82.07</v>
      </c>
      <c r="AV97" s="88">
        <v>46140.666666666664</v>
      </c>
      <c r="AW97">
        <v>30.72</v>
      </c>
      <c r="AX97" s="88">
        <v>46140.666666666664</v>
      </c>
      <c r="AY97">
        <v>44.44</v>
      </c>
      <c r="AZ97" s="88">
        <v>46140.666666666664</v>
      </c>
      <c r="BA97">
        <v>12.22</v>
      </c>
      <c r="BB97" s="88">
        <v>46140.666666666664</v>
      </c>
      <c r="BC97">
        <v>791.37</v>
      </c>
      <c r="BD97" s="88">
        <v>46140.666666666664</v>
      </c>
      <c r="BE97">
        <v>142.38999999999999</v>
      </c>
      <c r="BF97" s="88">
        <v>46140.666666666664</v>
      </c>
      <c r="BG97">
        <v>24.58</v>
      </c>
      <c r="BH97" s="88">
        <v>46140.666666666664</v>
      </c>
      <c r="BI97">
        <v>154.75</v>
      </c>
      <c r="BJ97" s="88">
        <v>46140.666666666664</v>
      </c>
      <c r="BK97">
        <v>10.62</v>
      </c>
      <c r="BL97" s="88">
        <v>46140.666666666664</v>
      </c>
      <c r="BM97">
        <v>671.34</v>
      </c>
      <c r="BN97" s="88">
        <v>46140.666666666664</v>
      </c>
      <c r="BO97">
        <v>23.19</v>
      </c>
      <c r="BP97" s="88">
        <v>46140.666666666664</v>
      </c>
      <c r="BQ97">
        <v>429.25</v>
      </c>
      <c r="BR97" s="88">
        <v>46140.666666666664</v>
      </c>
      <c r="BS97">
        <v>126.65</v>
      </c>
      <c r="BT97" s="88">
        <v>46140.666666666664</v>
      </c>
      <c r="BU97">
        <v>504.29</v>
      </c>
      <c r="BV97" s="88">
        <v>46140.666666666664</v>
      </c>
      <c r="BW97">
        <v>92.27</v>
      </c>
      <c r="BX97" s="88">
        <v>46140.666666666664</v>
      </c>
      <c r="BY97">
        <v>45.03</v>
      </c>
      <c r="BZ97" s="88">
        <v>46140.666666666664</v>
      </c>
      <c r="CA97">
        <v>16.97</v>
      </c>
      <c r="CB97" s="88">
        <v>46140.666666666664</v>
      </c>
      <c r="CC97">
        <v>213.17</v>
      </c>
      <c r="CD97" s="88">
        <v>46140.666666666664</v>
      </c>
      <c r="CE97">
        <v>41.17</v>
      </c>
      <c r="CF97" s="88">
        <v>46140.666666666664</v>
      </c>
      <c r="CG97">
        <v>69.09</v>
      </c>
      <c r="CH97" s="88">
        <v>46140.666666666664</v>
      </c>
      <c r="CI97">
        <v>10.48</v>
      </c>
      <c r="CJ97" s="88">
        <v>46140.666666666664</v>
      </c>
      <c r="CK97">
        <v>165.96</v>
      </c>
      <c r="CL97" s="88">
        <v>46140.666666666664</v>
      </c>
      <c r="CM97">
        <v>58.61</v>
      </c>
      <c r="CN97" s="88">
        <v>46140.666666666664</v>
      </c>
      <c r="CO97">
        <v>10.56</v>
      </c>
      <c r="CP97" s="88">
        <v>46140.666666666664</v>
      </c>
      <c r="CQ97">
        <v>35.03</v>
      </c>
      <c r="CR97" s="88">
        <v>46140.666666666664</v>
      </c>
      <c r="CS97">
        <v>141.18</v>
      </c>
      <c r="CT97" s="88">
        <v>46140.666666666664</v>
      </c>
      <c r="CU97">
        <v>8.0299999999999994</v>
      </c>
      <c r="CV97" s="88">
        <v>46140.666666666664</v>
      </c>
      <c r="CW97">
        <v>11.34</v>
      </c>
      <c r="CX97" s="88">
        <v>46140.666666666664</v>
      </c>
      <c r="CY97">
        <v>9.85</v>
      </c>
      <c r="CZ97" s="88">
        <v>46140.666666666664</v>
      </c>
      <c r="DA97">
        <v>16.14</v>
      </c>
      <c r="DB97" s="88">
        <v>46140.666666666664</v>
      </c>
      <c r="DC97">
        <v>78.59</v>
      </c>
      <c r="DD97" s="88">
        <v>46140.666666666664</v>
      </c>
      <c r="DE97">
        <v>27.25</v>
      </c>
      <c r="DF97" s="88">
        <v>46140.666666666664</v>
      </c>
      <c r="DG97">
        <v>5.95</v>
      </c>
      <c r="DH97" s="88">
        <v>46140.666666666664</v>
      </c>
      <c r="DI97">
        <v>18.36</v>
      </c>
      <c r="DJ97" s="88">
        <v>46140.666666666664</v>
      </c>
      <c r="DK97">
        <v>711.69</v>
      </c>
      <c r="DL97" s="88">
        <v>46140.666666666664</v>
      </c>
      <c r="DM97">
        <v>376.02</v>
      </c>
      <c r="DN97" s="88">
        <v>46140.666666666664</v>
      </c>
      <c r="DO97">
        <v>19.899999999999999</v>
      </c>
      <c r="DP97" s="88">
        <v>46140.666666666664</v>
      </c>
      <c r="DQ97">
        <v>90.41</v>
      </c>
      <c r="DR97" s="88">
        <v>46140.666666666664</v>
      </c>
      <c r="DS97">
        <v>10.81</v>
      </c>
      <c r="DT97" s="88">
        <v>46140.666666666664</v>
      </c>
      <c r="DU97">
        <v>74.11</v>
      </c>
      <c r="DV97" s="88">
        <v>46140.666666666664</v>
      </c>
      <c r="DW97">
        <v>14.49</v>
      </c>
      <c r="DX97" s="88">
        <v>46140.666666666664</v>
      </c>
      <c r="DY97">
        <v>139.6</v>
      </c>
      <c r="DZ97" s="88">
        <v>46140.666666666664</v>
      </c>
      <c r="EA97">
        <v>78.650000000000006</v>
      </c>
      <c r="EB97" s="88">
        <v>46140.666666666664</v>
      </c>
      <c r="EC97">
        <v>12.16</v>
      </c>
      <c r="ED97" s="88">
        <v>46140.666666666664</v>
      </c>
      <c r="EE97">
        <v>6.81</v>
      </c>
      <c r="EF97" s="88">
        <v>46140.666666666664</v>
      </c>
      <c r="EG97">
        <v>91.14</v>
      </c>
    </row>
    <row r="98" spans="1:137">
      <c r="A98" s="6"/>
      <c r="B98" s="88">
        <v>46141.666666666664</v>
      </c>
      <c r="C98">
        <v>270.17</v>
      </c>
      <c r="D98" s="88">
        <v>46141.666666666664</v>
      </c>
      <c r="E98">
        <v>243.57</v>
      </c>
      <c r="F98" s="88">
        <v>46141.666666666664</v>
      </c>
      <c r="G98">
        <v>38.31</v>
      </c>
      <c r="H98" s="88">
        <v>46141.666666666664</v>
      </c>
      <c r="I98">
        <v>263.04000000000002</v>
      </c>
      <c r="J98" s="88">
        <v>46141.666666666664</v>
      </c>
      <c r="K98">
        <v>69.849999999999994</v>
      </c>
      <c r="L98" s="88">
        <v>46141.666666666664</v>
      </c>
      <c r="M98">
        <v>18.21</v>
      </c>
      <c r="N98" s="88">
        <v>46141.666666666664</v>
      </c>
      <c r="O98">
        <v>405.45</v>
      </c>
      <c r="P98" s="88">
        <v>46141.666666666664</v>
      </c>
      <c r="Q98">
        <v>130.43</v>
      </c>
      <c r="R98" s="88">
        <v>46141.666666666664</v>
      </c>
      <c r="S98">
        <v>20.66</v>
      </c>
      <c r="T98" s="88">
        <v>46141.666666666664</v>
      </c>
      <c r="U98">
        <v>27.44</v>
      </c>
      <c r="V98" s="88">
        <v>46141.666666666664</v>
      </c>
      <c r="W98">
        <v>0.98</v>
      </c>
      <c r="X98" s="88">
        <v>46141.666666666664</v>
      </c>
      <c r="Y98">
        <v>10.25</v>
      </c>
      <c r="Z98" s="88">
        <v>46141.666666666664</v>
      </c>
      <c r="AA98">
        <v>101.3</v>
      </c>
      <c r="AB98" s="88">
        <v>46141.666666666664</v>
      </c>
      <c r="AC98">
        <v>220</v>
      </c>
      <c r="AD98" s="88">
        <v>46141.666666666664</v>
      </c>
      <c r="AE98">
        <v>95.7</v>
      </c>
      <c r="AF98" s="88">
        <v>46141.666666666664</v>
      </c>
      <c r="AG98">
        <v>26.95</v>
      </c>
      <c r="AH98" s="88">
        <v>46141.666666666664</v>
      </c>
      <c r="AI98">
        <v>819.5</v>
      </c>
      <c r="AJ98" s="88">
        <v>46141.666666666664</v>
      </c>
      <c r="AK98">
        <v>16.86</v>
      </c>
      <c r="AL98" s="88">
        <v>46141.666666666664</v>
      </c>
      <c r="AM98">
        <v>33.49</v>
      </c>
      <c r="AN98" s="88">
        <v>46141.666666666664</v>
      </c>
      <c r="AO98">
        <v>349.94</v>
      </c>
      <c r="AP98" s="88">
        <v>46141.666666666664</v>
      </c>
      <c r="AQ98">
        <v>905.6</v>
      </c>
      <c r="AR98" s="88">
        <v>46141.666666666664</v>
      </c>
      <c r="AS98">
        <v>322.81</v>
      </c>
      <c r="AT98" s="88">
        <v>46141.666666666664</v>
      </c>
      <c r="AU98">
        <v>71.2</v>
      </c>
      <c r="AV98" s="88">
        <v>46141.666666666664</v>
      </c>
      <c r="AW98">
        <v>29.05</v>
      </c>
      <c r="AX98" s="88">
        <v>46141.666666666664</v>
      </c>
      <c r="AY98">
        <v>42.86</v>
      </c>
      <c r="AZ98" s="88">
        <v>46141.666666666664</v>
      </c>
      <c r="BA98">
        <v>12.2</v>
      </c>
      <c r="BB98" s="88">
        <v>46141.666666666664</v>
      </c>
      <c r="BC98">
        <v>858.32</v>
      </c>
      <c r="BD98" s="88">
        <v>46141.666666666664</v>
      </c>
      <c r="BE98">
        <v>138.16</v>
      </c>
      <c r="BF98" s="88">
        <v>46141.666666666664</v>
      </c>
      <c r="BG98">
        <v>24.79</v>
      </c>
      <c r="BH98" s="88">
        <v>46141.666666666664</v>
      </c>
      <c r="BI98">
        <v>153.13</v>
      </c>
      <c r="BJ98" s="88">
        <v>46141.666666666664</v>
      </c>
      <c r="BK98">
        <v>10.24</v>
      </c>
      <c r="BL98" s="88">
        <v>46141.666666666664</v>
      </c>
      <c r="BM98">
        <v>669.12</v>
      </c>
      <c r="BN98" s="88">
        <v>46141.666666666664</v>
      </c>
      <c r="BO98">
        <v>23.03</v>
      </c>
      <c r="BP98" s="88">
        <v>46141.666666666664</v>
      </c>
      <c r="BQ98">
        <v>424.46</v>
      </c>
      <c r="BR98" s="88">
        <v>46141.666666666664</v>
      </c>
      <c r="BS98">
        <v>122.16</v>
      </c>
      <c r="BT98" s="88">
        <v>46141.666666666664</v>
      </c>
      <c r="BU98">
        <v>518.46</v>
      </c>
      <c r="BV98" s="88">
        <v>46141.666666666664</v>
      </c>
      <c r="BW98">
        <v>92.12</v>
      </c>
      <c r="BX98" s="88">
        <v>46141.666666666664</v>
      </c>
      <c r="BY98">
        <v>44.39</v>
      </c>
      <c r="BZ98" s="88">
        <v>46141.666666666664</v>
      </c>
      <c r="CA98">
        <v>17.93</v>
      </c>
      <c r="CB98" s="88">
        <v>46141.666666666664</v>
      </c>
      <c r="CC98">
        <v>209.25</v>
      </c>
      <c r="CD98" s="88">
        <v>46141.666666666664</v>
      </c>
      <c r="CE98">
        <v>40.29</v>
      </c>
      <c r="CF98" s="88">
        <v>46141.666666666664</v>
      </c>
      <c r="CG98">
        <v>64.98</v>
      </c>
      <c r="CH98" s="88">
        <v>46141.666666666664</v>
      </c>
      <c r="CI98">
        <v>9.49</v>
      </c>
      <c r="CJ98" s="88">
        <v>46141.666666666664</v>
      </c>
      <c r="CK98">
        <v>163.83000000000001</v>
      </c>
      <c r="CL98" s="88">
        <v>46141.666666666664</v>
      </c>
      <c r="CM98">
        <v>60.76</v>
      </c>
      <c r="CN98" s="88">
        <v>46141.666666666664</v>
      </c>
      <c r="CO98">
        <v>10.38</v>
      </c>
      <c r="CP98" s="88">
        <v>46141.666666666664</v>
      </c>
      <c r="CQ98">
        <v>34.08</v>
      </c>
      <c r="CR98" s="88">
        <v>46141.666666666664</v>
      </c>
      <c r="CS98">
        <v>137.97</v>
      </c>
      <c r="CT98" s="88">
        <v>46141.666666666664</v>
      </c>
      <c r="CU98">
        <v>6.6</v>
      </c>
      <c r="CV98" s="88">
        <v>46141.666666666664</v>
      </c>
      <c r="CW98">
        <v>11.07</v>
      </c>
      <c r="CX98" s="88">
        <v>46141.666666666664</v>
      </c>
      <c r="CY98">
        <v>9.66</v>
      </c>
      <c r="CZ98" s="88">
        <v>46141.666666666664</v>
      </c>
      <c r="DA98">
        <v>16.059999999999999</v>
      </c>
      <c r="DB98" s="88">
        <v>46141.666666666664</v>
      </c>
      <c r="DC98">
        <v>77.02</v>
      </c>
      <c r="DD98" s="88">
        <v>46141.666666666664</v>
      </c>
      <c r="DE98">
        <v>26.32</v>
      </c>
      <c r="DF98" s="88">
        <v>46141.666666666664</v>
      </c>
      <c r="DG98">
        <v>5.98</v>
      </c>
      <c r="DH98" s="88">
        <v>46141.666666666664</v>
      </c>
      <c r="DI98">
        <v>15.53</v>
      </c>
      <c r="DJ98" s="88">
        <v>46141.666666666664</v>
      </c>
      <c r="DK98">
        <v>711.58</v>
      </c>
      <c r="DL98" s="88">
        <v>46141.666666666664</v>
      </c>
      <c r="DM98">
        <v>372.8</v>
      </c>
      <c r="DN98" s="88">
        <v>46141.666666666664</v>
      </c>
      <c r="DO98">
        <v>18.899999999999999</v>
      </c>
      <c r="DP98" s="88">
        <v>46141.666666666664</v>
      </c>
      <c r="DQ98">
        <v>88.62</v>
      </c>
      <c r="DR98" s="88">
        <v>46141.666666666664</v>
      </c>
      <c r="DS98">
        <v>9.98</v>
      </c>
      <c r="DT98" s="88">
        <v>46141.666666666664</v>
      </c>
      <c r="DU98">
        <v>74.47</v>
      </c>
      <c r="DV98" s="88">
        <v>46141.666666666664</v>
      </c>
      <c r="DW98">
        <v>13.74</v>
      </c>
      <c r="DX98" s="88">
        <v>46141.666666666664</v>
      </c>
      <c r="DY98">
        <v>150.63</v>
      </c>
      <c r="DZ98" s="88">
        <v>46141.666666666664</v>
      </c>
      <c r="EA98">
        <v>85.01</v>
      </c>
      <c r="EB98" s="88">
        <v>46141.666666666664</v>
      </c>
      <c r="EC98">
        <v>13.16</v>
      </c>
      <c r="ED98" s="88">
        <v>46141.666666666664</v>
      </c>
      <c r="EE98">
        <v>6.76</v>
      </c>
      <c r="EF98" s="88">
        <v>46141.666666666664</v>
      </c>
      <c r="EG98">
        <v>95.76</v>
      </c>
    </row>
    <row r="99" spans="1:137">
      <c r="A99" s="6"/>
      <c r="B99" s="88">
        <v>46142.666666666664</v>
      </c>
      <c r="C99">
        <v>271.35000000000002</v>
      </c>
      <c r="D99" s="88">
        <v>46142.666666666664</v>
      </c>
      <c r="E99">
        <v>246.1</v>
      </c>
      <c r="F99" s="88">
        <v>46142.666666666664</v>
      </c>
      <c r="G99">
        <v>39.11</v>
      </c>
      <c r="H99" s="88">
        <v>46142.666666666664</v>
      </c>
      <c r="I99">
        <v>265.06</v>
      </c>
      <c r="J99" s="88">
        <v>46142.666666666664</v>
      </c>
      <c r="K99">
        <v>73.900000000000006</v>
      </c>
      <c r="L99" s="88">
        <v>46142.666666666664</v>
      </c>
      <c r="M99">
        <v>18.63</v>
      </c>
      <c r="N99" s="88">
        <v>46142.666666666664</v>
      </c>
      <c r="O99">
        <v>417.43</v>
      </c>
      <c r="P99" s="88">
        <v>46142.666666666664</v>
      </c>
      <c r="Q99">
        <v>131.88</v>
      </c>
      <c r="R99" s="88">
        <v>46142.666666666664</v>
      </c>
      <c r="S99">
        <v>21.4</v>
      </c>
      <c r="T99" s="88">
        <v>46142.666666666664</v>
      </c>
      <c r="U99">
        <v>26.66</v>
      </c>
      <c r="V99" s="88">
        <v>46142.666666666664</v>
      </c>
      <c r="W99">
        <v>1.01</v>
      </c>
      <c r="X99" s="88">
        <v>46142.666666666664</v>
      </c>
      <c r="Y99">
        <v>10.199999999999999</v>
      </c>
      <c r="Z99" s="88">
        <v>46142.666666666664</v>
      </c>
      <c r="AA99">
        <v>103.75</v>
      </c>
      <c r="AB99" s="88">
        <v>46142.666666666664</v>
      </c>
      <c r="AC99">
        <v>226.92</v>
      </c>
      <c r="AD99" s="88">
        <v>46142.666666666664</v>
      </c>
      <c r="AE99">
        <v>97.11</v>
      </c>
      <c r="AF99" s="88">
        <v>46142.666666666664</v>
      </c>
      <c r="AG99">
        <v>27.06</v>
      </c>
      <c r="AH99" s="88">
        <v>46142.666666666664</v>
      </c>
      <c r="AI99">
        <v>839.34</v>
      </c>
      <c r="AJ99" s="88">
        <v>46142.666666666664</v>
      </c>
      <c r="AK99">
        <v>17.7</v>
      </c>
      <c r="AL99" s="88">
        <v>46142.666666666664</v>
      </c>
      <c r="AM99">
        <v>34.6</v>
      </c>
      <c r="AN99" s="88">
        <v>46142.666666666664</v>
      </c>
      <c r="AO99">
        <v>384.8</v>
      </c>
      <c r="AP99" s="88">
        <v>46142.666666666664</v>
      </c>
      <c r="AQ99">
        <v>923.77</v>
      </c>
      <c r="AR99" s="88">
        <v>46142.666666666664</v>
      </c>
      <c r="AS99">
        <v>328.8</v>
      </c>
      <c r="AT99" s="88">
        <v>46142.666666666664</v>
      </c>
      <c r="AU99">
        <v>72.89</v>
      </c>
      <c r="AV99" s="88">
        <v>46142.666666666664</v>
      </c>
      <c r="AW99">
        <v>33.479999999999997</v>
      </c>
      <c r="AX99" s="88">
        <v>46142.666666666664</v>
      </c>
      <c r="AY99">
        <v>45.51</v>
      </c>
      <c r="AZ99" s="88">
        <v>46142.666666666664</v>
      </c>
      <c r="BA99">
        <v>12.44</v>
      </c>
      <c r="BB99" s="88">
        <v>46142.666666666664</v>
      </c>
      <c r="BC99">
        <v>902.32</v>
      </c>
      <c r="BD99" s="88">
        <v>46142.666666666664</v>
      </c>
      <c r="BE99">
        <v>137.69999999999999</v>
      </c>
      <c r="BF99" s="88">
        <v>46142.666666666664</v>
      </c>
      <c r="BG99">
        <v>25.35</v>
      </c>
      <c r="BH99" s="88">
        <v>46142.666666666664</v>
      </c>
      <c r="BI99">
        <v>157.94</v>
      </c>
      <c r="BJ99" s="88">
        <v>46142.666666666664</v>
      </c>
      <c r="BK99">
        <v>9.6999999999999993</v>
      </c>
      <c r="BL99" s="88">
        <v>46142.666666666664</v>
      </c>
      <c r="BM99">
        <v>611.91</v>
      </c>
      <c r="BN99" s="88">
        <v>46142.666666666664</v>
      </c>
      <c r="BO99">
        <v>23.27</v>
      </c>
      <c r="BP99" s="88">
        <v>46142.666666666664</v>
      </c>
      <c r="BQ99">
        <v>407.78</v>
      </c>
      <c r="BR99" s="88">
        <v>46142.666666666664</v>
      </c>
      <c r="BS99">
        <v>127.18</v>
      </c>
      <c r="BT99" s="88">
        <v>46142.666666666664</v>
      </c>
      <c r="BU99">
        <v>517.16</v>
      </c>
      <c r="BV99" s="88">
        <v>46142.666666666664</v>
      </c>
      <c r="BW99">
        <v>93.61</v>
      </c>
      <c r="BX99" s="88">
        <v>46142.666666666664</v>
      </c>
      <c r="BY99">
        <v>44.36</v>
      </c>
      <c r="BZ99" s="88">
        <v>46142.666666666664</v>
      </c>
      <c r="CA99">
        <v>18.53</v>
      </c>
      <c r="CB99" s="88">
        <v>46142.666666666664</v>
      </c>
      <c r="CC99">
        <v>199.57</v>
      </c>
      <c r="CD99" s="88">
        <v>46142.666666666664</v>
      </c>
      <c r="CE99">
        <v>42.22</v>
      </c>
      <c r="CF99" s="88">
        <v>46142.666666666664</v>
      </c>
      <c r="CG99">
        <v>72.5</v>
      </c>
      <c r="CH99" s="88">
        <v>46142.666666666664</v>
      </c>
      <c r="CI99">
        <v>10.039999999999999</v>
      </c>
      <c r="CJ99" s="88">
        <v>46142.666666666664</v>
      </c>
      <c r="CK99">
        <v>161.38999999999999</v>
      </c>
      <c r="CL99" s="88">
        <v>46142.666666666664</v>
      </c>
      <c r="CM99">
        <v>60.58</v>
      </c>
      <c r="CN99" s="88">
        <v>46142.666666666664</v>
      </c>
      <c r="CO99">
        <v>10.3</v>
      </c>
      <c r="CP99" s="88">
        <v>46142.666666666664</v>
      </c>
      <c r="CQ99">
        <v>36.97</v>
      </c>
      <c r="CR99" s="88">
        <v>46142.666666666664</v>
      </c>
      <c r="CS99">
        <v>139.11000000000001</v>
      </c>
      <c r="CT99" s="88">
        <v>46142.666666666664</v>
      </c>
      <c r="CU99">
        <v>7.12</v>
      </c>
      <c r="CV99" s="88">
        <v>46142.666666666664</v>
      </c>
      <c r="CW99">
        <v>11.72</v>
      </c>
      <c r="CX99" s="88">
        <v>46142.666666666664</v>
      </c>
      <c r="CY99">
        <v>9.7799999999999994</v>
      </c>
      <c r="CZ99" s="88">
        <v>46142.666666666664</v>
      </c>
      <c r="DA99">
        <v>16.399999999999999</v>
      </c>
      <c r="DB99" s="88">
        <v>46142.666666666664</v>
      </c>
      <c r="DC99">
        <v>82.51</v>
      </c>
      <c r="DD99" s="88">
        <v>46142.666666666664</v>
      </c>
      <c r="DE99">
        <v>27.4</v>
      </c>
      <c r="DF99" s="88">
        <v>46142.666666666664</v>
      </c>
      <c r="DG99">
        <v>6.07</v>
      </c>
      <c r="DH99" s="88">
        <v>46142.666666666664</v>
      </c>
      <c r="DI99">
        <v>16.100000000000001</v>
      </c>
      <c r="DJ99" s="88">
        <v>46142.666666666664</v>
      </c>
      <c r="DK99">
        <v>718.66</v>
      </c>
      <c r="DL99" s="88">
        <v>46142.666666666664</v>
      </c>
      <c r="DM99">
        <v>381.63</v>
      </c>
      <c r="DN99" s="88">
        <v>46142.666666666664</v>
      </c>
      <c r="DO99">
        <v>18.579999999999998</v>
      </c>
      <c r="DP99" s="88">
        <v>46142.666666666664</v>
      </c>
      <c r="DQ99">
        <v>90</v>
      </c>
      <c r="DR99" s="88">
        <v>46142.666666666664</v>
      </c>
      <c r="DS99">
        <v>12.01</v>
      </c>
      <c r="DT99" s="88">
        <v>46142.666666666664</v>
      </c>
      <c r="DU99">
        <v>74.61</v>
      </c>
      <c r="DV99" s="88">
        <v>46142.666666666664</v>
      </c>
      <c r="DW99">
        <v>14.59</v>
      </c>
      <c r="DX99" s="88">
        <v>46142.666666666664</v>
      </c>
      <c r="DY99">
        <v>147.09</v>
      </c>
      <c r="DZ99" s="88">
        <v>46142.666666666664</v>
      </c>
      <c r="EA99">
        <v>94.79</v>
      </c>
      <c r="EB99" s="88">
        <v>46142.666666666664</v>
      </c>
      <c r="EC99">
        <v>13.27</v>
      </c>
      <c r="ED99" s="88">
        <v>46142.666666666664</v>
      </c>
      <c r="EE99">
        <v>6.96</v>
      </c>
      <c r="EF99" s="88">
        <v>46142.666666666664</v>
      </c>
      <c r="EG99">
        <v>97.15</v>
      </c>
    </row>
    <row r="100" spans="1:137">
      <c r="A100" s="6"/>
      <c r="B100" s="88">
        <v>46143.666666666664</v>
      </c>
      <c r="C100">
        <v>280.14</v>
      </c>
      <c r="D100" s="88">
        <v>46143.666666666664</v>
      </c>
      <c r="E100">
        <v>250.71</v>
      </c>
      <c r="F100" s="88">
        <v>46143.666666666664</v>
      </c>
      <c r="G100">
        <v>38.549999999999997</v>
      </c>
      <c r="H100" s="88">
        <v>46143.666666666664</v>
      </c>
      <c r="I100">
        <v>268.26</v>
      </c>
      <c r="J100" s="88">
        <v>46143.666666666664</v>
      </c>
      <c r="K100">
        <v>70.89</v>
      </c>
      <c r="L100" s="88">
        <v>46143.666666666664</v>
      </c>
      <c r="M100">
        <v>18.600000000000001</v>
      </c>
      <c r="N100" s="88">
        <v>46143.666666666664</v>
      </c>
      <c r="O100">
        <v>421.28</v>
      </c>
      <c r="P100" s="88">
        <v>46143.666666666664</v>
      </c>
      <c r="Q100">
        <v>131.5</v>
      </c>
      <c r="R100" s="88">
        <v>46143.666666666664</v>
      </c>
      <c r="S100">
        <v>21.88</v>
      </c>
      <c r="T100" s="88">
        <v>46143.666666666664</v>
      </c>
      <c r="U100">
        <v>26.53</v>
      </c>
      <c r="V100" s="88">
        <v>46143.666666666664</v>
      </c>
      <c r="W100">
        <v>1.07</v>
      </c>
      <c r="X100" s="88">
        <v>46143.666666666664</v>
      </c>
      <c r="Y100">
        <v>10.51</v>
      </c>
      <c r="Z100" s="88">
        <v>46143.666666666664</v>
      </c>
      <c r="AA100">
        <v>103.08</v>
      </c>
      <c r="AB100" s="88">
        <v>46143.666666666664</v>
      </c>
      <c r="AC100">
        <v>224.62</v>
      </c>
      <c r="AD100" s="88">
        <v>46143.666666666664</v>
      </c>
      <c r="AE100">
        <v>94.67</v>
      </c>
      <c r="AF100" s="88">
        <v>46143.666666666664</v>
      </c>
      <c r="AG100">
        <v>27.54</v>
      </c>
      <c r="AH100" s="88">
        <v>46143.666666666664</v>
      </c>
      <c r="AI100">
        <v>831.22</v>
      </c>
      <c r="AJ100" s="88">
        <v>46143.666666666664</v>
      </c>
      <c r="AK100">
        <v>18.739999999999998</v>
      </c>
      <c r="AL100" s="88">
        <v>46143.666666666664</v>
      </c>
      <c r="AM100">
        <v>33.799999999999997</v>
      </c>
      <c r="AN100" s="88">
        <v>46143.666666666664</v>
      </c>
      <c r="AO100">
        <v>385.69</v>
      </c>
      <c r="AP100" s="88">
        <v>46143.666666666664</v>
      </c>
      <c r="AQ100">
        <v>923.71</v>
      </c>
      <c r="AR100" s="88">
        <v>46143.666666666664</v>
      </c>
      <c r="AS100">
        <v>323.88</v>
      </c>
      <c r="AT100" s="88">
        <v>46143.666666666664</v>
      </c>
      <c r="AU100">
        <v>73.66</v>
      </c>
      <c r="AV100" s="88">
        <v>46143.666666666664</v>
      </c>
      <c r="AW100">
        <v>33.46</v>
      </c>
      <c r="AX100" s="88">
        <v>46143.666666666664</v>
      </c>
      <c r="AY100">
        <v>45.66</v>
      </c>
      <c r="AZ100" s="88">
        <v>46143.666666666664</v>
      </c>
      <c r="BA100">
        <v>12.65</v>
      </c>
      <c r="BB100" s="88">
        <v>46143.666666666664</v>
      </c>
      <c r="BC100">
        <v>949.93</v>
      </c>
      <c r="BD100" s="88">
        <v>46143.666666666664</v>
      </c>
      <c r="BE100">
        <v>133.58000000000001</v>
      </c>
      <c r="BF100" s="88">
        <v>46143.666666666664</v>
      </c>
      <c r="BG100">
        <v>25.62</v>
      </c>
      <c r="BH100" s="88">
        <v>46143.666666666664</v>
      </c>
      <c r="BI100">
        <v>158.25</v>
      </c>
      <c r="BJ100" s="88">
        <v>46143.666666666664</v>
      </c>
      <c r="BK100">
        <v>9.64</v>
      </c>
      <c r="BL100" s="88">
        <v>46143.666666666664</v>
      </c>
      <c r="BM100">
        <v>608.75</v>
      </c>
      <c r="BN100" s="88">
        <v>46143.666666666664</v>
      </c>
      <c r="BO100">
        <v>23.15</v>
      </c>
      <c r="BP100" s="88">
        <v>46143.666666666664</v>
      </c>
      <c r="BQ100">
        <v>414.44</v>
      </c>
      <c r="BR100" s="88">
        <v>46143.666666666664</v>
      </c>
      <c r="BS100">
        <v>125.86</v>
      </c>
      <c r="BT100" s="88">
        <v>46143.666666666664</v>
      </c>
      <c r="BU100">
        <v>542.21</v>
      </c>
      <c r="BV100" s="88">
        <v>46143.666666666664</v>
      </c>
      <c r="BW100">
        <v>92.06</v>
      </c>
      <c r="BX100" s="88">
        <v>46143.666666666664</v>
      </c>
      <c r="BY100">
        <v>44.4</v>
      </c>
      <c r="BZ100" s="88">
        <v>46143.666666666664</v>
      </c>
      <c r="CA100">
        <v>19.38</v>
      </c>
      <c r="CB100" s="88">
        <v>46143.666666666664</v>
      </c>
      <c r="CC100">
        <v>198.45</v>
      </c>
      <c r="CD100" s="88">
        <v>46143.666666666664</v>
      </c>
      <c r="CE100">
        <v>43.88</v>
      </c>
      <c r="CF100" s="88">
        <v>46143.666666666664</v>
      </c>
      <c r="CG100">
        <v>70.400000000000006</v>
      </c>
      <c r="CH100" s="88">
        <v>46143.666666666664</v>
      </c>
      <c r="CI100">
        <v>10.32</v>
      </c>
      <c r="CJ100" s="88">
        <v>46143.666666666664</v>
      </c>
      <c r="CK100">
        <v>171.83</v>
      </c>
      <c r="CL100" s="88">
        <v>46143.666666666664</v>
      </c>
      <c r="CM100">
        <v>58.71</v>
      </c>
      <c r="CN100" s="88">
        <v>46143.666666666664</v>
      </c>
      <c r="CO100">
        <v>10.67</v>
      </c>
      <c r="CP100" s="88">
        <v>46143.666666666664</v>
      </c>
      <c r="CQ100">
        <v>36.9</v>
      </c>
      <c r="CR100" s="88">
        <v>46143.666666666664</v>
      </c>
      <c r="CS100">
        <v>144.07</v>
      </c>
      <c r="CT100" s="88">
        <v>46143.666666666664</v>
      </c>
      <c r="CU100">
        <v>7.31</v>
      </c>
      <c r="CV100" s="88">
        <v>46143.666666666664</v>
      </c>
      <c r="CW100">
        <v>11.23</v>
      </c>
      <c r="CX100" s="88">
        <v>46143.666666666664</v>
      </c>
      <c r="CY100">
        <v>9.7899999999999991</v>
      </c>
      <c r="CZ100" s="88">
        <v>46143.666666666664</v>
      </c>
      <c r="DA100">
        <v>15.02</v>
      </c>
      <c r="DB100" s="88">
        <v>46143.666666666664</v>
      </c>
      <c r="DC100">
        <v>78.81</v>
      </c>
      <c r="DD100" s="88">
        <v>46143.666666666664</v>
      </c>
      <c r="DE100">
        <v>27.09</v>
      </c>
      <c r="DF100" s="88">
        <v>46143.666666666664</v>
      </c>
      <c r="DG100">
        <v>6.29</v>
      </c>
      <c r="DH100" s="88">
        <v>46143.666666666664</v>
      </c>
      <c r="DI100">
        <v>16.43</v>
      </c>
      <c r="DJ100" s="88">
        <v>46143.666666666664</v>
      </c>
      <c r="DK100">
        <v>720.65</v>
      </c>
      <c r="DL100" s="88">
        <v>46143.666666666664</v>
      </c>
      <c r="DM100">
        <v>390.82</v>
      </c>
      <c r="DN100" s="88">
        <v>46143.666666666664</v>
      </c>
      <c r="DO100">
        <v>18.78</v>
      </c>
      <c r="DP100" s="88">
        <v>46143.666666666664</v>
      </c>
      <c r="DQ100">
        <v>92.52</v>
      </c>
      <c r="DR100" s="88">
        <v>46143.666666666664</v>
      </c>
      <c r="DS100">
        <v>12.15</v>
      </c>
      <c r="DT100" s="88">
        <v>46143.666666666664</v>
      </c>
      <c r="DU100">
        <v>75.12</v>
      </c>
      <c r="DV100" s="88">
        <v>46143.666666666664</v>
      </c>
      <c r="DW100">
        <v>14.19</v>
      </c>
      <c r="DX100" s="88">
        <v>46143.666666666664</v>
      </c>
      <c r="DY100">
        <v>142.80000000000001</v>
      </c>
      <c r="DZ100" s="88">
        <v>46143.666666666664</v>
      </c>
      <c r="EA100">
        <v>94.55</v>
      </c>
      <c r="EB100" s="88">
        <v>46143.666666666664</v>
      </c>
      <c r="EC100">
        <v>12.73</v>
      </c>
      <c r="ED100" s="88">
        <v>46143.666666666664</v>
      </c>
      <c r="EE100">
        <v>6.7</v>
      </c>
      <c r="EF100" s="88">
        <v>46143.666666666664</v>
      </c>
      <c r="EG100">
        <v>103.44</v>
      </c>
    </row>
    <row r="101" spans="1:137">
      <c r="A101" s="6"/>
      <c r="B101" s="88">
        <v>46146.666666666664</v>
      </c>
      <c r="C101">
        <v>276.83</v>
      </c>
      <c r="D101" s="88">
        <v>46146.666666666664</v>
      </c>
      <c r="E101">
        <v>253.96</v>
      </c>
      <c r="F101" s="88">
        <v>46146.666666666664</v>
      </c>
      <c r="G101">
        <v>36.96</v>
      </c>
      <c r="H101" s="88">
        <v>46146.666666666664</v>
      </c>
      <c r="I101">
        <v>272.05</v>
      </c>
      <c r="J101" s="88">
        <v>46146.666666666664</v>
      </c>
      <c r="K101">
        <v>68.430000000000007</v>
      </c>
      <c r="L101" s="88">
        <v>46146.666666666664</v>
      </c>
      <c r="M101">
        <v>18.420000000000002</v>
      </c>
      <c r="N101" s="88">
        <v>46146.666666666664</v>
      </c>
      <c r="O101">
        <v>416.5</v>
      </c>
      <c r="P101" s="88">
        <v>46146.666666666664</v>
      </c>
      <c r="Q101">
        <v>133.27000000000001</v>
      </c>
      <c r="R101" s="88">
        <v>46146.666666666664</v>
      </c>
      <c r="S101">
        <v>22.79</v>
      </c>
      <c r="T101" s="88">
        <v>46146.666666666664</v>
      </c>
      <c r="U101">
        <v>26.52</v>
      </c>
      <c r="V101" s="88">
        <v>46146.666666666664</v>
      </c>
      <c r="W101">
        <v>1.4</v>
      </c>
      <c r="X101" s="88">
        <v>46146.666666666664</v>
      </c>
      <c r="Y101">
        <v>10.25</v>
      </c>
      <c r="Z101" s="88">
        <v>46146.666666666664</v>
      </c>
      <c r="AA101">
        <v>101.31</v>
      </c>
      <c r="AB101" s="88">
        <v>46146.666666666664</v>
      </c>
      <c r="AC101">
        <v>217.27</v>
      </c>
      <c r="AD101" s="88">
        <v>46146.666666666664</v>
      </c>
      <c r="AE101">
        <v>94.05</v>
      </c>
      <c r="AF101" s="88">
        <v>46146.666666666664</v>
      </c>
      <c r="AG101">
        <v>27.21</v>
      </c>
      <c r="AH101" s="88">
        <v>46146.666666666664</v>
      </c>
      <c r="AI101">
        <v>857.79</v>
      </c>
      <c r="AJ101" s="88">
        <v>46146.666666666664</v>
      </c>
      <c r="AK101">
        <v>19.96</v>
      </c>
      <c r="AL101" s="88">
        <v>46146.666666666664</v>
      </c>
      <c r="AM101">
        <v>33.369999999999997</v>
      </c>
      <c r="AN101" s="88">
        <v>46146.666666666664</v>
      </c>
      <c r="AO101">
        <v>383.25</v>
      </c>
      <c r="AP101" s="88">
        <v>46146.666666666664</v>
      </c>
      <c r="AQ101">
        <v>903.27</v>
      </c>
      <c r="AR101" s="88">
        <v>46146.666666666664</v>
      </c>
      <c r="AS101">
        <v>312.42</v>
      </c>
      <c r="AT101" s="88">
        <v>46146.666666666664</v>
      </c>
      <c r="AU101">
        <v>76.55</v>
      </c>
      <c r="AV101" s="88">
        <v>46146.666666666664</v>
      </c>
      <c r="AW101">
        <v>33.49</v>
      </c>
      <c r="AX101" s="88">
        <v>46146.666666666664</v>
      </c>
      <c r="AY101">
        <v>49.48</v>
      </c>
      <c r="AZ101" s="88">
        <v>46146.666666666664</v>
      </c>
      <c r="BA101">
        <v>12.62</v>
      </c>
      <c r="BB101" s="88">
        <v>46146.666666666664</v>
      </c>
      <c r="BC101">
        <v>976.18</v>
      </c>
      <c r="BD101" s="88">
        <v>46146.666666666664</v>
      </c>
      <c r="BE101">
        <v>128.97999999999999</v>
      </c>
      <c r="BF101" s="88">
        <v>46146.666666666664</v>
      </c>
      <c r="BG101">
        <v>25.35</v>
      </c>
      <c r="BH101" s="88">
        <v>46146.666666666664</v>
      </c>
      <c r="BI101">
        <v>157.58000000000001</v>
      </c>
      <c r="BJ101" s="88">
        <v>46146.666666666664</v>
      </c>
      <c r="BK101">
        <v>9.48</v>
      </c>
      <c r="BL101" s="88">
        <v>46146.666666666664</v>
      </c>
      <c r="BM101">
        <v>610.41</v>
      </c>
      <c r="BN101" s="88">
        <v>46146.666666666664</v>
      </c>
      <c r="BO101">
        <v>22.97</v>
      </c>
      <c r="BP101" s="88">
        <v>46146.666666666664</v>
      </c>
      <c r="BQ101">
        <v>413.62</v>
      </c>
      <c r="BR101" s="88">
        <v>46146.666666666664</v>
      </c>
      <c r="BS101">
        <v>123.3</v>
      </c>
      <c r="BT101" s="88">
        <v>46146.666666666664</v>
      </c>
      <c r="BU101">
        <v>576.45000000000005</v>
      </c>
      <c r="BV101" s="88">
        <v>46146.666666666664</v>
      </c>
      <c r="BW101">
        <v>91.02</v>
      </c>
      <c r="BX101" s="88">
        <v>46146.666666666664</v>
      </c>
      <c r="BY101">
        <v>43.09</v>
      </c>
      <c r="BZ101" s="88">
        <v>46146.666666666664</v>
      </c>
      <c r="CA101">
        <v>18.12</v>
      </c>
      <c r="CB101" s="88">
        <v>46146.666666666664</v>
      </c>
      <c r="CC101">
        <v>198.48</v>
      </c>
      <c r="CD101" s="88">
        <v>46146.666666666664</v>
      </c>
      <c r="CE101">
        <v>44.39</v>
      </c>
      <c r="CF101" s="88">
        <v>46146.666666666664</v>
      </c>
      <c r="CG101">
        <v>68.599999999999994</v>
      </c>
      <c r="CH101" s="88">
        <v>46146.666666666664</v>
      </c>
      <c r="CI101">
        <v>9.73</v>
      </c>
      <c r="CJ101" s="88">
        <v>46146.666666666664</v>
      </c>
      <c r="CK101">
        <v>180.29</v>
      </c>
      <c r="CL101" s="88">
        <v>46146.666666666664</v>
      </c>
      <c r="CM101">
        <v>60.27</v>
      </c>
      <c r="CN101" s="88">
        <v>46146.666666666664</v>
      </c>
      <c r="CO101">
        <v>10.83</v>
      </c>
      <c r="CP101" s="88">
        <v>46146.666666666664</v>
      </c>
      <c r="CQ101">
        <v>38.54</v>
      </c>
      <c r="CR101" s="88">
        <v>46146.666666666664</v>
      </c>
      <c r="CS101">
        <v>146.03</v>
      </c>
      <c r="CT101" s="88">
        <v>46146.666666666664</v>
      </c>
      <c r="CU101">
        <v>7.11</v>
      </c>
      <c r="CV101" s="88">
        <v>46146.666666666664</v>
      </c>
      <c r="CW101">
        <v>11</v>
      </c>
      <c r="CX101" s="88">
        <v>46146.666666666664</v>
      </c>
      <c r="CY101">
        <v>9.64</v>
      </c>
      <c r="CZ101" s="88">
        <v>46146.666666666664</v>
      </c>
      <c r="DA101">
        <v>14.51</v>
      </c>
      <c r="DB101" s="88">
        <v>46146.666666666664</v>
      </c>
      <c r="DC101">
        <v>80.31</v>
      </c>
      <c r="DD101" s="88">
        <v>46146.666666666664</v>
      </c>
      <c r="DE101">
        <v>27.92</v>
      </c>
      <c r="DF101" s="88">
        <v>46146.666666666664</v>
      </c>
      <c r="DG101">
        <v>6.17</v>
      </c>
      <c r="DH101" s="88">
        <v>46146.666666666664</v>
      </c>
      <c r="DI101">
        <v>16.2</v>
      </c>
      <c r="DJ101" s="88">
        <v>46146.666666666664</v>
      </c>
      <c r="DK101">
        <v>718.01</v>
      </c>
      <c r="DL101" s="88">
        <v>46146.666666666664</v>
      </c>
      <c r="DM101">
        <v>392.51</v>
      </c>
      <c r="DN101" s="88">
        <v>46146.666666666664</v>
      </c>
      <c r="DO101">
        <v>18.64</v>
      </c>
      <c r="DP101" s="88">
        <v>46146.666666666664</v>
      </c>
      <c r="DQ101">
        <v>90.07</v>
      </c>
      <c r="DR101" s="88">
        <v>46146.666666666664</v>
      </c>
      <c r="DS101">
        <v>11.75</v>
      </c>
      <c r="DT101" s="88">
        <v>46146.666666666664</v>
      </c>
      <c r="DU101">
        <v>73.930000000000007</v>
      </c>
      <c r="DV101" s="88">
        <v>46146.666666666664</v>
      </c>
      <c r="DW101">
        <v>13.81</v>
      </c>
      <c r="DX101" s="88">
        <v>46146.666666666664</v>
      </c>
      <c r="DY101">
        <v>147.61000000000001</v>
      </c>
      <c r="DZ101" s="88">
        <v>46146.666666666664</v>
      </c>
      <c r="EA101">
        <v>115</v>
      </c>
      <c r="EB101" s="88">
        <v>46146.666666666664</v>
      </c>
      <c r="EC101">
        <v>13.77</v>
      </c>
      <c r="ED101" s="88">
        <v>46146.666666666664</v>
      </c>
      <c r="EE101">
        <v>6.54</v>
      </c>
      <c r="EF101" s="88">
        <v>46146.666666666664</v>
      </c>
      <c r="EG101">
        <v>106.63</v>
      </c>
    </row>
    <row r="102" spans="1:137">
      <c r="A102" s="6"/>
      <c r="B102" s="88">
        <v>46147.666666666664</v>
      </c>
      <c r="C102">
        <v>284.18</v>
      </c>
      <c r="D102" s="88">
        <v>46147.666666666664</v>
      </c>
      <c r="E102">
        <v>255.62</v>
      </c>
      <c r="F102" s="88">
        <v>46147.666666666664</v>
      </c>
      <c r="G102">
        <v>38.51</v>
      </c>
      <c r="H102" s="88">
        <v>46147.666666666664</v>
      </c>
      <c r="I102">
        <v>273.55</v>
      </c>
      <c r="J102" s="88">
        <v>46147.666666666664</v>
      </c>
      <c r="K102">
        <v>63.87</v>
      </c>
      <c r="L102" s="88">
        <v>46147.666666666664</v>
      </c>
      <c r="M102">
        <v>18.329999999999998</v>
      </c>
      <c r="N102" s="88">
        <v>46147.666666666664</v>
      </c>
      <c r="O102">
        <v>427.36</v>
      </c>
      <c r="P102" s="88">
        <v>46147.666666666664</v>
      </c>
      <c r="Q102">
        <v>132.26</v>
      </c>
      <c r="R102" s="88">
        <v>46147.666666666664</v>
      </c>
      <c r="S102">
        <v>23.1</v>
      </c>
      <c r="T102" s="88">
        <v>46147.666666666664</v>
      </c>
      <c r="U102">
        <v>25</v>
      </c>
      <c r="V102" s="88">
        <v>46147.666666666664</v>
      </c>
      <c r="W102">
        <v>1.51</v>
      </c>
      <c r="X102" s="88">
        <v>46147.666666666664</v>
      </c>
      <c r="Y102">
        <v>10.65</v>
      </c>
      <c r="Z102" s="88">
        <v>46147.666666666664</v>
      </c>
      <c r="AA102">
        <v>100.48</v>
      </c>
      <c r="AB102" s="88">
        <v>46147.666666666664</v>
      </c>
      <c r="AC102">
        <v>215.49</v>
      </c>
      <c r="AD102" s="88">
        <v>46147.666666666664</v>
      </c>
      <c r="AE102">
        <v>93.69</v>
      </c>
      <c r="AF102" s="88">
        <v>46147.666666666664</v>
      </c>
      <c r="AG102">
        <v>28.01</v>
      </c>
      <c r="AH102" s="88">
        <v>46147.666666666664</v>
      </c>
      <c r="AI102">
        <v>851.26</v>
      </c>
      <c r="AJ102" s="88">
        <v>46147.666666666664</v>
      </c>
      <c r="AK102">
        <v>19.420000000000002</v>
      </c>
      <c r="AL102" s="88">
        <v>46147.666666666664</v>
      </c>
      <c r="AM102">
        <v>31.52</v>
      </c>
      <c r="AN102" s="88">
        <v>46147.666666666664</v>
      </c>
      <c r="AO102">
        <v>388.43</v>
      </c>
      <c r="AP102" s="88">
        <v>46147.666666666664</v>
      </c>
      <c r="AQ102">
        <v>918.89</v>
      </c>
      <c r="AR102" s="88">
        <v>46147.666666666664</v>
      </c>
      <c r="AS102">
        <v>315.42</v>
      </c>
      <c r="AT102" s="88">
        <v>46147.666666666664</v>
      </c>
      <c r="AU102">
        <v>77.03</v>
      </c>
      <c r="AV102" s="88">
        <v>46147.666666666664</v>
      </c>
      <c r="AW102">
        <v>33.82</v>
      </c>
      <c r="AX102" s="88">
        <v>46147.666666666664</v>
      </c>
      <c r="AY102">
        <v>54.74</v>
      </c>
      <c r="AZ102" s="88">
        <v>46147.666666666664</v>
      </c>
      <c r="BA102">
        <v>12.6</v>
      </c>
      <c r="BB102" s="88">
        <v>46147.666666666664</v>
      </c>
      <c r="BC102">
        <v>994.56</v>
      </c>
      <c r="BD102" s="88">
        <v>46147.666666666664</v>
      </c>
      <c r="BE102">
        <v>130.21</v>
      </c>
      <c r="BF102" s="88">
        <v>46147.666666666664</v>
      </c>
      <c r="BG102">
        <v>24.8</v>
      </c>
      <c r="BH102" s="88">
        <v>46147.666666666664</v>
      </c>
      <c r="BI102">
        <v>157.26</v>
      </c>
      <c r="BJ102" s="88">
        <v>46147.666666666664</v>
      </c>
      <c r="BK102">
        <v>9.31</v>
      </c>
      <c r="BL102" s="88">
        <v>46147.666666666664</v>
      </c>
      <c r="BM102">
        <v>604.96</v>
      </c>
      <c r="BN102" s="88">
        <v>46147.666666666664</v>
      </c>
      <c r="BO102">
        <v>23.26</v>
      </c>
      <c r="BP102" s="88">
        <v>46147.666666666664</v>
      </c>
      <c r="BQ102">
        <v>411.38</v>
      </c>
      <c r="BR102" s="88">
        <v>46147.666666666664</v>
      </c>
      <c r="BS102">
        <v>122.9</v>
      </c>
      <c r="BT102" s="88">
        <v>46147.666666666664</v>
      </c>
      <c r="BU102">
        <v>640.20000000000005</v>
      </c>
      <c r="BV102" s="88">
        <v>46147.666666666664</v>
      </c>
      <c r="BW102">
        <v>87.89</v>
      </c>
      <c r="BX102" s="88">
        <v>46147.666666666664</v>
      </c>
      <c r="BY102">
        <v>43.06</v>
      </c>
      <c r="BZ102" s="88">
        <v>46147.666666666664</v>
      </c>
      <c r="CA102">
        <v>18.8</v>
      </c>
      <c r="CB102" s="88">
        <v>46147.666666666664</v>
      </c>
      <c r="CC102">
        <v>196.5</v>
      </c>
      <c r="CD102" s="88">
        <v>46147.666666666664</v>
      </c>
      <c r="CE102">
        <v>44.87</v>
      </c>
      <c r="CF102" s="88">
        <v>46147.666666666664</v>
      </c>
      <c r="CG102">
        <v>68.38</v>
      </c>
      <c r="CH102" s="88">
        <v>46147.666666666664</v>
      </c>
      <c r="CI102">
        <v>9.33</v>
      </c>
      <c r="CJ102" s="88">
        <v>46147.666666666664</v>
      </c>
      <c r="CK102">
        <v>185.35</v>
      </c>
      <c r="CL102" s="88">
        <v>46147.666666666664</v>
      </c>
      <c r="CM102">
        <v>59.34</v>
      </c>
      <c r="CN102" s="88">
        <v>46147.666666666664</v>
      </c>
      <c r="CO102">
        <v>10.7</v>
      </c>
      <c r="CP102" s="88">
        <v>46147.666666666664</v>
      </c>
      <c r="CQ102">
        <v>37.130000000000003</v>
      </c>
      <c r="CR102" s="88">
        <v>46147.666666666664</v>
      </c>
      <c r="CS102">
        <v>135.91</v>
      </c>
      <c r="CT102" s="88">
        <v>46147.666666666664</v>
      </c>
      <c r="CU102">
        <v>9.2100000000000009</v>
      </c>
      <c r="CV102" s="88">
        <v>46147.666666666664</v>
      </c>
      <c r="CW102">
        <v>10.43</v>
      </c>
      <c r="CX102" s="88">
        <v>46147.666666666664</v>
      </c>
      <c r="CY102">
        <v>9.6999999999999993</v>
      </c>
      <c r="CZ102" s="88">
        <v>46147.666666666664</v>
      </c>
      <c r="DA102">
        <v>14.6</v>
      </c>
      <c r="DB102" s="88">
        <v>46147.666666666664</v>
      </c>
      <c r="DC102">
        <v>78.760000000000005</v>
      </c>
      <c r="DD102" s="88">
        <v>46147.666666666664</v>
      </c>
      <c r="DE102">
        <v>27.83</v>
      </c>
      <c r="DF102" s="88">
        <v>46147.666666666664</v>
      </c>
      <c r="DG102">
        <v>6.11</v>
      </c>
      <c r="DH102" s="88">
        <v>46147.666666666664</v>
      </c>
      <c r="DI102">
        <v>16.02</v>
      </c>
      <c r="DJ102" s="88">
        <v>46147.666666666664</v>
      </c>
      <c r="DK102">
        <v>723.77</v>
      </c>
      <c r="DL102" s="88">
        <v>46147.666666666664</v>
      </c>
      <c r="DM102">
        <v>389.37</v>
      </c>
      <c r="DN102" s="88">
        <v>46147.666666666664</v>
      </c>
      <c r="DO102">
        <v>19.13</v>
      </c>
      <c r="DP102" s="88">
        <v>46147.666666666664</v>
      </c>
      <c r="DQ102">
        <v>93.67</v>
      </c>
      <c r="DR102" s="88">
        <v>46147.666666666664</v>
      </c>
      <c r="DS102">
        <v>11.15</v>
      </c>
      <c r="DT102" s="88">
        <v>46147.666666666664</v>
      </c>
      <c r="DU102">
        <v>72.95</v>
      </c>
      <c r="DV102" s="88">
        <v>46147.666666666664</v>
      </c>
      <c r="DW102">
        <v>13.59</v>
      </c>
      <c r="DX102" s="88">
        <v>46147.666666666664</v>
      </c>
      <c r="DY102">
        <v>144.16999999999999</v>
      </c>
      <c r="DZ102" s="88">
        <v>46147.666666666664</v>
      </c>
      <c r="EA102">
        <v>137.79</v>
      </c>
      <c r="EB102" s="88">
        <v>46147.666666666664</v>
      </c>
      <c r="EC102">
        <v>13.02</v>
      </c>
      <c r="ED102" s="88">
        <v>46147.666666666664</v>
      </c>
      <c r="EE102">
        <v>6.61</v>
      </c>
      <c r="EF102" s="88">
        <v>46147.666666666664</v>
      </c>
      <c r="EG102">
        <v>109.1</v>
      </c>
    </row>
    <row r="103" spans="1:137">
      <c r="A103" s="6"/>
    </row>
  </sheetData>
  <mergeCells count="8">
    <mergeCell ref="A74:C74"/>
    <mergeCell ref="I22:J22"/>
    <mergeCell ref="I23:I30"/>
    <mergeCell ref="J23:R24"/>
    <mergeCell ref="J25:R30"/>
    <mergeCell ref="I31:I38"/>
    <mergeCell ref="J31:R32"/>
    <mergeCell ref="J33:R38"/>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58D54-581F-467C-9A94-639B8B48A1DA}">
  <sheetPr codeName="Sheet14"/>
  <dimension ref="A1:EH87"/>
  <sheetViews>
    <sheetView tabSelected="1" topLeftCell="A79" workbookViewId="0">
      <selection activeCell="A87" sqref="A87:C87"/>
    </sheetView>
  </sheetViews>
  <sheetFormatPr defaultRowHeight="15" customHeight="1"/>
  <cols>
    <col min="1" max="1" width="18.88671875" bestFit="1" customWidth="1"/>
    <col min="2" max="2" width="15.5546875" bestFit="1" customWidth="1"/>
    <col min="3" max="3" width="12.33203125" bestFit="1" customWidth="1"/>
    <col min="4" max="4" width="16" bestFit="1" customWidth="1"/>
    <col min="5" max="5" width="12.33203125" bestFit="1" customWidth="1"/>
    <col min="6" max="6" width="16.33203125" customWidth="1"/>
    <col min="7" max="7" width="15.109375" customWidth="1"/>
    <col min="8" max="8" width="15.5546875" bestFit="1" customWidth="1"/>
    <col min="10" max="10" width="15.5546875" bestFit="1" customWidth="1"/>
    <col min="12" max="12" width="15.5546875" bestFit="1" customWidth="1"/>
    <col min="14" max="14" width="15.5546875" bestFit="1" customWidth="1"/>
    <col min="16" max="16" width="15.5546875" bestFit="1" customWidth="1"/>
    <col min="18" max="18" width="15.5546875" bestFit="1" customWidth="1"/>
    <col min="20" max="20" width="15.5546875" bestFit="1" customWidth="1"/>
    <col min="22" max="22" width="15.5546875" bestFit="1" customWidth="1"/>
    <col min="24" max="24" width="15.5546875" bestFit="1" customWidth="1"/>
    <col min="26" max="26" width="15.5546875" bestFit="1" customWidth="1"/>
    <col min="28" max="28" width="15.5546875" bestFit="1" customWidth="1"/>
    <col min="30" max="30" width="15.5546875" bestFit="1" customWidth="1"/>
    <col min="32" max="32" width="15.5546875" bestFit="1" customWidth="1"/>
    <col min="34" max="34" width="15.5546875" bestFit="1" customWidth="1"/>
    <col min="36" max="36" width="15.5546875" bestFit="1" customWidth="1"/>
    <col min="38" max="38" width="15.5546875" bestFit="1" customWidth="1"/>
    <col min="40" max="40" width="15.5546875" bestFit="1" customWidth="1"/>
    <col min="42" max="42" width="15.5546875" bestFit="1" customWidth="1"/>
    <col min="44" max="44" width="15.5546875" bestFit="1" customWidth="1"/>
    <col min="46" max="46" width="15.5546875" bestFit="1" customWidth="1"/>
    <col min="48" max="48" width="15.5546875" bestFit="1" customWidth="1"/>
    <col min="50" max="50" width="15.5546875" bestFit="1" customWidth="1"/>
    <col min="52" max="52" width="15.5546875" bestFit="1" customWidth="1"/>
    <col min="54" max="54" width="15.5546875" bestFit="1" customWidth="1"/>
    <col min="56" max="56" width="15.5546875" bestFit="1" customWidth="1"/>
    <col min="58" max="58" width="15.5546875" bestFit="1" customWidth="1"/>
    <col min="60" max="60" width="15.5546875" bestFit="1" customWidth="1"/>
    <col min="62" max="62" width="15.5546875" bestFit="1" customWidth="1"/>
    <col min="64" max="64" width="15.5546875" bestFit="1" customWidth="1"/>
    <col min="66" max="66" width="15.5546875" bestFit="1" customWidth="1"/>
    <col min="68" max="68" width="15.5546875" bestFit="1" customWidth="1"/>
    <col min="70" max="70" width="15.5546875" bestFit="1" customWidth="1"/>
    <col min="72" max="72" width="15.5546875" bestFit="1" customWidth="1"/>
    <col min="74" max="74" width="15.5546875" bestFit="1" customWidth="1"/>
    <col min="76" max="76" width="15.5546875" bestFit="1" customWidth="1"/>
    <col min="78" max="78" width="15.5546875" bestFit="1" customWidth="1"/>
    <col min="80" max="80" width="15.5546875" bestFit="1" customWidth="1"/>
    <col min="82" max="82" width="15.5546875" bestFit="1" customWidth="1"/>
    <col min="84" max="84" width="15.5546875" bestFit="1" customWidth="1"/>
    <col min="86" max="86" width="15.5546875" bestFit="1" customWidth="1"/>
    <col min="88" max="88" width="15.5546875" bestFit="1" customWidth="1"/>
    <col min="90" max="90" width="15.5546875" bestFit="1" customWidth="1"/>
    <col min="92" max="92" width="15.5546875" bestFit="1" customWidth="1"/>
    <col min="94" max="94" width="15.5546875" bestFit="1" customWidth="1"/>
    <col min="96" max="96" width="15.5546875" bestFit="1" customWidth="1"/>
    <col min="98" max="98" width="15.5546875" bestFit="1" customWidth="1"/>
    <col min="100" max="100" width="15.5546875" bestFit="1" customWidth="1"/>
    <col min="102" max="102" width="15.5546875" bestFit="1" customWidth="1"/>
    <col min="104" max="104" width="15.5546875" bestFit="1" customWidth="1"/>
    <col min="106" max="106" width="15.5546875" bestFit="1" customWidth="1"/>
    <col min="108" max="108" width="15.5546875" bestFit="1" customWidth="1"/>
    <col min="110" max="110" width="15.5546875" bestFit="1" customWidth="1"/>
    <col min="112" max="112" width="15.5546875" bestFit="1" customWidth="1"/>
    <col min="114" max="114" width="15.5546875" bestFit="1" customWidth="1"/>
    <col min="116" max="116" width="15.5546875" bestFit="1" customWidth="1"/>
    <col min="118" max="118" width="15.5546875" bestFit="1" customWidth="1"/>
    <col min="120" max="120" width="15.5546875" bestFit="1" customWidth="1"/>
    <col min="122" max="122" width="15.5546875" bestFit="1" customWidth="1"/>
    <col min="124" max="124" width="15.5546875" bestFit="1" customWidth="1"/>
    <col min="126" max="126" width="15.5546875" bestFit="1" customWidth="1"/>
    <col min="128" max="128" width="15.5546875" bestFit="1" customWidth="1"/>
    <col min="130" max="130" width="15.5546875" bestFit="1" customWidth="1"/>
    <col min="132" max="132" width="15.5546875" bestFit="1" customWidth="1"/>
    <col min="134" max="134" width="15.5546875" bestFit="1" customWidth="1"/>
    <col min="136" max="136" width="15.5546875" bestFit="1" customWidth="1"/>
    <col min="138" max="138" width="12.33203125" bestFit="1" customWidth="1"/>
  </cols>
  <sheetData>
    <row r="1" spans="1:138">
      <c r="A1" s="89" t="s">
        <v>1798</v>
      </c>
      <c r="B1" t="s">
        <v>1777</v>
      </c>
      <c r="C1" t="s">
        <v>1777</v>
      </c>
      <c r="D1" t="s">
        <v>1964</v>
      </c>
      <c r="E1" t="s">
        <v>1964</v>
      </c>
      <c r="F1" t="s">
        <v>1970</v>
      </c>
      <c r="G1" t="s">
        <v>1970</v>
      </c>
      <c r="H1" t="s">
        <v>1778</v>
      </c>
      <c r="I1" t="s">
        <v>1778</v>
      </c>
      <c r="J1" t="s">
        <v>1953</v>
      </c>
      <c r="K1" t="s">
        <v>1953</v>
      </c>
      <c r="L1" t="s">
        <v>1938</v>
      </c>
      <c r="M1" t="s">
        <v>1938</v>
      </c>
      <c r="N1" t="s">
        <v>1973</v>
      </c>
      <c r="O1" t="s">
        <v>1973</v>
      </c>
      <c r="P1" t="s">
        <v>1783</v>
      </c>
      <c r="Q1" t="s">
        <v>1783</v>
      </c>
      <c r="R1" t="s">
        <v>1956</v>
      </c>
      <c r="S1" t="s">
        <v>1956</v>
      </c>
      <c r="T1" t="s">
        <v>1934</v>
      </c>
      <c r="U1" t="s">
        <v>1934</v>
      </c>
      <c r="V1" t="s">
        <v>1942</v>
      </c>
      <c r="W1" t="s">
        <v>1942</v>
      </c>
      <c r="X1" t="s">
        <v>1937</v>
      </c>
      <c r="Y1" t="s">
        <v>1937</v>
      </c>
      <c r="Z1" t="s">
        <v>1787</v>
      </c>
      <c r="AA1" t="s">
        <v>1787</v>
      </c>
      <c r="AB1" t="s">
        <v>1967</v>
      </c>
      <c r="AC1" t="s">
        <v>1967</v>
      </c>
      <c r="AD1" t="s">
        <v>1960</v>
      </c>
      <c r="AE1" t="s">
        <v>1960</v>
      </c>
      <c r="AF1" t="s">
        <v>1965</v>
      </c>
      <c r="AG1" t="s">
        <v>1965</v>
      </c>
      <c r="AH1" t="s">
        <v>1961</v>
      </c>
      <c r="AI1" t="s">
        <v>1961</v>
      </c>
      <c r="AJ1" t="s">
        <v>1931</v>
      </c>
      <c r="AK1" t="s">
        <v>1931</v>
      </c>
      <c r="AL1" t="s">
        <v>1924</v>
      </c>
      <c r="AM1" t="s">
        <v>1924</v>
      </c>
      <c r="AN1" t="s">
        <v>1780</v>
      </c>
      <c r="AO1" t="s">
        <v>1780</v>
      </c>
      <c r="AP1" t="s">
        <v>1969</v>
      </c>
      <c r="AQ1" t="s">
        <v>1969</v>
      </c>
      <c r="AR1" t="s">
        <v>1929</v>
      </c>
      <c r="AS1" t="s">
        <v>1929</v>
      </c>
      <c r="AT1" t="s">
        <v>1921</v>
      </c>
      <c r="AU1" t="s">
        <v>1921</v>
      </c>
      <c r="AV1" t="s">
        <v>1959</v>
      </c>
      <c r="AW1" t="s">
        <v>1959</v>
      </c>
      <c r="AX1" t="s">
        <v>1933</v>
      </c>
      <c r="AY1" t="s">
        <v>1933</v>
      </c>
      <c r="AZ1" t="s">
        <v>1939</v>
      </c>
      <c r="BA1" t="s">
        <v>1939</v>
      </c>
      <c r="BB1" t="s">
        <v>1927</v>
      </c>
      <c r="BC1" t="s">
        <v>1927</v>
      </c>
      <c r="BD1" t="s">
        <v>1958</v>
      </c>
      <c r="BE1" t="s">
        <v>1958</v>
      </c>
      <c r="BF1" t="s">
        <v>1955</v>
      </c>
      <c r="BG1" t="s">
        <v>1955</v>
      </c>
      <c r="BH1" t="s">
        <v>1935</v>
      </c>
      <c r="BI1" t="s">
        <v>1935</v>
      </c>
      <c r="BJ1" t="s">
        <v>1932</v>
      </c>
      <c r="BK1" t="s">
        <v>1932</v>
      </c>
      <c r="BL1" t="s">
        <v>1811</v>
      </c>
      <c r="BM1" t="s">
        <v>1811</v>
      </c>
      <c r="BN1" t="s">
        <v>1949</v>
      </c>
      <c r="BO1" t="s">
        <v>1949</v>
      </c>
      <c r="BP1" t="s">
        <v>1779</v>
      </c>
      <c r="BQ1" t="s">
        <v>1779</v>
      </c>
      <c r="BR1" t="s">
        <v>1928</v>
      </c>
      <c r="BS1" t="s">
        <v>1928</v>
      </c>
      <c r="BT1" t="s">
        <v>1782</v>
      </c>
      <c r="BU1" t="s">
        <v>1782</v>
      </c>
      <c r="BV1" t="s">
        <v>1797</v>
      </c>
      <c r="BW1" t="s">
        <v>1797</v>
      </c>
      <c r="BX1" t="s">
        <v>1950</v>
      </c>
      <c r="BY1" t="s">
        <v>1950</v>
      </c>
      <c r="BZ1" t="s">
        <v>1971</v>
      </c>
      <c r="CA1" t="s">
        <v>1971</v>
      </c>
      <c r="CB1" t="s">
        <v>1774</v>
      </c>
      <c r="CC1" t="s">
        <v>1774</v>
      </c>
      <c r="CD1" t="s">
        <v>1789</v>
      </c>
      <c r="CE1" t="s">
        <v>1789</v>
      </c>
      <c r="CF1" t="s">
        <v>1786</v>
      </c>
      <c r="CG1" t="s">
        <v>1786</v>
      </c>
      <c r="CH1" t="s">
        <v>1952</v>
      </c>
      <c r="CI1" t="s">
        <v>1952</v>
      </c>
      <c r="CJ1" t="s">
        <v>1972</v>
      </c>
      <c r="CK1" t="s">
        <v>1972</v>
      </c>
      <c r="CL1" t="s">
        <v>1968</v>
      </c>
      <c r="CM1" t="s">
        <v>1968</v>
      </c>
      <c r="CN1" t="s">
        <v>1951</v>
      </c>
      <c r="CO1" t="s">
        <v>1951</v>
      </c>
      <c r="CP1" t="s">
        <v>1925</v>
      </c>
      <c r="CQ1" t="s">
        <v>1925</v>
      </c>
      <c r="CR1" t="s">
        <v>1781</v>
      </c>
      <c r="CS1" t="s">
        <v>1781</v>
      </c>
      <c r="CT1" t="s">
        <v>1945</v>
      </c>
      <c r="CU1" t="s">
        <v>1945</v>
      </c>
      <c r="CV1" t="s">
        <v>1930</v>
      </c>
      <c r="CW1" t="s">
        <v>1930</v>
      </c>
      <c r="CX1" t="s">
        <v>1963</v>
      </c>
      <c r="CY1" t="s">
        <v>1963</v>
      </c>
      <c r="CZ1" t="s">
        <v>1923</v>
      </c>
      <c r="DA1" t="s">
        <v>1923</v>
      </c>
      <c r="DB1" t="s">
        <v>1785</v>
      </c>
      <c r="DC1" t="s">
        <v>1785</v>
      </c>
      <c r="DD1" t="s">
        <v>1944</v>
      </c>
      <c r="DE1" t="s">
        <v>1944</v>
      </c>
      <c r="DF1" t="s">
        <v>1796</v>
      </c>
      <c r="DG1" t="s">
        <v>1796</v>
      </c>
      <c r="DH1" t="s">
        <v>1790</v>
      </c>
      <c r="DI1" t="s">
        <v>1790</v>
      </c>
      <c r="DJ1" t="s">
        <v>1775</v>
      </c>
      <c r="DK1" t="s">
        <v>1775</v>
      </c>
      <c r="DL1" t="s">
        <v>1776</v>
      </c>
      <c r="DM1" t="s">
        <v>1776</v>
      </c>
      <c r="DN1" t="s">
        <v>1936</v>
      </c>
      <c r="DO1" t="s">
        <v>1936</v>
      </c>
      <c r="DP1" t="s">
        <v>1791</v>
      </c>
      <c r="DQ1" t="s">
        <v>1791</v>
      </c>
      <c r="DR1" t="s">
        <v>1957</v>
      </c>
      <c r="DS1" t="s">
        <v>1957</v>
      </c>
      <c r="DT1" t="s">
        <v>1784</v>
      </c>
      <c r="DU1" t="s">
        <v>1784</v>
      </c>
      <c r="DV1" t="s">
        <v>1962</v>
      </c>
      <c r="DW1" t="s">
        <v>1962</v>
      </c>
      <c r="DX1" t="s">
        <v>1795</v>
      </c>
      <c r="DY1" t="s">
        <v>1795</v>
      </c>
      <c r="DZ1" t="s">
        <v>1954</v>
      </c>
      <c r="EA1" t="s">
        <v>1954</v>
      </c>
      <c r="EB1" t="s">
        <v>1946</v>
      </c>
      <c r="EC1" t="s">
        <v>1946</v>
      </c>
      <c r="ED1" t="s">
        <v>1966</v>
      </c>
      <c r="EE1" t="s">
        <v>1966</v>
      </c>
      <c r="EF1" t="s">
        <v>1926</v>
      </c>
      <c r="EG1" t="s">
        <v>1926</v>
      </c>
      <c r="EH1" t="s">
        <v>1799</v>
      </c>
    </row>
    <row r="2" spans="1:138">
      <c r="A2" s="89" t="s">
        <v>1917</v>
      </c>
      <c r="B2">
        <v>0</v>
      </c>
      <c r="D2">
        <v>0</v>
      </c>
      <c r="F2">
        <v>-1</v>
      </c>
      <c r="H2">
        <v>0.1</v>
      </c>
      <c r="J2">
        <v>0.33333333300000001</v>
      </c>
      <c r="L2">
        <v>1</v>
      </c>
      <c r="N2">
        <v>-1</v>
      </c>
      <c r="P2">
        <v>0</v>
      </c>
      <c r="R2">
        <v>0</v>
      </c>
      <c r="T2">
        <v>1</v>
      </c>
      <c r="V2">
        <v>1</v>
      </c>
      <c r="X2">
        <v>1</v>
      </c>
      <c r="Z2">
        <v>-1</v>
      </c>
      <c r="AB2">
        <v>0</v>
      </c>
      <c r="AD2">
        <v>0</v>
      </c>
      <c r="AF2">
        <v>0</v>
      </c>
      <c r="AH2">
        <v>0</v>
      </c>
      <c r="AJ2">
        <v>1</v>
      </c>
      <c r="AL2">
        <v>1</v>
      </c>
      <c r="AN2">
        <v>7.6923077000000006E-2</v>
      </c>
      <c r="AP2">
        <v>-0.5</v>
      </c>
      <c r="AR2">
        <v>1</v>
      </c>
      <c r="AT2">
        <v>1</v>
      </c>
      <c r="AV2">
        <v>0</v>
      </c>
      <c r="AX2">
        <v>1</v>
      </c>
      <c r="AZ2">
        <v>1</v>
      </c>
      <c r="BB2">
        <v>1</v>
      </c>
      <c r="BD2">
        <v>0</v>
      </c>
      <c r="BF2">
        <v>0</v>
      </c>
      <c r="BH2">
        <v>1</v>
      </c>
      <c r="BJ2">
        <v>1</v>
      </c>
      <c r="BL2">
        <v>0.66666666699999999</v>
      </c>
      <c r="BN2">
        <v>0.33333333300000001</v>
      </c>
      <c r="BP2">
        <v>0.21739130400000001</v>
      </c>
      <c r="BR2">
        <v>1</v>
      </c>
      <c r="BT2">
        <v>0.31818181800000001</v>
      </c>
      <c r="BV2">
        <v>0</v>
      </c>
      <c r="BX2">
        <v>0.14285714299999999</v>
      </c>
      <c r="BZ2">
        <v>-1</v>
      </c>
      <c r="CB2">
        <v>0.111111111</v>
      </c>
      <c r="CD2">
        <v>-0.5</v>
      </c>
      <c r="CF2">
        <v>0.5</v>
      </c>
      <c r="CH2">
        <v>0.2</v>
      </c>
      <c r="CJ2">
        <v>-1</v>
      </c>
      <c r="CL2">
        <v>-0.5</v>
      </c>
      <c r="CN2">
        <v>0.5</v>
      </c>
      <c r="CP2">
        <v>1</v>
      </c>
      <c r="CR2">
        <v>0.5</v>
      </c>
      <c r="CT2">
        <v>0.5</v>
      </c>
      <c r="CV2">
        <v>1</v>
      </c>
      <c r="CX2">
        <v>0</v>
      </c>
      <c r="CZ2">
        <v>1</v>
      </c>
      <c r="DB2">
        <v>0.33333333300000001</v>
      </c>
      <c r="DD2">
        <v>0.33333333300000001</v>
      </c>
      <c r="DF2">
        <v>-0.25</v>
      </c>
      <c r="DH2">
        <v>0</v>
      </c>
      <c r="DJ2">
        <v>-0.30769230800000003</v>
      </c>
      <c r="DL2">
        <v>-0.77777777800000003</v>
      </c>
      <c r="DN2">
        <v>1</v>
      </c>
      <c r="DP2">
        <v>-1</v>
      </c>
      <c r="DR2">
        <v>0</v>
      </c>
      <c r="DT2">
        <v>-1</v>
      </c>
      <c r="DV2">
        <v>0</v>
      </c>
      <c r="DX2">
        <v>0.428571429</v>
      </c>
      <c r="DZ2">
        <v>-9.0909090999999997E-2</v>
      </c>
      <c r="EB2">
        <v>0.5</v>
      </c>
      <c r="ED2">
        <v>-0.33333333300000001</v>
      </c>
      <c r="EF2">
        <v>1</v>
      </c>
      <c r="EH2">
        <v>0.109848485</v>
      </c>
    </row>
    <row r="3" spans="1:138">
      <c r="A3" s="89" t="s">
        <v>1918</v>
      </c>
      <c r="B3">
        <v>168</v>
      </c>
      <c r="D3">
        <v>2</v>
      </c>
      <c r="F3">
        <v>276</v>
      </c>
      <c r="H3">
        <v>1777</v>
      </c>
      <c r="J3">
        <v>23</v>
      </c>
      <c r="L3">
        <v>2</v>
      </c>
      <c r="N3">
        <v>19</v>
      </c>
      <c r="P3">
        <v>520</v>
      </c>
      <c r="R3">
        <v>61</v>
      </c>
      <c r="T3">
        <v>9</v>
      </c>
      <c r="V3">
        <v>1</v>
      </c>
      <c r="X3">
        <v>3</v>
      </c>
      <c r="Z3">
        <v>11686</v>
      </c>
      <c r="AB3">
        <v>0</v>
      </c>
      <c r="AD3">
        <v>4</v>
      </c>
      <c r="AF3">
        <v>1</v>
      </c>
      <c r="AH3">
        <v>4</v>
      </c>
      <c r="AJ3">
        <v>37</v>
      </c>
      <c r="AL3">
        <v>196</v>
      </c>
      <c r="AN3">
        <v>3076</v>
      </c>
      <c r="AP3">
        <v>11</v>
      </c>
      <c r="AR3">
        <v>41</v>
      </c>
      <c r="AT3">
        <v>2589</v>
      </c>
      <c r="AV3">
        <v>7</v>
      </c>
      <c r="AX3">
        <v>11</v>
      </c>
      <c r="AZ3">
        <v>2</v>
      </c>
      <c r="BB3">
        <v>68</v>
      </c>
      <c r="BD3">
        <v>8</v>
      </c>
      <c r="BF3">
        <v>74</v>
      </c>
      <c r="BH3">
        <v>5</v>
      </c>
      <c r="BJ3">
        <v>15</v>
      </c>
      <c r="BL3">
        <v>120</v>
      </c>
      <c r="BN3">
        <v>90</v>
      </c>
      <c r="BP3">
        <v>15358</v>
      </c>
      <c r="BR3">
        <v>65</v>
      </c>
      <c r="BT3">
        <v>10002</v>
      </c>
      <c r="BV3">
        <v>4979</v>
      </c>
      <c r="BX3">
        <v>600</v>
      </c>
      <c r="BZ3">
        <v>49</v>
      </c>
      <c r="CB3">
        <v>1062</v>
      </c>
      <c r="CD3">
        <v>1023</v>
      </c>
      <c r="CF3">
        <v>48</v>
      </c>
      <c r="CH3">
        <v>123</v>
      </c>
      <c r="CJ3">
        <v>37</v>
      </c>
      <c r="CL3">
        <v>18</v>
      </c>
      <c r="CN3">
        <v>7</v>
      </c>
      <c r="CP3">
        <v>150</v>
      </c>
      <c r="CR3">
        <v>2370</v>
      </c>
      <c r="CT3">
        <v>76</v>
      </c>
      <c r="CV3">
        <v>39</v>
      </c>
      <c r="CX3">
        <v>3</v>
      </c>
      <c r="CZ3">
        <v>209</v>
      </c>
      <c r="DB3">
        <v>117</v>
      </c>
      <c r="DD3">
        <v>1232</v>
      </c>
      <c r="DF3">
        <v>44</v>
      </c>
      <c r="DH3">
        <v>561</v>
      </c>
      <c r="DJ3">
        <v>5961</v>
      </c>
      <c r="DL3">
        <v>1258</v>
      </c>
      <c r="DN3">
        <v>5</v>
      </c>
      <c r="DP3">
        <v>7206</v>
      </c>
      <c r="DR3">
        <v>10</v>
      </c>
      <c r="DT3">
        <v>47</v>
      </c>
      <c r="DV3">
        <v>3</v>
      </c>
      <c r="DX3">
        <v>267</v>
      </c>
      <c r="DZ3">
        <v>469</v>
      </c>
      <c r="EB3">
        <v>31</v>
      </c>
      <c r="ED3">
        <v>64</v>
      </c>
      <c r="EF3">
        <v>133</v>
      </c>
      <c r="EH3">
        <v>74532</v>
      </c>
    </row>
    <row r="4" spans="1:138">
      <c r="A4" s="89" t="s">
        <v>1919</v>
      </c>
      <c r="B4">
        <v>2.2278867000000001E-2</v>
      </c>
      <c r="D4">
        <v>4.7712129999999998E-3</v>
      </c>
      <c r="F4">
        <v>-2.5575201999999998E-2</v>
      </c>
      <c r="H4">
        <v>3.7499317999999997E-2</v>
      </c>
      <c r="J4">
        <v>3.0468779000000001E-2</v>
      </c>
      <c r="L4">
        <v>5.4771212999999999E-2</v>
      </c>
      <c r="N4">
        <v>-3.69897E-2</v>
      </c>
      <c r="P4">
        <v>2.7168377E-2</v>
      </c>
      <c r="R4">
        <v>1.7923917000000001E-2</v>
      </c>
      <c r="T4">
        <v>0.06</v>
      </c>
      <c r="V4">
        <v>5.3010300000000003E-2</v>
      </c>
      <c r="X4">
        <v>5.6020599999999997E-2</v>
      </c>
      <c r="Z4">
        <v>-9.3229699999999999E-3</v>
      </c>
      <c r="AB4">
        <v>0</v>
      </c>
      <c r="AD4">
        <v>6.9896999999999997E-3</v>
      </c>
      <c r="AF4">
        <v>3.0103E-3</v>
      </c>
      <c r="AH4">
        <v>6.9896999999999997E-3</v>
      </c>
      <c r="AJ4">
        <v>6.5797835999999998E-2</v>
      </c>
      <c r="AL4">
        <v>7.2944661999999993E-2</v>
      </c>
      <c r="AN4">
        <v>3.8727429000000001E-2</v>
      </c>
      <c r="AP4">
        <v>-1.4208188E-2</v>
      </c>
      <c r="AR4">
        <v>6.6232493000000003E-2</v>
      </c>
      <c r="AT4">
        <v>8.4132998000000001E-2</v>
      </c>
      <c r="AV4">
        <v>9.0308999999999997E-3</v>
      </c>
      <c r="AX4">
        <v>6.0791812000000001E-2</v>
      </c>
      <c r="AZ4">
        <v>5.4771212999999999E-2</v>
      </c>
      <c r="BB4">
        <v>6.8388490999999996E-2</v>
      </c>
      <c r="BD4">
        <v>9.5424250000000002E-3</v>
      </c>
      <c r="BF4">
        <v>1.8750612999999999E-2</v>
      </c>
      <c r="BH4">
        <v>5.7781513E-2</v>
      </c>
      <c r="BJ4">
        <v>6.2041199999999998E-2</v>
      </c>
      <c r="BL4">
        <v>5.4161187E-2</v>
      </c>
      <c r="BN4">
        <v>3.6257080999999997E-2</v>
      </c>
      <c r="BP4">
        <v>5.2733194999999997E-2</v>
      </c>
      <c r="BR4">
        <v>6.8195438999999997E-2</v>
      </c>
      <c r="BT4">
        <v>5.5910394000000002E-2</v>
      </c>
      <c r="BV4">
        <v>3.6972293000000003E-2</v>
      </c>
      <c r="BX4">
        <v>3.4931601999999999E-2</v>
      </c>
      <c r="BZ4">
        <v>-3.3010299999999999E-2</v>
      </c>
      <c r="CB4">
        <v>3.5820888000000002E-2</v>
      </c>
      <c r="CD4">
        <v>5.1029999999999999E-3</v>
      </c>
      <c r="CF4">
        <v>4.1901961000000001E-2</v>
      </c>
      <c r="CH4">
        <v>3.0934217E-2</v>
      </c>
      <c r="CJ4">
        <v>-3.4202164E-2</v>
      </c>
      <c r="CL4">
        <v>-1.2212463999999999E-2</v>
      </c>
      <c r="CN4">
        <v>3.4030900000000003E-2</v>
      </c>
      <c r="CP4">
        <v>7.1789769000000003E-2</v>
      </c>
      <c r="CR4">
        <v>5.8749316000000003E-2</v>
      </c>
      <c r="CT4">
        <v>4.3864907000000002E-2</v>
      </c>
      <c r="CV4">
        <v>6.6020599999999999E-2</v>
      </c>
      <c r="CX4">
        <v>6.0206000000000001E-3</v>
      </c>
      <c r="CZ4">
        <v>7.3222193000000005E-2</v>
      </c>
      <c r="DB4">
        <v>3.7385487000000002E-2</v>
      </c>
      <c r="DD4">
        <v>4.7576296999999997E-2</v>
      </c>
      <c r="DF4">
        <v>4.0321250000000001E-3</v>
      </c>
      <c r="DH4">
        <v>2.7497363E-2</v>
      </c>
      <c r="DJ4">
        <v>2.2369304E-2</v>
      </c>
      <c r="DL4">
        <v>-7.8886319999999996E-3</v>
      </c>
      <c r="DN4">
        <v>5.7781513E-2</v>
      </c>
      <c r="DP4">
        <v>-1.1422455E-2</v>
      </c>
      <c r="DR4">
        <v>1.0413927E-2</v>
      </c>
      <c r="DT4">
        <v>-3.3187587999999997E-2</v>
      </c>
      <c r="DV4">
        <v>6.0206000000000001E-3</v>
      </c>
      <c r="DX4">
        <v>4.5709919000000002E-2</v>
      </c>
      <c r="DZ4">
        <v>2.2175523999999999E-2</v>
      </c>
      <c r="EB4">
        <v>4.0051499999999997E-2</v>
      </c>
      <c r="ED4">
        <v>1.4624670000000001E-3</v>
      </c>
      <c r="EF4">
        <v>7.1271048000000004E-2</v>
      </c>
      <c r="EH4">
        <v>5.4215909999999999E-2</v>
      </c>
    </row>
    <row r="6" spans="1:138">
      <c r="A6" s="89" t="s">
        <v>1975</v>
      </c>
      <c r="B6" t="s">
        <v>1822</v>
      </c>
      <c r="C6" t="s">
        <v>1976</v>
      </c>
      <c r="D6" t="s">
        <v>1822</v>
      </c>
      <c r="E6" t="s">
        <v>1976</v>
      </c>
      <c r="F6" t="s">
        <v>1822</v>
      </c>
      <c r="G6" t="s">
        <v>1976</v>
      </c>
      <c r="H6" t="s">
        <v>1822</v>
      </c>
      <c r="I6" t="s">
        <v>1976</v>
      </c>
      <c r="J6" t="s">
        <v>1822</v>
      </c>
      <c r="K6" t="s">
        <v>1976</v>
      </c>
      <c r="L6" t="s">
        <v>1822</v>
      </c>
      <c r="M6" t="s">
        <v>1976</v>
      </c>
      <c r="N6" t="s">
        <v>1822</v>
      </c>
      <c r="O6" t="s">
        <v>1976</v>
      </c>
      <c r="P6" t="s">
        <v>1822</v>
      </c>
      <c r="Q6" t="s">
        <v>1976</v>
      </c>
      <c r="R6" t="s">
        <v>1822</v>
      </c>
      <c r="S6" t="s">
        <v>1976</v>
      </c>
      <c r="T6" t="s">
        <v>1822</v>
      </c>
      <c r="U6" t="s">
        <v>1976</v>
      </c>
      <c r="V6" t="s">
        <v>1822</v>
      </c>
      <c r="W6" t="s">
        <v>1976</v>
      </c>
      <c r="X6" t="s">
        <v>1822</v>
      </c>
      <c r="Y6" t="s">
        <v>1976</v>
      </c>
      <c r="Z6" t="s">
        <v>1822</v>
      </c>
      <c r="AA6" t="s">
        <v>1976</v>
      </c>
      <c r="AB6" t="s">
        <v>1822</v>
      </c>
      <c r="AC6" t="s">
        <v>1976</v>
      </c>
      <c r="AD6" t="s">
        <v>1822</v>
      </c>
      <c r="AE6" t="s">
        <v>1976</v>
      </c>
      <c r="AF6" t="s">
        <v>1822</v>
      </c>
      <c r="AG6" t="s">
        <v>1976</v>
      </c>
      <c r="AH6" t="s">
        <v>1822</v>
      </c>
      <c r="AI6" t="s">
        <v>1976</v>
      </c>
      <c r="AJ6" t="s">
        <v>1822</v>
      </c>
      <c r="AK6" t="s">
        <v>1976</v>
      </c>
      <c r="AL6" t="s">
        <v>1822</v>
      </c>
      <c r="AM6" t="s">
        <v>1976</v>
      </c>
      <c r="AN6" t="s">
        <v>1822</v>
      </c>
      <c r="AO6" t="s">
        <v>1976</v>
      </c>
      <c r="AP6" t="s">
        <v>1822</v>
      </c>
      <c r="AQ6" t="s">
        <v>1976</v>
      </c>
      <c r="AR6" t="s">
        <v>1822</v>
      </c>
      <c r="AS6" t="s">
        <v>1976</v>
      </c>
      <c r="AT6" t="s">
        <v>1822</v>
      </c>
      <c r="AU6" t="s">
        <v>1976</v>
      </c>
      <c r="AV6" t="s">
        <v>1822</v>
      </c>
      <c r="AW6" t="s">
        <v>1976</v>
      </c>
      <c r="AX6" t="s">
        <v>1822</v>
      </c>
      <c r="AY6" t="s">
        <v>1976</v>
      </c>
      <c r="AZ6" t="s">
        <v>1822</v>
      </c>
      <c r="BA6" t="s">
        <v>1976</v>
      </c>
      <c r="BB6" t="s">
        <v>1822</v>
      </c>
      <c r="BC6" t="s">
        <v>1976</v>
      </c>
      <c r="BD6" t="s">
        <v>1822</v>
      </c>
      <c r="BE6" t="s">
        <v>1976</v>
      </c>
      <c r="BF6" t="s">
        <v>1822</v>
      </c>
      <c r="BG6" t="s">
        <v>1976</v>
      </c>
      <c r="BH6" t="s">
        <v>1822</v>
      </c>
      <c r="BI6" t="s">
        <v>1976</v>
      </c>
      <c r="BJ6" t="s">
        <v>1822</v>
      </c>
      <c r="BK6" t="s">
        <v>1976</v>
      </c>
      <c r="BL6" t="s">
        <v>1822</v>
      </c>
      <c r="BM6" t="s">
        <v>1976</v>
      </c>
      <c r="BN6" t="s">
        <v>1822</v>
      </c>
      <c r="BO6" t="s">
        <v>1976</v>
      </c>
      <c r="BP6" t="s">
        <v>1822</v>
      </c>
      <c r="BQ6" t="s">
        <v>1976</v>
      </c>
      <c r="BR6" t="s">
        <v>1822</v>
      </c>
      <c r="BS6" t="s">
        <v>1976</v>
      </c>
      <c r="BT6" t="s">
        <v>1822</v>
      </c>
      <c r="BU6" t="s">
        <v>1976</v>
      </c>
      <c r="BV6" t="s">
        <v>1822</v>
      </c>
      <c r="BW6" t="s">
        <v>1976</v>
      </c>
      <c r="BX6" t="s">
        <v>1822</v>
      </c>
      <c r="BY6" t="s">
        <v>1976</v>
      </c>
      <c r="BZ6" t="s">
        <v>1822</v>
      </c>
      <c r="CA6" t="s">
        <v>1976</v>
      </c>
      <c r="CB6" t="s">
        <v>1822</v>
      </c>
      <c r="CC6" t="s">
        <v>1976</v>
      </c>
      <c r="CD6" t="s">
        <v>1822</v>
      </c>
      <c r="CE6" t="s">
        <v>1976</v>
      </c>
      <c r="CF6" t="s">
        <v>1822</v>
      </c>
      <c r="CG6" t="s">
        <v>1976</v>
      </c>
      <c r="CH6" t="s">
        <v>1822</v>
      </c>
      <c r="CI6" t="s">
        <v>1976</v>
      </c>
      <c r="CJ6" t="s">
        <v>1822</v>
      </c>
      <c r="CK6" t="s">
        <v>1976</v>
      </c>
      <c r="CL6" t="s">
        <v>1822</v>
      </c>
      <c r="CM6" t="s">
        <v>1976</v>
      </c>
      <c r="CN6" t="s">
        <v>1822</v>
      </c>
      <c r="CO6" t="s">
        <v>1976</v>
      </c>
      <c r="CP6" t="s">
        <v>1822</v>
      </c>
      <c r="CQ6" t="s">
        <v>1976</v>
      </c>
      <c r="CR6" t="s">
        <v>1822</v>
      </c>
      <c r="CS6" t="s">
        <v>1976</v>
      </c>
      <c r="CT6" t="s">
        <v>1822</v>
      </c>
      <c r="CU6" t="s">
        <v>1976</v>
      </c>
      <c r="CV6" t="s">
        <v>1822</v>
      </c>
      <c r="CW6" t="s">
        <v>1976</v>
      </c>
      <c r="CX6" t="s">
        <v>1822</v>
      </c>
      <c r="CY6" t="s">
        <v>1976</v>
      </c>
      <c r="CZ6" t="s">
        <v>1822</v>
      </c>
      <c r="DA6" t="s">
        <v>1976</v>
      </c>
      <c r="DB6" t="s">
        <v>1822</v>
      </c>
      <c r="DC6" t="s">
        <v>1976</v>
      </c>
      <c r="DD6" t="s">
        <v>1822</v>
      </c>
      <c r="DE6" t="s">
        <v>1976</v>
      </c>
      <c r="DF6" t="s">
        <v>1822</v>
      </c>
      <c r="DG6" t="s">
        <v>1976</v>
      </c>
      <c r="DH6" t="s">
        <v>1822</v>
      </c>
      <c r="DI6" t="s">
        <v>1976</v>
      </c>
      <c r="DJ6" t="s">
        <v>1822</v>
      </c>
      <c r="DK6" t="s">
        <v>1976</v>
      </c>
      <c r="DL6" t="s">
        <v>1822</v>
      </c>
      <c r="DM6" t="s">
        <v>1976</v>
      </c>
      <c r="DN6" t="s">
        <v>1822</v>
      </c>
      <c r="DO6" t="s">
        <v>1976</v>
      </c>
      <c r="DP6" t="s">
        <v>1822</v>
      </c>
      <c r="DQ6" t="s">
        <v>1976</v>
      </c>
      <c r="DR6" t="s">
        <v>1822</v>
      </c>
      <c r="DS6" t="s">
        <v>1976</v>
      </c>
      <c r="DT6" t="s">
        <v>1822</v>
      </c>
      <c r="DU6" t="s">
        <v>1976</v>
      </c>
      <c r="DV6" t="s">
        <v>1822</v>
      </c>
      <c r="DW6" t="s">
        <v>1976</v>
      </c>
      <c r="DX6" t="s">
        <v>1822</v>
      </c>
      <c r="DY6" t="s">
        <v>1976</v>
      </c>
      <c r="DZ6" t="s">
        <v>1822</v>
      </c>
      <c r="EA6" t="s">
        <v>1976</v>
      </c>
      <c r="EB6" t="s">
        <v>1822</v>
      </c>
      <c r="EC6" t="s">
        <v>1976</v>
      </c>
      <c r="ED6" t="s">
        <v>1822</v>
      </c>
      <c r="EE6" t="s">
        <v>1976</v>
      </c>
      <c r="EF6" t="s">
        <v>1822</v>
      </c>
      <c r="EG6" t="s">
        <v>1976</v>
      </c>
    </row>
    <row r="7" spans="1:138">
      <c r="B7" s="88">
        <v>46118.666666666664</v>
      </c>
      <c r="C7">
        <v>258.86</v>
      </c>
      <c r="D7" s="88">
        <v>46118.666666666664</v>
      </c>
      <c r="E7">
        <v>244.36</v>
      </c>
      <c r="F7" s="88">
        <v>46118.666666666664</v>
      </c>
      <c r="G7">
        <v>37.979999999999997</v>
      </c>
      <c r="H7" s="88">
        <v>46118.666666666664</v>
      </c>
      <c r="I7">
        <v>212.79</v>
      </c>
      <c r="J7" s="88">
        <v>46118.666666666664</v>
      </c>
      <c r="K7">
        <v>94.81</v>
      </c>
      <c r="L7" s="88">
        <v>46118.666666666664</v>
      </c>
      <c r="M7">
        <v>17.48</v>
      </c>
      <c r="N7" s="88">
        <v>46118.666666666664</v>
      </c>
      <c r="O7">
        <v>314.43</v>
      </c>
      <c r="P7" s="88">
        <v>46118.666666666664</v>
      </c>
      <c r="Q7">
        <v>122.31</v>
      </c>
      <c r="R7" s="88">
        <v>46118.666666666664</v>
      </c>
      <c r="S7">
        <v>20.6</v>
      </c>
      <c r="T7" s="88">
        <v>46118.666666666664</v>
      </c>
      <c r="U7">
        <v>33.03</v>
      </c>
      <c r="V7" s="88">
        <v>46118.666666666664</v>
      </c>
      <c r="W7">
        <v>1.0900000000000001</v>
      </c>
      <c r="X7" s="88">
        <v>46118.666666666664</v>
      </c>
      <c r="Y7">
        <v>8.5299999999999994</v>
      </c>
      <c r="Z7" s="88">
        <v>46118.666666666664</v>
      </c>
      <c r="AA7">
        <v>96.28</v>
      </c>
      <c r="AB7" s="88">
        <v>46118.666666666664</v>
      </c>
      <c r="AC7">
        <v>199.66</v>
      </c>
      <c r="AD7" s="88">
        <v>46118.666666666664</v>
      </c>
      <c r="AE7">
        <v>111.09</v>
      </c>
      <c r="AF7" s="88">
        <v>46118.666666666664</v>
      </c>
      <c r="AG7">
        <v>26.47</v>
      </c>
      <c r="AH7" s="88">
        <v>46118.666666666664</v>
      </c>
      <c r="AI7">
        <v>923.68</v>
      </c>
      <c r="AJ7" s="88">
        <v>46118.666666666664</v>
      </c>
      <c r="AK7">
        <v>21.42</v>
      </c>
      <c r="AL7" s="88">
        <v>46118.666666666664</v>
      </c>
      <c r="AM7">
        <v>34.85</v>
      </c>
      <c r="AN7" s="88">
        <v>46118.666666666664</v>
      </c>
      <c r="AO7">
        <v>299.99</v>
      </c>
      <c r="AP7" s="88">
        <v>46118.666666666664</v>
      </c>
      <c r="AQ7">
        <v>866.05</v>
      </c>
      <c r="AR7" s="88">
        <v>46118.666666666664</v>
      </c>
      <c r="AS7">
        <v>326.64999999999998</v>
      </c>
      <c r="AT7" s="88">
        <v>46118.666666666664</v>
      </c>
      <c r="AU7">
        <v>69.78</v>
      </c>
      <c r="AV7" s="88">
        <v>46118.666666666664</v>
      </c>
      <c r="AW7">
        <v>26.89</v>
      </c>
      <c r="AX7" s="88">
        <v>46118.666666666664</v>
      </c>
      <c r="AY7">
        <v>35.130000000000003</v>
      </c>
      <c r="AZ7" s="88">
        <v>46118.666666666664</v>
      </c>
      <c r="BA7">
        <v>9.7200000000000006</v>
      </c>
      <c r="BB7" s="88">
        <v>46118.666666666664</v>
      </c>
      <c r="BC7">
        <v>772.28</v>
      </c>
      <c r="BD7" s="88">
        <v>46118.666666666664</v>
      </c>
      <c r="BE7">
        <v>156.18</v>
      </c>
      <c r="BF7" s="88">
        <v>46118.666666666664</v>
      </c>
      <c r="BG7">
        <v>22.92</v>
      </c>
      <c r="BH7" s="88">
        <v>46118.666666666664</v>
      </c>
      <c r="BI7">
        <v>160.12</v>
      </c>
      <c r="BJ7" s="88">
        <v>46118.666666666664</v>
      </c>
      <c r="BK7">
        <v>5.9</v>
      </c>
      <c r="BL7" s="88">
        <v>46118.666666666664</v>
      </c>
      <c r="BM7">
        <v>573.02</v>
      </c>
      <c r="BN7" s="88">
        <v>46118.666666666664</v>
      </c>
      <c r="BO7">
        <v>26.51</v>
      </c>
      <c r="BP7" s="88">
        <v>46118.666666666664</v>
      </c>
      <c r="BQ7">
        <v>372.88</v>
      </c>
      <c r="BR7" s="88">
        <v>46118.666666666664</v>
      </c>
      <c r="BS7">
        <v>129.63</v>
      </c>
      <c r="BT7" s="88">
        <v>46118.666666666664</v>
      </c>
      <c r="BU7">
        <v>377.76</v>
      </c>
      <c r="BV7" s="88">
        <v>46118.666666666664</v>
      </c>
      <c r="BW7">
        <v>98.93</v>
      </c>
      <c r="BX7" s="88">
        <v>46118.666666666664</v>
      </c>
      <c r="BY7">
        <v>44.03</v>
      </c>
      <c r="BZ7" s="88">
        <v>46118.666666666664</v>
      </c>
      <c r="CA7">
        <v>16.61</v>
      </c>
      <c r="CB7" s="88">
        <v>46118.666666666664</v>
      </c>
      <c r="CC7">
        <v>177.64</v>
      </c>
      <c r="CD7" s="88">
        <v>46118.666666666664</v>
      </c>
      <c r="CE7">
        <v>36.67</v>
      </c>
      <c r="CF7" s="88">
        <v>46118.666666666664</v>
      </c>
      <c r="CG7">
        <v>48.76</v>
      </c>
      <c r="CH7" s="88">
        <v>46118.666666666664</v>
      </c>
      <c r="CI7">
        <v>9.52</v>
      </c>
      <c r="CJ7" s="88">
        <v>46118.666666666664</v>
      </c>
      <c r="CK7">
        <v>145.54</v>
      </c>
      <c r="CL7" s="88">
        <v>46118.666666666664</v>
      </c>
      <c r="CM7">
        <v>62.96</v>
      </c>
      <c r="CN7" s="88">
        <v>46118.666666666664</v>
      </c>
      <c r="CO7">
        <v>11.15</v>
      </c>
      <c r="CP7" s="88">
        <v>46118.666666666664</v>
      </c>
      <c r="CQ7">
        <v>35.020000000000003</v>
      </c>
      <c r="CR7" s="88">
        <v>46118.666666666664</v>
      </c>
      <c r="CS7">
        <v>147.93</v>
      </c>
      <c r="CT7" s="88">
        <v>46118.666666666664</v>
      </c>
      <c r="CU7">
        <v>6.08</v>
      </c>
      <c r="CV7" s="88">
        <v>46118.666666666664</v>
      </c>
      <c r="CW7">
        <v>13.06</v>
      </c>
      <c r="CX7" s="88">
        <v>46118.666666666664</v>
      </c>
      <c r="CY7">
        <v>9.64</v>
      </c>
      <c r="CZ7" s="88">
        <v>46118.666666666664</v>
      </c>
      <c r="DA7">
        <v>15.29</v>
      </c>
      <c r="DB7" s="88">
        <v>46118.666666666664</v>
      </c>
      <c r="DC7">
        <v>67.67</v>
      </c>
      <c r="DD7" s="88">
        <v>46118.666666666664</v>
      </c>
      <c r="DE7">
        <v>22.05</v>
      </c>
      <c r="DF7" s="88">
        <v>46118.666666666664</v>
      </c>
      <c r="DG7">
        <v>4.71</v>
      </c>
      <c r="DH7" s="88">
        <v>46118.666666666664</v>
      </c>
      <c r="DI7">
        <v>16.27</v>
      </c>
      <c r="DJ7" s="88">
        <v>46118.666666666664</v>
      </c>
      <c r="DK7">
        <v>658.93</v>
      </c>
      <c r="DL7" s="88">
        <v>46118.666666666664</v>
      </c>
      <c r="DM7">
        <v>352.82</v>
      </c>
      <c r="DN7" s="88">
        <v>46118.666666666664</v>
      </c>
      <c r="DO7">
        <v>18.61</v>
      </c>
      <c r="DP7" s="88">
        <v>46118.666666666664</v>
      </c>
      <c r="DQ7">
        <v>90.97</v>
      </c>
      <c r="DR7" s="88">
        <v>46118.666666666664</v>
      </c>
      <c r="DS7">
        <v>8.2799999999999994</v>
      </c>
      <c r="DT7" s="88">
        <v>46118.666666666664</v>
      </c>
      <c r="DU7">
        <v>72.17</v>
      </c>
      <c r="DV7" s="88">
        <v>46118.666666666664</v>
      </c>
      <c r="DW7">
        <v>13.71</v>
      </c>
      <c r="DX7" s="88">
        <v>46118.666666666664</v>
      </c>
      <c r="DY7">
        <v>138.94</v>
      </c>
      <c r="DZ7" s="88">
        <v>46118.666666666664</v>
      </c>
      <c r="EA7">
        <v>118</v>
      </c>
      <c r="EB7" s="88">
        <v>46118.666666666664</v>
      </c>
      <c r="EC7">
        <v>15.94</v>
      </c>
      <c r="ED7" s="88">
        <v>46118.666666666664</v>
      </c>
      <c r="EE7">
        <v>7.09</v>
      </c>
      <c r="EF7" s="88">
        <v>46118.666666666664</v>
      </c>
      <c r="EG7">
        <v>82.68</v>
      </c>
    </row>
    <row r="8" spans="1:138">
      <c r="B8" s="88">
        <v>46119.666666666664</v>
      </c>
      <c r="C8">
        <v>253.5</v>
      </c>
      <c r="D8" s="88">
        <v>46119.666666666664</v>
      </c>
      <c r="E8">
        <v>240.14</v>
      </c>
      <c r="F8" s="88">
        <v>46119.666666666664</v>
      </c>
      <c r="G8">
        <v>36.93</v>
      </c>
      <c r="H8" s="88">
        <v>46119.666666666664</v>
      </c>
      <c r="I8">
        <v>213.77</v>
      </c>
      <c r="J8" s="88">
        <v>46119.666666666664</v>
      </c>
      <c r="K8">
        <v>92.57</v>
      </c>
      <c r="L8" s="88">
        <v>46119.666666666664</v>
      </c>
      <c r="M8">
        <v>17.510000000000002</v>
      </c>
      <c r="N8" s="88">
        <v>46119.666666666664</v>
      </c>
      <c r="O8">
        <v>333.97</v>
      </c>
      <c r="P8" s="88">
        <v>46119.666666666664</v>
      </c>
      <c r="Q8">
        <v>119.72</v>
      </c>
      <c r="R8" s="88">
        <v>46119.666666666664</v>
      </c>
      <c r="S8">
        <v>20.170000000000002</v>
      </c>
      <c r="T8" s="88">
        <v>46119.666666666664</v>
      </c>
      <c r="U8">
        <v>31.96</v>
      </c>
      <c r="V8" s="88">
        <v>46119.666666666664</v>
      </c>
      <c r="W8">
        <v>1.01</v>
      </c>
      <c r="X8" s="88">
        <v>46119.666666666664</v>
      </c>
      <c r="Y8">
        <v>8.7100000000000009</v>
      </c>
      <c r="Z8" s="88">
        <v>46119.666666666664</v>
      </c>
      <c r="AA8">
        <v>95.78</v>
      </c>
      <c r="AB8" s="88">
        <v>46119.666666666664</v>
      </c>
      <c r="AC8">
        <v>200.35</v>
      </c>
      <c r="AD8" s="88">
        <v>46119.666666666664</v>
      </c>
      <c r="AE8">
        <v>106.42</v>
      </c>
      <c r="AF8" s="88">
        <v>46119.666666666664</v>
      </c>
      <c r="AG8">
        <v>26.58</v>
      </c>
      <c r="AH8" s="88">
        <v>46119.666666666664</v>
      </c>
      <c r="AI8">
        <v>914.17</v>
      </c>
      <c r="AJ8" s="88">
        <v>46119.666666666664</v>
      </c>
      <c r="AK8">
        <v>21.19</v>
      </c>
      <c r="AL8" s="88">
        <v>46119.666666666664</v>
      </c>
      <c r="AM8">
        <v>35.57</v>
      </c>
      <c r="AN8" s="88">
        <v>46119.666666666664</v>
      </c>
      <c r="AO8">
        <v>305.45999999999998</v>
      </c>
      <c r="AP8" s="88">
        <v>46119.666666666664</v>
      </c>
      <c r="AQ8">
        <v>864.15</v>
      </c>
      <c r="AR8" s="88">
        <v>46119.666666666664</v>
      </c>
      <c r="AS8">
        <v>318.77</v>
      </c>
      <c r="AT8" s="88">
        <v>46119.666666666664</v>
      </c>
      <c r="AU8">
        <v>69.650000000000006</v>
      </c>
      <c r="AV8" s="88">
        <v>46119.666666666664</v>
      </c>
      <c r="AW8">
        <v>27.21</v>
      </c>
      <c r="AX8" s="88">
        <v>46119.666666666664</v>
      </c>
      <c r="AY8">
        <v>35.74</v>
      </c>
      <c r="AZ8" s="88">
        <v>46119.666666666664</v>
      </c>
      <c r="BA8">
        <v>9.7899999999999991</v>
      </c>
      <c r="BB8" s="88">
        <v>46119.666666666664</v>
      </c>
      <c r="BC8">
        <v>815.75</v>
      </c>
      <c r="BD8" s="88">
        <v>46119.666666666664</v>
      </c>
      <c r="BE8">
        <v>153.66999999999999</v>
      </c>
      <c r="BF8" s="88">
        <v>46119.666666666664</v>
      </c>
      <c r="BG8">
        <v>22.73</v>
      </c>
      <c r="BH8" s="88">
        <v>46119.666666666664</v>
      </c>
      <c r="BI8">
        <v>158.29</v>
      </c>
      <c r="BJ8" s="88">
        <v>46119.666666666664</v>
      </c>
      <c r="BK8">
        <v>5.67</v>
      </c>
      <c r="BL8" s="88">
        <v>46119.666666666664</v>
      </c>
      <c r="BM8">
        <v>575.04999999999995</v>
      </c>
      <c r="BN8" s="88">
        <v>46119.666666666664</v>
      </c>
      <c r="BO8">
        <v>26.37</v>
      </c>
      <c r="BP8" s="88">
        <v>46119.666666666664</v>
      </c>
      <c r="BQ8">
        <v>372.29</v>
      </c>
      <c r="BR8" s="88">
        <v>46119.666666666664</v>
      </c>
      <c r="BS8">
        <v>129.71</v>
      </c>
      <c r="BT8" s="88">
        <v>46119.666666666664</v>
      </c>
      <c r="BU8">
        <v>377.58</v>
      </c>
      <c r="BV8" s="88">
        <v>46119.666666666664</v>
      </c>
      <c r="BW8">
        <v>98.82</v>
      </c>
      <c r="BX8" s="88">
        <v>46119.666666666664</v>
      </c>
      <c r="BY8">
        <v>42.69</v>
      </c>
      <c r="BZ8" s="88">
        <v>46119.666666666664</v>
      </c>
      <c r="CA8">
        <v>15.07</v>
      </c>
      <c r="CB8" s="88">
        <v>46119.666666666664</v>
      </c>
      <c r="CC8">
        <v>178.1</v>
      </c>
      <c r="CD8" s="88">
        <v>46119.666666666664</v>
      </c>
      <c r="CE8">
        <v>36.909999999999997</v>
      </c>
      <c r="CF8" s="88">
        <v>46119.666666666664</v>
      </c>
      <c r="CG8">
        <v>46.59</v>
      </c>
      <c r="CH8" s="88">
        <v>46119.666666666664</v>
      </c>
      <c r="CI8">
        <v>9.5299999999999994</v>
      </c>
      <c r="CJ8" s="88">
        <v>46119.666666666664</v>
      </c>
      <c r="CK8">
        <v>143.16999999999999</v>
      </c>
      <c r="CL8" s="88">
        <v>46119.666666666664</v>
      </c>
      <c r="CM8">
        <v>62.94</v>
      </c>
      <c r="CN8" s="88">
        <v>46119.666666666664</v>
      </c>
      <c r="CO8">
        <v>10.95</v>
      </c>
      <c r="CP8" s="88">
        <v>46119.666666666664</v>
      </c>
      <c r="CQ8">
        <v>35.17</v>
      </c>
      <c r="CR8" s="88">
        <v>46119.666666666664</v>
      </c>
      <c r="CS8">
        <v>150.07</v>
      </c>
      <c r="CT8" s="88">
        <v>46119.666666666664</v>
      </c>
      <c r="CU8">
        <v>5.96</v>
      </c>
      <c r="CV8" s="88">
        <v>46119.666666666664</v>
      </c>
      <c r="CW8">
        <v>12.08</v>
      </c>
      <c r="CX8" s="88">
        <v>46119.666666666664</v>
      </c>
      <c r="CY8">
        <v>9.5</v>
      </c>
      <c r="CZ8" s="88">
        <v>46119.666666666664</v>
      </c>
      <c r="DA8">
        <v>14.69</v>
      </c>
      <c r="DB8" s="88">
        <v>46119.666666666664</v>
      </c>
      <c r="DC8">
        <v>66.319999999999993</v>
      </c>
      <c r="DD8" s="88">
        <v>46119.666666666664</v>
      </c>
      <c r="DE8">
        <v>22.67</v>
      </c>
      <c r="DF8" s="88">
        <v>46119.666666666664</v>
      </c>
      <c r="DG8">
        <v>4.8</v>
      </c>
      <c r="DH8" s="88">
        <v>46119.666666666664</v>
      </c>
      <c r="DI8">
        <v>16.11</v>
      </c>
      <c r="DJ8" s="88">
        <v>46119.666666666664</v>
      </c>
      <c r="DK8">
        <v>659.22</v>
      </c>
      <c r="DL8" s="88">
        <v>46119.666666666664</v>
      </c>
      <c r="DM8">
        <v>346.65</v>
      </c>
      <c r="DN8" s="88">
        <v>46119.666666666664</v>
      </c>
      <c r="DO8">
        <v>18.91</v>
      </c>
      <c r="DP8" s="88">
        <v>46119.666666666664</v>
      </c>
      <c r="DQ8">
        <v>89.29</v>
      </c>
      <c r="DR8" s="88">
        <v>46119.666666666664</v>
      </c>
      <c r="DS8">
        <v>8.1300000000000008</v>
      </c>
      <c r="DT8" s="88">
        <v>46119.666666666664</v>
      </c>
      <c r="DU8">
        <v>71.73</v>
      </c>
      <c r="DV8" s="88">
        <v>46119.666666666664</v>
      </c>
      <c r="DW8">
        <v>13.15</v>
      </c>
      <c r="DX8" s="88">
        <v>46119.666666666664</v>
      </c>
      <c r="DY8">
        <v>138.08000000000001</v>
      </c>
      <c r="DZ8" s="88">
        <v>46119.666666666664</v>
      </c>
      <c r="EA8">
        <v>113.71</v>
      </c>
      <c r="EB8" s="88">
        <v>46119.666666666664</v>
      </c>
      <c r="EC8">
        <v>15.99</v>
      </c>
      <c r="ED8" s="88">
        <v>46119.666666666664</v>
      </c>
      <c r="EE8">
        <v>6.89</v>
      </c>
      <c r="EF8" s="88">
        <v>46119.666666666664</v>
      </c>
      <c r="EG8">
        <v>84.02</v>
      </c>
    </row>
    <row r="9" spans="1:138">
      <c r="B9" s="88">
        <v>46120.666666666664</v>
      </c>
      <c r="C9">
        <v>258.89999999999998</v>
      </c>
      <c r="D9" s="88">
        <v>46120.666666666664</v>
      </c>
      <c r="E9">
        <v>239.31</v>
      </c>
      <c r="F9" s="88">
        <v>46120.666666666664</v>
      </c>
      <c r="G9">
        <v>39.909999999999997</v>
      </c>
      <c r="H9" s="88">
        <v>46120.666666666664</v>
      </c>
      <c r="I9">
        <v>221.25</v>
      </c>
      <c r="J9" s="88">
        <v>46120.666666666664</v>
      </c>
      <c r="K9">
        <v>96.46</v>
      </c>
      <c r="L9" s="88">
        <v>46120.666666666664</v>
      </c>
      <c r="M9">
        <v>18.12</v>
      </c>
      <c r="N9" s="88">
        <v>46120.666666666664</v>
      </c>
      <c r="O9">
        <v>350.63</v>
      </c>
      <c r="P9" s="88">
        <v>46120.666666666664</v>
      </c>
      <c r="Q9">
        <v>125.32</v>
      </c>
      <c r="R9" s="88">
        <v>46120.666666666664</v>
      </c>
      <c r="S9">
        <v>21.52</v>
      </c>
      <c r="T9" s="88">
        <v>46120.666666666664</v>
      </c>
      <c r="U9">
        <v>30.18</v>
      </c>
      <c r="V9" s="88">
        <v>46120.666666666664</v>
      </c>
      <c r="W9">
        <v>1.08</v>
      </c>
      <c r="X9" s="88">
        <v>46120.666666666664</v>
      </c>
      <c r="Y9">
        <v>9.0399999999999991</v>
      </c>
      <c r="Z9" s="88">
        <v>46120.666666666664</v>
      </c>
      <c r="AA9">
        <v>99.18</v>
      </c>
      <c r="AB9" s="88">
        <v>46120.666666666664</v>
      </c>
      <c r="AC9">
        <v>204.75</v>
      </c>
      <c r="AD9" s="88">
        <v>46120.666666666664</v>
      </c>
      <c r="AE9">
        <v>105.62</v>
      </c>
      <c r="AF9" s="88">
        <v>46120.666666666664</v>
      </c>
      <c r="AG9">
        <v>27.39</v>
      </c>
      <c r="AH9" s="88">
        <v>46120.666666666664</v>
      </c>
      <c r="AI9">
        <v>920.52</v>
      </c>
      <c r="AJ9" s="88">
        <v>46120.666666666664</v>
      </c>
      <c r="AK9">
        <v>20.149999999999999</v>
      </c>
      <c r="AL9" s="88">
        <v>46120.666666666664</v>
      </c>
      <c r="AM9">
        <v>38.119999999999997</v>
      </c>
      <c r="AN9" s="88">
        <v>46120.666666666664</v>
      </c>
      <c r="AO9">
        <v>317.32</v>
      </c>
      <c r="AP9" s="88">
        <v>46120.666666666664</v>
      </c>
      <c r="AQ9">
        <v>905.75</v>
      </c>
      <c r="AR9" s="88">
        <v>46120.666666666664</v>
      </c>
      <c r="AS9">
        <v>336.16</v>
      </c>
      <c r="AT9" s="88">
        <v>46120.666666666664</v>
      </c>
      <c r="AU9">
        <v>71.83</v>
      </c>
      <c r="AV9" s="88">
        <v>46120.666666666664</v>
      </c>
      <c r="AW9">
        <v>30.95</v>
      </c>
      <c r="AX9" s="88">
        <v>46120.666666666664</v>
      </c>
      <c r="AY9">
        <v>36.83</v>
      </c>
      <c r="AZ9" s="88">
        <v>46120.666666666664</v>
      </c>
      <c r="BA9">
        <v>10.45</v>
      </c>
      <c r="BB9" s="88">
        <v>46120.666666666664</v>
      </c>
      <c r="BC9">
        <v>896.02</v>
      </c>
      <c r="BD9" s="88">
        <v>46120.666666666664</v>
      </c>
      <c r="BE9">
        <v>158.86000000000001</v>
      </c>
      <c r="BF9" s="88">
        <v>46120.666666666664</v>
      </c>
      <c r="BG9">
        <v>23.39</v>
      </c>
      <c r="BH9" s="88">
        <v>46120.666666666664</v>
      </c>
      <c r="BI9">
        <v>163.56</v>
      </c>
      <c r="BJ9" s="88">
        <v>46120.666666666664</v>
      </c>
      <c r="BK9">
        <v>5.84</v>
      </c>
      <c r="BL9" s="88">
        <v>46120.666666666664</v>
      </c>
      <c r="BM9">
        <v>612.41999999999996</v>
      </c>
      <c r="BN9" s="88">
        <v>46120.666666666664</v>
      </c>
      <c r="BO9">
        <v>26.62</v>
      </c>
      <c r="BP9" s="88">
        <v>46120.666666666664</v>
      </c>
      <c r="BQ9">
        <v>374.33</v>
      </c>
      <c r="BR9" s="88">
        <v>46120.666666666664</v>
      </c>
      <c r="BS9">
        <v>129.5</v>
      </c>
      <c r="BT9" s="88">
        <v>46120.666666666664</v>
      </c>
      <c r="BU9">
        <v>406.73</v>
      </c>
      <c r="BV9" s="88">
        <v>46120.666666666664</v>
      </c>
      <c r="BW9">
        <v>99.39</v>
      </c>
      <c r="BX9" s="88">
        <v>46120.666666666664</v>
      </c>
      <c r="BY9">
        <v>43.13</v>
      </c>
      <c r="BZ9" s="88">
        <v>46120.666666666664</v>
      </c>
      <c r="CA9">
        <v>14.59</v>
      </c>
      <c r="CB9" s="88">
        <v>46120.666666666664</v>
      </c>
      <c r="CC9">
        <v>182.08</v>
      </c>
      <c r="CD9" s="88">
        <v>46120.666666666664</v>
      </c>
      <c r="CE9">
        <v>37.61</v>
      </c>
      <c r="CF9" s="88">
        <v>46120.666666666664</v>
      </c>
      <c r="CG9">
        <v>50.21</v>
      </c>
      <c r="CH9" s="88">
        <v>46120.666666666664</v>
      </c>
      <c r="CI9">
        <v>9.4499999999999993</v>
      </c>
      <c r="CJ9" s="88">
        <v>46120.666666666664</v>
      </c>
      <c r="CK9">
        <v>143.66</v>
      </c>
      <c r="CL9" s="88">
        <v>46120.666666666664</v>
      </c>
      <c r="CM9">
        <v>59.77</v>
      </c>
      <c r="CN9" s="88">
        <v>46120.666666666664</v>
      </c>
      <c r="CO9">
        <v>10.39</v>
      </c>
      <c r="CP9" s="88">
        <v>46120.666666666664</v>
      </c>
      <c r="CQ9">
        <v>36.549999999999997</v>
      </c>
      <c r="CR9" s="88">
        <v>46120.666666666664</v>
      </c>
      <c r="CS9">
        <v>140.76</v>
      </c>
      <c r="CT9" s="88">
        <v>46120.666666666664</v>
      </c>
      <c r="CU9">
        <v>6.22</v>
      </c>
      <c r="CV9" s="88">
        <v>46120.666666666664</v>
      </c>
      <c r="CW9">
        <v>13.04</v>
      </c>
      <c r="CX9" s="88">
        <v>46120.666666666664</v>
      </c>
      <c r="CY9">
        <v>9.7899999999999991</v>
      </c>
      <c r="CZ9" s="88">
        <v>46120.666666666664</v>
      </c>
      <c r="DA9">
        <v>15.14</v>
      </c>
      <c r="DB9" s="88">
        <v>46120.666666666664</v>
      </c>
      <c r="DC9">
        <v>69.08</v>
      </c>
      <c r="DD9" s="88">
        <v>46120.666666666664</v>
      </c>
      <c r="DE9">
        <v>23.37</v>
      </c>
      <c r="DF9" s="88">
        <v>46120.666666666664</v>
      </c>
      <c r="DG9">
        <v>4.7300000000000004</v>
      </c>
      <c r="DH9" s="88">
        <v>46120.666666666664</v>
      </c>
      <c r="DI9">
        <v>16.489999999999998</v>
      </c>
      <c r="DJ9" s="88">
        <v>46120.666666666664</v>
      </c>
      <c r="DK9">
        <v>676.01</v>
      </c>
      <c r="DL9" s="88">
        <v>46120.666666666664</v>
      </c>
      <c r="DM9">
        <v>343.25</v>
      </c>
      <c r="DN9" s="88">
        <v>46120.666666666664</v>
      </c>
      <c r="DO9">
        <v>19.399999999999999</v>
      </c>
      <c r="DP9" s="88">
        <v>46120.666666666664</v>
      </c>
      <c r="DQ9">
        <v>96.3</v>
      </c>
      <c r="DR9" s="88">
        <v>46120.666666666664</v>
      </c>
      <c r="DS9">
        <v>8.84</v>
      </c>
      <c r="DT9" s="88">
        <v>46120.666666666664</v>
      </c>
      <c r="DU9">
        <v>72.38</v>
      </c>
      <c r="DV9" s="88">
        <v>46120.666666666664</v>
      </c>
      <c r="DW9">
        <v>12.85</v>
      </c>
      <c r="DX9" s="88">
        <v>46120.666666666664</v>
      </c>
      <c r="DY9">
        <v>124.58</v>
      </c>
      <c r="DZ9" s="88">
        <v>46120.666666666664</v>
      </c>
      <c r="EA9">
        <v>119.74</v>
      </c>
      <c r="EB9" s="88">
        <v>46120.666666666664</v>
      </c>
      <c r="EC9">
        <v>14.44</v>
      </c>
      <c r="ED9" s="88">
        <v>46120.666666666664</v>
      </c>
      <c r="EE9">
        <v>7.06</v>
      </c>
      <c r="EF9" s="88">
        <v>46120.666666666664</v>
      </c>
      <c r="EG9">
        <v>83.23</v>
      </c>
    </row>
    <row r="10" spans="1:138">
      <c r="B10" s="88">
        <v>46121.666666666664</v>
      </c>
      <c r="C10">
        <v>260.49</v>
      </c>
      <c r="D10" s="88">
        <v>46121.666666666664</v>
      </c>
      <c r="E10">
        <v>229.94</v>
      </c>
      <c r="F10" s="88">
        <v>46121.666666666664</v>
      </c>
      <c r="G10">
        <v>39.9</v>
      </c>
      <c r="H10" s="88">
        <v>46121.666666666664</v>
      </c>
      <c r="I10">
        <v>233.65</v>
      </c>
      <c r="J10" s="88">
        <v>46121.666666666664</v>
      </c>
      <c r="K10">
        <v>91.61</v>
      </c>
      <c r="L10" s="88">
        <v>46121.666666666664</v>
      </c>
      <c r="M10">
        <v>18.12</v>
      </c>
      <c r="N10" s="88">
        <v>46121.666666666664</v>
      </c>
      <c r="O10">
        <v>354.91</v>
      </c>
      <c r="P10" s="88">
        <v>46121.666666666664</v>
      </c>
      <c r="Q10">
        <v>127.68</v>
      </c>
      <c r="R10" s="88">
        <v>46121.666666666664</v>
      </c>
      <c r="S10">
        <v>21.08</v>
      </c>
      <c r="T10" s="88">
        <v>46121.666666666664</v>
      </c>
      <c r="U10">
        <v>27.71</v>
      </c>
      <c r="V10" s="88">
        <v>46121.666666666664</v>
      </c>
      <c r="W10">
        <v>1.07</v>
      </c>
      <c r="X10" s="88">
        <v>46121.666666666664</v>
      </c>
      <c r="Y10">
        <v>9.23</v>
      </c>
      <c r="Z10" s="88">
        <v>46121.666666666664</v>
      </c>
      <c r="AA10">
        <v>99.79</v>
      </c>
      <c r="AB10" s="88">
        <v>46121.666666666664</v>
      </c>
      <c r="AC10">
        <v>212.62</v>
      </c>
      <c r="AD10" s="88">
        <v>46121.666666666664</v>
      </c>
      <c r="AE10">
        <v>102.6</v>
      </c>
      <c r="AF10" s="88">
        <v>46121.666666666664</v>
      </c>
      <c r="AG10">
        <v>27.7</v>
      </c>
      <c r="AH10" s="88">
        <v>46121.666666666664</v>
      </c>
      <c r="AI10">
        <v>928.47</v>
      </c>
      <c r="AJ10" s="88">
        <v>46121.666666666664</v>
      </c>
      <c r="AK10">
        <v>19.079999999999998</v>
      </c>
      <c r="AL10" s="88">
        <v>46121.666666666664</v>
      </c>
      <c r="AM10">
        <v>37.57</v>
      </c>
      <c r="AN10" s="88">
        <v>46121.666666666664</v>
      </c>
      <c r="AO10">
        <v>318.49</v>
      </c>
      <c r="AP10" s="88">
        <v>46121.666666666664</v>
      </c>
      <c r="AQ10">
        <v>903.72</v>
      </c>
      <c r="AR10" s="88">
        <v>46121.666666666664</v>
      </c>
      <c r="AS10">
        <v>339.58</v>
      </c>
      <c r="AT10" s="88">
        <v>46121.666666666664</v>
      </c>
      <c r="AU10">
        <v>70.12</v>
      </c>
      <c r="AV10" s="88">
        <v>46121.666666666664</v>
      </c>
      <c r="AW10">
        <v>31.12</v>
      </c>
      <c r="AX10" s="88">
        <v>46121.666666666664</v>
      </c>
      <c r="AY10">
        <v>37.06</v>
      </c>
      <c r="AZ10" s="88">
        <v>46121.666666666664</v>
      </c>
      <c r="BA10">
        <v>10.64</v>
      </c>
      <c r="BB10" s="88">
        <v>46121.666666666664</v>
      </c>
      <c r="BC10">
        <v>894.13</v>
      </c>
      <c r="BD10" s="88">
        <v>46121.666666666664</v>
      </c>
      <c r="BE10">
        <v>166.51</v>
      </c>
      <c r="BF10" s="88">
        <v>46121.666666666664</v>
      </c>
      <c r="BG10">
        <v>21.97</v>
      </c>
      <c r="BH10" s="88">
        <v>46121.666666666664</v>
      </c>
      <c r="BI10">
        <v>163.66</v>
      </c>
      <c r="BJ10" s="88">
        <v>46121.666666666664</v>
      </c>
      <c r="BK10">
        <v>5.87</v>
      </c>
      <c r="BL10" s="88">
        <v>46121.666666666664</v>
      </c>
      <c r="BM10">
        <v>628.39</v>
      </c>
      <c r="BN10" s="88">
        <v>46121.666666666664</v>
      </c>
      <c r="BO10">
        <v>25.27</v>
      </c>
      <c r="BP10" s="88">
        <v>46121.666666666664</v>
      </c>
      <c r="BQ10">
        <v>373.07</v>
      </c>
      <c r="BR10" s="88">
        <v>46121.666666666664</v>
      </c>
      <c r="BS10">
        <v>129.57</v>
      </c>
      <c r="BT10" s="88">
        <v>46121.666666666664</v>
      </c>
      <c r="BU10">
        <v>421.51</v>
      </c>
      <c r="BV10" s="88">
        <v>46121.666666666664</v>
      </c>
      <c r="BW10">
        <v>102.05</v>
      </c>
      <c r="BX10" s="88">
        <v>46121.666666666664</v>
      </c>
      <c r="BY10">
        <v>44</v>
      </c>
      <c r="BZ10" s="88">
        <v>46121.666666666664</v>
      </c>
      <c r="CA10">
        <v>15.11</v>
      </c>
      <c r="CB10" s="88">
        <v>46121.666666666664</v>
      </c>
      <c r="CC10">
        <v>183.91</v>
      </c>
      <c r="CD10" s="88">
        <v>46121.666666666664</v>
      </c>
      <c r="CE10">
        <v>37.44</v>
      </c>
      <c r="CF10" s="88">
        <v>46121.666666666664</v>
      </c>
      <c r="CG10">
        <v>47.75</v>
      </c>
      <c r="CH10" s="88">
        <v>46121.666666666664</v>
      </c>
      <c r="CI10">
        <v>9.14</v>
      </c>
      <c r="CJ10" s="88">
        <v>46121.666666666664</v>
      </c>
      <c r="CK10">
        <v>137.86000000000001</v>
      </c>
      <c r="CL10" s="88">
        <v>46121.666666666664</v>
      </c>
      <c r="CM10">
        <v>58.53</v>
      </c>
      <c r="CN10" s="88">
        <v>46121.666666666664</v>
      </c>
      <c r="CO10">
        <v>9.94</v>
      </c>
      <c r="CP10" s="88">
        <v>46121.666666666664</v>
      </c>
      <c r="CQ10">
        <v>34.229999999999997</v>
      </c>
      <c r="CR10" s="88">
        <v>46121.666666666664</v>
      </c>
      <c r="CS10">
        <v>130.49</v>
      </c>
      <c r="CT10" s="88">
        <v>46121.666666666664</v>
      </c>
      <c r="CU10">
        <v>6.08</v>
      </c>
      <c r="CV10" s="88">
        <v>46121.666666666664</v>
      </c>
      <c r="CW10">
        <v>11.93</v>
      </c>
      <c r="CX10" s="88">
        <v>46121.666666666664</v>
      </c>
      <c r="CY10">
        <v>9.91</v>
      </c>
      <c r="CZ10" s="88">
        <v>46121.666666666664</v>
      </c>
      <c r="DA10">
        <v>15.24</v>
      </c>
      <c r="DB10" s="88">
        <v>46121.666666666664</v>
      </c>
      <c r="DC10">
        <v>66.739999999999995</v>
      </c>
      <c r="DD10" s="88">
        <v>46121.666666666664</v>
      </c>
      <c r="DE10">
        <v>23.22</v>
      </c>
      <c r="DF10" s="88">
        <v>46121.666666666664</v>
      </c>
      <c r="DG10">
        <v>4.95</v>
      </c>
      <c r="DH10" s="88">
        <v>46121.666666666664</v>
      </c>
      <c r="DI10">
        <v>16.27</v>
      </c>
      <c r="DJ10" s="88">
        <v>46121.666666666664</v>
      </c>
      <c r="DK10">
        <v>679.91</v>
      </c>
      <c r="DL10" s="88">
        <v>46121.666666666664</v>
      </c>
      <c r="DM10">
        <v>345.62</v>
      </c>
      <c r="DN10" s="88">
        <v>46121.666666666664</v>
      </c>
      <c r="DO10">
        <v>18.440000000000001</v>
      </c>
      <c r="DP10" s="88">
        <v>46121.666666666664</v>
      </c>
      <c r="DQ10">
        <v>97.67</v>
      </c>
      <c r="DR10" s="88">
        <v>46121.666666666664</v>
      </c>
      <c r="DS10">
        <v>8.77</v>
      </c>
      <c r="DT10" s="88">
        <v>46121.666666666664</v>
      </c>
      <c r="DU10">
        <v>71.81</v>
      </c>
      <c r="DV10" s="88">
        <v>46121.666666666664</v>
      </c>
      <c r="DW10">
        <v>12.41</v>
      </c>
      <c r="DX10" s="88">
        <v>46121.666666666664</v>
      </c>
      <c r="DY10">
        <v>126.96</v>
      </c>
      <c r="DZ10" s="88">
        <v>46121.666666666664</v>
      </c>
      <c r="EA10">
        <v>115</v>
      </c>
      <c r="EB10" s="88">
        <v>46121.666666666664</v>
      </c>
      <c r="EC10">
        <v>12.99</v>
      </c>
      <c r="ED10" s="88">
        <v>46121.666666666664</v>
      </c>
      <c r="EE10">
        <v>7.1</v>
      </c>
      <c r="EF10" s="88">
        <v>46121.666666666664</v>
      </c>
      <c r="EG10">
        <v>84.03</v>
      </c>
    </row>
    <row r="11" spans="1:138">
      <c r="B11" s="88">
        <v>46122.666666666664</v>
      </c>
      <c r="C11">
        <v>260.48</v>
      </c>
      <c r="D11" s="88">
        <v>46122.666666666664</v>
      </c>
      <c r="E11">
        <v>225.35</v>
      </c>
      <c r="F11" s="88">
        <v>46122.666666666664</v>
      </c>
      <c r="G11">
        <v>39.5</v>
      </c>
      <c r="H11" s="88">
        <v>46122.666666666664</v>
      </c>
      <c r="I11">
        <v>238.38</v>
      </c>
      <c r="J11" s="88">
        <v>46122.666666666664</v>
      </c>
      <c r="K11">
        <v>94.9</v>
      </c>
      <c r="L11" s="88">
        <v>46122.666666666664</v>
      </c>
      <c r="M11">
        <v>17.899999999999999</v>
      </c>
      <c r="N11" s="88">
        <v>46122.666666666664</v>
      </c>
      <c r="O11">
        <v>371.55</v>
      </c>
      <c r="P11" s="88">
        <v>46122.666666666664</v>
      </c>
      <c r="Q11">
        <v>127.33</v>
      </c>
      <c r="R11" s="88">
        <v>46122.666666666664</v>
      </c>
      <c r="S11">
        <v>21.28</v>
      </c>
      <c r="T11" s="88">
        <v>46122.666666666664</v>
      </c>
      <c r="U11">
        <v>28.29</v>
      </c>
      <c r="V11" s="88">
        <v>46122.666666666664</v>
      </c>
      <c r="W11">
        <v>1.06</v>
      </c>
      <c r="X11" s="88">
        <v>46122.666666666664</v>
      </c>
      <c r="Y11">
        <v>9.0399999999999991</v>
      </c>
      <c r="Z11" s="88">
        <v>46122.666666666664</v>
      </c>
      <c r="AA11">
        <v>99.17</v>
      </c>
      <c r="AB11" s="88">
        <v>46122.666666666664</v>
      </c>
      <c r="AC11">
        <v>212.46</v>
      </c>
      <c r="AD11" s="88">
        <v>46122.666666666664</v>
      </c>
      <c r="AE11">
        <v>99.55</v>
      </c>
      <c r="AF11" s="88">
        <v>46122.666666666664</v>
      </c>
      <c r="AG11">
        <v>27.34</v>
      </c>
      <c r="AH11" s="88">
        <v>46122.666666666664</v>
      </c>
      <c r="AI11">
        <v>925.24</v>
      </c>
      <c r="AJ11" s="88">
        <v>46122.666666666664</v>
      </c>
      <c r="AK11">
        <v>18.16</v>
      </c>
      <c r="AL11" s="88">
        <v>46122.666666666664</v>
      </c>
      <c r="AM11">
        <v>37.54</v>
      </c>
      <c r="AN11" s="88">
        <v>46122.666666666664</v>
      </c>
      <c r="AO11">
        <v>317.24</v>
      </c>
      <c r="AP11" s="88">
        <v>46122.666666666664</v>
      </c>
      <c r="AQ11">
        <v>907.8</v>
      </c>
      <c r="AR11" s="88">
        <v>46122.666666666664</v>
      </c>
      <c r="AS11">
        <v>337.34</v>
      </c>
      <c r="AT11" s="88">
        <v>46122.666666666664</v>
      </c>
      <c r="AU11">
        <v>69.19</v>
      </c>
      <c r="AV11" s="88">
        <v>46122.666666666664</v>
      </c>
      <c r="AW11">
        <v>31.89</v>
      </c>
      <c r="AX11" s="88">
        <v>46122.666666666664</v>
      </c>
      <c r="AY11">
        <v>39.32</v>
      </c>
      <c r="AZ11" s="88">
        <v>46122.666666666664</v>
      </c>
      <c r="BA11">
        <v>10.88</v>
      </c>
      <c r="BB11" s="88">
        <v>46122.666666666664</v>
      </c>
      <c r="BC11">
        <v>897.3</v>
      </c>
      <c r="BD11" s="88">
        <v>46122.666666666664</v>
      </c>
      <c r="BE11">
        <v>163.86</v>
      </c>
      <c r="BF11" s="88">
        <v>46122.666666666664</v>
      </c>
      <c r="BG11">
        <v>23.57</v>
      </c>
      <c r="BH11" s="88">
        <v>46122.666666666664</v>
      </c>
      <c r="BI11">
        <v>160.59</v>
      </c>
      <c r="BJ11" s="88">
        <v>46122.666666666664</v>
      </c>
      <c r="BK11">
        <v>5.35</v>
      </c>
      <c r="BL11" s="88">
        <v>46122.666666666664</v>
      </c>
      <c r="BM11">
        <v>629.86</v>
      </c>
      <c r="BN11" s="88">
        <v>46122.666666666664</v>
      </c>
      <c r="BO11">
        <v>24.76</v>
      </c>
      <c r="BP11" s="88">
        <v>46122.666666666664</v>
      </c>
      <c r="BQ11">
        <v>370.87</v>
      </c>
      <c r="BR11" s="88">
        <v>46122.666666666664</v>
      </c>
      <c r="BS11">
        <v>127.87</v>
      </c>
      <c r="BT11" s="88">
        <v>46122.666666666664</v>
      </c>
      <c r="BU11">
        <v>420.59</v>
      </c>
      <c r="BV11" s="88">
        <v>46122.666666666664</v>
      </c>
      <c r="BW11">
        <v>103.01</v>
      </c>
      <c r="BX11" s="88">
        <v>46122.666666666664</v>
      </c>
      <c r="BY11">
        <v>42.62</v>
      </c>
      <c r="BZ11" s="88">
        <v>46122.666666666664</v>
      </c>
      <c r="CA11">
        <v>15.28</v>
      </c>
      <c r="CB11" s="88">
        <v>46122.666666666664</v>
      </c>
      <c r="CC11">
        <v>188.63</v>
      </c>
      <c r="CD11" s="88">
        <v>46122.666666666664</v>
      </c>
      <c r="CE11">
        <v>37.520000000000003</v>
      </c>
      <c r="CF11" s="88">
        <v>46122.666666666664</v>
      </c>
      <c r="CG11">
        <v>50.25</v>
      </c>
      <c r="CH11" s="88">
        <v>46122.666666666664</v>
      </c>
      <c r="CI11">
        <v>9.1300000000000008</v>
      </c>
      <c r="CJ11" s="88">
        <v>46122.666666666664</v>
      </c>
      <c r="CK11">
        <v>138.09</v>
      </c>
      <c r="CL11" s="88">
        <v>46122.666666666664</v>
      </c>
      <c r="CM11">
        <v>57.97</v>
      </c>
      <c r="CN11" s="88">
        <v>46122.666666666664</v>
      </c>
      <c r="CO11">
        <v>9.3800000000000008</v>
      </c>
      <c r="CP11" s="88">
        <v>46122.666666666664</v>
      </c>
      <c r="CQ11">
        <v>34.67</v>
      </c>
      <c r="CR11" s="88">
        <v>46122.666666666664</v>
      </c>
      <c r="CS11">
        <v>128.06</v>
      </c>
      <c r="CT11" s="88">
        <v>46122.666666666664</v>
      </c>
      <c r="CU11">
        <v>7.04</v>
      </c>
      <c r="CV11" s="88">
        <v>46122.666666666664</v>
      </c>
      <c r="CW11">
        <v>12.37</v>
      </c>
      <c r="CX11" s="88">
        <v>46122.666666666664</v>
      </c>
      <c r="CY11">
        <v>9.94</v>
      </c>
      <c r="CZ11" s="88">
        <v>46122.666666666664</v>
      </c>
      <c r="DA11">
        <v>15.43</v>
      </c>
      <c r="DB11" s="88">
        <v>46122.666666666664</v>
      </c>
      <c r="DC11">
        <v>68.05</v>
      </c>
      <c r="DD11" s="88">
        <v>46122.666666666664</v>
      </c>
      <c r="DE11">
        <v>25.26</v>
      </c>
      <c r="DF11" s="88">
        <v>46122.666666666664</v>
      </c>
      <c r="DG11">
        <v>4.82</v>
      </c>
      <c r="DH11" s="88">
        <v>46122.666666666664</v>
      </c>
      <c r="DI11">
        <v>16.22</v>
      </c>
      <c r="DJ11" s="88">
        <v>46122.666666666664</v>
      </c>
      <c r="DK11">
        <v>679.46</v>
      </c>
      <c r="DL11" s="88">
        <v>46122.666666666664</v>
      </c>
      <c r="DM11">
        <v>348.95</v>
      </c>
      <c r="DN11" s="88">
        <v>46122.666666666664</v>
      </c>
      <c r="DO11">
        <v>17.920000000000002</v>
      </c>
      <c r="DP11" s="88">
        <v>46122.666666666664</v>
      </c>
      <c r="DQ11">
        <v>96.4</v>
      </c>
      <c r="DR11" s="88">
        <v>46122.666666666664</v>
      </c>
      <c r="DS11">
        <v>8.36</v>
      </c>
      <c r="DT11" s="88">
        <v>46122.666666666664</v>
      </c>
      <c r="DU11">
        <v>70.48</v>
      </c>
      <c r="DV11" s="88">
        <v>46122.666666666664</v>
      </c>
      <c r="DW11">
        <v>13.7</v>
      </c>
      <c r="DX11" s="88">
        <v>46122.666666666664</v>
      </c>
      <c r="DY11">
        <v>124.82</v>
      </c>
      <c r="DZ11" s="88">
        <v>46122.666666666664</v>
      </c>
      <c r="EA11">
        <v>112.99</v>
      </c>
      <c r="EB11" s="88">
        <v>46122.666666666664</v>
      </c>
      <c r="EC11">
        <v>12.97</v>
      </c>
      <c r="ED11" s="88">
        <v>46122.666666666664</v>
      </c>
      <c r="EE11">
        <v>6.89</v>
      </c>
      <c r="EF11" s="88">
        <v>46122.666666666664</v>
      </c>
      <c r="EG11">
        <v>79.239999999999995</v>
      </c>
    </row>
    <row r="12" spans="1:138">
      <c r="B12" s="88">
        <v>46125.666666666664</v>
      </c>
      <c r="C12">
        <v>259.2</v>
      </c>
      <c r="D12" s="88">
        <v>46125.666666666664</v>
      </c>
      <c r="E12">
        <v>240.11</v>
      </c>
      <c r="F12" s="88">
        <v>46125.666666666664</v>
      </c>
      <c r="G12">
        <v>39.97</v>
      </c>
      <c r="H12" s="88">
        <v>46125.666666666664</v>
      </c>
      <c r="I12">
        <v>239.89</v>
      </c>
      <c r="J12" s="88">
        <v>46125.666666666664</v>
      </c>
      <c r="K12">
        <v>98.97</v>
      </c>
      <c r="L12" s="88">
        <v>46125.666666666664</v>
      </c>
      <c r="M12">
        <v>17.850000000000001</v>
      </c>
      <c r="N12" s="88">
        <v>46125.666666666664</v>
      </c>
      <c r="O12">
        <v>379.75</v>
      </c>
      <c r="P12" s="88">
        <v>46125.666666666664</v>
      </c>
      <c r="Q12">
        <v>128.01</v>
      </c>
      <c r="R12" s="88">
        <v>46125.666666666664</v>
      </c>
      <c r="S12">
        <v>21.51</v>
      </c>
      <c r="T12" s="88">
        <v>46125.666666666664</v>
      </c>
      <c r="U12">
        <v>28.48</v>
      </c>
      <c r="V12" s="88">
        <v>46125.666666666664</v>
      </c>
      <c r="W12">
        <v>1.08</v>
      </c>
      <c r="X12" s="88">
        <v>46125.666666666664</v>
      </c>
      <c r="Y12">
        <v>9.34</v>
      </c>
      <c r="Z12" s="88">
        <v>46125.666666666664</v>
      </c>
      <c r="AA12">
        <v>101.18</v>
      </c>
      <c r="AB12" s="88">
        <v>46125.666666666664</v>
      </c>
      <c r="AC12">
        <v>210.57</v>
      </c>
      <c r="AD12" s="88">
        <v>46125.666666666664</v>
      </c>
      <c r="AE12">
        <v>102.13</v>
      </c>
      <c r="AF12" s="88">
        <v>46125.666666666664</v>
      </c>
      <c r="AG12">
        <v>27.61</v>
      </c>
      <c r="AH12" s="88">
        <v>46125.666666666664</v>
      </c>
      <c r="AI12">
        <v>935.05</v>
      </c>
      <c r="AJ12" s="88">
        <v>46125.666666666664</v>
      </c>
      <c r="AK12">
        <v>19.18</v>
      </c>
      <c r="AL12" s="88">
        <v>46125.666666666664</v>
      </c>
      <c r="AM12">
        <v>38.799999999999997</v>
      </c>
      <c r="AN12" s="88">
        <v>46125.666666666664</v>
      </c>
      <c r="AO12">
        <v>321.31</v>
      </c>
      <c r="AP12" s="88">
        <v>46125.666666666664</v>
      </c>
      <c r="AQ12">
        <v>890.79</v>
      </c>
      <c r="AR12" s="88">
        <v>46125.666666666664</v>
      </c>
      <c r="AS12">
        <v>341.16</v>
      </c>
      <c r="AT12" s="88">
        <v>46125.666666666664</v>
      </c>
      <c r="AU12">
        <v>71.67</v>
      </c>
      <c r="AV12" s="88">
        <v>46125.666666666664</v>
      </c>
      <c r="AW12">
        <v>33.409999999999997</v>
      </c>
      <c r="AX12" s="88">
        <v>46125.666666666664</v>
      </c>
      <c r="AY12">
        <v>43.07</v>
      </c>
      <c r="AZ12" s="88">
        <v>46125.666666666664</v>
      </c>
      <c r="BA12">
        <v>11.07</v>
      </c>
      <c r="BB12" s="88">
        <v>46125.666666666664</v>
      </c>
      <c r="BC12">
        <v>871.18</v>
      </c>
      <c r="BD12" s="88">
        <v>46125.666666666664</v>
      </c>
      <c r="BE12">
        <v>162.56</v>
      </c>
      <c r="BF12" s="88">
        <v>46125.666666666664</v>
      </c>
      <c r="BG12">
        <v>24.41</v>
      </c>
      <c r="BH12" s="88">
        <v>46125.666666666664</v>
      </c>
      <c r="BI12">
        <v>165.72</v>
      </c>
      <c r="BJ12" s="88">
        <v>46125.666666666664</v>
      </c>
      <c r="BK12">
        <v>6.11</v>
      </c>
      <c r="BL12" s="88">
        <v>46125.666666666664</v>
      </c>
      <c r="BM12">
        <v>634.53</v>
      </c>
      <c r="BN12" s="88">
        <v>46125.666666666664</v>
      </c>
      <c r="BO12">
        <v>24.54</v>
      </c>
      <c r="BP12" s="88">
        <v>46125.666666666664</v>
      </c>
      <c r="BQ12">
        <v>384.37</v>
      </c>
      <c r="BR12" s="88">
        <v>46125.666666666664</v>
      </c>
      <c r="BS12">
        <v>130.18</v>
      </c>
      <c r="BT12" s="88">
        <v>46125.666666666664</v>
      </c>
      <c r="BU12">
        <v>426.56</v>
      </c>
      <c r="BV12" s="88">
        <v>46125.666666666664</v>
      </c>
      <c r="BW12">
        <v>103.16</v>
      </c>
      <c r="BX12" s="88">
        <v>46125.666666666664</v>
      </c>
      <c r="BY12">
        <v>42.91</v>
      </c>
      <c r="BZ12" s="88">
        <v>46125.666666666664</v>
      </c>
      <c r="CA12">
        <v>15.57</v>
      </c>
      <c r="CB12" s="88">
        <v>46125.666666666664</v>
      </c>
      <c r="CC12">
        <v>189.31</v>
      </c>
      <c r="CD12" s="88">
        <v>46125.666666666664</v>
      </c>
      <c r="CE12">
        <v>37.979999999999997</v>
      </c>
      <c r="CF12" s="88">
        <v>46125.666666666664</v>
      </c>
      <c r="CG12">
        <v>53.94</v>
      </c>
      <c r="CH12" s="88">
        <v>46125.666666666664</v>
      </c>
      <c r="CI12">
        <v>9.4700000000000006</v>
      </c>
      <c r="CJ12" s="88">
        <v>46125.666666666664</v>
      </c>
      <c r="CK12">
        <v>155.62</v>
      </c>
      <c r="CL12" s="88">
        <v>46125.666666666664</v>
      </c>
      <c r="CM12">
        <v>58.06</v>
      </c>
      <c r="CN12" s="88">
        <v>46125.666666666664</v>
      </c>
      <c r="CO12">
        <v>10.119999999999999</v>
      </c>
      <c r="CP12" s="88">
        <v>46125.666666666664</v>
      </c>
      <c r="CQ12">
        <v>34.32</v>
      </c>
      <c r="CR12" s="88">
        <v>46125.666666666664</v>
      </c>
      <c r="CS12">
        <v>132.37</v>
      </c>
      <c r="CT12" s="88">
        <v>46125.666666666664</v>
      </c>
      <c r="CU12">
        <v>7.3</v>
      </c>
      <c r="CV12" s="88">
        <v>46125.666666666664</v>
      </c>
      <c r="CW12">
        <v>12.9</v>
      </c>
      <c r="CX12" s="88">
        <v>46125.666666666664</v>
      </c>
      <c r="CY12">
        <v>10.09</v>
      </c>
      <c r="CZ12" s="88">
        <v>46125.666666666664</v>
      </c>
      <c r="DA12">
        <v>15.9</v>
      </c>
      <c r="DB12" s="88">
        <v>46125.666666666664</v>
      </c>
      <c r="DC12">
        <v>70.62</v>
      </c>
      <c r="DD12" s="88">
        <v>46125.666666666664</v>
      </c>
      <c r="DE12">
        <v>25.97</v>
      </c>
      <c r="DF12" s="88">
        <v>46125.666666666664</v>
      </c>
      <c r="DG12">
        <v>5.15</v>
      </c>
      <c r="DH12" s="88">
        <v>46125.666666666664</v>
      </c>
      <c r="DI12">
        <v>17.05</v>
      </c>
      <c r="DJ12" s="88">
        <v>46125.666666666664</v>
      </c>
      <c r="DK12">
        <v>686.1</v>
      </c>
      <c r="DL12" s="88">
        <v>46125.666666666664</v>
      </c>
      <c r="DM12">
        <v>352.42</v>
      </c>
      <c r="DN12" s="88">
        <v>46125.666666666664</v>
      </c>
      <c r="DO12">
        <v>18.329999999999998</v>
      </c>
      <c r="DP12" s="88">
        <v>46125.666666666664</v>
      </c>
      <c r="DQ12">
        <v>95.2</v>
      </c>
      <c r="DR12" s="88">
        <v>46125.666666666664</v>
      </c>
      <c r="DS12">
        <v>9.2899999999999991</v>
      </c>
      <c r="DT12" s="88">
        <v>46125.666666666664</v>
      </c>
      <c r="DU12">
        <v>72.34</v>
      </c>
      <c r="DV12" s="88">
        <v>46125.666666666664</v>
      </c>
      <c r="DW12">
        <v>14</v>
      </c>
      <c r="DX12" s="88">
        <v>46125.666666666664</v>
      </c>
      <c r="DY12">
        <v>128.47</v>
      </c>
      <c r="DZ12" s="88">
        <v>46125.666666666664</v>
      </c>
      <c r="EA12">
        <v>114.05</v>
      </c>
      <c r="EB12" s="88">
        <v>46125.666666666664</v>
      </c>
      <c r="EC12">
        <v>12.75</v>
      </c>
      <c r="ED12" s="88">
        <v>46125.666666666664</v>
      </c>
      <c r="EE12">
        <v>6.7</v>
      </c>
      <c r="EF12" s="88">
        <v>46125.666666666664</v>
      </c>
      <c r="EG12">
        <v>82.8</v>
      </c>
    </row>
    <row r="13" spans="1:138">
      <c r="B13" s="88">
        <v>46126.666666666664</v>
      </c>
      <c r="C13">
        <v>258.83</v>
      </c>
      <c r="D13" s="88">
        <v>46126.666666666664</v>
      </c>
      <c r="E13">
        <v>235.72</v>
      </c>
      <c r="F13" s="88">
        <v>46126.666666666664</v>
      </c>
      <c r="G13">
        <v>42.62</v>
      </c>
      <c r="H13" s="88">
        <v>46126.666666666664</v>
      </c>
      <c r="I13">
        <v>249.02</v>
      </c>
      <c r="J13" s="88">
        <v>46126.666666666664</v>
      </c>
      <c r="K13">
        <v>88.57</v>
      </c>
      <c r="L13" s="88">
        <v>46126.666666666664</v>
      </c>
      <c r="M13">
        <v>18.13</v>
      </c>
      <c r="N13" s="88">
        <v>46126.666666666664</v>
      </c>
      <c r="O13">
        <v>380.78</v>
      </c>
      <c r="P13" s="88">
        <v>46126.666666666664</v>
      </c>
      <c r="Q13">
        <v>131.35</v>
      </c>
      <c r="R13" s="88">
        <v>46126.666666666664</v>
      </c>
      <c r="S13">
        <v>21.48</v>
      </c>
      <c r="T13" s="88">
        <v>46126.666666666664</v>
      </c>
      <c r="U13">
        <v>27.69</v>
      </c>
      <c r="V13" s="88">
        <v>46126.666666666664</v>
      </c>
      <c r="W13">
        <v>1.1100000000000001</v>
      </c>
      <c r="X13" s="88">
        <v>46126.666666666664</v>
      </c>
      <c r="Y13">
        <v>9.4499999999999993</v>
      </c>
      <c r="Z13" s="88">
        <v>46126.666666666664</v>
      </c>
      <c r="AA13">
        <v>102.59</v>
      </c>
      <c r="AB13" s="88">
        <v>46126.666666666664</v>
      </c>
      <c r="AC13">
        <v>216.24</v>
      </c>
      <c r="AD13" s="88">
        <v>46126.666666666664</v>
      </c>
      <c r="AE13">
        <v>100.67</v>
      </c>
      <c r="AF13" s="88">
        <v>46126.666666666664</v>
      </c>
      <c r="AG13">
        <v>27.18</v>
      </c>
      <c r="AH13" s="88">
        <v>46126.666666666664</v>
      </c>
      <c r="AI13">
        <v>920.79</v>
      </c>
      <c r="AJ13" s="88">
        <v>46126.666666666664</v>
      </c>
      <c r="AK13">
        <v>18.420000000000002</v>
      </c>
      <c r="AL13" s="88">
        <v>46126.666666666664</v>
      </c>
      <c r="AM13">
        <v>36.61</v>
      </c>
      <c r="AN13" s="88">
        <v>46126.666666666664</v>
      </c>
      <c r="AO13">
        <v>332.91</v>
      </c>
      <c r="AP13" s="88">
        <v>46126.666666666664</v>
      </c>
      <c r="AQ13">
        <v>909.63</v>
      </c>
      <c r="AR13" s="88">
        <v>46126.666666666664</v>
      </c>
      <c r="AS13">
        <v>342.71</v>
      </c>
      <c r="AT13" s="88">
        <v>46126.666666666664</v>
      </c>
      <c r="AU13">
        <v>79.09</v>
      </c>
      <c r="AV13" s="88">
        <v>46126.666666666664</v>
      </c>
      <c r="AW13">
        <v>33.549999999999997</v>
      </c>
      <c r="AX13" s="88">
        <v>46126.666666666664</v>
      </c>
      <c r="AY13">
        <v>47.37</v>
      </c>
      <c r="AZ13" s="88">
        <v>46126.666666666664</v>
      </c>
      <c r="BA13">
        <v>11.09</v>
      </c>
      <c r="BB13" s="88">
        <v>46126.666666666664</v>
      </c>
      <c r="BC13">
        <v>852.79</v>
      </c>
      <c r="BD13" s="88">
        <v>46126.666666666664</v>
      </c>
      <c r="BE13">
        <v>160.6</v>
      </c>
      <c r="BF13" s="88">
        <v>46126.666666666664</v>
      </c>
      <c r="BG13">
        <v>23.67</v>
      </c>
      <c r="BH13" s="88">
        <v>46126.666666666664</v>
      </c>
      <c r="BI13">
        <v>166.28</v>
      </c>
      <c r="BJ13" s="88">
        <v>46126.666666666664</v>
      </c>
      <c r="BK13">
        <v>6.71</v>
      </c>
      <c r="BL13" s="88">
        <v>46126.666666666664</v>
      </c>
      <c r="BM13">
        <v>662.49</v>
      </c>
      <c r="BN13" s="88">
        <v>46126.666666666664</v>
      </c>
      <c r="BO13">
        <v>23.94</v>
      </c>
      <c r="BP13" s="88">
        <v>46126.666666666664</v>
      </c>
      <c r="BQ13">
        <v>393.11</v>
      </c>
      <c r="BR13" s="88">
        <v>46126.666666666664</v>
      </c>
      <c r="BS13">
        <v>129.12</v>
      </c>
      <c r="BT13" s="88">
        <v>46126.666666666664</v>
      </c>
      <c r="BU13">
        <v>465.66</v>
      </c>
      <c r="BV13" s="88">
        <v>46126.666666666664</v>
      </c>
      <c r="BW13">
        <v>106.28</v>
      </c>
      <c r="BX13" s="88">
        <v>46126.666666666664</v>
      </c>
      <c r="BY13">
        <v>44.2</v>
      </c>
      <c r="BZ13" s="88">
        <v>46126.666666666664</v>
      </c>
      <c r="CA13">
        <v>16.12</v>
      </c>
      <c r="CB13" s="88">
        <v>46126.666666666664</v>
      </c>
      <c r="CC13">
        <v>196.51</v>
      </c>
      <c r="CD13" s="88">
        <v>46126.666666666664</v>
      </c>
      <c r="CE13">
        <v>39.32</v>
      </c>
      <c r="CF13" s="88">
        <v>46126.666666666664</v>
      </c>
      <c r="CG13">
        <v>58.58</v>
      </c>
      <c r="CH13" s="88">
        <v>46126.666666666664</v>
      </c>
      <c r="CI13">
        <v>9.4</v>
      </c>
      <c r="CJ13" s="88">
        <v>46126.666666666664</v>
      </c>
      <c r="CK13">
        <v>163</v>
      </c>
      <c r="CL13" s="88">
        <v>46126.666666666664</v>
      </c>
      <c r="CM13">
        <v>55.38</v>
      </c>
      <c r="CN13" s="88">
        <v>46126.666666666664</v>
      </c>
      <c r="CO13">
        <v>10.02</v>
      </c>
      <c r="CP13" s="88">
        <v>46126.666666666664</v>
      </c>
      <c r="CQ13">
        <v>33.93</v>
      </c>
      <c r="CR13" s="88">
        <v>46126.666666666664</v>
      </c>
      <c r="CS13">
        <v>135.69999999999999</v>
      </c>
      <c r="CT13" s="88">
        <v>46126.666666666664</v>
      </c>
      <c r="CU13">
        <v>6.71</v>
      </c>
      <c r="CV13" s="88">
        <v>46126.666666666664</v>
      </c>
      <c r="CW13">
        <v>12.64</v>
      </c>
      <c r="CX13" s="88">
        <v>46126.666666666664</v>
      </c>
      <c r="CY13">
        <v>10.119999999999999</v>
      </c>
      <c r="CZ13" s="88">
        <v>46126.666666666664</v>
      </c>
      <c r="DA13">
        <v>15.99</v>
      </c>
      <c r="DB13" s="88">
        <v>46126.666666666664</v>
      </c>
      <c r="DC13">
        <v>72.22</v>
      </c>
      <c r="DD13" s="88">
        <v>46126.666666666664</v>
      </c>
      <c r="DE13">
        <v>27.2</v>
      </c>
      <c r="DF13" s="88">
        <v>46126.666666666664</v>
      </c>
      <c r="DG13">
        <v>5.6</v>
      </c>
      <c r="DH13" s="88">
        <v>46126.666666666664</v>
      </c>
      <c r="DI13">
        <v>17.91</v>
      </c>
      <c r="DJ13" s="88">
        <v>46126.666666666664</v>
      </c>
      <c r="DK13">
        <v>694.46</v>
      </c>
      <c r="DL13" s="88">
        <v>46126.666666666664</v>
      </c>
      <c r="DM13">
        <v>364.2</v>
      </c>
      <c r="DN13" s="88">
        <v>46126.666666666664</v>
      </c>
      <c r="DO13">
        <v>18.07</v>
      </c>
      <c r="DP13" s="88">
        <v>46126.666666666664</v>
      </c>
      <c r="DQ13">
        <v>97.2</v>
      </c>
      <c r="DR13" s="88">
        <v>46126.666666666664</v>
      </c>
      <c r="DS13">
        <v>9.3699999999999992</v>
      </c>
      <c r="DT13" s="88">
        <v>46126.666666666664</v>
      </c>
      <c r="DU13">
        <v>72.91</v>
      </c>
      <c r="DV13" s="88">
        <v>46126.666666666664</v>
      </c>
      <c r="DW13">
        <v>13.99</v>
      </c>
      <c r="DX13" s="88">
        <v>46126.666666666664</v>
      </c>
      <c r="DY13">
        <v>123.85</v>
      </c>
      <c r="DZ13" s="88">
        <v>46126.666666666664</v>
      </c>
      <c r="EA13">
        <v>96.01</v>
      </c>
      <c r="EB13" s="88">
        <v>46126.666666666664</v>
      </c>
      <c r="EC13">
        <v>12.51</v>
      </c>
      <c r="ED13" s="88">
        <v>46126.666666666664</v>
      </c>
      <c r="EE13">
        <v>6.78</v>
      </c>
      <c r="EF13" s="88">
        <v>46126.666666666664</v>
      </c>
      <c r="EG13">
        <v>82.4</v>
      </c>
    </row>
    <row r="14" spans="1:138">
      <c r="B14" s="88">
        <v>46127.666666666664</v>
      </c>
      <c r="C14">
        <v>266.43</v>
      </c>
      <c r="D14" s="88">
        <v>46127.666666666664</v>
      </c>
      <c r="E14">
        <v>244.66</v>
      </c>
      <c r="F14" s="88">
        <v>46127.666666666664</v>
      </c>
      <c r="G14">
        <v>42.54</v>
      </c>
      <c r="H14" s="88">
        <v>46127.666666666664</v>
      </c>
      <c r="I14">
        <v>248.5</v>
      </c>
      <c r="J14" s="88">
        <v>46127.666666666664</v>
      </c>
      <c r="K14">
        <v>86.91</v>
      </c>
      <c r="L14" s="88">
        <v>46127.666666666664</v>
      </c>
      <c r="M14">
        <v>18.350000000000001</v>
      </c>
      <c r="N14" s="88">
        <v>46127.666666666664</v>
      </c>
      <c r="O14">
        <v>396.72</v>
      </c>
      <c r="P14" s="88">
        <v>46127.666666666664</v>
      </c>
      <c r="Q14">
        <v>133.28</v>
      </c>
      <c r="R14" s="88">
        <v>46127.666666666664</v>
      </c>
      <c r="S14">
        <v>22.34</v>
      </c>
      <c r="T14" s="88">
        <v>46127.666666666664</v>
      </c>
      <c r="U14">
        <v>28.03</v>
      </c>
      <c r="V14" s="88">
        <v>46127.666666666664</v>
      </c>
      <c r="W14">
        <v>1.07</v>
      </c>
      <c r="X14" s="88">
        <v>46127.666666666664</v>
      </c>
      <c r="Y14">
        <v>9.66</v>
      </c>
      <c r="Z14" s="88">
        <v>46127.666666666664</v>
      </c>
      <c r="AA14">
        <v>103.04</v>
      </c>
      <c r="AB14" s="88">
        <v>46127.666666666664</v>
      </c>
      <c r="AC14">
        <v>216.98</v>
      </c>
      <c r="AD14" s="88">
        <v>46127.666666666664</v>
      </c>
      <c r="AE14">
        <v>101.33</v>
      </c>
      <c r="AF14" s="88">
        <v>46127.666666666664</v>
      </c>
      <c r="AG14">
        <v>26.75</v>
      </c>
      <c r="AH14" s="88">
        <v>46127.666666666664</v>
      </c>
      <c r="AI14">
        <v>899</v>
      </c>
      <c r="AJ14" s="88">
        <v>46127.666666666664</v>
      </c>
      <c r="AK14">
        <v>20.34</v>
      </c>
      <c r="AL14" s="88">
        <v>46127.666666666664</v>
      </c>
      <c r="AM14">
        <v>37.619999999999997</v>
      </c>
      <c r="AN14" s="88">
        <v>46127.666666666664</v>
      </c>
      <c r="AO14">
        <v>337.12</v>
      </c>
      <c r="AP14" s="88">
        <v>46127.666666666664</v>
      </c>
      <c r="AQ14">
        <v>899.49</v>
      </c>
      <c r="AR14" s="88">
        <v>46127.666666666664</v>
      </c>
      <c r="AS14">
        <v>338.91</v>
      </c>
      <c r="AT14" s="88">
        <v>46127.666666666664</v>
      </c>
      <c r="AU14">
        <v>87.32</v>
      </c>
      <c r="AV14" s="88">
        <v>46127.666666666664</v>
      </c>
      <c r="AW14">
        <v>33.72</v>
      </c>
      <c r="AX14" s="88">
        <v>46127.666666666664</v>
      </c>
      <c r="AY14">
        <v>48.82</v>
      </c>
      <c r="AZ14" s="88">
        <v>46127.666666666664</v>
      </c>
      <c r="BA14">
        <v>10.66</v>
      </c>
      <c r="BB14" s="88">
        <v>46127.666666666664</v>
      </c>
      <c r="BC14">
        <v>824.01</v>
      </c>
      <c r="BD14" s="88">
        <v>46127.666666666664</v>
      </c>
      <c r="BE14">
        <v>162.74</v>
      </c>
      <c r="BF14" s="88">
        <v>46127.666666666664</v>
      </c>
      <c r="BG14">
        <v>23.88</v>
      </c>
      <c r="BH14" s="88">
        <v>46127.666666666664</v>
      </c>
      <c r="BI14">
        <v>155.82</v>
      </c>
      <c r="BJ14" s="88">
        <v>46127.666666666664</v>
      </c>
      <c r="BK14">
        <v>7.88</v>
      </c>
      <c r="BL14" s="88">
        <v>46127.666666666664</v>
      </c>
      <c r="BM14">
        <v>671.58</v>
      </c>
      <c r="BN14" s="88">
        <v>46127.666666666664</v>
      </c>
      <c r="BO14">
        <v>23.73</v>
      </c>
      <c r="BP14" s="88">
        <v>46127.666666666664</v>
      </c>
      <c r="BQ14">
        <v>411.22</v>
      </c>
      <c r="BR14" s="88">
        <v>46127.666666666664</v>
      </c>
      <c r="BS14">
        <v>128.22999999999999</v>
      </c>
      <c r="BT14" s="88">
        <v>46127.666666666664</v>
      </c>
      <c r="BU14">
        <v>456.23</v>
      </c>
      <c r="BV14" s="88">
        <v>46127.666666666664</v>
      </c>
      <c r="BW14">
        <v>107.71</v>
      </c>
      <c r="BX14" s="88">
        <v>46127.666666666664</v>
      </c>
      <c r="BY14">
        <v>45.44</v>
      </c>
      <c r="BZ14" s="88">
        <v>46127.666666666664</v>
      </c>
      <c r="CA14">
        <v>16.97</v>
      </c>
      <c r="CB14" s="88">
        <v>46127.666666666664</v>
      </c>
      <c r="CC14">
        <v>198.87</v>
      </c>
      <c r="CD14" s="88">
        <v>46127.666666666664</v>
      </c>
      <c r="CE14">
        <v>40.81</v>
      </c>
      <c r="CF14" s="88">
        <v>46127.666666666664</v>
      </c>
      <c r="CG14">
        <v>63.35</v>
      </c>
      <c r="CH14" s="88">
        <v>46127.666666666664</v>
      </c>
      <c r="CI14">
        <v>10.029999999999999</v>
      </c>
      <c r="CJ14" s="88">
        <v>46127.666666666664</v>
      </c>
      <c r="CK14">
        <v>169.81</v>
      </c>
      <c r="CL14" s="88">
        <v>46127.666666666664</v>
      </c>
      <c r="CM14">
        <v>55.83</v>
      </c>
      <c r="CN14" s="88">
        <v>46127.666666666664</v>
      </c>
      <c r="CO14">
        <v>10.61</v>
      </c>
      <c r="CP14" s="88">
        <v>46127.666666666664</v>
      </c>
      <c r="CQ14">
        <v>34.409999999999997</v>
      </c>
      <c r="CR14" s="88">
        <v>46127.666666666664</v>
      </c>
      <c r="CS14">
        <v>142.15</v>
      </c>
      <c r="CT14" s="88">
        <v>46127.666666666664</v>
      </c>
      <c r="CU14">
        <v>6.97</v>
      </c>
      <c r="CV14" s="88">
        <v>46127.666666666664</v>
      </c>
      <c r="CW14">
        <v>13.03</v>
      </c>
      <c r="CX14" s="88">
        <v>46127.666666666664</v>
      </c>
      <c r="CY14">
        <v>10.18</v>
      </c>
      <c r="CZ14" s="88">
        <v>46127.666666666664</v>
      </c>
      <c r="DA14">
        <v>16.41</v>
      </c>
      <c r="DB14" s="88">
        <v>46127.666666666664</v>
      </c>
      <c r="DC14">
        <v>73.599999999999994</v>
      </c>
      <c r="DD14" s="88">
        <v>46127.666666666664</v>
      </c>
      <c r="DE14">
        <v>27.29</v>
      </c>
      <c r="DF14" s="88">
        <v>46127.666666666664</v>
      </c>
      <c r="DG14">
        <v>6.04</v>
      </c>
      <c r="DH14" s="88">
        <v>46127.666666666664</v>
      </c>
      <c r="DI14">
        <v>18.79</v>
      </c>
      <c r="DJ14" s="88">
        <v>46127.666666666664</v>
      </c>
      <c r="DK14">
        <v>699.94</v>
      </c>
      <c r="DL14" s="88">
        <v>46127.666666666664</v>
      </c>
      <c r="DM14">
        <v>391.95</v>
      </c>
      <c r="DN14" s="88">
        <v>46127.666666666664</v>
      </c>
      <c r="DO14">
        <v>18.489999999999998</v>
      </c>
      <c r="DP14" s="88">
        <v>46127.666666666664</v>
      </c>
      <c r="DQ14">
        <v>94.27</v>
      </c>
      <c r="DR14" s="88">
        <v>46127.666666666664</v>
      </c>
      <c r="DS14">
        <v>10.7</v>
      </c>
      <c r="DT14" s="88">
        <v>46127.666666666664</v>
      </c>
      <c r="DU14">
        <v>77.28</v>
      </c>
      <c r="DV14" s="88">
        <v>46127.666666666664</v>
      </c>
      <c r="DW14">
        <v>15.42</v>
      </c>
      <c r="DX14" s="88">
        <v>46127.666666666664</v>
      </c>
      <c r="DY14">
        <v>122.59</v>
      </c>
      <c r="DZ14" s="88">
        <v>46127.666666666664</v>
      </c>
      <c r="EA14">
        <v>91.49</v>
      </c>
      <c r="EB14" s="88">
        <v>46127.666666666664</v>
      </c>
      <c r="EC14">
        <v>12.18</v>
      </c>
      <c r="ED14" s="88">
        <v>46127.666666666664</v>
      </c>
      <c r="EE14">
        <v>6.9</v>
      </c>
      <c r="EF14" s="88">
        <v>46127.666666666664</v>
      </c>
      <c r="EG14">
        <v>89.03</v>
      </c>
    </row>
    <row r="15" spans="1:138">
      <c r="B15" s="88">
        <v>46128.666666666664</v>
      </c>
      <c r="C15">
        <v>263.39999999999998</v>
      </c>
      <c r="D15" s="88">
        <v>46128.666666666664</v>
      </c>
      <c r="E15">
        <v>248.16</v>
      </c>
      <c r="F15" s="88">
        <v>46128.666666666664</v>
      </c>
      <c r="G15">
        <v>41.15</v>
      </c>
      <c r="H15" s="88">
        <v>46128.666666666664</v>
      </c>
      <c r="I15">
        <v>249.7</v>
      </c>
      <c r="J15" s="88">
        <v>46128.666666666664</v>
      </c>
      <c r="K15">
        <v>90.94</v>
      </c>
      <c r="L15" s="88">
        <v>46128.666666666664</v>
      </c>
      <c r="M15">
        <v>18.7</v>
      </c>
      <c r="N15" s="88">
        <v>46128.666666666664</v>
      </c>
      <c r="O15">
        <v>398.47</v>
      </c>
      <c r="P15" s="88">
        <v>46128.666666666664</v>
      </c>
      <c r="Q15">
        <v>138.59</v>
      </c>
      <c r="R15" s="88">
        <v>46128.666666666664</v>
      </c>
      <c r="S15">
        <v>22.44</v>
      </c>
      <c r="T15" s="88">
        <v>46128.666666666664</v>
      </c>
      <c r="U15">
        <v>26.93</v>
      </c>
      <c r="V15" s="88">
        <v>46128.666666666664</v>
      </c>
      <c r="W15">
        <v>1.06</v>
      </c>
      <c r="X15" s="88">
        <v>46128.666666666664</v>
      </c>
      <c r="Y15">
        <v>9.7200000000000006</v>
      </c>
      <c r="Z15" s="88">
        <v>46128.666666666664</v>
      </c>
      <c r="AA15">
        <v>103.9</v>
      </c>
      <c r="AB15" s="88">
        <v>46128.666666666664</v>
      </c>
      <c r="AC15">
        <v>217.86</v>
      </c>
      <c r="AD15" s="88">
        <v>46128.666666666664</v>
      </c>
      <c r="AE15">
        <v>99.93</v>
      </c>
      <c r="AF15" s="88">
        <v>46128.666666666664</v>
      </c>
      <c r="AG15">
        <v>26.87</v>
      </c>
      <c r="AH15" s="88">
        <v>46128.666666666664</v>
      </c>
      <c r="AI15">
        <v>869.79</v>
      </c>
      <c r="AJ15" s="88">
        <v>46128.666666666664</v>
      </c>
      <c r="AK15">
        <v>20.32</v>
      </c>
      <c r="AL15" s="88">
        <v>46128.666666666664</v>
      </c>
      <c r="AM15">
        <v>44.17</v>
      </c>
      <c r="AN15" s="88">
        <v>46128.666666666664</v>
      </c>
      <c r="AO15">
        <v>336.02</v>
      </c>
      <c r="AP15" s="88">
        <v>46128.666666666664</v>
      </c>
      <c r="AQ15">
        <v>900</v>
      </c>
      <c r="AR15" s="88">
        <v>46128.666666666664</v>
      </c>
      <c r="AS15">
        <v>337.15</v>
      </c>
      <c r="AT15" s="88">
        <v>46128.666666666664</v>
      </c>
      <c r="AU15">
        <v>86.85</v>
      </c>
      <c r="AV15" s="88">
        <v>46128.666666666664</v>
      </c>
      <c r="AW15">
        <v>33.409999999999997</v>
      </c>
      <c r="AX15" s="88">
        <v>46128.666666666664</v>
      </c>
      <c r="AY15">
        <v>47.7</v>
      </c>
      <c r="AZ15" s="88">
        <v>46128.666666666664</v>
      </c>
      <c r="BA15">
        <v>11.07</v>
      </c>
      <c r="BB15" s="88">
        <v>46128.666666666664</v>
      </c>
      <c r="BC15">
        <v>891.22</v>
      </c>
      <c r="BD15" s="88">
        <v>46128.666666666664</v>
      </c>
      <c r="BE15">
        <v>162.91999999999999</v>
      </c>
      <c r="BF15" s="88">
        <v>46128.666666666664</v>
      </c>
      <c r="BG15">
        <v>27.28</v>
      </c>
      <c r="BH15" s="88">
        <v>46128.666666666664</v>
      </c>
      <c r="BI15">
        <v>160.59</v>
      </c>
      <c r="BJ15" s="88">
        <v>46128.666666666664</v>
      </c>
      <c r="BK15">
        <v>7.48</v>
      </c>
      <c r="BL15" s="88">
        <v>46128.666666666664</v>
      </c>
      <c r="BM15">
        <v>676.87</v>
      </c>
      <c r="BN15" s="88">
        <v>46128.666666666664</v>
      </c>
      <c r="BO15">
        <v>24.73</v>
      </c>
      <c r="BP15" s="88">
        <v>46128.666666666664</v>
      </c>
      <c r="BQ15">
        <v>420.26</v>
      </c>
      <c r="BR15" s="88">
        <v>46128.666666666664</v>
      </c>
      <c r="BS15">
        <v>129.31</v>
      </c>
      <c r="BT15" s="88">
        <v>46128.666666666664</v>
      </c>
      <c r="BU15">
        <v>457.23</v>
      </c>
      <c r="BV15" s="88">
        <v>46128.666666666664</v>
      </c>
      <c r="BW15">
        <v>107.79</v>
      </c>
      <c r="BX15" s="88">
        <v>46128.666666666664</v>
      </c>
      <c r="BY15">
        <v>45.7</v>
      </c>
      <c r="BZ15" s="88">
        <v>46128.666666666664</v>
      </c>
      <c r="CA15">
        <v>21.49</v>
      </c>
      <c r="CB15" s="88">
        <v>46128.666666666664</v>
      </c>
      <c r="CC15">
        <v>198.35</v>
      </c>
      <c r="CD15" s="88">
        <v>46128.666666666664</v>
      </c>
      <c r="CE15">
        <v>40.93</v>
      </c>
      <c r="CF15" s="88">
        <v>46128.666666666664</v>
      </c>
      <c r="CG15">
        <v>64.209999999999994</v>
      </c>
      <c r="CH15" s="88">
        <v>46128.666666666664</v>
      </c>
      <c r="CI15">
        <v>10.199999999999999</v>
      </c>
      <c r="CJ15" s="88">
        <v>46128.666666666664</v>
      </c>
      <c r="CK15">
        <v>178.34</v>
      </c>
      <c r="CL15" s="88">
        <v>46128.666666666664</v>
      </c>
      <c r="CM15">
        <v>56.87</v>
      </c>
      <c r="CN15" s="88">
        <v>46128.666666666664</v>
      </c>
      <c r="CO15">
        <v>10.61</v>
      </c>
      <c r="CP15" s="88">
        <v>46128.666666666664</v>
      </c>
      <c r="CQ15">
        <v>39.89</v>
      </c>
      <c r="CR15" s="88">
        <v>46128.666666666664</v>
      </c>
      <c r="CS15">
        <v>142.76</v>
      </c>
      <c r="CT15" s="88">
        <v>46128.666666666664</v>
      </c>
      <c r="CU15">
        <v>7.34</v>
      </c>
      <c r="CV15" s="88">
        <v>46128.666666666664</v>
      </c>
      <c r="CW15">
        <v>13.71</v>
      </c>
      <c r="CX15" s="88">
        <v>46128.666666666664</v>
      </c>
      <c r="CY15">
        <v>9.9600000000000009</v>
      </c>
      <c r="CZ15" s="88">
        <v>46128.666666666664</v>
      </c>
      <c r="DA15">
        <v>16.89</v>
      </c>
      <c r="DB15" s="88">
        <v>46128.666666666664</v>
      </c>
      <c r="DC15">
        <v>82.93</v>
      </c>
      <c r="DD15" s="88">
        <v>46128.666666666664</v>
      </c>
      <c r="DE15">
        <v>28.4</v>
      </c>
      <c r="DF15" s="88">
        <v>46128.666666666664</v>
      </c>
      <c r="DG15">
        <v>6.02</v>
      </c>
      <c r="DH15" s="88">
        <v>46128.666666666664</v>
      </c>
      <c r="DI15">
        <v>19.03</v>
      </c>
      <c r="DJ15" s="88">
        <v>46128.666666666664</v>
      </c>
      <c r="DK15">
        <v>701.66</v>
      </c>
      <c r="DL15" s="88">
        <v>46128.666666666664</v>
      </c>
      <c r="DM15">
        <v>388.9</v>
      </c>
      <c r="DN15" s="88">
        <v>46128.666666666664</v>
      </c>
      <c r="DO15">
        <v>18.87</v>
      </c>
      <c r="DP15" s="88">
        <v>46128.666666666664</v>
      </c>
      <c r="DQ15">
        <v>95.03</v>
      </c>
      <c r="DR15" s="88">
        <v>46128.666666666664</v>
      </c>
      <c r="DS15">
        <v>10.42</v>
      </c>
      <c r="DT15" s="88">
        <v>46128.666666666664</v>
      </c>
      <c r="DU15">
        <v>76.48</v>
      </c>
      <c r="DV15" s="88">
        <v>46128.666666666664</v>
      </c>
      <c r="DW15">
        <v>15.91</v>
      </c>
      <c r="DX15" s="88">
        <v>46128.666666666664</v>
      </c>
      <c r="DY15">
        <v>125.84</v>
      </c>
      <c r="DZ15" s="88">
        <v>46128.666666666664</v>
      </c>
      <c r="EA15">
        <v>76.88</v>
      </c>
      <c r="EB15" s="88">
        <v>46128.666666666664</v>
      </c>
      <c r="EC15">
        <v>12.68</v>
      </c>
      <c r="ED15" s="88">
        <v>46128.666666666664</v>
      </c>
      <c r="EE15">
        <v>6.85</v>
      </c>
      <c r="EF15" s="88">
        <v>46128.666666666664</v>
      </c>
      <c r="EG15">
        <v>86.68</v>
      </c>
    </row>
    <row r="16" spans="1:138">
      <c r="B16" s="88">
        <v>46129.666666666664</v>
      </c>
      <c r="C16">
        <v>270.23</v>
      </c>
      <c r="D16" s="88">
        <v>46129.666666666664</v>
      </c>
      <c r="E16">
        <v>244.45</v>
      </c>
      <c r="F16" s="88">
        <v>46129.666666666664</v>
      </c>
      <c r="G16">
        <v>45.4</v>
      </c>
      <c r="H16" s="88">
        <v>46129.666666666664</v>
      </c>
      <c r="I16">
        <v>250.56</v>
      </c>
      <c r="J16" s="88">
        <v>46129.666666666664</v>
      </c>
      <c r="K16">
        <v>85.53</v>
      </c>
      <c r="L16" s="88">
        <v>46129.666666666664</v>
      </c>
      <c r="M16">
        <v>18.72</v>
      </c>
      <c r="N16" s="88">
        <v>46129.666666666664</v>
      </c>
      <c r="O16">
        <v>406.54</v>
      </c>
      <c r="P16" s="88">
        <v>46129.666666666664</v>
      </c>
      <c r="Q16">
        <v>141.01</v>
      </c>
      <c r="R16" s="88">
        <v>46129.666666666664</v>
      </c>
      <c r="S16">
        <v>22.95</v>
      </c>
      <c r="T16" s="88">
        <v>46129.666666666664</v>
      </c>
      <c r="U16">
        <v>25.65</v>
      </c>
      <c r="V16" s="88">
        <v>46129.666666666664</v>
      </c>
      <c r="W16">
        <v>1.08</v>
      </c>
      <c r="X16" s="88">
        <v>46129.666666666664</v>
      </c>
      <c r="Y16">
        <v>9.94</v>
      </c>
      <c r="Z16" s="88">
        <v>46129.666666666664</v>
      </c>
      <c r="AA16">
        <v>106.29</v>
      </c>
      <c r="AB16" s="88">
        <v>46129.666666666664</v>
      </c>
      <c r="AC16">
        <v>224.36</v>
      </c>
      <c r="AD16" s="88">
        <v>46129.666666666664</v>
      </c>
      <c r="AE16">
        <v>105.93</v>
      </c>
      <c r="AF16" s="88">
        <v>46129.666666666664</v>
      </c>
      <c r="AG16">
        <v>27.37</v>
      </c>
      <c r="AH16" s="88">
        <v>46129.666666666664</v>
      </c>
      <c r="AI16">
        <v>872.58</v>
      </c>
      <c r="AJ16" s="88">
        <v>46129.666666666664</v>
      </c>
      <c r="AK16">
        <v>18.920000000000002</v>
      </c>
      <c r="AL16" s="88">
        <v>46129.666666666664</v>
      </c>
      <c r="AM16">
        <v>43.72</v>
      </c>
      <c r="AN16" s="88">
        <v>46129.666666666664</v>
      </c>
      <c r="AO16">
        <v>341.68</v>
      </c>
      <c r="AP16" s="88">
        <v>46129.666666666664</v>
      </c>
      <c r="AQ16">
        <v>925.95</v>
      </c>
      <c r="AR16" s="88">
        <v>46129.666666666664</v>
      </c>
      <c r="AS16">
        <v>349.4</v>
      </c>
      <c r="AT16" s="88">
        <v>46129.666666666664</v>
      </c>
      <c r="AU16">
        <v>90.75</v>
      </c>
      <c r="AV16" s="88">
        <v>46129.666666666664</v>
      </c>
      <c r="AW16">
        <v>32.880000000000003</v>
      </c>
      <c r="AX16" s="88">
        <v>46129.666666666664</v>
      </c>
      <c r="AY16">
        <v>48.12</v>
      </c>
      <c r="AZ16" s="88">
        <v>46129.666666666664</v>
      </c>
      <c r="BA16">
        <v>12.45</v>
      </c>
      <c r="BB16" s="88">
        <v>46129.666666666664</v>
      </c>
      <c r="BC16">
        <v>894.07</v>
      </c>
      <c r="BD16" s="88">
        <v>46129.666666666664</v>
      </c>
      <c r="BE16">
        <v>167.28</v>
      </c>
      <c r="BF16" s="88">
        <v>46129.666666666664</v>
      </c>
      <c r="BG16">
        <v>27.58</v>
      </c>
      <c r="BH16" s="88">
        <v>46129.666666666664</v>
      </c>
      <c r="BI16">
        <v>156.56</v>
      </c>
      <c r="BJ16" s="88">
        <v>46129.666666666664</v>
      </c>
      <c r="BK16">
        <v>9.84</v>
      </c>
      <c r="BL16" s="88">
        <v>46129.666666666664</v>
      </c>
      <c r="BM16">
        <v>688.55</v>
      </c>
      <c r="BN16" s="88">
        <v>46129.666666666664</v>
      </c>
      <c r="BO16">
        <v>24.57</v>
      </c>
      <c r="BP16" s="88">
        <v>46129.666666666664</v>
      </c>
      <c r="BQ16">
        <v>422.79</v>
      </c>
      <c r="BR16" s="88">
        <v>46129.666666666664</v>
      </c>
      <c r="BS16">
        <v>133.22</v>
      </c>
      <c r="BT16" s="88">
        <v>46129.666666666664</v>
      </c>
      <c r="BU16">
        <v>455.07</v>
      </c>
      <c r="BV16" s="88">
        <v>46129.666666666664</v>
      </c>
      <c r="BW16">
        <v>97.31</v>
      </c>
      <c r="BX16" s="88">
        <v>46129.666666666664</v>
      </c>
      <c r="BY16">
        <v>46.03</v>
      </c>
      <c r="BZ16" s="88">
        <v>46129.666666666664</v>
      </c>
      <c r="CA16">
        <v>22.83</v>
      </c>
      <c r="CB16" s="88">
        <v>46129.666666666664</v>
      </c>
      <c r="CC16">
        <v>201.68</v>
      </c>
      <c r="CD16" s="88">
        <v>46129.666666666664</v>
      </c>
      <c r="CE16">
        <v>40.520000000000003</v>
      </c>
      <c r="CF16" s="88">
        <v>46129.666666666664</v>
      </c>
      <c r="CG16">
        <v>66.81</v>
      </c>
      <c r="CH16" s="88">
        <v>46129.666666666664</v>
      </c>
      <c r="CI16">
        <v>10</v>
      </c>
      <c r="CJ16" s="88">
        <v>46129.666666666664</v>
      </c>
      <c r="CK16">
        <v>175.06</v>
      </c>
      <c r="CL16" s="88">
        <v>46129.666666666664</v>
      </c>
      <c r="CM16">
        <v>53.79</v>
      </c>
      <c r="CN16" s="88">
        <v>46129.666666666664</v>
      </c>
      <c r="CO16">
        <v>10.41</v>
      </c>
      <c r="CP16" s="88">
        <v>46129.666666666664</v>
      </c>
      <c r="CQ16">
        <v>38.479999999999997</v>
      </c>
      <c r="CR16" s="88">
        <v>46129.666666666664</v>
      </c>
      <c r="CS16">
        <v>146.38999999999999</v>
      </c>
      <c r="CT16" s="88">
        <v>46129.666666666664</v>
      </c>
      <c r="CU16">
        <v>7.26</v>
      </c>
      <c r="CV16" s="88">
        <v>46129.666666666664</v>
      </c>
      <c r="CW16">
        <v>12.72</v>
      </c>
      <c r="CX16" s="88">
        <v>46129.666666666664</v>
      </c>
      <c r="CY16">
        <v>10.16</v>
      </c>
      <c r="CZ16" s="88">
        <v>46129.666666666664</v>
      </c>
      <c r="DA16">
        <v>17.23</v>
      </c>
      <c r="DB16" s="88">
        <v>46129.666666666664</v>
      </c>
      <c r="DC16">
        <v>84.8</v>
      </c>
      <c r="DD16" s="88">
        <v>46129.666666666664</v>
      </c>
      <c r="DE16">
        <v>28.56</v>
      </c>
      <c r="DF16" s="88">
        <v>46129.666666666664</v>
      </c>
      <c r="DG16">
        <v>6.03</v>
      </c>
      <c r="DH16" s="88">
        <v>46129.666666666664</v>
      </c>
      <c r="DI16">
        <v>19.43</v>
      </c>
      <c r="DJ16" s="88">
        <v>46129.666666666664</v>
      </c>
      <c r="DK16">
        <v>710.14</v>
      </c>
      <c r="DL16" s="88">
        <v>46129.666666666664</v>
      </c>
      <c r="DM16">
        <v>400.62</v>
      </c>
      <c r="DN16" s="88">
        <v>46129.666666666664</v>
      </c>
      <c r="DO16">
        <v>18.78</v>
      </c>
      <c r="DP16" s="88">
        <v>46129.666666666664</v>
      </c>
      <c r="DQ16">
        <v>101.8</v>
      </c>
      <c r="DR16" s="88">
        <v>46129.666666666664</v>
      </c>
      <c r="DS16">
        <v>10.57</v>
      </c>
      <c r="DT16" s="88">
        <v>46129.666666666664</v>
      </c>
      <c r="DU16">
        <v>77.12</v>
      </c>
      <c r="DV16" s="88">
        <v>46129.666666666664</v>
      </c>
      <c r="DW16">
        <v>14.09</v>
      </c>
      <c r="DX16" s="88">
        <v>46129.666666666664</v>
      </c>
      <c r="DY16">
        <v>116.04</v>
      </c>
      <c r="DZ16" s="88">
        <v>46129.666666666664</v>
      </c>
      <c r="EA16">
        <v>84.47</v>
      </c>
      <c r="EB16" s="88">
        <v>46129.666666666664</v>
      </c>
      <c r="EC16">
        <v>11.46</v>
      </c>
      <c r="ED16" s="88">
        <v>46129.666666666664</v>
      </c>
      <c r="EE16">
        <v>6.95</v>
      </c>
      <c r="EF16" s="88">
        <v>46129.666666666664</v>
      </c>
      <c r="EG16">
        <v>88.02</v>
      </c>
    </row>
    <row r="17" spans="1:137">
      <c r="B17" s="88">
        <v>46132.666666666664</v>
      </c>
      <c r="C17">
        <v>273.05</v>
      </c>
      <c r="D17" s="88">
        <v>46132.666666666664</v>
      </c>
      <c r="E17">
        <v>248.63</v>
      </c>
      <c r="F17" s="88">
        <v>46132.666666666664</v>
      </c>
      <c r="G17">
        <v>43.54</v>
      </c>
      <c r="H17" s="88">
        <v>46132.666666666664</v>
      </c>
      <c r="I17">
        <v>248.28</v>
      </c>
      <c r="J17" s="88">
        <v>46132.666666666664</v>
      </c>
      <c r="K17">
        <v>81</v>
      </c>
      <c r="L17" s="88">
        <v>46132.666666666664</v>
      </c>
      <c r="M17">
        <v>18.89</v>
      </c>
      <c r="N17" s="88">
        <v>46132.666666666664</v>
      </c>
      <c r="O17">
        <v>399.63</v>
      </c>
      <c r="P17" s="88">
        <v>46132.666666666664</v>
      </c>
      <c r="Q17">
        <v>140.16999999999999</v>
      </c>
      <c r="R17" s="88">
        <v>46132.666666666664</v>
      </c>
      <c r="S17">
        <v>22.53</v>
      </c>
      <c r="T17" s="88">
        <v>46132.666666666664</v>
      </c>
      <c r="U17">
        <v>25.72</v>
      </c>
      <c r="V17" s="88">
        <v>46132.666666666664</v>
      </c>
      <c r="W17">
        <v>1.08</v>
      </c>
      <c r="X17" s="88">
        <v>46132.666666666664</v>
      </c>
      <c r="Y17">
        <v>9.73</v>
      </c>
      <c r="Z17" s="88">
        <v>46132.666666666664</v>
      </c>
      <c r="AA17">
        <v>106.3</v>
      </c>
      <c r="AB17" s="88">
        <v>46132.666666666664</v>
      </c>
      <c r="AC17">
        <v>230.62</v>
      </c>
      <c r="AD17" s="88">
        <v>46132.666666666664</v>
      </c>
      <c r="AE17">
        <v>107.25</v>
      </c>
      <c r="AF17" s="88">
        <v>46132.666666666664</v>
      </c>
      <c r="AG17">
        <v>27.39</v>
      </c>
      <c r="AH17" s="88">
        <v>46132.666666666664</v>
      </c>
      <c r="AI17">
        <v>881.98</v>
      </c>
      <c r="AJ17" s="88">
        <v>46132.666666666664</v>
      </c>
      <c r="AK17">
        <v>19.010000000000002</v>
      </c>
      <c r="AL17" s="88">
        <v>46132.666666666664</v>
      </c>
      <c r="AM17">
        <v>42.79</v>
      </c>
      <c r="AN17" s="88">
        <v>46132.666666666664</v>
      </c>
      <c r="AO17">
        <v>337.42</v>
      </c>
      <c r="AP17" s="88">
        <v>46132.666666666664</v>
      </c>
      <c r="AQ17">
        <v>941.74</v>
      </c>
      <c r="AR17" s="88">
        <v>46132.666666666664</v>
      </c>
      <c r="AS17">
        <v>350.99</v>
      </c>
      <c r="AT17" s="88">
        <v>46132.666666666664</v>
      </c>
      <c r="AU17">
        <v>91.28</v>
      </c>
      <c r="AV17" s="88">
        <v>46132.666666666664</v>
      </c>
      <c r="AW17">
        <v>31.41</v>
      </c>
      <c r="AX17" s="88">
        <v>46132.666666666664</v>
      </c>
      <c r="AY17">
        <v>48.72</v>
      </c>
      <c r="AZ17" s="88">
        <v>46132.666666666664</v>
      </c>
      <c r="BA17">
        <v>12.45</v>
      </c>
      <c r="BB17" s="88">
        <v>46132.666666666664</v>
      </c>
      <c r="BC17">
        <v>895.11</v>
      </c>
      <c r="BD17" s="88">
        <v>46132.666666666664</v>
      </c>
      <c r="BE17">
        <v>166.81</v>
      </c>
      <c r="BF17" s="88">
        <v>46132.666666666664</v>
      </c>
      <c r="BG17">
        <v>27.52</v>
      </c>
      <c r="BH17" s="88">
        <v>46132.666666666664</v>
      </c>
      <c r="BI17">
        <v>156.09</v>
      </c>
      <c r="BJ17" s="88">
        <v>46132.666666666664</v>
      </c>
      <c r="BK17">
        <v>10.34</v>
      </c>
      <c r="BL17" s="88">
        <v>46132.666666666664</v>
      </c>
      <c r="BM17">
        <v>670.91</v>
      </c>
      <c r="BN17" s="88">
        <v>46132.666666666664</v>
      </c>
      <c r="BO17">
        <v>24.11</v>
      </c>
      <c r="BP17" s="88">
        <v>46132.666666666664</v>
      </c>
      <c r="BQ17">
        <v>418.07</v>
      </c>
      <c r="BR17" s="88">
        <v>46132.666666666664</v>
      </c>
      <c r="BS17">
        <v>133.05000000000001</v>
      </c>
      <c r="BT17" s="88">
        <v>46132.666666666664</v>
      </c>
      <c r="BU17">
        <v>448.42</v>
      </c>
      <c r="BV17" s="88">
        <v>46132.666666666664</v>
      </c>
      <c r="BW17">
        <v>94.83</v>
      </c>
      <c r="BX17" s="88">
        <v>46132.666666666664</v>
      </c>
      <c r="BY17">
        <v>46.48</v>
      </c>
      <c r="BZ17" s="88">
        <v>46132.666666666664</v>
      </c>
      <c r="CA17">
        <v>23.2</v>
      </c>
      <c r="CB17" s="88">
        <v>46132.666666666664</v>
      </c>
      <c r="CC17">
        <v>202.06</v>
      </c>
      <c r="CD17" s="88">
        <v>46132.666666666664</v>
      </c>
      <c r="CE17">
        <v>40.46</v>
      </c>
      <c r="CF17" s="88">
        <v>46132.666666666664</v>
      </c>
      <c r="CG17">
        <v>68.13</v>
      </c>
      <c r="CH17" s="88">
        <v>46132.666666666664</v>
      </c>
      <c r="CI17">
        <v>10.73</v>
      </c>
      <c r="CJ17" s="88">
        <v>46132.666666666664</v>
      </c>
      <c r="CK17">
        <v>177.58</v>
      </c>
      <c r="CL17" s="88">
        <v>46132.666666666664</v>
      </c>
      <c r="CM17">
        <v>54.48</v>
      </c>
      <c r="CN17" s="88">
        <v>46132.666666666664</v>
      </c>
      <c r="CO17">
        <v>10.56</v>
      </c>
      <c r="CP17" s="88">
        <v>46132.666666666664</v>
      </c>
      <c r="CQ17">
        <v>37.5</v>
      </c>
      <c r="CR17" s="88">
        <v>46132.666666666664</v>
      </c>
      <c r="CS17">
        <v>145.88999999999999</v>
      </c>
      <c r="CT17" s="88">
        <v>46132.666666666664</v>
      </c>
      <c r="CU17">
        <v>8.59</v>
      </c>
      <c r="CV17" s="88">
        <v>46132.666666666664</v>
      </c>
      <c r="CW17">
        <v>12.6</v>
      </c>
      <c r="CX17" s="88">
        <v>46132.666666666664</v>
      </c>
      <c r="CY17">
        <v>10.1</v>
      </c>
      <c r="CZ17" s="88">
        <v>46132.666666666664</v>
      </c>
      <c r="DA17">
        <v>16.920000000000002</v>
      </c>
      <c r="DB17" s="88">
        <v>46132.666666666664</v>
      </c>
      <c r="DC17">
        <v>89.46</v>
      </c>
      <c r="DD17" s="88">
        <v>46132.666666666664</v>
      </c>
      <c r="DE17">
        <v>28.81</v>
      </c>
      <c r="DF17" s="88">
        <v>46132.666666666664</v>
      </c>
      <c r="DG17">
        <v>6</v>
      </c>
      <c r="DH17" s="88">
        <v>46132.666666666664</v>
      </c>
      <c r="DI17">
        <v>19.5</v>
      </c>
      <c r="DJ17" s="88">
        <v>46132.666666666664</v>
      </c>
      <c r="DK17">
        <v>708.72</v>
      </c>
      <c r="DL17" s="88">
        <v>46132.666666666664</v>
      </c>
      <c r="DM17">
        <v>392.5</v>
      </c>
      <c r="DN17" s="88">
        <v>46132.666666666664</v>
      </c>
      <c r="DO17">
        <v>19.75</v>
      </c>
      <c r="DP17" s="88">
        <v>46132.666666666664</v>
      </c>
      <c r="DQ17">
        <v>98.91</v>
      </c>
      <c r="DR17" s="88">
        <v>46132.666666666664</v>
      </c>
      <c r="DS17">
        <v>10.64</v>
      </c>
      <c r="DT17" s="88">
        <v>46132.666666666664</v>
      </c>
      <c r="DU17">
        <v>77.489999999999995</v>
      </c>
      <c r="DV17" s="88">
        <v>46132.666666666664</v>
      </c>
      <c r="DW17">
        <v>15.44</v>
      </c>
      <c r="DX17" s="88">
        <v>46132.666666666664</v>
      </c>
      <c r="DY17">
        <v>121.32</v>
      </c>
      <c r="DZ17" s="88">
        <v>46132.666666666664</v>
      </c>
      <c r="EA17">
        <v>91.92</v>
      </c>
      <c r="EB17" s="88">
        <v>46132.666666666664</v>
      </c>
      <c r="EC17">
        <v>11.45</v>
      </c>
      <c r="ED17" s="88">
        <v>46132.666666666664</v>
      </c>
      <c r="EE17">
        <v>7.13</v>
      </c>
      <c r="EF17" s="88">
        <v>46132.666666666664</v>
      </c>
      <c r="EG17">
        <v>90.56</v>
      </c>
    </row>
    <row r="18" spans="1:137">
      <c r="B18" s="88">
        <v>46133.666666666664</v>
      </c>
      <c r="C18">
        <v>266.17</v>
      </c>
      <c r="D18" s="88">
        <v>46133.666666666664</v>
      </c>
      <c r="E18">
        <v>247.18</v>
      </c>
      <c r="F18" s="88">
        <v>46133.666666666664</v>
      </c>
      <c r="G18">
        <v>41.45</v>
      </c>
      <c r="H18" s="88">
        <v>46133.666666666664</v>
      </c>
      <c r="I18">
        <v>249.91</v>
      </c>
      <c r="J18" s="88">
        <v>46133.666666666664</v>
      </c>
      <c r="K18">
        <v>80.010000000000005</v>
      </c>
      <c r="L18" s="88">
        <v>46133.666666666664</v>
      </c>
      <c r="M18">
        <v>18.7</v>
      </c>
      <c r="N18" s="88">
        <v>46133.666666666664</v>
      </c>
      <c r="O18">
        <v>402.17</v>
      </c>
      <c r="P18" s="88">
        <v>46133.666666666664</v>
      </c>
      <c r="Q18">
        <v>135.38</v>
      </c>
      <c r="R18" s="88">
        <v>46133.666666666664</v>
      </c>
      <c r="S18">
        <v>21.71</v>
      </c>
      <c r="T18" s="88">
        <v>46133.666666666664</v>
      </c>
      <c r="U18">
        <v>27.04</v>
      </c>
      <c r="V18" s="88">
        <v>46133.666666666664</v>
      </c>
      <c r="W18">
        <v>1.04</v>
      </c>
      <c r="X18" s="88">
        <v>46133.666666666664</v>
      </c>
      <c r="Y18">
        <v>9.1300000000000008</v>
      </c>
      <c r="Z18" s="88">
        <v>46133.666666666664</v>
      </c>
      <c r="AA18">
        <v>104.29</v>
      </c>
      <c r="AB18" s="88">
        <v>46133.666666666664</v>
      </c>
      <c r="AC18">
        <v>228.81</v>
      </c>
      <c r="AD18" s="88">
        <v>46133.666666666664</v>
      </c>
      <c r="AE18">
        <v>103.83</v>
      </c>
      <c r="AF18" s="88">
        <v>46133.666666666664</v>
      </c>
      <c r="AG18">
        <v>26.9</v>
      </c>
      <c r="AH18" s="88">
        <v>46133.666666666664</v>
      </c>
      <c r="AI18">
        <v>865.48</v>
      </c>
      <c r="AJ18" s="88">
        <v>46133.666666666664</v>
      </c>
      <c r="AK18">
        <v>18.72</v>
      </c>
      <c r="AL18" s="88">
        <v>46133.666666666664</v>
      </c>
      <c r="AM18">
        <v>42.09</v>
      </c>
      <c r="AN18" s="88">
        <v>46133.666666666664</v>
      </c>
      <c r="AO18">
        <v>332.29</v>
      </c>
      <c r="AP18" s="88">
        <v>46133.666666666664</v>
      </c>
      <c r="AQ18">
        <v>926.55</v>
      </c>
      <c r="AR18" s="88">
        <v>46133.666666666664</v>
      </c>
      <c r="AS18">
        <v>343.92</v>
      </c>
      <c r="AT18" s="88">
        <v>46133.666666666664</v>
      </c>
      <c r="AU18">
        <v>86.43</v>
      </c>
      <c r="AV18" s="88">
        <v>46133.666666666664</v>
      </c>
      <c r="AW18">
        <v>29.7</v>
      </c>
      <c r="AX18" s="88">
        <v>46133.666666666664</v>
      </c>
      <c r="AY18">
        <v>45.17</v>
      </c>
      <c r="AZ18" s="88">
        <v>46133.666666666664</v>
      </c>
      <c r="BA18">
        <v>11.52</v>
      </c>
      <c r="BB18" s="88">
        <v>46133.666666666664</v>
      </c>
      <c r="BC18">
        <v>836.92</v>
      </c>
      <c r="BD18" s="88">
        <v>46133.666666666664</v>
      </c>
      <c r="BE18">
        <v>166.7</v>
      </c>
      <c r="BF18" s="88">
        <v>46133.666666666664</v>
      </c>
      <c r="BG18">
        <v>27.82</v>
      </c>
      <c r="BH18" s="88">
        <v>46133.666666666664</v>
      </c>
      <c r="BI18">
        <v>153.37</v>
      </c>
      <c r="BJ18" s="88">
        <v>46133.666666666664</v>
      </c>
      <c r="BK18">
        <v>9.08</v>
      </c>
      <c r="BL18" s="88">
        <v>46133.666666666664</v>
      </c>
      <c r="BM18">
        <v>668.84</v>
      </c>
      <c r="BN18" s="88">
        <v>46133.666666666664</v>
      </c>
      <c r="BO18">
        <v>24.2</v>
      </c>
      <c r="BP18" s="88">
        <v>46133.666666666664</v>
      </c>
      <c r="BQ18">
        <v>424.16</v>
      </c>
      <c r="BR18" s="88">
        <v>46133.666666666664</v>
      </c>
      <c r="BS18">
        <v>132.68</v>
      </c>
      <c r="BT18" s="88">
        <v>46133.666666666664</v>
      </c>
      <c r="BU18">
        <v>449.38</v>
      </c>
      <c r="BV18" s="88">
        <v>46133.666666666664</v>
      </c>
      <c r="BW18">
        <v>92.58</v>
      </c>
      <c r="BX18" s="88">
        <v>46133.666666666664</v>
      </c>
      <c r="BY18">
        <v>46.39</v>
      </c>
      <c r="BZ18" s="88">
        <v>46133.666666666664</v>
      </c>
      <c r="CA18">
        <v>22.57</v>
      </c>
      <c r="CB18" s="88">
        <v>46133.666666666664</v>
      </c>
      <c r="CC18">
        <v>199.88</v>
      </c>
      <c r="CD18" s="88">
        <v>46133.666666666664</v>
      </c>
      <c r="CE18">
        <v>39.42</v>
      </c>
      <c r="CF18" s="88">
        <v>46133.666666666664</v>
      </c>
      <c r="CG18">
        <v>62.61</v>
      </c>
      <c r="CH18" s="88">
        <v>46133.666666666664</v>
      </c>
      <c r="CI18">
        <v>10.87</v>
      </c>
      <c r="CJ18" s="88">
        <v>46133.666666666664</v>
      </c>
      <c r="CK18">
        <v>181.17</v>
      </c>
      <c r="CL18" s="88">
        <v>46133.666666666664</v>
      </c>
      <c r="CM18">
        <v>56.33</v>
      </c>
      <c r="CN18" s="88">
        <v>46133.666666666664</v>
      </c>
      <c r="CO18">
        <v>10.78</v>
      </c>
      <c r="CP18" s="88">
        <v>46133.666666666664</v>
      </c>
      <c r="CQ18">
        <v>38.03</v>
      </c>
      <c r="CR18" s="88">
        <v>46133.666666666664</v>
      </c>
      <c r="CS18">
        <v>145.97</v>
      </c>
      <c r="CT18" s="88">
        <v>46133.666666666664</v>
      </c>
      <c r="CU18">
        <v>10.25</v>
      </c>
      <c r="CV18" s="88">
        <v>46133.666666666664</v>
      </c>
      <c r="CW18">
        <v>12.57</v>
      </c>
      <c r="CX18" s="88">
        <v>46133.666666666664</v>
      </c>
      <c r="CY18">
        <v>10.17</v>
      </c>
      <c r="CZ18" s="88">
        <v>46133.666666666664</v>
      </c>
      <c r="DA18">
        <v>17.149999999999999</v>
      </c>
      <c r="DB18" s="88">
        <v>46133.666666666664</v>
      </c>
      <c r="DC18">
        <v>86.64</v>
      </c>
      <c r="DD18" s="88">
        <v>46133.666666666664</v>
      </c>
      <c r="DE18">
        <v>28.43</v>
      </c>
      <c r="DF18" s="88">
        <v>46133.666666666664</v>
      </c>
      <c r="DG18">
        <v>5.64</v>
      </c>
      <c r="DH18" s="88">
        <v>46133.666666666664</v>
      </c>
      <c r="DI18">
        <v>18.829999999999998</v>
      </c>
      <c r="DJ18" s="88">
        <v>46133.666666666664</v>
      </c>
      <c r="DK18">
        <v>704.08</v>
      </c>
      <c r="DL18" s="88">
        <v>46133.666666666664</v>
      </c>
      <c r="DM18">
        <v>386.42</v>
      </c>
      <c r="DN18" s="88">
        <v>46133.666666666664</v>
      </c>
      <c r="DO18">
        <v>20</v>
      </c>
      <c r="DP18" s="88">
        <v>46133.666666666664</v>
      </c>
      <c r="DQ18">
        <v>97.13</v>
      </c>
      <c r="DR18" s="88">
        <v>46133.666666666664</v>
      </c>
      <c r="DS18">
        <v>10.07</v>
      </c>
      <c r="DT18" s="88">
        <v>46133.666666666664</v>
      </c>
      <c r="DU18">
        <v>77.260000000000005</v>
      </c>
      <c r="DV18" s="88">
        <v>46133.666666666664</v>
      </c>
      <c r="DW18">
        <v>15.37</v>
      </c>
      <c r="DX18" s="88">
        <v>46133.666666666664</v>
      </c>
      <c r="DY18">
        <v>128.25</v>
      </c>
      <c r="DZ18" s="88">
        <v>46133.666666666664</v>
      </c>
      <c r="EA18">
        <v>89</v>
      </c>
      <c r="EB18" s="88">
        <v>46133.666666666664</v>
      </c>
      <c r="EC18">
        <v>12.09</v>
      </c>
      <c r="ED18" s="88">
        <v>46133.666666666664</v>
      </c>
      <c r="EE18">
        <v>7.11</v>
      </c>
      <c r="EF18" s="88">
        <v>46133.666666666664</v>
      </c>
      <c r="EG18">
        <v>90.96</v>
      </c>
    </row>
    <row r="19" spans="1:137">
      <c r="B19" s="88">
        <v>46134.666666666664</v>
      </c>
      <c r="C19">
        <v>273.17</v>
      </c>
      <c r="D19" s="88">
        <v>46134.666666666664</v>
      </c>
      <c r="E19">
        <v>255.94</v>
      </c>
      <c r="F19" s="88">
        <v>46134.666666666664</v>
      </c>
      <c r="G19">
        <v>40.78</v>
      </c>
      <c r="H19" s="88">
        <v>46134.666666666664</v>
      </c>
      <c r="I19">
        <v>255.36</v>
      </c>
      <c r="J19" s="88">
        <v>46134.666666666664</v>
      </c>
      <c r="K19">
        <v>84.66</v>
      </c>
      <c r="L19" s="88">
        <v>46134.666666666664</v>
      </c>
      <c r="M19">
        <v>18.7</v>
      </c>
      <c r="N19" s="88">
        <v>46134.666666666664</v>
      </c>
      <c r="O19">
        <v>422.65</v>
      </c>
      <c r="P19" s="88">
        <v>46134.666666666664</v>
      </c>
      <c r="Q19">
        <v>136.41999999999999</v>
      </c>
      <c r="R19" s="88">
        <v>46134.666666666664</v>
      </c>
      <c r="S19">
        <v>23.31</v>
      </c>
      <c r="T19" s="88">
        <v>46134.666666666664</v>
      </c>
      <c r="U19">
        <v>27.71</v>
      </c>
      <c r="V19" s="88">
        <v>46134.666666666664</v>
      </c>
      <c r="W19">
        <v>1.02</v>
      </c>
      <c r="X19" s="88">
        <v>46134.666666666664</v>
      </c>
      <c r="Y19">
        <v>9.5</v>
      </c>
      <c r="Z19" s="88">
        <v>46134.666666666664</v>
      </c>
      <c r="AA19">
        <v>104.82</v>
      </c>
      <c r="AB19" s="88">
        <v>46134.666666666664</v>
      </c>
      <c r="AC19">
        <v>228.21</v>
      </c>
      <c r="AD19" s="88">
        <v>46134.666666666664</v>
      </c>
      <c r="AE19">
        <v>101.97</v>
      </c>
      <c r="AF19" s="88">
        <v>46134.666666666664</v>
      </c>
      <c r="AG19">
        <v>27.12</v>
      </c>
      <c r="AH19" s="88">
        <v>46134.666666666664</v>
      </c>
      <c r="AI19">
        <v>860.97</v>
      </c>
      <c r="AJ19" s="88">
        <v>46134.666666666664</v>
      </c>
      <c r="AK19">
        <v>19.170000000000002</v>
      </c>
      <c r="AL19" s="88">
        <v>46134.666666666664</v>
      </c>
      <c r="AM19">
        <v>41.45</v>
      </c>
      <c r="AN19" s="88">
        <v>46134.666666666664</v>
      </c>
      <c r="AO19">
        <v>339.32</v>
      </c>
      <c r="AP19" s="88">
        <v>46134.666666666664</v>
      </c>
      <c r="AQ19">
        <v>934.84</v>
      </c>
      <c r="AR19" s="88">
        <v>46134.666666666664</v>
      </c>
      <c r="AS19">
        <v>339.5</v>
      </c>
      <c r="AT19" s="88">
        <v>46134.666666666664</v>
      </c>
      <c r="AU19">
        <v>88.43</v>
      </c>
      <c r="AV19" s="88">
        <v>46134.666666666664</v>
      </c>
      <c r="AW19">
        <v>31.64</v>
      </c>
      <c r="AX19" s="88">
        <v>46134.666666666664</v>
      </c>
      <c r="AY19">
        <v>48.39</v>
      </c>
      <c r="AZ19" s="88">
        <v>46134.666666666664</v>
      </c>
      <c r="BA19">
        <v>11.23</v>
      </c>
      <c r="BB19" s="88">
        <v>46134.666666666664</v>
      </c>
      <c r="BC19">
        <v>873.6</v>
      </c>
      <c r="BD19" s="88">
        <v>46134.666666666664</v>
      </c>
      <c r="BE19">
        <v>163.44999999999999</v>
      </c>
      <c r="BF19" s="88">
        <v>46134.666666666664</v>
      </c>
      <c r="BG19">
        <v>29.94</v>
      </c>
      <c r="BH19" s="88">
        <v>46134.666666666664</v>
      </c>
      <c r="BI19">
        <v>154.63</v>
      </c>
      <c r="BJ19" s="88">
        <v>46134.666666666664</v>
      </c>
      <c r="BK19">
        <v>10.3</v>
      </c>
      <c r="BL19" s="88">
        <v>46134.666666666664</v>
      </c>
      <c r="BM19">
        <v>674.72</v>
      </c>
      <c r="BN19" s="88">
        <v>46134.666666666664</v>
      </c>
      <c r="BO19">
        <v>24.52</v>
      </c>
      <c r="BP19" s="88">
        <v>46134.666666666664</v>
      </c>
      <c r="BQ19">
        <v>432.92</v>
      </c>
      <c r="BR19" s="88">
        <v>46134.666666666664</v>
      </c>
      <c r="BS19">
        <v>130.13999999999999</v>
      </c>
      <c r="BT19" s="88">
        <v>46134.666666666664</v>
      </c>
      <c r="BU19">
        <v>487.48</v>
      </c>
      <c r="BV19" s="88">
        <v>46134.666666666664</v>
      </c>
      <c r="BW19">
        <v>93.24</v>
      </c>
      <c r="BX19" s="88">
        <v>46134.666666666664</v>
      </c>
      <c r="BY19">
        <v>45.68</v>
      </c>
      <c r="BZ19" s="88">
        <v>46134.666666666664</v>
      </c>
      <c r="CA19">
        <v>17.57</v>
      </c>
      <c r="CB19" s="88">
        <v>46134.666666666664</v>
      </c>
      <c r="CC19">
        <v>202.5</v>
      </c>
      <c r="CD19" s="88">
        <v>46134.666666666664</v>
      </c>
      <c r="CE19">
        <v>39.15</v>
      </c>
      <c r="CF19" s="88">
        <v>46134.666666666664</v>
      </c>
      <c r="CG19">
        <v>72.41</v>
      </c>
      <c r="CH19" s="88">
        <v>46134.666666666664</v>
      </c>
      <c r="CI19">
        <v>11.06</v>
      </c>
      <c r="CJ19" s="88">
        <v>46134.666666666664</v>
      </c>
      <c r="CK19">
        <v>187.5</v>
      </c>
      <c r="CL19" s="88">
        <v>46134.666666666664</v>
      </c>
      <c r="CM19">
        <v>57.05</v>
      </c>
      <c r="CN19" s="88">
        <v>46134.666666666664</v>
      </c>
      <c r="CO19">
        <v>10.89</v>
      </c>
      <c r="CP19" s="88">
        <v>46134.666666666664</v>
      </c>
      <c r="CQ19">
        <v>39.47</v>
      </c>
      <c r="CR19" s="88">
        <v>46134.666666666664</v>
      </c>
      <c r="CS19">
        <v>152.62</v>
      </c>
      <c r="CT19" s="88">
        <v>46134.666666666664</v>
      </c>
      <c r="CU19">
        <v>12.77</v>
      </c>
      <c r="CV19" s="88">
        <v>46134.666666666664</v>
      </c>
      <c r="CW19">
        <v>13.55</v>
      </c>
      <c r="CX19" s="88">
        <v>46134.666666666664</v>
      </c>
      <c r="CY19">
        <v>10.18</v>
      </c>
      <c r="CZ19" s="88">
        <v>46134.666666666664</v>
      </c>
      <c r="DA19">
        <v>17.739999999999998</v>
      </c>
      <c r="DB19" s="88">
        <v>46134.666666666664</v>
      </c>
      <c r="DC19">
        <v>90.04</v>
      </c>
      <c r="DD19" s="88">
        <v>46134.666666666664</v>
      </c>
      <c r="DE19">
        <v>29.18</v>
      </c>
      <c r="DF19" s="88">
        <v>46134.666666666664</v>
      </c>
      <c r="DG19">
        <v>5.84</v>
      </c>
      <c r="DH19" s="88">
        <v>46134.666666666664</v>
      </c>
      <c r="DI19">
        <v>19.059999999999999</v>
      </c>
      <c r="DJ19" s="88">
        <v>46134.666666666664</v>
      </c>
      <c r="DK19">
        <v>711.21</v>
      </c>
      <c r="DL19" s="88">
        <v>46134.666666666664</v>
      </c>
      <c r="DM19">
        <v>387.51</v>
      </c>
      <c r="DN19" s="88">
        <v>46134.666666666664</v>
      </c>
      <c r="DO19">
        <v>20.12</v>
      </c>
      <c r="DP19" s="88">
        <v>46134.666666666664</v>
      </c>
      <c r="DQ19">
        <v>91.71</v>
      </c>
      <c r="DR19" s="88">
        <v>46134.666666666664</v>
      </c>
      <c r="DS19">
        <v>10.6</v>
      </c>
      <c r="DT19" s="88">
        <v>46134.666666666664</v>
      </c>
      <c r="DU19">
        <v>75.58</v>
      </c>
      <c r="DV19" s="88">
        <v>46134.666666666664</v>
      </c>
      <c r="DW19">
        <v>16.45</v>
      </c>
      <c r="DX19" s="88">
        <v>46134.666666666664</v>
      </c>
      <c r="DY19">
        <v>129.4</v>
      </c>
      <c r="DZ19" s="88">
        <v>46134.666666666664</v>
      </c>
      <c r="EA19">
        <v>92.91</v>
      </c>
      <c r="EB19" s="88">
        <v>46134.666666666664</v>
      </c>
      <c r="EC19">
        <v>12.34</v>
      </c>
      <c r="ED19" s="88">
        <v>46134.666666666664</v>
      </c>
      <c r="EE19">
        <v>7.1</v>
      </c>
      <c r="EF19" s="88">
        <v>46134.666666666664</v>
      </c>
      <c r="EG19">
        <v>91.92</v>
      </c>
    </row>
    <row r="20" spans="1:137">
      <c r="B20" s="88">
        <v>46135.666666666664</v>
      </c>
      <c r="C20">
        <v>273.43</v>
      </c>
      <c r="D20" s="88">
        <v>46135.666666666664</v>
      </c>
      <c r="E20">
        <v>238.98</v>
      </c>
      <c r="F20" s="88">
        <v>46135.666666666664</v>
      </c>
      <c r="G20">
        <v>41.16</v>
      </c>
      <c r="H20" s="88">
        <v>46135.666666666664</v>
      </c>
      <c r="I20">
        <v>255.08</v>
      </c>
      <c r="J20" s="88">
        <v>46135.666666666664</v>
      </c>
      <c r="K20">
        <v>78.75</v>
      </c>
      <c r="L20" s="88">
        <v>46135.666666666664</v>
      </c>
      <c r="M20">
        <v>18.37</v>
      </c>
      <c r="N20" s="88">
        <v>46135.666666666664</v>
      </c>
      <c r="O20">
        <v>419.94</v>
      </c>
      <c r="P20" s="88">
        <v>46135.666666666664</v>
      </c>
      <c r="Q20">
        <v>131.69999999999999</v>
      </c>
      <c r="R20" s="88">
        <v>46135.666666666664</v>
      </c>
      <c r="S20">
        <v>22</v>
      </c>
      <c r="T20" s="88">
        <v>46135.666666666664</v>
      </c>
      <c r="U20">
        <v>27.36</v>
      </c>
      <c r="V20" s="88">
        <v>46135.666666666664</v>
      </c>
      <c r="W20">
        <v>0.99</v>
      </c>
      <c r="X20" s="88">
        <v>46135.666666666664</v>
      </c>
      <c r="Y20">
        <v>9.09</v>
      </c>
      <c r="Z20" s="88">
        <v>46135.666666666664</v>
      </c>
      <c r="AA20">
        <v>103.65</v>
      </c>
      <c r="AB20" s="88">
        <v>46135.666666666664</v>
      </c>
      <c r="AC20">
        <v>224.46</v>
      </c>
      <c r="AD20" s="88">
        <v>46135.666666666664</v>
      </c>
      <c r="AE20">
        <v>102.25</v>
      </c>
      <c r="AF20" s="88">
        <v>46135.666666666664</v>
      </c>
      <c r="AG20">
        <v>27.35</v>
      </c>
      <c r="AH20" s="88">
        <v>46135.666666666664</v>
      </c>
      <c r="AI20">
        <v>852.34</v>
      </c>
      <c r="AJ20" s="88">
        <v>46135.666666666664</v>
      </c>
      <c r="AK20">
        <v>17.32</v>
      </c>
      <c r="AL20" s="88">
        <v>46135.666666666664</v>
      </c>
      <c r="AM20">
        <v>38.54</v>
      </c>
      <c r="AN20" s="88">
        <v>46135.666666666664</v>
      </c>
      <c r="AO20">
        <v>338.89</v>
      </c>
      <c r="AP20" s="88">
        <v>46135.666666666664</v>
      </c>
      <c r="AQ20">
        <v>931.3</v>
      </c>
      <c r="AR20" s="88">
        <v>46135.666666666664</v>
      </c>
      <c r="AS20">
        <v>340.16</v>
      </c>
      <c r="AT20" s="88">
        <v>46135.666666666664</v>
      </c>
      <c r="AU20">
        <v>83.54</v>
      </c>
      <c r="AV20" s="88">
        <v>46135.666666666664</v>
      </c>
      <c r="AW20">
        <v>29.72</v>
      </c>
      <c r="AX20" s="88">
        <v>46135.666666666664</v>
      </c>
      <c r="AY20">
        <v>52.02</v>
      </c>
      <c r="AZ20" s="88">
        <v>46135.666666666664</v>
      </c>
      <c r="BA20">
        <v>11.34</v>
      </c>
      <c r="BB20" s="88">
        <v>46135.666666666664</v>
      </c>
      <c r="BC20">
        <v>846.89</v>
      </c>
      <c r="BD20" s="88">
        <v>46135.666666666664</v>
      </c>
      <c r="BE20">
        <v>141.66</v>
      </c>
      <c r="BF20" s="88">
        <v>46135.666666666664</v>
      </c>
      <c r="BG20">
        <v>27.56</v>
      </c>
      <c r="BH20" s="88">
        <v>46135.666666666664</v>
      </c>
      <c r="BI20">
        <v>153.21</v>
      </c>
      <c r="BJ20" s="88">
        <v>46135.666666666664</v>
      </c>
      <c r="BK20">
        <v>9.11</v>
      </c>
      <c r="BL20" s="88">
        <v>46135.666666666664</v>
      </c>
      <c r="BM20">
        <v>659.15</v>
      </c>
      <c r="BN20" s="88">
        <v>46135.666666666664</v>
      </c>
      <c r="BO20">
        <v>24.28</v>
      </c>
      <c r="BP20" s="88">
        <v>46135.666666666664</v>
      </c>
      <c r="BQ20">
        <v>415.75</v>
      </c>
      <c r="BR20" s="88">
        <v>46135.666666666664</v>
      </c>
      <c r="BS20">
        <v>123.57</v>
      </c>
      <c r="BT20" s="88">
        <v>46135.666666666664</v>
      </c>
      <c r="BU20">
        <v>481.72</v>
      </c>
      <c r="BV20" s="88">
        <v>46135.666666666664</v>
      </c>
      <c r="BW20">
        <v>92.82</v>
      </c>
      <c r="BX20" s="88">
        <v>46135.666666666664</v>
      </c>
      <c r="BY20">
        <v>44.78</v>
      </c>
      <c r="BZ20" s="88">
        <v>46135.666666666664</v>
      </c>
      <c r="CA20">
        <v>17.920000000000002</v>
      </c>
      <c r="CB20" s="88">
        <v>46135.666666666664</v>
      </c>
      <c r="CC20">
        <v>199.64</v>
      </c>
      <c r="CD20" s="88">
        <v>46135.666666666664</v>
      </c>
      <c r="CE20">
        <v>38.520000000000003</v>
      </c>
      <c r="CF20" s="88">
        <v>46135.666666666664</v>
      </c>
      <c r="CG20">
        <v>76.459999999999994</v>
      </c>
      <c r="CH20" s="88">
        <v>46135.666666666664</v>
      </c>
      <c r="CI20">
        <v>10.54</v>
      </c>
      <c r="CJ20" s="88">
        <v>46135.666666666664</v>
      </c>
      <c r="CK20">
        <v>176.28</v>
      </c>
      <c r="CL20" s="88">
        <v>46135.666666666664</v>
      </c>
      <c r="CM20">
        <v>57.83</v>
      </c>
      <c r="CN20" s="88">
        <v>46135.666666666664</v>
      </c>
      <c r="CO20">
        <v>10.09</v>
      </c>
      <c r="CP20" s="88">
        <v>46135.666666666664</v>
      </c>
      <c r="CQ20">
        <v>38.29</v>
      </c>
      <c r="CR20" s="88">
        <v>46135.666666666664</v>
      </c>
      <c r="CS20">
        <v>141.57</v>
      </c>
      <c r="CT20" s="88">
        <v>46135.666666666664</v>
      </c>
      <c r="CU20">
        <v>11.72</v>
      </c>
      <c r="CV20" s="88">
        <v>46135.666666666664</v>
      </c>
      <c r="CW20">
        <v>12.54</v>
      </c>
      <c r="CX20" s="88">
        <v>46135.666666666664</v>
      </c>
      <c r="CY20">
        <v>10.119999999999999</v>
      </c>
      <c r="CZ20" s="88">
        <v>46135.666666666664</v>
      </c>
      <c r="DA20">
        <v>16.95</v>
      </c>
      <c r="DB20" s="88">
        <v>46135.666666666664</v>
      </c>
      <c r="DC20">
        <v>84.6</v>
      </c>
      <c r="DD20" s="88">
        <v>46135.666666666664</v>
      </c>
      <c r="DE20">
        <v>26.75</v>
      </c>
      <c r="DF20" s="88">
        <v>46135.666666666664</v>
      </c>
      <c r="DG20">
        <v>5.57</v>
      </c>
      <c r="DH20" s="88">
        <v>46135.666666666664</v>
      </c>
      <c r="DI20">
        <v>18.32</v>
      </c>
      <c r="DJ20" s="88">
        <v>46135.666666666664</v>
      </c>
      <c r="DK20">
        <v>708.45</v>
      </c>
      <c r="DL20" s="88">
        <v>46135.666666666664</v>
      </c>
      <c r="DM20">
        <v>373.72</v>
      </c>
      <c r="DN20" s="88">
        <v>46135.666666666664</v>
      </c>
      <c r="DO20">
        <v>19.97</v>
      </c>
      <c r="DP20" s="88">
        <v>46135.666666666664</v>
      </c>
      <c r="DQ20">
        <v>91.25</v>
      </c>
      <c r="DR20" s="88">
        <v>46135.666666666664</v>
      </c>
      <c r="DS20">
        <v>10.119999999999999</v>
      </c>
      <c r="DT20" s="88">
        <v>46135.666666666664</v>
      </c>
      <c r="DU20">
        <v>74.7</v>
      </c>
      <c r="DV20" s="88">
        <v>46135.666666666664</v>
      </c>
      <c r="DW20">
        <v>16.13</v>
      </c>
      <c r="DX20" s="88">
        <v>46135.666666666664</v>
      </c>
      <c r="DY20">
        <v>134.72</v>
      </c>
      <c r="DZ20" s="88">
        <v>46135.666666666664</v>
      </c>
      <c r="EA20">
        <v>89.74</v>
      </c>
      <c r="EB20" s="88">
        <v>46135.666666666664</v>
      </c>
      <c r="EC20">
        <v>12.95</v>
      </c>
      <c r="ED20" s="88">
        <v>46135.666666666664</v>
      </c>
      <c r="EE20">
        <v>6.93</v>
      </c>
      <c r="EF20" s="88">
        <v>46135.666666666664</v>
      </c>
      <c r="EG20">
        <v>90.01</v>
      </c>
    </row>
    <row r="21" spans="1:137">
      <c r="B21" s="88">
        <v>46136.666666666664</v>
      </c>
      <c r="C21">
        <v>271.06</v>
      </c>
      <c r="D21" s="88">
        <v>46136.666666666664</v>
      </c>
      <c r="E21">
        <v>245.44</v>
      </c>
      <c r="F21" s="88">
        <v>46136.666666666664</v>
      </c>
      <c r="G21">
        <v>41.59</v>
      </c>
      <c r="H21" s="88">
        <v>46136.666666666664</v>
      </c>
      <c r="I21">
        <v>263.99</v>
      </c>
      <c r="J21" s="88">
        <v>46136.666666666664</v>
      </c>
      <c r="K21">
        <v>76.400000000000006</v>
      </c>
      <c r="L21" s="88">
        <v>46136.666666666664</v>
      </c>
      <c r="M21">
        <v>18.5</v>
      </c>
      <c r="N21" s="88">
        <v>46136.666666666664</v>
      </c>
      <c r="O21">
        <v>422.76</v>
      </c>
      <c r="P21" s="88">
        <v>46136.666666666664</v>
      </c>
      <c r="Q21">
        <v>135.82</v>
      </c>
      <c r="R21" s="88">
        <v>46136.666666666664</v>
      </c>
      <c r="S21">
        <v>22.14</v>
      </c>
      <c r="T21" s="88">
        <v>46136.666666666664</v>
      </c>
      <c r="U21">
        <v>26.6</v>
      </c>
      <c r="V21" s="88">
        <v>46136.666666666664</v>
      </c>
      <c r="W21">
        <v>0.99</v>
      </c>
      <c r="X21" s="88">
        <v>46136.666666666664</v>
      </c>
      <c r="Y21">
        <v>9.76</v>
      </c>
      <c r="Z21" s="88">
        <v>46136.666666666664</v>
      </c>
      <c r="AA21">
        <v>102.6</v>
      </c>
      <c r="AB21" s="88">
        <v>46136.666666666664</v>
      </c>
      <c r="AC21">
        <v>225.91</v>
      </c>
      <c r="AD21" s="88">
        <v>46136.666666666664</v>
      </c>
      <c r="AE21">
        <v>103.75</v>
      </c>
      <c r="AF21" s="88">
        <v>46136.666666666664</v>
      </c>
      <c r="AG21">
        <v>27.37</v>
      </c>
      <c r="AH21" s="88">
        <v>46136.666666666664</v>
      </c>
      <c r="AI21">
        <v>821.96</v>
      </c>
      <c r="AJ21" s="88">
        <v>46136.666666666664</v>
      </c>
      <c r="AK21">
        <v>17.47</v>
      </c>
      <c r="AL21" s="88">
        <v>46136.666666666664</v>
      </c>
      <c r="AM21">
        <v>35.130000000000003</v>
      </c>
      <c r="AN21" s="88">
        <v>46136.666666666664</v>
      </c>
      <c r="AO21">
        <v>344.4</v>
      </c>
      <c r="AP21" s="88">
        <v>46136.666666666664</v>
      </c>
      <c r="AQ21">
        <v>926.91</v>
      </c>
      <c r="AR21" s="88">
        <v>46136.666666666664</v>
      </c>
      <c r="AS21">
        <v>335.89</v>
      </c>
      <c r="AT21" s="88">
        <v>46136.666666666664</v>
      </c>
      <c r="AU21">
        <v>84.71</v>
      </c>
      <c r="AV21" s="88">
        <v>46136.666666666664</v>
      </c>
      <c r="AW21">
        <v>29.43</v>
      </c>
      <c r="AX21" s="88">
        <v>46136.666666666664</v>
      </c>
      <c r="AY21">
        <v>50.64</v>
      </c>
      <c r="AZ21" s="88">
        <v>46136.666666666664</v>
      </c>
      <c r="BA21">
        <v>11.43</v>
      </c>
      <c r="BB21" s="88">
        <v>46136.666666666664</v>
      </c>
      <c r="BC21">
        <v>881.64</v>
      </c>
      <c r="BD21" s="88">
        <v>46136.666666666664</v>
      </c>
      <c r="BE21">
        <v>143.80000000000001</v>
      </c>
      <c r="BF21" s="88">
        <v>46136.666666666664</v>
      </c>
      <c r="BG21">
        <v>25.53</v>
      </c>
      <c r="BH21" s="88">
        <v>46136.666666666664</v>
      </c>
      <c r="BI21">
        <v>156.63999999999999</v>
      </c>
      <c r="BJ21" s="88">
        <v>46136.666666666664</v>
      </c>
      <c r="BK21">
        <v>9.1999999999999993</v>
      </c>
      <c r="BL21" s="88">
        <v>46136.666666666664</v>
      </c>
      <c r="BM21">
        <v>675.03</v>
      </c>
      <c r="BN21" s="88">
        <v>46136.666666666664</v>
      </c>
      <c r="BO21">
        <v>24</v>
      </c>
      <c r="BP21" s="88">
        <v>46136.666666666664</v>
      </c>
      <c r="BQ21">
        <v>424.62</v>
      </c>
      <c r="BR21" s="88">
        <v>46136.666666666664</v>
      </c>
      <c r="BS21">
        <v>119.02</v>
      </c>
      <c r="BT21" s="88">
        <v>46136.666666666664</v>
      </c>
      <c r="BU21">
        <v>496.72</v>
      </c>
      <c r="BV21" s="88">
        <v>46136.666666666664</v>
      </c>
      <c r="BW21">
        <v>92.44</v>
      </c>
      <c r="BX21" s="88">
        <v>46136.666666666664</v>
      </c>
      <c r="BY21">
        <v>44.69</v>
      </c>
      <c r="BZ21" s="88">
        <v>46136.666666666664</v>
      </c>
      <c r="CA21">
        <v>17.71</v>
      </c>
      <c r="CB21" s="88">
        <v>46136.666666666664</v>
      </c>
      <c r="CC21">
        <v>208.27</v>
      </c>
      <c r="CD21" s="88">
        <v>46136.666666666664</v>
      </c>
      <c r="CE21">
        <v>41.17</v>
      </c>
      <c r="CF21" s="88">
        <v>46136.666666666664</v>
      </c>
      <c r="CG21">
        <v>71</v>
      </c>
      <c r="CH21" s="88">
        <v>46136.666666666664</v>
      </c>
      <c r="CI21">
        <v>10.55</v>
      </c>
      <c r="CJ21" s="88">
        <v>46136.666666666664</v>
      </c>
      <c r="CK21">
        <v>173.28</v>
      </c>
      <c r="CL21" s="88">
        <v>46136.666666666664</v>
      </c>
      <c r="CM21">
        <v>57.12</v>
      </c>
      <c r="CN21" s="88">
        <v>46136.666666666664</v>
      </c>
      <c r="CO21">
        <v>10.37</v>
      </c>
      <c r="CP21" s="88">
        <v>46136.666666666664</v>
      </c>
      <c r="CQ21">
        <v>35.44</v>
      </c>
      <c r="CR21" s="88">
        <v>46136.666666666664</v>
      </c>
      <c r="CS21">
        <v>143.09</v>
      </c>
      <c r="CT21" s="88">
        <v>46136.666666666664</v>
      </c>
      <c r="CU21">
        <v>15.1</v>
      </c>
      <c r="CV21" s="88">
        <v>46136.666666666664</v>
      </c>
      <c r="CW21">
        <v>11.8</v>
      </c>
      <c r="CX21" s="88">
        <v>46136.666666666664</v>
      </c>
      <c r="CY21">
        <v>10.130000000000001</v>
      </c>
      <c r="CZ21" s="88">
        <v>46136.666666666664</v>
      </c>
      <c r="DA21">
        <v>16.52</v>
      </c>
      <c r="DB21" s="88">
        <v>46136.666666666664</v>
      </c>
      <c r="DC21">
        <v>79.680000000000007</v>
      </c>
      <c r="DD21" s="88">
        <v>46136.666666666664</v>
      </c>
      <c r="DE21">
        <v>29.08</v>
      </c>
      <c r="DF21" s="88">
        <v>46136.666666666664</v>
      </c>
      <c r="DG21">
        <v>5.65</v>
      </c>
      <c r="DH21" s="88">
        <v>46136.666666666664</v>
      </c>
      <c r="DI21">
        <v>18.440000000000001</v>
      </c>
      <c r="DJ21" s="88">
        <v>46136.666666666664</v>
      </c>
      <c r="DK21">
        <v>713.94</v>
      </c>
      <c r="DL21" s="88">
        <v>46136.666666666664</v>
      </c>
      <c r="DM21">
        <v>376.3</v>
      </c>
      <c r="DN21" s="88">
        <v>46136.666666666664</v>
      </c>
      <c r="DO21">
        <v>19.8</v>
      </c>
      <c r="DP21" s="88">
        <v>46136.666666666664</v>
      </c>
      <c r="DQ21">
        <v>93</v>
      </c>
      <c r="DR21" s="88">
        <v>46136.666666666664</v>
      </c>
      <c r="DS21">
        <v>9.74</v>
      </c>
      <c r="DT21" s="88">
        <v>46136.666666666664</v>
      </c>
      <c r="DU21">
        <v>74.64</v>
      </c>
      <c r="DV21" s="88">
        <v>46136.666666666664</v>
      </c>
      <c r="DW21">
        <v>14.65</v>
      </c>
      <c r="DX21" s="88">
        <v>46136.666666666664</v>
      </c>
      <c r="DY21">
        <v>132.4</v>
      </c>
      <c r="DZ21" s="88">
        <v>46136.666666666664</v>
      </c>
      <c r="EA21">
        <v>85.48</v>
      </c>
      <c r="EB21" s="88">
        <v>46136.666666666664</v>
      </c>
      <c r="EC21">
        <v>11.9</v>
      </c>
      <c r="ED21" s="88">
        <v>46136.666666666664</v>
      </c>
      <c r="EE21">
        <v>7.14</v>
      </c>
      <c r="EF21" s="88">
        <v>46136.666666666664</v>
      </c>
      <c r="EG21">
        <v>92.03</v>
      </c>
    </row>
    <row r="22" spans="1:137">
      <c r="B22" s="88">
        <v>46139.666666666664</v>
      </c>
      <c r="C22">
        <v>267.61</v>
      </c>
      <c r="D22" s="88">
        <v>46139.666666666664</v>
      </c>
      <c r="E22">
        <v>239.31</v>
      </c>
      <c r="F22" s="88">
        <v>46139.666666666664</v>
      </c>
      <c r="G22">
        <v>40.44</v>
      </c>
      <c r="H22" s="88">
        <v>46139.666666666664</v>
      </c>
      <c r="I22">
        <v>261.12</v>
      </c>
      <c r="J22" s="88">
        <v>46139.666666666664</v>
      </c>
      <c r="K22">
        <v>77.2</v>
      </c>
      <c r="L22" s="88">
        <v>46139.666666666664</v>
      </c>
      <c r="M22">
        <v>18.46</v>
      </c>
      <c r="N22" s="88">
        <v>46139.666666666664</v>
      </c>
      <c r="O22">
        <v>418.2</v>
      </c>
      <c r="P22" s="88">
        <v>46139.666666666664</v>
      </c>
      <c r="Q22">
        <v>132.52000000000001</v>
      </c>
      <c r="R22" s="88">
        <v>46139.666666666664</v>
      </c>
      <c r="S22">
        <v>21.55</v>
      </c>
      <c r="T22" s="88">
        <v>46139.666666666664</v>
      </c>
      <c r="U22">
        <v>27.07</v>
      </c>
      <c r="V22" s="88">
        <v>46139.666666666664</v>
      </c>
      <c r="W22">
        <v>1</v>
      </c>
      <c r="X22" s="88">
        <v>46139.666666666664</v>
      </c>
      <c r="Y22">
        <v>10.61</v>
      </c>
      <c r="Z22" s="88">
        <v>46139.666666666664</v>
      </c>
      <c r="AA22">
        <v>102.35</v>
      </c>
      <c r="AB22" s="88">
        <v>46139.666666666664</v>
      </c>
      <c r="AC22">
        <v>229.34</v>
      </c>
      <c r="AD22" s="88">
        <v>46139.666666666664</v>
      </c>
      <c r="AE22">
        <v>98</v>
      </c>
      <c r="AF22" s="88">
        <v>46139.666666666664</v>
      </c>
      <c r="AG22">
        <v>27.22</v>
      </c>
      <c r="AH22" s="88">
        <v>46139.666666666664</v>
      </c>
      <c r="AI22">
        <v>819.65</v>
      </c>
      <c r="AJ22" s="88">
        <v>46139.666666666664</v>
      </c>
      <c r="AK22">
        <v>17.309999999999999</v>
      </c>
      <c r="AL22" s="88">
        <v>46139.666666666664</v>
      </c>
      <c r="AM22">
        <v>34.51</v>
      </c>
      <c r="AN22" s="88">
        <v>46139.666666666664</v>
      </c>
      <c r="AO22">
        <v>350.34</v>
      </c>
      <c r="AP22" s="88">
        <v>46139.666666666664</v>
      </c>
      <c r="AQ22">
        <v>937.81</v>
      </c>
      <c r="AR22" s="88">
        <v>46139.666666666664</v>
      </c>
      <c r="AS22">
        <v>332.3</v>
      </c>
      <c r="AT22" s="88">
        <v>46139.666666666664</v>
      </c>
      <c r="AU22">
        <v>83.95</v>
      </c>
      <c r="AV22" s="88">
        <v>46139.666666666664</v>
      </c>
      <c r="AW22">
        <v>32.65</v>
      </c>
      <c r="AX22" s="88">
        <v>46139.666666666664</v>
      </c>
      <c r="AY22">
        <v>48.36</v>
      </c>
      <c r="AZ22" s="88">
        <v>46139.666666666664</v>
      </c>
      <c r="BA22">
        <v>12.24</v>
      </c>
      <c r="BB22" s="88">
        <v>46139.666666666664</v>
      </c>
      <c r="BC22">
        <v>859.68</v>
      </c>
      <c r="BD22" s="88">
        <v>46139.666666666664</v>
      </c>
      <c r="BE22">
        <v>146.94</v>
      </c>
      <c r="BF22" s="88">
        <v>46139.666666666664</v>
      </c>
      <c r="BG22">
        <v>26.2</v>
      </c>
      <c r="BH22" s="88">
        <v>46139.666666666664</v>
      </c>
      <c r="BI22">
        <v>156.49</v>
      </c>
      <c r="BJ22" s="88">
        <v>46139.666666666664</v>
      </c>
      <c r="BK22">
        <v>8.75</v>
      </c>
      <c r="BL22" s="88">
        <v>46139.666666666664</v>
      </c>
      <c r="BM22">
        <v>678.62</v>
      </c>
      <c r="BN22" s="88">
        <v>46139.666666666664</v>
      </c>
      <c r="BO22">
        <v>23.22</v>
      </c>
      <c r="BP22" s="88">
        <v>46139.666666666664</v>
      </c>
      <c r="BQ22">
        <v>424.82</v>
      </c>
      <c r="BR22" s="88">
        <v>46139.666666666664</v>
      </c>
      <c r="BS22">
        <v>120.51</v>
      </c>
      <c r="BT22" s="88">
        <v>46139.666666666664</v>
      </c>
      <c r="BU22">
        <v>524.55999999999995</v>
      </c>
      <c r="BV22" s="88">
        <v>46139.666666666664</v>
      </c>
      <c r="BW22">
        <v>91.37</v>
      </c>
      <c r="BX22" s="88">
        <v>46139.666666666664</v>
      </c>
      <c r="BY22">
        <v>45.14</v>
      </c>
      <c r="BZ22" s="88">
        <v>46139.666666666664</v>
      </c>
      <c r="CA22">
        <v>17.010000000000002</v>
      </c>
      <c r="CB22" s="88">
        <v>46139.666666666664</v>
      </c>
      <c r="CC22">
        <v>216.61</v>
      </c>
      <c r="CD22" s="88">
        <v>46139.666666666664</v>
      </c>
      <c r="CE22">
        <v>41.2</v>
      </c>
      <c r="CF22" s="88">
        <v>46139.666666666664</v>
      </c>
      <c r="CG22">
        <v>75.930000000000007</v>
      </c>
      <c r="CH22" s="88">
        <v>46139.666666666664</v>
      </c>
      <c r="CI22">
        <v>10.95</v>
      </c>
      <c r="CJ22" s="88">
        <v>46139.666666666664</v>
      </c>
      <c r="CK22">
        <v>172.96</v>
      </c>
      <c r="CL22" s="88">
        <v>46139.666666666664</v>
      </c>
      <c r="CM22">
        <v>57.27</v>
      </c>
      <c r="CN22" s="88">
        <v>46139.666666666664</v>
      </c>
      <c r="CO22">
        <v>10.46</v>
      </c>
      <c r="CP22" s="88">
        <v>46139.666666666664</v>
      </c>
      <c r="CQ22">
        <v>35.450000000000003</v>
      </c>
      <c r="CR22" s="88">
        <v>46139.666666666664</v>
      </c>
      <c r="CS22">
        <v>143.1</v>
      </c>
      <c r="CT22" s="88">
        <v>46139.666666666664</v>
      </c>
      <c r="CU22">
        <v>7.95</v>
      </c>
      <c r="CV22" s="88">
        <v>46139.666666666664</v>
      </c>
      <c r="CW22">
        <v>11.69</v>
      </c>
      <c r="CX22" s="88">
        <v>46139.666666666664</v>
      </c>
      <c r="CY22">
        <v>10.119999999999999</v>
      </c>
      <c r="CZ22" s="88">
        <v>46139.666666666664</v>
      </c>
      <c r="DA22">
        <v>16.72</v>
      </c>
      <c r="DB22" s="88">
        <v>46139.666666666664</v>
      </c>
      <c r="DC22">
        <v>82.29</v>
      </c>
      <c r="DD22" s="88">
        <v>46139.666666666664</v>
      </c>
      <c r="DE22">
        <v>27.85</v>
      </c>
      <c r="DF22" s="88">
        <v>46139.666666666664</v>
      </c>
      <c r="DG22">
        <v>6.06</v>
      </c>
      <c r="DH22" s="88">
        <v>46139.666666666664</v>
      </c>
      <c r="DI22">
        <v>18.760000000000002</v>
      </c>
      <c r="DJ22" s="88">
        <v>46139.666666666664</v>
      </c>
      <c r="DK22">
        <v>715.17</v>
      </c>
      <c r="DL22" s="88">
        <v>46139.666666666664</v>
      </c>
      <c r="DM22">
        <v>378.67</v>
      </c>
      <c r="DN22" s="88">
        <v>46139.666666666664</v>
      </c>
      <c r="DO22">
        <v>19.73</v>
      </c>
      <c r="DP22" s="88">
        <v>46139.666666666664</v>
      </c>
      <c r="DQ22">
        <v>91.9</v>
      </c>
      <c r="DR22" s="88">
        <v>46139.666666666664</v>
      </c>
      <c r="DS22">
        <v>11.18</v>
      </c>
      <c r="DT22" s="88">
        <v>46139.666666666664</v>
      </c>
      <c r="DU22">
        <v>76.27</v>
      </c>
      <c r="DV22" s="88">
        <v>46139.666666666664</v>
      </c>
      <c r="DW22">
        <v>14.82</v>
      </c>
      <c r="DX22" s="88">
        <v>46139.666666666664</v>
      </c>
      <c r="DY22">
        <v>134.72</v>
      </c>
      <c r="DZ22" s="88">
        <v>46139.666666666664</v>
      </c>
      <c r="EA22">
        <v>85</v>
      </c>
      <c r="EB22" s="88">
        <v>46139.666666666664</v>
      </c>
      <c r="EC22">
        <v>12.19</v>
      </c>
      <c r="ED22" s="88">
        <v>46139.666666666664</v>
      </c>
      <c r="EE22">
        <v>6.9</v>
      </c>
      <c r="EF22" s="88">
        <v>46139.666666666664</v>
      </c>
      <c r="EG22">
        <v>90.83</v>
      </c>
    </row>
    <row r="23" spans="1:137">
      <c r="B23" s="88">
        <v>46140.666666666664</v>
      </c>
      <c r="C23">
        <v>270.70999999999998</v>
      </c>
      <c r="D23" s="88">
        <v>46140.666666666664</v>
      </c>
      <c r="E23">
        <v>243.2</v>
      </c>
      <c r="F23" s="88">
        <v>46140.666666666664</v>
      </c>
      <c r="G23">
        <v>39.79</v>
      </c>
      <c r="H23" s="88">
        <v>46140.666666666664</v>
      </c>
      <c r="I23">
        <v>259.7</v>
      </c>
      <c r="J23" s="88">
        <v>46140.666666666664</v>
      </c>
      <c r="K23">
        <v>71.88</v>
      </c>
      <c r="L23" s="88">
        <v>46140.666666666664</v>
      </c>
      <c r="M23">
        <v>18.260000000000002</v>
      </c>
      <c r="N23" s="88">
        <v>46140.666666666664</v>
      </c>
      <c r="O23">
        <v>399.83</v>
      </c>
      <c r="P23" s="88">
        <v>46140.666666666664</v>
      </c>
      <c r="Q23">
        <v>130.85</v>
      </c>
      <c r="R23" s="88">
        <v>46140.666666666664</v>
      </c>
      <c r="S23">
        <v>21.48</v>
      </c>
      <c r="T23" s="88">
        <v>46140.666666666664</v>
      </c>
      <c r="U23">
        <v>26.9</v>
      </c>
      <c r="V23" s="88">
        <v>46140.666666666664</v>
      </c>
      <c r="W23">
        <v>0.98</v>
      </c>
      <c r="X23" s="88">
        <v>46140.666666666664</v>
      </c>
      <c r="Y23">
        <v>10.220000000000001</v>
      </c>
      <c r="Z23" s="88">
        <v>46140.666666666664</v>
      </c>
      <c r="AA23">
        <v>101.47</v>
      </c>
      <c r="AB23" s="88">
        <v>46140.666666666664</v>
      </c>
      <c r="AC23">
        <v>226.34</v>
      </c>
      <c r="AD23" s="88">
        <v>46140.666666666664</v>
      </c>
      <c r="AE23">
        <v>98.22</v>
      </c>
      <c r="AF23" s="88">
        <v>46140.666666666664</v>
      </c>
      <c r="AG23">
        <v>27.21</v>
      </c>
      <c r="AH23" s="88">
        <v>46140.666666666664</v>
      </c>
      <c r="AI23">
        <v>834.05</v>
      </c>
      <c r="AJ23" s="88">
        <v>46140.666666666664</v>
      </c>
      <c r="AK23">
        <v>17.18</v>
      </c>
      <c r="AL23" s="88">
        <v>46140.666666666664</v>
      </c>
      <c r="AM23">
        <v>34.22</v>
      </c>
      <c r="AN23" s="88">
        <v>46140.666666666664</v>
      </c>
      <c r="AO23">
        <v>349.78</v>
      </c>
      <c r="AP23" s="88">
        <v>46140.666666666664</v>
      </c>
      <c r="AQ23">
        <v>926.55</v>
      </c>
      <c r="AR23" s="88">
        <v>46140.666666666664</v>
      </c>
      <c r="AS23">
        <v>329.06</v>
      </c>
      <c r="AT23" s="88">
        <v>46140.666666666664</v>
      </c>
      <c r="AU23">
        <v>82.07</v>
      </c>
      <c r="AV23" s="88">
        <v>46140.666666666664</v>
      </c>
      <c r="AW23">
        <v>30.72</v>
      </c>
      <c r="AX23" s="88">
        <v>46140.666666666664</v>
      </c>
      <c r="AY23">
        <v>44.44</v>
      </c>
      <c r="AZ23" s="88">
        <v>46140.666666666664</v>
      </c>
      <c r="BA23">
        <v>12.22</v>
      </c>
      <c r="BB23" s="88">
        <v>46140.666666666664</v>
      </c>
      <c r="BC23">
        <v>791.37</v>
      </c>
      <c r="BD23" s="88">
        <v>46140.666666666664</v>
      </c>
      <c r="BE23">
        <v>142.38999999999999</v>
      </c>
      <c r="BF23" s="88">
        <v>46140.666666666664</v>
      </c>
      <c r="BG23">
        <v>24.58</v>
      </c>
      <c r="BH23" s="88">
        <v>46140.666666666664</v>
      </c>
      <c r="BI23">
        <v>154.75</v>
      </c>
      <c r="BJ23" s="88">
        <v>46140.666666666664</v>
      </c>
      <c r="BK23">
        <v>10.62</v>
      </c>
      <c r="BL23" s="88">
        <v>46140.666666666664</v>
      </c>
      <c r="BM23">
        <v>671.34</v>
      </c>
      <c r="BN23" s="88">
        <v>46140.666666666664</v>
      </c>
      <c r="BO23">
        <v>23.19</v>
      </c>
      <c r="BP23" s="88">
        <v>46140.666666666664</v>
      </c>
      <c r="BQ23">
        <v>429.25</v>
      </c>
      <c r="BR23" s="88">
        <v>46140.666666666664</v>
      </c>
      <c r="BS23">
        <v>126.65</v>
      </c>
      <c r="BT23" s="88">
        <v>46140.666666666664</v>
      </c>
      <c r="BU23">
        <v>504.29</v>
      </c>
      <c r="BV23" s="88">
        <v>46140.666666666664</v>
      </c>
      <c r="BW23">
        <v>92.27</v>
      </c>
      <c r="BX23" s="88">
        <v>46140.666666666664</v>
      </c>
      <c r="BY23">
        <v>45.03</v>
      </c>
      <c r="BZ23" s="88">
        <v>46140.666666666664</v>
      </c>
      <c r="CA23">
        <v>16.97</v>
      </c>
      <c r="CB23" s="88">
        <v>46140.666666666664</v>
      </c>
      <c r="CC23">
        <v>213.17</v>
      </c>
      <c r="CD23" s="88">
        <v>46140.666666666664</v>
      </c>
      <c r="CE23">
        <v>41.17</v>
      </c>
      <c r="CF23" s="88">
        <v>46140.666666666664</v>
      </c>
      <c r="CG23">
        <v>69.09</v>
      </c>
      <c r="CH23" s="88">
        <v>46140.666666666664</v>
      </c>
      <c r="CI23">
        <v>10.48</v>
      </c>
      <c r="CJ23" s="88">
        <v>46140.666666666664</v>
      </c>
      <c r="CK23">
        <v>165.96</v>
      </c>
      <c r="CL23" s="88">
        <v>46140.666666666664</v>
      </c>
      <c r="CM23">
        <v>58.61</v>
      </c>
      <c r="CN23" s="88">
        <v>46140.666666666664</v>
      </c>
      <c r="CO23">
        <v>10.56</v>
      </c>
      <c r="CP23" s="88">
        <v>46140.666666666664</v>
      </c>
      <c r="CQ23">
        <v>35.03</v>
      </c>
      <c r="CR23" s="88">
        <v>46140.666666666664</v>
      </c>
      <c r="CS23">
        <v>141.18</v>
      </c>
      <c r="CT23" s="88">
        <v>46140.666666666664</v>
      </c>
      <c r="CU23">
        <v>8.0299999999999994</v>
      </c>
      <c r="CV23" s="88">
        <v>46140.666666666664</v>
      </c>
      <c r="CW23">
        <v>11.34</v>
      </c>
      <c r="CX23" s="88">
        <v>46140.666666666664</v>
      </c>
      <c r="CY23">
        <v>9.85</v>
      </c>
      <c r="CZ23" s="88">
        <v>46140.666666666664</v>
      </c>
      <c r="DA23">
        <v>16.14</v>
      </c>
      <c r="DB23" s="88">
        <v>46140.666666666664</v>
      </c>
      <c r="DC23">
        <v>78.59</v>
      </c>
      <c r="DD23" s="88">
        <v>46140.666666666664</v>
      </c>
      <c r="DE23">
        <v>27.25</v>
      </c>
      <c r="DF23" s="88">
        <v>46140.666666666664</v>
      </c>
      <c r="DG23">
        <v>5.95</v>
      </c>
      <c r="DH23" s="88">
        <v>46140.666666666664</v>
      </c>
      <c r="DI23">
        <v>18.36</v>
      </c>
      <c r="DJ23" s="88">
        <v>46140.666666666664</v>
      </c>
      <c r="DK23">
        <v>711.69</v>
      </c>
      <c r="DL23" s="88">
        <v>46140.666666666664</v>
      </c>
      <c r="DM23">
        <v>376.02</v>
      </c>
      <c r="DN23" s="88">
        <v>46140.666666666664</v>
      </c>
      <c r="DO23">
        <v>19.899999999999999</v>
      </c>
      <c r="DP23" s="88">
        <v>46140.666666666664</v>
      </c>
      <c r="DQ23">
        <v>90.41</v>
      </c>
      <c r="DR23" s="88">
        <v>46140.666666666664</v>
      </c>
      <c r="DS23">
        <v>10.81</v>
      </c>
      <c r="DT23" s="88">
        <v>46140.666666666664</v>
      </c>
      <c r="DU23">
        <v>74.11</v>
      </c>
      <c r="DV23" s="88">
        <v>46140.666666666664</v>
      </c>
      <c r="DW23">
        <v>14.49</v>
      </c>
      <c r="DX23" s="88">
        <v>46140.666666666664</v>
      </c>
      <c r="DY23">
        <v>139.6</v>
      </c>
      <c r="DZ23" s="88">
        <v>46140.666666666664</v>
      </c>
      <c r="EA23">
        <v>78.650000000000006</v>
      </c>
      <c r="EB23" s="88">
        <v>46140.666666666664</v>
      </c>
      <c r="EC23">
        <v>12.16</v>
      </c>
      <c r="ED23" s="88">
        <v>46140.666666666664</v>
      </c>
      <c r="EE23">
        <v>6.81</v>
      </c>
      <c r="EF23" s="88">
        <v>46140.666666666664</v>
      </c>
      <c r="EG23">
        <v>91.14</v>
      </c>
    </row>
    <row r="24" spans="1:137">
      <c r="B24" s="88">
        <v>46141.666666666664</v>
      </c>
      <c r="C24">
        <v>270.17</v>
      </c>
      <c r="D24" s="88">
        <v>46141.666666666664</v>
      </c>
      <c r="E24">
        <v>243.57</v>
      </c>
      <c r="F24" s="88">
        <v>46141.666666666664</v>
      </c>
      <c r="G24">
        <v>38.31</v>
      </c>
      <c r="H24" s="88">
        <v>46141.666666666664</v>
      </c>
      <c r="I24">
        <v>263.04000000000002</v>
      </c>
      <c r="J24" s="88">
        <v>46141.666666666664</v>
      </c>
      <c r="K24">
        <v>69.849999999999994</v>
      </c>
      <c r="L24" s="88">
        <v>46141.666666666664</v>
      </c>
      <c r="M24">
        <v>18.21</v>
      </c>
      <c r="N24" s="88">
        <v>46141.666666666664</v>
      </c>
      <c r="O24">
        <v>405.45</v>
      </c>
      <c r="P24" s="88">
        <v>46141.666666666664</v>
      </c>
      <c r="Q24">
        <v>130.43</v>
      </c>
      <c r="R24" s="88">
        <v>46141.666666666664</v>
      </c>
      <c r="S24">
        <v>20.66</v>
      </c>
      <c r="T24" s="88">
        <v>46141.666666666664</v>
      </c>
      <c r="U24">
        <v>27.44</v>
      </c>
      <c r="V24" s="88">
        <v>46141.666666666664</v>
      </c>
      <c r="W24">
        <v>0.98</v>
      </c>
      <c r="X24" s="88">
        <v>46141.666666666664</v>
      </c>
      <c r="Y24">
        <v>10.25</v>
      </c>
      <c r="Z24" s="88">
        <v>46141.666666666664</v>
      </c>
      <c r="AA24">
        <v>101.3</v>
      </c>
      <c r="AB24" s="88">
        <v>46141.666666666664</v>
      </c>
      <c r="AC24">
        <v>220</v>
      </c>
      <c r="AD24" s="88">
        <v>46141.666666666664</v>
      </c>
      <c r="AE24">
        <v>95.7</v>
      </c>
      <c r="AF24" s="88">
        <v>46141.666666666664</v>
      </c>
      <c r="AG24">
        <v>26.95</v>
      </c>
      <c r="AH24" s="88">
        <v>46141.666666666664</v>
      </c>
      <c r="AI24">
        <v>819.5</v>
      </c>
      <c r="AJ24" s="88">
        <v>46141.666666666664</v>
      </c>
      <c r="AK24">
        <v>16.86</v>
      </c>
      <c r="AL24" s="88">
        <v>46141.666666666664</v>
      </c>
      <c r="AM24">
        <v>33.49</v>
      </c>
      <c r="AN24" s="88">
        <v>46141.666666666664</v>
      </c>
      <c r="AO24">
        <v>349.94</v>
      </c>
      <c r="AP24" s="88">
        <v>46141.666666666664</v>
      </c>
      <c r="AQ24">
        <v>905.6</v>
      </c>
      <c r="AR24" s="88">
        <v>46141.666666666664</v>
      </c>
      <c r="AS24">
        <v>322.81</v>
      </c>
      <c r="AT24" s="88">
        <v>46141.666666666664</v>
      </c>
      <c r="AU24">
        <v>71.2</v>
      </c>
      <c r="AV24" s="88">
        <v>46141.666666666664</v>
      </c>
      <c r="AW24">
        <v>29.05</v>
      </c>
      <c r="AX24" s="88">
        <v>46141.666666666664</v>
      </c>
      <c r="AY24">
        <v>42.86</v>
      </c>
      <c r="AZ24" s="88">
        <v>46141.666666666664</v>
      </c>
      <c r="BA24">
        <v>12.2</v>
      </c>
      <c r="BB24" s="88">
        <v>46141.666666666664</v>
      </c>
      <c r="BC24">
        <v>858.32</v>
      </c>
      <c r="BD24" s="88">
        <v>46141.666666666664</v>
      </c>
      <c r="BE24">
        <v>138.16</v>
      </c>
      <c r="BF24" s="88">
        <v>46141.666666666664</v>
      </c>
      <c r="BG24">
        <v>24.79</v>
      </c>
      <c r="BH24" s="88">
        <v>46141.666666666664</v>
      </c>
      <c r="BI24">
        <v>153.13</v>
      </c>
      <c r="BJ24" s="88">
        <v>46141.666666666664</v>
      </c>
      <c r="BK24">
        <v>10.24</v>
      </c>
      <c r="BL24" s="88">
        <v>46141.666666666664</v>
      </c>
      <c r="BM24">
        <v>669.12</v>
      </c>
      <c r="BN24" s="88">
        <v>46141.666666666664</v>
      </c>
      <c r="BO24">
        <v>23.03</v>
      </c>
      <c r="BP24" s="88">
        <v>46141.666666666664</v>
      </c>
      <c r="BQ24">
        <v>424.46</v>
      </c>
      <c r="BR24" s="88">
        <v>46141.666666666664</v>
      </c>
      <c r="BS24">
        <v>122.16</v>
      </c>
      <c r="BT24" s="88">
        <v>46141.666666666664</v>
      </c>
      <c r="BU24">
        <v>518.46</v>
      </c>
      <c r="BV24" s="88">
        <v>46141.666666666664</v>
      </c>
      <c r="BW24">
        <v>92.12</v>
      </c>
      <c r="BX24" s="88">
        <v>46141.666666666664</v>
      </c>
      <c r="BY24">
        <v>44.39</v>
      </c>
      <c r="BZ24" s="88">
        <v>46141.666666666664</v>
      </c>
      <c r="CA24">
        <v>17.93</v>
      </c>
      <c r="CB24" s="88">
        <v>46141.666666666664</v>
      </c>
      <c r="CC24">
        <v>209.25</v>
      </c>
      <c r="CD24" s="88">
        <v>46141.666666666664</v>
      </c>
      <c r="CE24">
        <v>40.29</v>
      </c>
      <c r="CF24" s="88">
        <v>46141.666666666664</v>
      </c>
      <c r="CG24">
        <v>64.98</v>
      </c>
      <c r="CH24" s="88">
        <v>46141.666666666664</v>
      </c>
      <c r="CI24">
        <v>9.49</v>
      </c>
      <c r="CJ24" s="88">
        <v>46141.666666666664</v>
      </c>
      <c r="CK24">
        <v>163.83000000000001</v>
      </c>
      <c r="CL24" s="88">
        <v>46141.666666666664</v>
      </c>
      <c r="CM24">
        <v>60.76</v>
      </c>
      <c r="CN24" s="88">
        <v>46141.666666666664</v>
      </c>
      <c r="CO24">
        <v>10.38</v>
      </c>
      <c r="CP24" s="88">
        <v>46141.666666666664</v>
      </c>
      <c r="CQ24">
        <v>34.08</v>
      </c>
      <c r="CR24" s="88">
        <v>46141.666666666664</v>
      </c>
      <c r="CS24">
        <v>137.97</v>
      </c>
      <c r="CT24" s="88">
        <v>46141.666666666664</v>
      </c>
      <c r="CU24">
        <v>6.6</v>
      </c>
      <c r="CV24" s="88">
        <v>46141.666666666664</v>
      </c>
      <c r="CW24">
        <v>11.07</v>
      </c>
      <c r="CX24" s="88">
        <v>46141.666666666664</v>
      </c>
      <c r="CY24">
        <v>9.66</v>
      </c>
      <c r="CZ24" s="88">
        <v>46141.666666666664</v>
      </c>
      <c r="DA24">
        <v>16.059999999999999</v>
      </c>
      <c r="DB24" s="88">
        <v>46141.666666666664</v>
      </c>
      <c r="DC24">
        <v>77.02</v>
      </c>
      <c r="DD24" s="88">
        <v>46141.666666666664</v>
      </c>
      <c r="DE24">
        <v>26.32</v>
      </c>
      <c r="DF24" s="88">
        <v>46141.666666666664</v>
      </c>
      <c r="DG24">
        <v>5.98</v>
      </c>
      <c r="DH24" s="88">
        <v>46141.666666666664</v>
      </c>
      <c r="DI24">
        <v>15.53</v>
      </c>
      <c r="DJ24" s="88">
        <v>46141.666666666664</v>
      </c>
      <c r="DK24">
        <v>711.58</v>
      </c>
      <c r="DL24" s="88">
        <v>46141.666666666664</v>
      </c>
      <c r="DM24">
        <v>372.8</v>
      </c>
      <c r="DN24" s="88">
        <v>46141.666666666664</v>
      </c>
      <c r="DO24">
        <v>18.899999999999999</v>
      </c>
      <c r="DP24" s="88">
        <v>46141.666666666664</v>
      </c>
      <c r="DQ24">
        <v>88.62</v>
      </c>
      <c r="DR24" s="88">
        <v>46141.666666666664</v>
      </c>
      <c r="DS24">
        <v>9.98</v>
      </c>
      <c r="DT24" s="88">
        <v>46141.666666666664</v>
      </c>
      <c r="DU24">
        <v>74.47</v>
      </c>
      <c r="DV24" s="88">
        <v>46141.666666666664</v>
      </c>
      <c r="DW24">
        <v>13.74</v>
      </c>
      <c r="DX24" s="88">
        <v>46141.666666666664</v>
      </c>
      <c r="DY24">
        <v>150.63</v>
      </c>
      <c r="DZ24" s="88">
        <v>46141.666666666664</v>
      </c>
      <c r="EA24">
        <v>85.01</v>
      </c>
      <c r="EB24" s="88">
        <v>46141.666666666664</v>
      </c>
      <c r="EC24">
        <v>13.16</v>
      </c>
      <c r="ED24" s="88">
        <v>46141.666666666664</v>
      </c>
      <c r="EE24">
        <v>6.76</v>
      </c>
      <c r="EF24" s="88">
        <v>46141.666666666664</v>
      </c>
      <c r="EG24">
        <v>95.76</v>
      </c>
    </row>
    <row r="25" spans="1:137">
      <c r="B25" s="88">
        <v>46142.666666666664</v>
      </c>
      <c r="C25">
        <v>271.35000000000002</v>
      </c>
      <c r="D25" s="88">
        <v>46142.666666666664</v>
      </c>
      <c r="E25">
        <v>246.1</v>
      </c>
      <c r="F25" s="88">
        <v>46142.666666666664</v>
      </c>
      <c r="G25">
        <v>39.11</v>
      </c>
      <c r="H25" s="88">
        <v>46142.666666666664</v>
      </c>
      <c r="I25">
        <v>265.06</v>
      </c>
      <c r="J25" s="88">
        <v>46142.666666666664</v>
      </c>
      <c r="K25">
        <v>73.900000000000006</v>
      </c>
      <c r="L25" s="88">
        <v>46142.666666666664</v>
      </c>
      <c r="M25">
        <v>18.63</v>
      </c>
      <c r="N25" s="88">
        <v>46142.666666666664</v>
      </c>
      <c r="O25">
        <v>417.43</v>
      </c>
      <c r="P25" s="88">
        <v>46142.666666666664</v>
      </c>
      <c r="Q25">
        <v>131.88</v>
      </c>
      <c r="R25" s="88">
        <v>46142.666666666664</v>
      </c>
      <c r="S25">
        <v>21.4</v>
      </c>
      <c r="T25" s="88">
        <v>46142.666666666664</v>
      </c>
      <c r="U25">
        <v>26.66</v>
      </c>
      <c r="V25" s="88">
        <v>46142.666666666664</v>
      </c>
      <c r="W25">
        <v>1.01</v>
      </c>
      <c r="X25" s="88">
        <v>46142.666666666664</v>
      </c>
      <c r="Y25">
        <v>10.199999999999999</v>
      </c>
      <c r="Z25" s="88">
        <v>46142.666666666664</v>
      </c>
      <c r="AA25">
        <v>103.75</v>
      </c>
      <c r="AB25" s="88">
        <v>46142.666666666664</v>
      </c>
      <c r="AC25">
        <v>226.92</v>
      </c>
      <c r="AD25" s="88">
        <v>46142.666666666664</v>
      </c>
      <c r="AE25">
        <v>97.11</v>
      </c>
      <c r="AF25" s="88">
        <v>46142.666666666664</v>
      </c>
      <c r="AG25">
        <v>27.06</v>
      </c>
      <c r="AH25" s="88">
        <v>46142.666666666664</v>
      </c>
      <c r="AI25">
        <v>839.34</v>
      </c>
      <c r="AJ25" s="88">
        <v>46142.666666666664</v>
      </c>
      <c r="AK25">
        <v>17.7</v>
      </c>
      <c r="AL25" s="88">
        <v>46142.666666666664</v>
      </c>
      <c r="AM25">
        <v>34.6</v>
      </c>
      <c r="AN25" s="88">
        <v>46142.666666666664</v>
      </c>
      <c r="AO25">
        <v>384.8</v>
      </c>
      <c r="AP25" s="88">
        <v>46142.666666666664</v>
      </c>
      <c r="AQ25">
        <v>923.77</v>
      </c>
      <c r="AR25" s="88">
        <v>46142.666666666664</v>
      </c>
      <c r="AS25">
        <v>328.8</v>
      </c>
      <c r="AT25" s="88">
        <v>46142.666666666664</v>
      </c>
      <c r="AU25">
        <v>72.89</v>
      </c>
      <c r="AV25" s="88">
        <v>46142.666666666664</v>
      </c>
      <c r="AW25">
        <v>33.479999999999997</v>
      </c>
      <c r="AX25" s="88">
        <v>46142.666666666664</v>
      </c>
      <c r="AY25">
        <v>45.51</v>
      </c>
      <c r="AZ25" s="88">
        <v>46142.666666666664</v>
      </c>
      <c r="BA25">
        <v>12.44</v>
      </c>
      <c r="BB25" s="88">
        <v>46142.666666666664</v>
      </c>
      <c r="BC25">
        <v>902.32</v>
      </c>
      <c r="BD25" s="88">
        <v>46142.666666666664</v>
      </c>
      <c r="BE25">
        <v>137.69999999999999</v>
      </c>
      <c r="BF25" s="88">
        <v>46142.666666666664</v>
      </c>
      <c r="BG25">
        <v>25.35</v>
      </c>
      <c r="BH25" s="88">
        <v>46142.666666666664</v>
      </c>
      <c r="BI25">
        <v>157.94</v>
      </c>
      <c r="BJ25" s="88">
        <v>46142.666666666664</v>
      </c>
      <c r="BK25">
        <v>9.6999999999999993</v>
      </c>
      <c r="BL25" s="88">
        <v>46142.666666666664</v>
      </c>
      <c r="BM25">
        <v>611.91</v>
      </c>
      <c r="BN25" s="88">
        <v>46142.666666666664</v>
      </c>
      <c r="BO25">
        <v>23.27</v>
      </c>
      <c r="BP25" s="88">
        <v>46142.666666666664</v>
      </c>
      <c r="BQ25">
        <v>407.78</v>
      </c>
      <c r="BR25" s="88">
        <v>46142.666666666664</v>
      </c>
      <c r="BS25">
        <v>127.18</v>
      </c>
      <c r="BT25" s="88">
        <v>46142.666666666664</v>
      </c>
      <c r="BU25">
        <v>517.16</v>
      </c>
      <c r="BV25" s="88">
        <v>46142.666666666664</v>
      </c>
      <c r="BW25">
        <v>93.61</v>
      </c>
      <c r="BX25" s="88">
        <v>46142.666666666664</v>
      </c>
      <c r="BY25">
        <v>44.36</v>
      </c>
      <c r="BZ25" s="88">
        <v>46142.666666666664</v>
      </c>
      <c r="CA25">
        <v>18.53</v>
      </c>
      <c r="CB25" s="88">
        <v>46142.666666666664</v>
      </c>
      <c r="CC25">
        <v>199.57</v>
      </c>
      <c r="CD25" s="88">
        <v>46142.666666666664</v>
      </c>
      <c r="CE25">
        <v>42.22</v>
      </c>
      <c r="CF25" s="88">
        <v>46142.666666666664</v>
      </c>
      <c r="CG25">
        <v>72.5</v>
      </c>
      <c r="CH25" s="88">
        <v>46142.666666666664</v>
      </c>
      <c r="CI25">
        <v>10.039999999999999</v>
      </c>
      <c r="CJ25" s="88">
        <v>46142.666666666664</v>
      </c>
      <c r="CK25">
        <v>161.38999999999999</v>
      </c>
      <c r="CL25" s="88">
        <v>46142.666666666664</v>
      </c>
      <c r="CM25">
        <v>60.58</v>
      </c>
      <c r="CN25" s="88">
        <v>46142.666666666664</v>
      </c>
      <c r="CO25">
        <v>10.3</v>
      </c>
      <c r="CP25" s="88">
        <v>46142.666666666664</v>
      </c>
      <c r="CQ25">
        <v>36.97</v>
      </c>
      <c r="CR25" s="88">
        <v>46142.666666666664</v>
      </c>
      <c r="CS25">
        <v>139.11000000000001</v>
      </c>
      <c r="CT25" s="88">
        <v>46142.666666666664</v>
      </c>
      <c r="CU25">
        <v>7.12</v>
      </c>
      <c r="CV25" s="88">
        <v>46142.666666666664</v>
      </c>
      <c r="CW25">
        <v>11.72</v>
      </c>
      <c r="CX25" s="88">
        <v>46142.666666666664</v>
      </c>
      <c r="CY25">
        <v>9.7799999999999994</v>
      </c>
      <c r="CZ25" s="88">
        <v>46142.666666666664</v>
      </c>
      <c r="DA25">
        <v>16.399999999999999</v>
      </c>
      <c r="DB25" s="88">
        <v>46142.666666666664</v>
      </c>
      <c r="DC25">
        <v>82.51</v>
      </c>
      <c r="DD25" s="88">
        <v>46142.666666666664</v>
      </c>
      <c r="DE25">
        <v>27.4</v>
      </c>
      <c r="DF25" s="88">
        <v>46142.666666666664</v>
      </c>
      <c r="DG25">
        <v>6.07</v>
      </c>
      <c r="DH25" s="88">
        <v>46142.666666666664</v>
      </c>
      <c r="DI25">
        <v>16.100000000000001</v>
      </c>
      <c r="DJ25" s="88">
        <v>46142.666666666664</v>
      </c>
      <c r="DK25">
        <v>718.66</v>
      </c>
      <c r="DL25" s="88">
        <v>46142.666666666664</v>
      </c>
      <c r="DM25">
        <v>381.63</v>
      </c>
      <c r="DN25" s="88">
        <v>46142.666666666664</v>
      </c>
      <c r="DO25">
        <v>18.579999999999998</v>
      </c>
      <c r="DP25" s="88">
        <v>46142.666666666664</v>
      </c>
      <c r="DQ25">
        <v>90</v>
      </c>
      <c r="DR25" s="88">
        <v>46142.666666666664</v>
      </c>
      <c r="DS25">
        <v>12.01</v>
      </c>
      <c r="DT25" s="88">
        <v>46142.666666666664</v>
      </c>
      <c r="DU25">
        <v>74.61</v>
      </c>
      <c r="DV25" s="88">
        <v>46142.666666666664</v>
      </c>
      <c r="DW25">
        <v>14.59</v>
      </c>
      <c r="DX25" s="88">
        <v>46142.666666666664</v>
      </c>
      <c r="DY25">
        <v>147.09</v>
      </c>
      <c r="DZ25" s="88">
        <v>46142.666666666664</v>
      </c>
      <c r="EA25">
        <v>94.79</v>
      </c>
      <c r="EB25" s="88">
        <v>46142.666666666664</v>
      </c>
      <c r="EC25">
        <v>13.27</v>
      </c>
      <c r="ED25" s="88">
        <v>46142.666666666664</v>
      </c>
      <c r="EE25">
        <v>6.96</v>
      </c>
      <c r="EF25" s="88">
        <v>46142.666666666664</v>
      </c>
      <c r="EG25">
        <v>97.15</v>
      </c>
    </row>
    <row r="26" spans="1:137">
      <c r="B26" s="88">
        <v>46143.666666666664</v>
      </c>
      <c r="C26">
        <v>280.14</v>
      </c>
      <c r="D26" s="88">
        <v>46143.666666666664</v>
      </c>
      <c r="E26">
        <v>250.71</v>
      </c>
      <c r="F26" s="88">
        <v>46143.666666666664</v>
      </c>
      <c r="G26">
        <v>38.549999999999997</v>
      </c>
      <c r="H26" s="88">
        <v>46143.666666666664</v>
      </c>
      <c r="I26">
        <v>268.26</v>
      </c>
      <c r="J26" s="88">
        <v>46143.666666666664</v>
      </c>
      <c r="K26">
        <v>70.89</v>
      </c>
      <c r="L26" s="88">
        <v>46143.666666666664</v>
      </c>
      <c r="M26">
        <v>18.600000000000001</v>
      </c>
      <c r="N26" s="88">
        <v>46143.666666666664</v>
      </c>
      <c r="O26">
        <v>421.28</v>
      </c>
      <c r="P26" s="88">
        <v>46143.666666666664</v>
      </c>
      <c r="Q26">
        <v>131.5</v>
      </c>
      <c r="R26" s="88">
        <v>46143.666666666664</v>
      </c>
      <c r="S26">
        <v>21.88</v>
      </c>
      <c r="T26" s="88">
        <v>46143.666666666664</v>
      </c>
      <c r="U26">
        <v>26.53</v>
      </c>
      <c r="V26" s="88">
        <v>46143.666666666664</v>
      </c>
      <c r="W26">
        <v>1.07</v>
      </c>
      <c r="X26" s="88">
        <v>46143.666666666664</v>
      </c>
      <c r="Y26">
        <v>10.51</v>
      </c>
      <c r="Z26" s="88">
        <v>46143.666666666664</v>
      </c>
      <c r="AA26">
        <v>103.08</v>
      </c>
      <c r="AB26" s="88">
        <v>46143.666666666664</v>
      </c>
      <c r="AC26">
        <v>224.62</v>
      </c>
      <c r="AD26" s="88">
        <v>46143.666666666664</v>
      </c>
      <c r="AE26">
        <v>94.67</v>
      </c>
      <c r="AF26" s="88">
        <v>46143.666666666664</v>
      </c>
      <c r="AG26">
        <v>27.54</v>
      </c>
      <c r="AH26" s="88">
        <v>46143.666666666664</v>
      </c>
      <c r="AI26">
        <v>831.22</v>
      </c>
      <c r="AJ26" s="88">
        <v>46143.666666666664</v>
      </c>
      <c r="AK26">
        <v>18.739999999999998</v>
      </c>
      <c r="AL26" s="88">
        <v>46143.666666666664</v>
      </c>
      <c r="AM26">
        <v>33.799999999999997</v>
      </c>
      <c r="AN26" s="88">
        <v>46143.666666666664</v>
      </c>
      <c r="AO26">
        <v>385.69</v>
      </c>
      <c r="AP26" s="88">
        <v>46143.666666666664</v>
      </c>
      <c r="AQ26">
        <v>923.71</v>
      </c>
      <c r="AR26" s="88">
        <v>46143.666666666664</v>
      </c>
      <c r="AS26">
        <v>323.88</v>
      </c>
      <c r="AT26" s="88">
        <v>46143.666666666664</v>
      </c>
      <c r="AU26">
        <v>73.66</v>
      </c>
      <c r="AV26" s="88">
        <v>46143.666666666664</v>
      </c>
      <c r="AW26">
        <v>33.46</v>
      </c>
      <c r="AX26" s="88">
        <v>46143.666666666664</v>
      </c>
      <c r="AY26">
        <v>45.66</v>
      </c>
      <c r="AZ26" s="88">
        <v>46143.666666666664</v>
      </c>
      <c r="BA26">
        <v>12.65</v>
      </c>
      <c r="BB26" s="88">
        <v>46143.666666666664</v>
      </c>
      <c r="BC26">
        <v>949.93</v>
      </c>
      <c r="BD26" s="88">
        <v>46143.666666666664</v>
      </c>
      <c r="BE26">
        <v>133.58000000000001</v>
      </c>
      <c r="BF26" s="88">
        <v>46143.666666666664</v>
      </c>
      <c r="BG26">
        <v>25.62</v>
      </c>
      <c r="BH26" s="88">
        <v>46143.666666666664</v>
      </c>
      <c r="BI26">
        <v>158.25</v>
      </c>
      <c r="BJ26" s="88">
        <v>46143.666666666664</v>
      </c>
      <c r="BK26">
        <v>9.64</v>
      </c>
      <c r="BL26" s="88">
        <v>46143.666666666664</v>
      </c>
      <c r="BM26">
        <v>608.75</v>
      </c>
      <c r="BN26" s="88">
        <v>46143.666666666664</v>
      </c>
      <c r="BO26">
        <v>23.15</v>
      </c>
      <c r="BP26" s="88">
        <v>46143.666666666664</v>
      </c>
      <c r="BQ26">
        <v>414.44</v>
      </c>
      <c r="BR26" s="88">
        <v>46143.666666666664</v>
      </c>
      <c r="BS26">
        <v>125.86</v>
      </c>
      <c r="BT26" s="88">
        <v>46143.666666666664</v>
      </c>
      <c r="BU26">
        <v>542.21</v>
      </c>
      <c r="BV26" s="88">
        <v>46143.666666666664</v>
      </c>
      <c r="BW26">
        <v>92.06</v>
      </c>
      <c r="BX26" s="88">
        <v>46143.666666666664</v>
      </c>
      <c r="BY26">
        <v>44.4</v>
      </c>
      <c r="BZ26" s="88">
        <v>46143.666666666664</v>
      </c>
      <c r="CA26">
        <v>19.38</v>
      </c>
      <c r="CB26" s="88">
        <v>46143.666666666664</v>
      </c>
      <c r="CC26">
        <v>198.45</v>
      </c>
      <c r="CD26" s="88">
        <v>46143.666666666664</v>
      </c>
      <c r="CE26">
        <v>43.88</v>
      </c>
      <c r="CF26" s="88">
        <v>46143.666666666664</v>
      </c>
      <c r="CG26">
        <v>70.400000000000006</v>
      </c>
      <c r="CH26" s="88">
        <v>46143.666666666664</v>
      </c>
      <c r="CI26">
        <v>10.32</v>
      </c>
      <c r="CJ26" s="88">
        <v>46143.666666666664</v>
      </c>
      <c r="CK26">
        <v>171.83</v>
      </c>
      <c r="CL26" s="88">
        <v>46143.666666666664</v>
      </c>
      <c r="CM26">
        <v>58.71</v>
      </c>
      <c r="CN26" s="88">
        <v>46143.666666666664</v>
      </c>
      <c r="CO26">
        <v>10.67</v>
      </c>
      <c r="CP26" s="88">
        <v>46143.666666666664</v>
      </c>
      <c r="CQ26">
        <v>36.9</v>
      </c>
      <c r="CR26" s="88">
        <v>46143.666666666664</v>
      </c>
      <c r="CS26">
        <v>144.07</v>
      </c>
      <c r="CT26" s="88">
        <v>46143.666666666664</v>
      </c>
      <c r="CU26">
        <v>7.31</v>
      </c>
      <c r="CV26" s="88">
        <v>46143.666666666664</v>
      </c>
      <c r="CW26">
        <v>11.23</v>
      </c>
      <c r="CX26" s="88">
        <v>46143.666666666664</v>
      </c>
      <c r="CY26">
        <v>9.7899999999999991</v>
      </c>
      <c r="CZ26" s="88">
        <v>46143.666666666664</v>
      </c>
      <c r="DA26">
        <v>15.02</v>
      </c>
      <c r="DB26" s="88">
        <v>46143.666666666664</v>
      </c>
      <c r="DC26">
        <v>78.81</v>
      </c>
      <c r="DD26" s="88">
        <v>46143.666666666664</v>
      </c>
      <c r="DE26">
        <v>27.09</v>
      </c>
      <c r="DF26" s="88">
        <v>46143.666666666664</v>
      </c>
      <c r="DG26">
        <v>6.29</v>
      </c>
      <c r="DH26" s="88">
        <v>46143.666666666664</v>
      </c>
      <c r="DI26">
        <v>16.43</v>
      </c>
      <c r="DJ26" s="88">
        <v>46143.666666666664</v>
      </c>
      <c r="DK26">
        <v>720.65</v>
      </c>
      <c r="DL26" s="88">
        <v>46143.666666666664</v>
      </c>
      <c r="DM26">
        <v>390.82</v>
      </c>
      <c r="DN26" s="88">
        <v>46143.666666666664</v>
      </c>
      <c r="DO26">
        <v>18.78</v>
      </c>
      <c r="DP26" s="88">
        <v>46143.666666666664</v>
      </c>
      <c r="DQ26">
        <v>92.52</v>
      </c>
      <c r="DR26" s="88">
        <v>46143.666666666664</v>
      </c>
      <c r="DS26">
        <v>12.15</v>
      </c>
      <c r="DT26" s="88">
        <v>46143.666666666664</v>
      </c>
      <c r="DU26">
        <v>75.12</v>
      </c>
      <c r="DV26" s="88">
        <v>46143.666666666664</v>
      </c>
      <c r="DW26">
        <v>14.19</v>
      </c>
      <c r="DX26" s="88">
        <v>46143.666666666664</v>
      </c>
      <c r="DY26">
        <v>142.80000000000001</v>
      </c>
      <c r="DZ26" s="88">
        <v>46143.666666666664</v>
      </c>
      <c r="EA26">
        <v>94.55</v>
      </c>
      <c r="EB26" s="88">
        <v>46143.666666666664</v>
      </c>
      <c r="EC26">
        <v>12.73</v>
      </c>
      <c r="ED26" s="88">
        <v>46143.666666666664</v>
      </c>
      <c r="EE26">
        <v>6.7</v>
      </c>
      <c r="EF26" s="88">
        <v>46143.666666666664</v>
      </c>
      <c r="EG26">
        <v>103.44</v>
      </c>
    </row>
    <row r="27" spans="1:137">
      <c r="B27" s="88">
        <v>46146.666666666664</v>
      </c>
      <c r="C27">
        <v>276.83</v>
      </c>
      <c r="D27" s="88">
        <v>46146.666666666664</v>
      </c>
      <c r="E27">
        <v>253.96</v>
      </c>
      <c r="F27" s="88">
        <v>46146.666666666664</v>
      </c>
      <c r="G27">
        <v>36.96</v>
      </c>
      <c r="H27" s="88">
        <v>46146.666666666664</v>
      </c>
      <c r="I27">
        <v>272.05</v>
      </c>
      <c r="J27" s="88">
        <v>46146.666666666664</v>
      </c>
      <c r="K27">
        <v>68.430000000000007</v>
      </c>
      <c r="L27" s="88">
        <v>46146.666666666664</v>
      </c>
      <c r="M27">
        <v>18.420000000000002</v>
      </c>
      <c r="N27" s="88">
        <v>46146.666666666664</v>
      </c>
      <c r="O27">
        <v>416.5</v>
      </c>
      <c r="P27" s="88">
        <v>46146.666666666664</v>
      </c>
      <c r="Q27">
        <v>133.27000000000001</v>
      </c>
      <c r="R27" s="88">
        <v>46146.666666666664</v>
      </c>
      <c r="S27">
        <v>22.79</v>
      </c>
      <c r="T27" s="88">
        <v>46146.666666666664</v>
      </c>
      <c r="U27">
        <v>26.52</v>
      </c>
      <c r="V27" s="88">
        <v>46146.666666666664</v>
      </c>
      <c r="W27">
        <v>1.4</v>
      </c>
      <c r="X27" s="88">
        <v>46146.666666666664</v>
      </c>
      <c r="Y27">
        <v>10.25</v>
      </c>
      <c r="Z27" s="88">
        <v>46146.666666666664</v>
      </c>
      <c r="AA27">
        <v>101.31</v>
      </c>
      <c r="AB27" s="88">
        <v>46146.666666666664</v>
      </c>
      <c r="AC27">
        <v>217.27</v>
      </c>
      <c r="AD27" s="88">
        <v>46146.666666666664</v>
      </c>
      <c r="AE27">
        <v>94.05</v>
      </c>
      <c r="AF27" s="88">
        <v>46146.666666666664</v>
      </c>
      <c r="AG27">
        <v>27.21</v>
      </c>
      <c r="AH27" s="88">
        <v>46146.666666666664</v>
      </c>
      <c r="AI27">
        <v>857.79</v>
      </c>
      <c r="AJ27" s="88">
        <v>46146.666666666664</v>
      </c>
      <c r="AK27">
        <v>19.96</v>
      </c>
      <c r="AL27" s="88">
        <v>46146.666666666664</v>
      </c>
      <c r="AM27">
        <v>33.369999999999997</v>
      </c>
      <c r="AN27" s="88">
        <v>46146.666666666664</v>
      </c>
      <c r="AO27">
        <v>383.25</v>
      </c>
      <c r="AP27" s="88">
        <v>46146.666666666664</v>
      </c>
      <c r="AQ27">
        <v>903.27</v>
      </c>
      <c r="AR27" s="88">
        <v>46146.666666666664</v>
      </c>
      <c r="AS27">
        <v>312.42</v>
      </c>
      <c r="AT27" s="88">
        <v>46146.666666666664</v>
      </c>
      <c r="AU27">
        <v>76.55</v>
      </c>
      <c r="AV27" s="88">
        <v>46146.666666666664</v>
      </c>
      <c r="AW27">
        <v>33.49</v>
      </c>
      <c r="AX27" s="88">
        <v>46146.666666666664</v>
      </c>
      <c r="AY27">
        <v>49.48</v>
      </c>
      <c r="AZ27" s="88">
        <v>46146.666666666664</v>
      </c>
      <c r="BA27">
        <v>12.62</v>
      </c>
      <c r="BB27" s="88">
        <v>46146.666666666664</v>
      </c>
      <c r="BC27">
        <v>976.18</v>
      </c>
      <c r="BD27" s="88">
        <v>46146.666666666664</v>
      </c>
      <c r="BE27">
        <v>128.97999999999999</v>
      </c>
      <c r="BF27" s="88">
        <v>46146.666666666664</v>
      </c>
      <c r="BG27">
        <v>25.35</v>
      </c>
      <c r="BH27" s="88">
        <v>46146.666666666664</v>
      </c>
      <c r="BI27">
        <v>157.58000000000001</v>
      </c>
      <c r="BJ27" s="88">
        <v>46146.666666666664</v>
      </c>
      <c r="BK27">
        <v>9.48</v>
      </c>
      <c r="BL27" s="88">
        <v>46146.666666666664</v>
      </c>
      <c r="BM27">
        <v>610.41</v>
      </c>
      <c r="BN27" s="88">
        <v>46146.666666666664</v>
      </c>
      <c r="BO27">
        <v>22.97</v>
      </c>
      <c r="BP27" s="88">
        <v>46146.666666666664</v>
      </c>
      <c r="BQ27">
        <v>413.62</v>
      </c>
      <c r="BR27" s="88">
        <v>46146.666666666664</v>
      </c>
      <c r="BS27">
        <v>123.3</v>
      </c>
      <c r="BT27" s="88">
        <v>46146.666666666664</v>
      </c>
      <c r="BU27">
        <v>576.45000000000005</v>
      </c>
      <c r="BV27" s="88">
        <v>46146.666666666664</v>
      </c>
      <c r="BW27">
        <v>91.02</v>
      </c>
      <c r="BX27" s="88">
        <v>46146.666666666664</v>
      </c>
      <c r="BY27">
        <v>43.09</v>
      </c>
      <c r="BZ27" s="88">
        <v>46146.666666666664</v>
      </c>
      <c r="CA27">
        <v>18.12</v>
      </c>
      <c r="CB27" s="88">
        <v>46146.666666666664</v>
      </c>
      <c r="CC27">
        <v>198.48</v>
      </c>
      <c r="CD27" s="88">
        <v>46146.666666666664</v>
      </c>
      <c r="CE27">
        <v>44.39</v>
      </c>
      <c r="CF27" s="88">
        <v>46146.666666666664</v>
      </c>
      <c r="CG27">
        <v>68.599999999999994</v>
      </c>
      <c r="CH27" s="88">
        <v>46146.666666666664</v>
      </c>
      <c r="CI27">
        <v>9.73</v>
      </c>
      <c r="CJ27" s="88">
        <v>46146.666666666664</v>
      </c>
      <c r="CK27">
        <v>180.29</v>
      </c>
      <c r="CL27" s="88">
        <v>46146.666666666664</v>
      </c>
      <c r="CM27">
        <v>60.27</v>
      </c>
      <c r="CN27" s="88">
        <v>46146.666666666664</v>
      </c>
      <c r="CO27">
        <v>10.83</v>
      </c>
      <c r="CP27" s="88">
        <v>46146.666666666664</v>
      </c>
      <c r="CQ27">
        <v>38.54</v>
      </c>
      <c r="CR27" s="88">
        <v>46146.666666666664</v>
      </c>
      <c r="CS27">
        <v>146.03</v>
      </c>
      <c r="CT27" s="88">
        <v>46146.666666666664</v>
      </c>
      <c r="CU27">
        <v>7.11</v>
      </c>
      <c r="CV27" s="88">
        <v>46146.666666666664</v>
      </c>
      <c r="CW27">
        <v>11</v>
      </c>
      <c r="CX27" s="88">
        <v>46146.666666666664</v>
      </c>
      <c r="CY27">
        <v>9.64</v>
      </c>
      <c r="CZ27" s="88">
        <v>46146.666666666664</v>
      </c>
      <c r="DA27">
        <v>14.51</v>
      </c>
      <c r="DB27" s="88">
        <v>46146.666666666664</v>
      </c>
      <c r="DC27">
        <v>80.31</v>
      </c>
      <c r="DD27" s="88">
        <v>46146.666666666664</v>
      </c>
      <c r="DE27">
        <v>27.92</v>
      </c>
      <c r="DF27" s="88">
        <v>46146.666666666664</v>
      </c>
      <c r="DG27">
        <v>6.17</v>
      </c>
      <c r="DH27" s="88">
        <v>46146.666666666664</v>
      </c>
      <c r="DI27">
        <v>16.2</v>
      </c>
      <c r="DJ27" s="88">
        <v>46146.666666666664</v>
      </c>
      <c r="DK27">
        <v>718.01</v>
      </c>
      <c r="DL27" s="88">
        <v>46146.666666666664</v>
      </c>
      <c r="DM27">
        <v>392.51</v>
      </c>
      <c r="DN27" s="88">
        <v>46146.666666666664</v>
      </c>
      <c r="DO27">
        <v>18.64</v>
      </c>
      <c r="DP27" s="88">
        <v>46146.666666666664</v>
      </c>
      <c r="DQ27">
        <v>90.07</v>
      </c>
      <c r="DR27" s="88">
        <v>46146.666666666664</v>
      </c>
      <c r="DS27">
        <v>11.75</v>
      </c>
      <c r="DT27" s="88">
        <v>46146.666666666664</v>
      </c>
      <c r="DU27">
        <v>73.930000000000007</v>
      </c>
      <c r="DV27" s="88">
        <v>46146.666666666664</v>
      </c>
      <c r="DW27">
        <v>13.81</v>
      </c>
      <c r="DX27" s="88">
        <v>46146.666666666664</v>
      </c>
      <c r="DY27">
        <v>147.61000000000001</v>
      </c>
      <c r="DZ27" s="88">
        <v>46146.666666666664</v>
      </c>
      <c r="EA27">
        <v>115</v>
      </c>
      <c r="EB27" s="88">
        <v>46146.666666666664</v>
      </c>
      <c r="EC27">
        <v>13.77</v>
      </c>
      <c r="ED27" s="88">
        <v>46146.666666666664</v>
      </c>
      <c r="EE27">
        <v>6.54</v>
      </c>
      <c r="EF27" s="88">
        <v>46146.666666666664</v>
      </c>
      <c r="EG27">
        <v>106.63</v>
      </c>
    </row>
    <row r="28" spans="1:137">
      <c r="B28" s="88">
        <v>46147.666666666664</v>
      </c>
      <c r="C28">
        <v>284.18</v>
      </c>
      <c r="D28" s="88">
        <v>46147.666666666664</v>
      </c>
      <c r="E28">
        <v>255.62</v>
      </c>
      <c r="F28" s="88">
        <v>46147.666666666664</v>
      </c>
      <c r="G28">
        <v>38.51</v>
      </c>
      <c r="H28" s="88">
        <v>46147.666666666664</v>
      </c>
      <c r="I28">
        <v>273.55</v>
      </c>
      <c r="J28" s="88">
        <v>46147.666666666664</v>
      </c>
      <c r="K28">
        <v>63.87</v>
      </c>
      <c r="L28" s="88">
        <v>46147.666666666664</v>
      </c>
      <c r="M28">
        <v>18.329999999999998</v>
      </c>
      <c r="N28" s="88">
        <v>46147.666666666664</v>
      </c>
      <c r="O28">
        <v>427.36</v>
      </c>
      <c r="P28" s="88">
        <v>46147.666666666664</v>
      </c>
      <c r="Q28">
        <v>132.26</v>
      </c>
      <c r="R28" s="88">
        <v>46147.666666666664</v>
      </c>
      <c r="S28">
        <v>23.1</v>
      </c>
      <c r="T28" s="88">
        <v>46147.666666666664</v>
      </c>
      <c r="U28">
        <v>25</v>
      </c>
      <c r="V28" s="88">
        <v>46147.666666666664</v>
      </c>
      <c r="W28">
        <v>1.51</v>
      </c>
      <c r="X28" s="88">
        <v>46147.666666666664</v>
      </c>
      <c r="Y28">
        <v>10.65</v>
      </c>
      <c r="Z28" s="88">
        <v>46147.666666666664</v>
      </c>
      <c r="AA28">
        <v>100.48</v>
      </c>
      <c r="AB28" s="88">
        <v>46147.666666666664</v>
      </c>
      <c r="AC28">
        <v>215.49</v>
      </c>
      <c r="AD28" s="88">
        <v>46147.666666666664</v>
      </c>
      <c r="AE28">
        <v>93.69</v>
      </c>
      <c r="AF28" s="88">
        <v>46147.666666666664</v>
      </c>
      <c r="AG28">
        <v>28.01</v>
      </c>
      <c r="AH28" s="88">
        <v>46147.666666666664</v>
      </c>
      <c r="AI28">
        <v>851.26</v>
      </c>
      <c r="AJ28" s="88">
        <v>46147.666666666664</v>
      </c>
      <c r="AK28">
        <v>19.420000000000002</v>
      </c>
      <c r="AL28" s="88">
        <v>46147.666666666664</v>
      </c>
      <c r="AM28">
        <v>31.52</v>
      </c>
      <c r="AN28" s="88">
        <v>46147.666666666664</v>
      </c>
      <c r="AO28">
        <v>388.43</v>
      </c>
      <c r="AP28" s="88">
        <v>46147.666666666664</v>
      </c>
      <c r="AQ28">
        <v>918.89</v>
      </c>
      <c r="AR28" s="88">
        <v>46147.666666666664</v>
      </c>
      <c r="AS28">
        <v>315.42</v>
      </c>
      <c r="AT28" s="88">
        <v>46147.666666666664</v>
      </c>
      <c r="AU28">
        <v>77.03</v>
      </c>
      <c r="AV28" s="88">
        <v>46147.666666666664</v>
      </c>
      <c r="AW28">
        <v>33.82</v>
      </c>
      <c r="AX28" s="88">
        <v>46147.666666666664</v>
      </c>
      <c r="AY28">
        <v>54.74</v>
      </c>
      <c r="AZ28" s="88">
        <v>46147.666666666664</v>
      </c>
      <c r="BA28">
        <v>12.6</v>
      </c>
      <c r="BB28" s="88">
        <v>46147.666666666664</v>
      </c>
      <c r="BC28">
        <v>994.56</v>
      </c>
      <c r="BD28" s="88">
        <v>46147.666666666664</v>
      </c>
      <c r="BE28">
        <v>130.21</v>
      </c>
      <c r="BF28" s="88">
        <v>46147.666666666664</v>
      </c>
      <c r="BG28">
        <v>24.8</v>
      </c>
      <c r="BH28" s="88">
        <v>46147.666666666664</v>
      </c>
      <c r="BI28">
        <v>157.26</v>
      </c>
      <c r="BJ28" s="88">
        <v>46147.666666666664</v>
      </c>
      <c r="BK28">
        <v>9.31</v>
      </c>
      <c r="BL28" s="88">
        <v>46147.666666666664</v>
      </c>
      <c r="BM28">
        <v>604.96</v>
      </c>
      <c r="BN28" s="88">
        <v>46147.666666666664</v>
      </c>
      <c r="BO28">
        <v>23.26</v>
      </c>
      <c r="BP28" s="88">
        <v>46147.666666666664</v>
      </c>
      <c r="BQ28">
        <v>411.38</v>
      </c>
      <c r="BR28" s="88">
        <v>46147.666666666664</v>
      </c>
      <c r="BS28">
        <v>122.9</v>
      </c>
      <c r="BT28" s="88">
        <v>46147.666666666664</v>
      </c>
      <c r="BU28">
        <v>640.20000000000005</v>
      </c>
      <c r="BV28" s="88">
        <v>46147.666666666664</v>
      </c>
      <c r="BW28">
        <v>87.89</v>
      </c>
      <c r="BX28" s="88">
        <v>46147.666666666664</v>
      </c>
      <c r="BY28">
        <v>43.06</v>
      </c>
      <c r="BZ28" s="88">
        <v>46147.666666666664</v>
      </c>
      <c r="CA28">
        <v>18.8</v>
      </c>
      <c r="CB28" s="88">
        <v>46147.666666666664</v>
      </c>
      <c r="CC28">
        <v>196.5</v>
      </c>
      <c r="CD28" s="88">
        <v>46147.666666666664</v>
      </c>
      <c r="CE28">
        <v>44.87</v>
      </c>
      <c r="CF28" s="88">
        <v>46147.666666666664</v>
      </c>
      <c r="CG28">
        <v>68.38</v>
      </c>
      <c r="CH28" s="88">
        <v>46147.666666666664</v>
      </c>
      <c r="CI28">
        <v>9.33</v>
      </c>
      <c r="CJ28" s="88">
        <v>46147.666666666664</v>
      </c>
      <c r="CK28">
        <v>185.35</v>
      </c>
      <c r="CL28" s="88">
        <v>46147.666666666664</v>
      </c>
      <c r="CM28">
        <v>59.34</v>
      </c>
      <c r="CN28" s="88">
        <v>46147.666666666664</v>
      </c>
      <c r="CO28">
        <v>10.7</v>
      </c>
      <c r="CP28" s="88">
        <v>46147.666666666664</v>
      </c>
      <c r="CQ28">
        <v>37.130000000000003</v>
      </c>
      <c r="CR28" s="88">
        <v>46147.666666666664</v>
      </c>
      <c r="CS28">
        <v>135.91</v>
      </c>
      <c r="CT28" s="88">
        <v>46147.666666666664</v>
      </c>
      <c r="CU28">
        <v>9.2100000000000009</v>
      </c>
      <c r="CV28" s="88">
        <v>46147.666666666664</v>
      </c>
      <c r="CW28">
        <v>10.43</v>
      </c>
      <c r="CX28" s="88">
        <v>46147.666666666664</v>
      </c>
      <c r="CY28">
        <v>9.6999999999999993</v>
      </c>
      <c r="CZ28" s="88">
        <v>46147.666666666664</v>
      </c>
      <c r="DA28">
        <v>14.6</v>
      </c>
      <c r="DB28" s="88">
        <v>46147.666666666664</v>
      </c>
      <c r="DC28">
        <v>78.760000000000005</v>
      </c>
      <c r="DD28" s="88">
        <v>46147.666666666664</v>
      </c>
      <c r="DE28">
        <v>27.83</v>
      </c>
      <c r="DF28" s="88">
        <v>46147.666666666664</v>
      </c>
      <c r="DG28">
        <v>6.11</v>
      </c>
      <c r="DH28" s="88">
        <v>46147.666666666664</v>
      </c>
      <c r="DI28">
        <v>16.02</v>
      </c>
      <c r="DJ28" s="88">
        <v>46147.666666666664</v>
      </c>
      <c r="DK28">
        <v>723.77</v>
      </c>
      <c r="DL28" s="88">
        <v>46147.666666666664</v>
      </c>
      <c r="DM28">
        <v>389.37</v>
      </c>
      <c r="DN28" s="88">
        <v>46147.666666666664</v>
      </c>
      <c r="DO28">
        <v>19.13</v>
      </c>
      <c r="DP28" s="88">
        <v>46147.666666666664</v>
      </c>
      <c r="DQ28">
        <v>93.67</v>
      </c>
      <c r="DR28" s="88">
        <v>46147.666666666664</v>
      </c>
      <c r="DS28">
        <v>11.15</v>
      </c>
      <c r="DT28" s="88">
        <v>46147.666666666664</v>
      </c>
      <c r="DU28">
        <v>72.95</v>
      </c>
      <c r="DV28" s="88">
        <v>46147.666666666664</v>
      </c>
      <c r="DW28">
        <v>13.59</v>
      </c>
      <c r="DX28" s="88">
        <v>46147.666666666664</v>
      </c>
      <c r="DY28">
        <v>144.16999999999999</v>
      </c>
      <c r="DZ28" s="88">
        <v>46147.666666666664</v>
      </c>
      <c r="EA28">
        <v>137.79</v>
      </c>
      <c r="EB28" s="88">
        <v>46147.666666666664</v>
      </c>
      <c r="EC28">
        <v>13.02</v>
      </c>
      <c r="ED28" s="88">
        <v>46147.666666666664</v>
      </c>
      <c r="EE28">
        <v>6.61</v>
      </c>
      <c r="EF28" s="88">
        <v>46147.666666666664</v>
      </c>
      <c r="EG28">
        <v>109.1</v>
      </c>
    </row>
    <row r="29" spans="1:137">
      <c r="A29" s="89" t="s">
        <v>1977</v>
      </c>
    </row>
    <row r="30" spans="1:137">
      <c r="A30" s="90">
        <v>46119.666666666664</v>
      </c>
      <c r="C30" s="91">
        <f>C8/C7-1</f>
        <v>-2.0706173221046176E-2</v>
      </c>
      <c r="E30" s="91">
        <f>E8/E7-1</f>
        <v>-1.7269602226223757E-2</v>
      </c>
      <c r="G30" s="91">
        <f>G8/G7-1</f>
        <v>-2.7646129541864073E-2</v>
      </c>
      <c r="I30" s="91">
        <f>I8/I7-1</f>
        <v>4.6054795808074811E-3</v>
      </c>
      <c r="K30" s="91">
        <f t="shared" ref="K30:K50" si="0">K8/K7-1</f>
        <v>-2.3626199767957101E-2</v>
      </c>
      <c r="M30" s="91">
        <f t="shared" ref="M30:M50" si="1">M8/M7-1</f>
        <v>1.7162471395881784E-3</v>
      </c>
      <c r="O30" s="91">
        <f t="shared" ref="O30:AM45" si="2">O8/O7-1</f>
        <v>6.2144197436631465E-2</v>
      </c>
      <c r="Q30" s="91">
        <f t="shared" ref="Q30:AO45" si="3">Q8/Q7-1</f>
        <v>-2.1175701087400856E-2</v>
      </c>
      <c r="S30" s="91">
        <f t="shared" ref="S30:S50" si="4">S8/S7-1</f>
        <v>-2.0873786407766937E-2</v>
      </c>
      <c r="U30" s="91">
        <f t="shared" ref="U30:U50" si="5">U8/U7-1</f>
        <v>-3.2394792612776224E-2</v>
      </c>
      <c r="W30" s="91">
        <f t="shared" ref="W30" si="6">W8/W7-1</f>
        <v>-7.3394495412844152E-2</v>
      </c>
      <c r="Y30" s="91">
        <f t="shared" ref="Y30" si="7">Y8/Y7-1</f>
        <v>2.110199296600257E-2</v>
      </c>
      <c r="AA30" s="91">
        <f t="shared" ref="AA30:AA50" si="8">AA8/AA7-1</f>
        <v>-5.1931865392604859E-3</v>
      </c>
      <c r="AC30" s="91">
        <f t="shared" ref="AC30:AC50" si="9">AC8/AC7-1</f>
        <v>3.4558749874786798E-3</v>
      </c>
      <c r="AE30" s="91">
        <f t="shared" ref="AE30" si="10">AE8/AE7-1</f>
        <v>-4.2037987217571349E-2</v>
      </c>
      <c r="AG30" s="91">
        <f t="shared" ref="AG30" si="11">AG8/AG7-1</f>
        <v>4.1556479032867077E-3</v>
      </c>
      <c r="AI30" s="91">
        <f t="shared" ref="AI30:AI50" si="12">AI8/AI7-1</f>
        <v>-1.0295773428027011E-2</v>
      </c>
      <c r="AK30" s="91">
        <f t="shared" ref="AK30:AK50" si="13">AK8/AK7-1</f>
        <v>-1.0737628384687281E-2</v>
      </c>
      <c r="AM30" s="91">
        <f t="shared" ref="AM30" si="14">AM8/AM7-1</f>
        <v>2.0659971305595271E-2</v>
      </c>
      <c r="AO30" s="91">
        <f t="shared" ref="AO30" si="15">AO8/AO7-1</f>
        <v>1.8233941131371001E-2</v>
      </c>
      <c r="AQ30" s="91">
        <f t="shared" ref="AQ30:AQ50" si="16">AQ8/AQ7-1</f>
        <v>-2.1938687142774027E-3</v>
      </c>
      <c r="AS30" s="91">
        <f t="shared" ref="AS30:AS50" si="17">AS8/AS7-1</f>
        <v>-2.4123679779580631E-2</v>
      </c>
      <c r="AU30" s="91">
        <f t="shared" ref="AU30:BS45" si="18">AU8/AU7-1</f>
        <v>-1.8629979936943819E-3</v>
      </c>
      <c r="AW30" s="91">
        <f t="shared" ref="AW30:BU45" si="19">AW8/AW7-1</f>
        <v>1.1900334696913317E-2</v>
      </c>
      <c r="AY30" s="91">
        <f t="shared" ref="AY30:AY50" si="20">AY8/AY7-1</f>
        <v>1.7364076288072905E-2</v>
      </c>
      <c r="BA30" s="91">
        <f t="shared" ref="BA30:BA50" si="21">BA8/BA7-1</f>
        <v>7.2016460905348634E-3</v>
      </c>
      <c r="BC30" s="91">
        <f t="shared" ref="BC30" si="22">BC8/BC7-1</f>
        <v>5.6287874864038967E-2</v>
      </c>
      <c r="BE30" s="91">
        <f t="shared" ref="BE30" si="23">BE8/BE7-1</f>
        <v>-1.6071199897554234E-2</v>
      </c>
      <c r="BG30" s="91">
        <f t="shared" ref="BG30:BG50" si="24">BG8/BG7-1</f>
        <v>-8.2897033158814137E-3</v>
      </c>
      <c r="BI30" s="91">
        <f t="shared" ref="BI30:BI50" si="25">BI8/BI7-1</f>
        <v>-1.142892830377229E-2</v>
      </c>
      <c r="BK30" s="91">
        <f t="shared" ref="BK30" si="26">BK8/BK7-1</f>
        <v>-3.8983050847457679E-2</v>
      </c>
      <c r="BM30" s="91">
        <f t="shared" ref="BM30" si="27">BM8/BM7-1</f>
        <v>3.5426337649644424E-3</v>
      </c>
      <c r="BO30" s="91">
        <f t="shared" ref="BO30:BO50" si="28">BO8/BO7-1</f>
        <v>-5.2810260279140264E-3</v>
      </c>
      <c r="BQ30" s="91">
        <f t="shared" ref="BQ30:BQ50" si="29">BQ8/BQ7-1</f>
        <v>-1.5822784810125556E-3</v>
      </c>
      <c r="BS30" s="91">
        <f t="shared" ref="BS30" si="30">BS8/BS7-1</f>
        <v>6.1714109388266714E-4</v>
      </c>
      <c r="BU30" s="91">
        <f t="shared" ref="BU30" si="31">BU8/BU7-1</f>
        <v>-4.7649301143581901E-4</v>
      </c>
      <c r="BW30" s="91">
        <f t="shared" ref="BW30:BW50" si="32">BW8/BW7-1</f>
        <v>-1.1118973011221556E-3</v>
      </c>
      <c r="BY30" s="91">
        <f t="shared" ref="BY30:BY50" si="33">BY8/BY7-1</f>
        <v>-3.0433795139677589E-2</v>
      </c>
      <c r="CA30" s="91">
        <f t="shared" ref="CA30:CY45" si="34">CA8/CA7-1</f>
        <v>-9.2715231788079389E-2</v>
      </c>
      <c r="CC30" s="91">
        <f t="shared" ref="CC30:DA45" si="35">CC8/CC7-1</f>
        <v>2.5895068678225552E-3</v>
      </c>
      <c r="CE30" s="91">
        <f t="shared" ref="CE30:CE50" si="36">CE8/CE7-1</f>
        <v>6.5448595582218161E-3</v>
      </c>
      <c r="CG30" s="91">
        <f t="shared" ref="CG30:CG50" si="37">CG8/CG7-1</f>
        <v>-4.4503691550451085E-2</v>
      </c>
      <c r="CI30" s="91">
        <f t="shared" ref="CI30" si="38">CI8/CI7-1</f>
        <v>1.0504201680672232E-3</v>
      </c>
      <c r="CK30" s="91">
        <f t="shared" ref="CK30" si="39">CK8/CK7-1</f>
        <v>-1.6284183042462597E-2</v>
      </c>
      <c r="CM30" s="91">
        <f t="shared" ref="CM30:CM50" si="40">CM8/CM7-1</f>
        <v>-3.1766200762395336E-4</v>
      </c>
      <c r="CO30" s="91">
        <f t="shared" ref="CO30:CO50" si="41">CO8/CO7-1</f>
        <v>-1.7937219730941756E-2</v>
      </c>
      <c r="CQ30" s="91">
        <f t="shared" ref="CQ30" si="42">CQ8/CQ7-1</f>
        <v>4.2832667047401074E-3</v>
      </c>
      <c r="CS30" s="91">
        <f t="shared" ref="CS30" si="43">CS8/CS7-1</f>
        <v>1.4466301629148859E-2</v>
      </c>
      <c r="CU30" s="91">
        <f t="shared" ref="CU30:CU50" si="44">CU8/CU7-1</f>
        <v>-1.9736842105263164E-2</v>
      </c>
      <c r="CW30" s="91">
        <f t="shared" ref="CW30:CW50" si="45">CW8/CW7-1</f>
        <v>-7.5038284839203717E-2</v>
      </c>
      <c r="CY30" s="91">
        <f t="shared" ref="CY30" si="46">CY8/CY7-1</f>
        <v>-1.4522821576763545E-2</v>
      </c>
      <c r="DA30" s="91">
        <f t="shared" ref="DA30" si="47">DA8/DA7-1</f>
        <v>-3.924133420536291E-2</v>
      </c>
      <c r="DC30" s="91">
        <f t="shared" ref="DC30:DC50" si="48">DC8/DC7-1</f>
        <v>-1.9949756169646893E-2</v>
      </c>
      <c r="DE30" s="91">
        <f t="shared" ref="DE30:DE50" si="49">DE8/DE7-1</f>
        <v>2.8117913832199637E-2</v>
      </c>
      <c r="DG30" s="91">
        <f t="shared" ref="DG30:EE45" si="50">DG8/DG7-1</f>
        <v>1.9108280254777066E-2</v>
      </c>
      <c r="DI30" s="91">
        <f t="shared" ref="DI30:EG45" si="51">DI8/DI7-1</f>
        <v>-9.8340503995083539E-3</v>
      </c>
      <c r="DK30" s="91">
        <f t="shared" ref="DK30:DK50" si="52">DK8/DK7-1</f>
        <v>4.4010744692157822E-4</v>
      </c>
      <c r="DM30" s="91">
        <f t="shared" ref="DM30:DM50" si="53">DM8/DM7-1</f>
        <v>-1.7487670766963337E-2</v>
      </c>
      <c r="DO30" s="91">
        <f t="shared" ref="DO30" si="54">DO8/DO7-1</f>
        <v>1.6120365394949099E-2</v>
      </c>
      <c r="DQ30" s="91">
        <f t="shared" ref="DQ30" si="55">DQ8/DQ7-1</f>
        <v>-1.8467626690117589E-2</v>
      </c>
      <c r="DS30" s="91">
        <f t="shared" ref="DS30:DS50" si="56">DS8/DS7-1</f>
        <v>-1.8115942028985366E-2</v>
      </c>
      <c r="DU30" s="91">
        <f t="shared" ref="DU30:DU50" si="57">DU8/DU7-1</f>
        <v>-6.0967160870167847E-3</v>
      </c>
      <c r="DW30" s="91">
        <f t="shared" ref="DW30" si="58">DW8/DW7-1</f>
        <v>-4.0846097738876819E-2</v>
      </c>
      <c r="DY30" s="91">
        <f t="shared" ref="DY30" si="59">DY8/DY7-1</f>
        <v>-6.1897221822367898E-3</v>
      </c>
      <c r="EA30" s="91">
        <f t="shared" ref="EA30:EA50" si="60">EA8/EA7-1</f>
        <v>-3.635593220338984E-2</v>
      </c>
      <c r="EC30" s="91">
        <f t="shared" ref="EC30:EC50" si="61">EC8/EC7-1</f>
        <v>3.1367628607277265E-3</v>
      </c>
      <c r="EE30" s="91">
        <f t="shared" ref="EE30" si="62">EE8/EE7-1</f>
        <v>-2.8208744710860434E-2</v>
      </c>
      <c r="EG30" s="91">
        <f t="shared" ref="EG30" si="63">EG8/EG7-1</f>
        <v>1.6207063376874498E-2</v>
      </c>
    </row>
    <row r="31" spans="1:137">
      <c r="A31" s="90">
        <v>46120.666666666664</v>
      </c>
      <c r="C31" s="91">
        <f t="shared" ref="C31:E46" si="64">C9/C8-1</f>
        <v>2.130177514792897E-2</v>
      </c>
      <c r="E31" s="91">
        <f t="shared" si="64"/>
        <v>-3.456317148330057E-3</v>
      </c>
      <c r="G31" s="91">
        <f t="shared" ref="G31:G50" si="65">G9/G8-1</f>
        <v>8.0693203357703691E-2</v>
      </c>
      <c r="I31" s="91">
        <f t="shared" ref="I31:I50" si="66">I9/I8-1</f>
        <v>3.4990878046498475E-2</v>
      </c>
      <c r="K31" s="91">
        <f t="shared" si="0"/>
        <v>4.2022253429836898E-2</v>
      </c>
      <c r="M31" s="91">
        <f t="shared" si="1"/>
        <v>3.4837235865219807E-2</v>
      </c>
      <c r="O31" s="91">
        <f t="shared" si="2"/>
        <v>4.9884720184447673E-2</v>
      </c>
      <c r="Q31" s="91">
        <f t="shared" si="3"/>
        <v>4.6775810223855574E-2</v>
      </c>
      <c r="S31" s="91">
        <f t="shared" si="4"/>
        <v>6.6931085770946863E-2</v>
      </c>
      <c r="U31" s="91">
        <f t="shared" si="5"/>
        <v>-5.5694618272841057E-2</v>
      </c>
      <c r="W31" s="91">
        <f t="shared" si="2"/>
        <v>6.9306930693069368E-2</v>
      </c>
      <c r="Y31" s="91">
        <f t="shared" si="3"/>
        <v>3.7887485648679498E-2</v>
      </c>
      <c r="AA31" s="91">
        <f t="shared" si="8"/>
        <v>3.5498016287325074E-2</v>
      </c>
      <c r="AC31" s="91">
        <f t="shared" si="9"/>
        <v>2.1961567257299697E-2</v>
      </c>
      <c r="AE31" s="91">
        <f t="shared" si="2"/>
        <v>-7.5173839503852591E-3</v>
      </c>
      <c r="AG31" s="91">
        <f t="shared" si="3"/>
        <v>3.0474040632054278E-2</v>
      </c>
      <c r="AI31" s="91">
        <f t="shared" si="12"/>
        <v>6.9461916273778623E-3</v>
      </c>
      <c r="AK31" s="91">
        <f t="shared" si="13"/>
        <v>-4.9079754601227155E-2</v>
      </c>
      <c r="AM31" s="91">
        <f t="shared" si="2"/>
        <v>7.1689626089401104E-2</v>
      </c>
      <c r="AO31" s="91">
        <f t="shared" si="3"/>
        <v>3.8826687618673583E-2</v>
      </c>
      <c r="AQ31" s="91">
        <f t="shared" si="16"/>
        <v>4.8139790545622896E-2</v>
      </c>
      <c r="AS31" s="91">
        <f t="shared" si="17"/>
        <v>5.4553439784170488E-2</v>
      </c>
      <c r="AU31" s="91">
        <f t="shared" si="18"/>
        <v>3.1299353912419114E-2</v>
      </c>
      <c r="AW31" s="91">
        <f t="shared" si="19"/>
        <v>0.13744946710768091</v>
      </c>
      <c r="AY31" s="91">
        <f t="shared" si="20"/>
        <v>3.0498041410184529E-2</v>
      </c>
      <c r="BA31" s="91">
        <f t="shared" si="21"/>
        <v>6.7415730337078594E-2</v>
      </c>
      <c r="BC31" s="91">
        <f t="shared" si="18"/>
        <v>9.84002451731536E-2</v>
      </c>
      <c r="BE31" s="91">
        <f t="shared" si="19"/>
        <v>3.3773670853127102E-2</v>
      </c>
      <c r="BG31" s="91">
        <f t="shared" si="24"/>
        <v>2.9036515618125813E-2</v>
      </c>
      <c r="BI31" s="91">
        <f t="shared" si="25"/>
        <v>3.3293322382968116E-2</v>
      </c>
      <c r="BK31" s="91">
        <f t="shared" si="18"/>
        <v>2.9982363315696592E-2</v>
      </c>
      <c r="BM31" s="91">
        <f t="shared" si="19"/>
        <v>6.4985653421441691E-2</v>
      </c>
      <c r="BO31" s="91">
        <f t="shared" si="28"/>
        <v>9.480470231323368E-3</v>
      </c>
      <c r="BQ31" s="91">
        <f t="shared" si="29"/>
        <v>5.4795992371536872E-3</v>
      </c>
      <c r="BS31" s="91">
        <f t="shared" si="18"/>
        <v>-1.6189962223421839E-3</v>
      </c>
      <c r="BU31" s="91">
        <f t="shared" si="19"/>
        <v>7.7202182318978796E-2</v>
      </c>
      <c r="BW31" s="91">
        <f t="shared" si="32"/>
        <v>5.7680631451124675E-3</v>
      </c>
      <c r="BY31" s="91">
        <f t="shared" si="33"/>
        <v>1.030686343405951E-2</v>
      </c>
      <c r="CA31" s="91">
        <f t="shared" si="34"/>
        <v>-3.1851360318513655E-2</v>
      </c>
      <c r="CC31" s="91">
        <f t="shared" si="35"/>
        <v>2.234699606962387E-2</v>
      </c>
      <c r="CE31" s="91">
        <f t="shared" si="36"/>
        <v>1.8965050121918292E-2</v>
      </c>
      <c r="CG31" s="91">
        <f t="shared" si="37"/>
        <v>7.7699077055161991E-2</v>
      </c>
      <c r="CI31" s="91">
        <f t="shared" si="34"/>
        <v>-8.3945435466946661E-3</v>
      </c>
      <c r="CK31" s="91">
        <f t="shared" si="35"/>
        <v>3.4225047146749787E-3</v>
      </c>
      <c r="CM31" s="91">
        <f t="shared" si="40"/>
        <v>-5.0365427391166118E-2</v>
      </c>
      <c r="CO31" s="91">
        <f t="shared" si="41"/>
        <v>-5.1141552511415389E-2</v>
      </c>
      <c r="CQ31" s="91">
        <f t="shared" si="34"/>
        <v>3.9237986920670931E-2</v>
      </c>
      <c r="CS31" s="91">
        <f t="shared" si="35"/>
        <v>-6.203771573265815E-2</v>
      </c>
      <c r="CU31" s="91">
        <f t="shared" si="44"/>
        <v>4.3624161073825496E-2</v>
      </c>
      <c r="CW31" s="91">
        <f t="shared" si="45"/>
        <v>7.9470198675496651E-2</v>
      </c>
      <c r="CY31" s="91">
        <f t="shared" si="34"/>
        <v>3.0526315789473513E-2</v>
      </c>
      <c r="DA31" s="91">
        <f t="shared" si="35"/>
        <v>3.0633083730428945E-2</v>
      </c>
      <c r="DC31" s="91">
        <f t="shared" si="48"/>
        <v>4.161640530759958E-2</v>
      </c>
      <c r="DE31" s="91">
        <f t="shared" si="49"/>
        <v>3.0877812086457901E-2</v>
      </c>
      <c r="DG31" s="91">
        <f t="shared" si="50"/>
        <v>-1.4583333333333171E-2</v>
      </c>
      <c r="DI31" s="91">
        <f t="shared" si="51"/>
        <v>2.358783364369943E-2</v>
      </c>
      <c r="DK31" s="91">
        <f t="shared" si="52"/>
        <v>2.5469494250781155E-2</v>
      </c>
      <c r="DM31" s="91">
        <f t="shared" si="53"/>
        <v>-9.808163854031382E-3</v>
      </c>
      <c r="DO31" s="91">
        <f t="shared" si="50"/>
        <v>2.5912215758857604E-2</v>
      </c>
      <c r="DQ31" s="91">
        <f t="shared" si="51"/>
        <v>7.850823160488285E-2</v>
      </c>
      <c r="DS31" s="91">
        <f t="shared" si="56"/>
        <v>8.7330873308733015E-2</v>
      </c>
      <c r="DU31" s="91">
        <f t="shared" si="57"/>
        <v>9.0617593754356296E-3</v>
      </c>
      <c r="DW31" s="91">
        <f t="shared" si="50"/>
        <v>-2.2813688212927841E-2</v>
      </c>
      <c r="DY31" s="91">
        <f t="shared" si="51"/>
        <v>-9.776940903823883E-2</v>
      </c>
      <c r="EA31" s="91">
        <f t="shared" si="60"/>
        <v>5.3029636795356661E-2</v>
      </c>
      <c r="EC31" s="91">
        <f t="shared" si="61"/>
        <v>-9.6935584740462821E-2</v>
      </c>
      <c r="EE31" s="91">
        <f t="shared" si="50"/>
        <v>2.467343976777947E-2</v>
      </c>
      <c r="EG31" s="91">
        <f t="shared" si="51"/>
        <v>-9.4025232087596722E-3</v>
      </c>
    </row>
    <row r="32" spans="1:137">
      <c r="A32" s="90">
        <v>46121.666666666664</v>
      </c>
      <c r="C32" s="91">
        <f t="shared" si="64"/>
        <v>6.1413673232910693E-3</v>
      </c>
      <c r="E32" s="91">
        <f t="shared" si="64"/>
        <v>-3.9154235092557776E-2</v>
      </c>
      <c r="G32" s="91">
        <f t="shared" si="65"/>
        <v>-2.5056376847898409E-4</v>
      </c>
      <c r="I32" s="91">
        <f t="shared" si="66"/>
        <v>5.6045197740113073E-2</v>
      </c>
      <c r="K32" s="91">
        <f t="shared" si="0"/>
        <v>-5.0279908770474724E-2</v>
      </c>
      <c r="M32" s="91">
        <f t="shared" si="1"/>
        <v>0</v>
      </c>
      <c r="O32" s="91">
        <f t="shared" si="2"/>
        <v>1.2206599549382524E-2</v>
      </c>
      <c r="Q32" s="91">
        <f t="shared" si="3"/>
        <v>1.8831790616023136E-2</v>
      </c>
      <c r="S32" s="91">
        <f t="shared" si="4"/>
        <v>-2.0446096654275103E-2</v>
      </c>
      <c r="U32" s="91">
        <f t="shared" si="5"/>
        <v>-8.1842279655400918E-2</v>
      </c>
      <c r="W32" s="91">
        <f t="shared" si="2"/>
        <v>-9.2592592592593004E-3</v>
      </c>
      <c r="Y32" s="91">
        <f t="shared" si="3"/>
        <v>2.1017699115044364E-2</v>
      </c>
      <c r="AA32" s="91">
        <f t="shared" si="8"/>
        <v>6.1504335551523237E-3</v>
      </c>
      <c r="AC32" s="91">
        <f t="shared" si="9"/>
        <v>3.8437118437118389E-2</v>
      </c>
      <c r="AE32" s="91">
        <f t="shared" si="2"/>
        <v>-2.8593069494413981E-2</v>
      </c>
      <c r="AG32" s="91">
        <f t="shared" si="3"/>
        <v>1.1317999269806478E-2</v>
      </c>
      <c r="AI32" s="91">
        <f t="shared" si="12"/>
        <v>8.6364228914093122E-3</v>
      </c>
      <c r="AK32" s="91">
        <f t="shared" si="13"/>
        <v>-5.3101736972704705E-2</v>
      </c>
      <c r="AM32" s="91">
        <f t="shared" si="2"/>
        <v>-1.4428121720881371E-2</v>
      </c>
      <c r="AO32" s="91">
        <f t="shared" si="3"/>
        <v>3.6871297113325596E-3</v>
      </c>
      <c r="AQ32" s="91">
        <f t="shared" si="16"/>
        <v>-2.2412365443003068E-3</v>
      </c>
      <c r="AS32" s="91">
        <f t="shared" si="17"/>
        <v>1.0173726796763427E-2</v>
      </c>
      <c r="AU32" s="91">
        <f t="shared" si="18"/>
        <v>-2.3806209104830778E-2</v>
      </c>
      <c r="AW32" s="91">
        <f t="shared" si="19"/>
        <v>5.4927302100162834E-3</v>
      </c>
      <c r="AY32" s="91">
        <f t="shared" si="20"/>
        <v>6.2449090415424013E-3</v>
      </c>
      <c r="BA32" s="91">
        <f t="shared" si="21"/>
        <v>1.8181818181818299E-2</v>
      </c>
      <c r="BC32" s="91">
        <f t="shared" si="18"/>
        <v>-2.109327916787529E-3</v>
      </c>
      <c r="BE32" s="91">
        <f t="shared" si="19"/>
        <v>4.8155608712073361E-2</v>
      </c>
      <c r="BG32" s="91">
        <f t="shared" si="24"/>
        <v>-6.0709705002137682E-2</v>
      </c>
      <c r="BI32" s="91">
        <f t="shared" si="25"/>
        <v>6.1139642944474382E-4</v>
      </c>
      <c r="BK32" s="91">
        <f t="shared" si="18"/>
        <v>5.1369863013699391E-3</v>
      </c>
      <c r="BM32" s="91">
        <f t="shared" si="19"/>
        <v>2.6076875346984218E-2</v>
      </c>
      <c r="BO32" s="91">
        <f t="shared" si="28"/>
        <v>-5.0713749060856572E-2</v>
      </c>
      <c r="BQ32" s="91">
        <f t="shared" si="29"/>
        <v>-3.3660139449148696E-3</v>
      </c>
      <c r="BS32" s="91">
        <f t="shared" si="18"/>
        <v>5.4054054054053502E-4</v>
      </c>
      <c r="BU32" s="91">
        <f t="shared" si="19"/>
        <v>3.6338603004450132E-2</v>
      </c>
      <c r="BW32" s="91">
        <f t="shared" si="32"/>
        <v>2.6763255860750457E-2</v>
      </c>
      <c r="BY32" s="91">
        <f t="shared" si="33"/>
        <v>2.0171574310224871E-2</v>
      </c>
      <c r="CA32" s="91">
        <f t="shared" si="34"/>
        <v>3.5640849897189852E-2</v>
      </c>
      <c r="CC32" s="91">
        <f t="shared" si="35"/>
        <v>1.0050527240773155E-2</v>
      </c>
      <c r="CE32" s="91">
        <f t="shared" si="36"/>
        <v>-4.5200744482850608E-3</v>
      </c>
      <c r="CG32" s="91">
        <f t="shared" si="37"/>
        <v>-4.8994224258115948E-2</v>
      </c>
      <c r="CI32" s="91">
        <f t="shared" si="34"/>
        <v>-3.2804232804232725E-2</v>
      </c>
      <c r="CK32" s="91">
        <f t="shared" si="35"/>
        <v>-4.0373103160239343E-2</v>
      </c>
      <c r="CM32" s="91">
        <f t="shared" si="40"/>
        <v>-2.0746193742680274E-2</v>
      </c>
      <c r="CO32" s="91">
        <f t="shared" si="41"/>
        <v>-4.3310875842155983E-2</v>
      </c>
      <c r="CQ32" s="91">
        <f t="shared" si="34"/>
        <v>-6.3474692202462379E-2</v>
      </c>
      <c r="CS32" s="91">
        <f t="shared" si="35"/>
        <v>-7.2961068485364988E-2</v>
      </c>
      <c r="CU32" s="91">
        <f t="shared" si="44"/>
        <v>-2.2508038585209E-2</v>
      </c>
      <c r="CW32" s="91">
        <f t="shared" si="45"/>
        <v>-8.5122699386503076E-2</v>
      </c>
      <c r="CY32" s="91">
        <f t="shared" si="34"/>
        <v>1.2257405515832653E-2</v>
      </c>
      <c r="DA32" s="91">
        <f t="shared" si="35"/>
        <v>6.6050198150593431E-3</v>
      </c>
      <c r="DC32" s="91">
        <f t="shared" si="48"/>
        <v>-3.3873769542559384E-2</v>
      </c>
      <c r="DE32" s="91">
        <f t="shared" si="49"/>
        <v>-6.4184852374840062E-3</v>
      </c>
      <c r="DG32" s="91">
        <f t="shared" si="50"/>
        <v>4.6511627906976605E-2</v>
      </c>
      <c r="DI32" s="91">
        <f t="shared" si="51"/>
        <v>-1.3341419041843494E-2</v>
      </c>
      <c r="DK32" s="91">
        <f t="shared" si="52"/>
        <v>5.7691454268427034E-3</v>
      </c>
      <c r="DM32" s="91">
        <f t="shared" si="53"/>
        <v>6.9045884923524259E-3</v>
      </c>
      <c r="DO32" s="91">
        <f t="shared" si="50"/>
        <v>-4.9484536082474051E-2</v>
      </c>
      <c r="DQ32" s="91">
        <f t="shared" si="51"/>
        <v>1.4226375908618971E-2</v>
      </c>
      <c r="DS32" s="91">
        <f t="shared" si="56"/>
        <v>-7.9185520361991779E-3</v>
      </c>
      <c r="DU32" s="91">
        <f t="shared" si="57"/>
        <v>-7.8751036197843849E-3</v>
      </c>
      <c r="DW32" s="91">
        <f t="shared" si="50"/>
        <v>-3.424124513618676E-2</v>
      </c>
      <c r="DY32" s="91">
        <f t="shared" si="51"/>
        <v>1.9104190078664374E-2</v>
      </c>
      <c r="EA32" s="91">
        <f t="shared" si="60"/>
        <v>-3.9585769166527451E-2</v>
      </c>
      <c r="EC32" s="91">
        <f t="shared" si="61"/>
        <v>-0.10041551246537395</v>
      </c>
      <c r="EE32" s="91">
        <f t="shared" si="50"/>
        <v>5.6657223796034994E-3</v>
      </c>
      <c r="EG32" s="91">
        <f t="shared" si="51"/>
        <v>9.6119187792862437E-3</v>
      </c>
    </row>
    <row r="33" spans="1:137">
      <c r="A33" s="90">
        <v>46122.666666666664</v>
      </c>
      <c r="C33" s="91">
        <f t="shared" si="64"/>
        <v>-3.8389189604193241E-5</v>
      </c>
      <c r="E33" s="91">
        <f t="shared" si="64"/>
        <v>-1.9961729146733997E-2</v>
      </c>
      <c r="G33" s="91">
        <f t="shared" si="65"/>
        <v>-1.0025062656641603E-2</v>
      </c>
      <c r="I33" s="91">
        <f t="shared" si="66"/>
        <v>2.0243954632997996E-2</v>
      </c>
      <c r="K33" s="91">
        <f t="shared" si="0"/>
        <v>3.5913109922497632E-2</v>
      </c>
      <c r="M33" s="91">
        <f t="shared" si="1"/>
        <v>-1.2141280353201056E-2</v>
      </c>
      <c r="O33" s="91">
        <f t="shared" si="2"/>
        <v>4.688512580654236E-2</v>
      </c>
      <c r="Q33" s="91">
        <f t="shared" si="3"/>
        <v>-2.7412280701755165E-3</v>
      </c>
      <c r="S33" s="91">
        <f t="shared" si="4"/>
        <v>9.4876660341556285E-3</v>
      </c>
      <c r="U33" s="91">
        <f t="shared" si="5"/>
        <v>2.093107181522913E-2</v>
      </c>
      <c r="W33" s="91">
        <f t="shared" si="2"/>
        <v>-9.3457943925233655E-3</v>
      </c>
      <c r="Y33" s="91">
        <f t="shared" si="3"/>
        <v>-2.0585048754062973E-2</v>
      </c>
      <c r="AA33" s="91">
        <f t="shared" si="8"/>
        <v>-6.2130473995390956E-3</v>
      </c>
      <c r="AC33" s="91">
        <f t="shared" si="9"/>
        <v>-7.5251622613115021E-4</v>
      </c>
      <c r="AE33" s="91">
        <f t="shared" si="2"/>
        <v>-2.9727095516569157E-2</v>
      </c>
      <c r="AG33" s="91">
        <f t="shared" si="3"/>
        <v>-1.2996389891696714E-2</v>
      </c>
      <c r="AI33" s="91">
        <f t="shared" si="12"/>
        <v>-3.4788415349984447E-3</v>
      </c>
      <c r="AK33" s="91">
        <f t="shared" si="13"/>
        <v>-4.8218029350104774E-2</v>
      </c>
      <c r="AM33" s="91">
        <f t="shared" si="2"/>
        <v>-7.9850944902848386E-4</v>
      </c>
      <c r="AO33" s="91">
        <f t="shared" si="3"/>
        <v>-3.9247700084774628E-3</v>
      </c>
      <c r="AQ33" s="91">
        <f t="shared" si="16"/>
        <v>4.5146726862301811E-3</v>
      </c>
      <c r="AS33" s="91">
        <f t="shared" si="17"/>
        <v>-6.5963837681842774E-3</v>
      </c>
      <c r="AU33" s="91">
        <f t="shared" si="18"/>
        <v>-1.3262977752424465E-2</v>
      </c>
      <c r="AW33" s="91">
        <f t="shared" si="19"/>
        <v>2.4742930591259649E-2</v>
      </c>
      <c r="AY33" s="91">
        <f t="shared" si="20"/>
        <v>6.0982191041554223E-2</v>
      </c>
      <c r="BA33" s="91">
        <f t="shared" si="21"/>
        <v>2.2556390977443552E-2</v>
      </c>
      <c r="BC33" s="91">
        <f t="shared" si="18"/>
        <v>3.5453457550915779E-3</v>
      </c>
      <c r="BE33" s="91">
        <f t="shared" si="19"/>
        <v>-1.5914960062458627E-2</v>
      </c>
      <c r="BG33" s="91">
        <f t="shared" si="24"/>
        <v>7.282658170232148E-2</v>
      </c>
      <c r="BI33" s="91">
        <f t="shared" si="25"/>
        <v>-1.8758401564218485E-2</v>
      </c>
      <c r="BK33" s="91">
        <f t="shared" si="18"/>
        <v>-8.8586030664395299E-2</v>
      </c>
      <c r="BM33" s="91">
        <f t="shared" si="19"/>
        <v>2.3393115740224513E-3</v>
      </c>
      <c r="BO33" s="91">
        <f t="shared" si="28"/>
        <v>-2.0182034032449447E-2</v>
      </c>
      <c r="BQ33" s="91">
        <f t="shared" si="29"/>
        <v>-5.8970166456696615E-3</v>
      </c>
      <c r="BS33" s="91">
        <f t="shared" si="18"/>
        <v>-1.3120321061974138E-2</v>
      </c>
      <c r="BU33" s="91">
        <f t="shared" si="19"/>
        <v>-2.1826291191193725E-3</v>
      </c>
      <c r="BW33" s="91">
        <f t="shared" si="32"/>
        <v>9.407153356198128E-3</v>
      </c>
      <c r="BY33" s="91">
        <f t="shared" si="33"/>
        <v>-3.1363636363636371E-2</v>
      </c>
      <c r="CA33" s="91">
        <f t="shared" si="34"/>
        <v>1.1250827266710672E-2</v>
      </c>
      <c r="CC33" s="91">
        <f t="shared" si="35"/>
        <v>2.5664727312272317E-2</v>
      </c>
      <c r="CE33" s="91">
        <f t="shared" si="36"/>
        <v>2.1367521367523512E-3</v>
      </c>
      <c r="CG33" s="91">
        <f t="shared" si="37"/>
        <v>5.2356020942408321E-2</v>
      </c>
      <c r="CI33" s="91">
        <f t="shared" si="34"/>
        <v>-1.094091903719896E-3</v>
      </c>
      <c r="CK33" s="91">
        <f t="shared" si="35"/>
        <v>1.6683592049904217E-3</v>
      </c>
      <c r="CM33" s="91">
        <f t="shared" si="40"/>
        <v>-9.5677430377584249E-3</v>
      </c>
      <c r="CO33" s="91">
        <f t="shared" si="41"/>
        <v>-5.6338028169014009E-2</v>
      </c>
      <c r="CQ33" s="91">
        <f t="shared" si="34"/>
        <v>1.2854221443178604E-2</v>
      </c>
      <c r="CS33" s="91">
        <f t="shared" si="35"/>
        <v>-1.8622116637290298E-2</v>
      </c>
      <c r="CU33" s="91">
        <f t="shared" si="44"/>
        <v>0.15789473684210531</v>
      </c>
      <c r="CW33" s="91">
        <f t="shared" si="45"/>
        <v>3.6881810561609329E-2</v>
      </c>
      <c r="CY33" s="91">
        <f t="shared" si="34"/>
        <v>3.0272452068615952E-3</v>
      </c>
      <c r="DA33" s="91">
        <f t="shared" si="35"/>
        <v>1.2467191601049921E-2</v>
      </c>
      <c r="DC33" s="91">
        <f t="shared" si="48"/>
        <v>1.9628408750374637E-2</v>
      </c>
      <c r="DE33" s="91">
        <f t="shared" si="49"/>
        <v>8.7855297157622969E-2</v>
      </c>
      <c r="DG33" s="91">
        <f t="shared" si="50"/>
        <v>-2.626262626262621E-2</v>
      </c>
      <c r="DI33" s="91">
        <f t="shared" si="51"/>
        <v>-3.0731407498464369E-3</v>
      </c>
      <c r="DK33" s="91">
        <f t="shared" si="52"/>
        <v>-6.618523039813029E-4</v>
      </c>
      <c r="DM33" s="91">
        <f t="shared" si="53"/>
        <v>9.6348590938024614E-3</v>
      </c>
      <c r="DO33" s="91">
        <f t="shared" si="50"/>
        <v>-2.8199566160520551E-2</v>
      </c>
      <c r="DQ33" s="91">
        <f t="shared" si="51"/>
        <v>-1.3002969181939106E-2</v>
      </c>
      <c r="DS33" s="91">
        <f t="shared" si="56"/>
        <v>-4.6750285062713837E-2</v>
      </c>
      <c r="DU33" s="91">
        <f t="shared" si="57"/>
        <v>-1.8521097340203241E-2</v>
      </c>
      <c r="DW33" s="91">
        <f t="shared" si="50"/>
        <v>0.10394842868654308</v>
      </c>
      <c r="DY33" s="91">
        <f t="shared" si="51"/>
        <v>-1.6855702583490895E-2</v>
      </c>
      <c r="EA33" s="91">
        <f t="shared" si="60"/>
        <v>-1.7478260869565276E-2</v>
      </c>
      <c r="EC33" s="91">
        <f t="shared" si="61"/>
        <v>-1.5396458814472824E-3</v>
      </c>
      <c r="EE33" s="91">
        <f t="shared" si="50"/>
        <v>-2.9577464788732355E-2</v>
      </c>
      <c r="EG33" s="91">
        <f t="shared" si="51"/>
        <v>-5.7003451148399442E-2</v>
      </c>
    </row>
    <row r="34" spans="1:137">
      <c r="A34" s="90">
        <v>46125.666666666664</v>
      </c>
      <c r="C34" s="91">
        <f t="shared" si="64"/>
        <v>-4.9140049140050657E-3</v>
      </c>
      <c r="E34" s="91">
        <f t="shared" si="64"/>
        <v>6.54981140448192E-2</v>
      </c>
      <c r="G34" s="91">
        <f t="shared" si="65"/>
        <v>1.1898734177215209E-2</v>
      </c>
      <c r="I34" s="91">
        <f t="shared" si="66"/>
        <v>6.3344240288614184E-3</v>
      </c>
      <c r="K34" s="91">
        <f t="shared" si="0"/>
        <v>4.2887249736564659E-2</v>
      </c>
      <c r="M34" s="91">
        <f t="shared" si="1"/>
        <v>-2.7932960893852776E-3</v>
      </c>
      <c r="O34" s="91">
        <f t="shared" si="2"/>
        <v>2.2069707980083342E-2</v>
      </c>
      <c r="Q34" s="91">
        <f t="shared" si="3"/>
        <v>5.3404539385846217E-3</v>
      </c>
      <c r="S34" s="91">
        <f t="shared" si="4"/>
        <v>1.0808270676691656E-2</v>
      </c>
      <c r="U34" s="91">
        <f t="shared" si="5"/>
        <v>6.7161541180629225E-3</v>
      </c>
      <c r="W34" s="91">
        <f t="shared" si="2"/>
        <v>1.8867924528301883E-2</v>
      </c>
      <c r="Y34" s="91">
        <f t="shared" si="3"/>
        <v>3.3185840707964598E-2</v>
      </c>
      <c r="AA34" s="91">
        <f t="shared" si="8"/>
        <v>2.0268226278108425E-2</v>
      </c>
      <c r="AC34" s="91">
        <f t="shared" si="9"/>
        <v>-8.8957921491105152E-3</v>
      </c>
      <c r="AE34" s="91">
        <f t="shared" si="2"/>
        <v>2.5916624811652467E-2</v>
      </c>
      <c r="AG34" s="91">
        <f t="shared" si="3"/>
        <v>9.8756400877835215E-3</v>
      </c>
      <c r="AI34" s="91">
        <f t="shared" si="12"/>
        <v>1.060265444641395E-2</v>
      </c>
      <c r="AK34" s="91">
        <f t="shared" si="13"/>
        <v>5.6167400881057317E-2</v>
      </c>
      <c r="AM34" s="91">
        <f t="shared" si="2"/>
        <v>3.3564198188598793E-2</v>
      </c>
      <c r="AO34" s="91">
        <f t="shared" si="3"/>
        <v>1.2829403606102519E-2</v>
      </c>
      <c r="AQ34" s="91">
        <f t="shared" si="16"/>
        <v>-1.8737607402511514E-2</v>
      </c>
      <c r="AS34" s="91">
        <f t="shared" si="17"/>
        <v>1.1323886879706091E-2</v>
      </c>
      <c r="AU34" s="91">
        <f t="shared" si="18"/>
        <v>3.5843329960977055E-2</v>
      </c>
      <c r="AW34" s="91">
        <f t="shared" si="19"/>
        <v>4.7663844465349436E-2</v>
      </c>
      <c r="AY34" s="91">
        <f t="shared" si="20"/>
        <v>9.5371312309257439E-2</v>
      </c>
      <c r="BA34" s="91">
        <f t="shared" si="21"/>
        <v>1.746323529411753E-2</v>
      </c>
      <c r="BC34" s="91">
        <f t="shared" si="18"/>
        <v>-2.910955087484679E-2</v>
      </c>
      <c r="BE34" s="91">
        <f t="shared" si="19"/>
        <v>-7.9336018552423893E-3</v>
      </c>
      <c r="BG34" s="91">
        <f t="shared" si="24"/>
        <v>3.5638523546881684E-2</v>
      </c>
      <c r="BI34" s="91">
        <f t="shared" si="25"/>
        <v>3.1944703904352778E-2</v>
      </c>
      <c r="BK34" s="91">
        <f t="shared" si="18"/>
        <v>0.14205607476635529</v>
      </c>
      <c r="BM34" s="91">
        <f t="shared" si="19"/>
        <v>7.4143460451527865E-3</v>
      </c>
      <c r="BO34" s="91">
        <f t="shared" si="28"/>
        <v>-8.8852988691439094E-3</v>
      </c>
      <c r="BQ34" s="91">
        <f t="shared" si="29"/>
        <v>3.6400895192385541E-2</v>
      </c>
      <c r="BS34" s="91">
        <f t="shared" si="18"/>
        <v>1.8065222491593147E-2</v>
      </c>
      <c r="BU34" s="91">
        <f t="shared" si="19"/>
        <v>1.4194346037708971E-2</v>
      </c>
      <c r="BW34" s="91">
        <f t="shared" si="32"/>
        <v>1.4561693039509827E-3</v>
      </c>
      <c r="BY34" s="91">
        <f t="shared" si="33"/>
        <v>6.8043172219613979E-3</v>
      </c>
      <c r="CA34" s="91">
        <f t="shared" si="34"/>
        <v>1.8979057591623105E-2</v>
      </c>
      <c r="CC34" s="91">
        <f t="shared" si="35"/>
        <v>3.6049408895721946E-3</v>
      </c>
      <c r="CE34" s="91">
        <f t="shared" si="36"/>
        <v>1.226012793176956E-2</v>
      </c>
      <c r="CG34" s="91">
        <f t="shared" si="37"/>
        <v>7.3432835820895548E-2</v>
      </c>
      <c r="CI34" s="91">
        <f t="shared" si="34"/>
        <v>3.7239868565169809E-2</v>
      </c>
      <c r="CK34" s="91">
        <f t="shared" si="35"/>
        <v>0.12694619451082634</v>
      </c>
      <c r="CM34" s="91">
        <f t="shared" si="40"/>
        <v>1.5525271692256037E-3</v>
      </c>
      <c r="CO34" s="91">
        <f t="shared" si="41"/>
        <v>7.8891257995735486E-2</v>
      </c>
      <c r="CQ34" s="91">
        <f t="shared" si="34"/>
        <v>-1.009518315546587E-2</v>
      </c>
      <c r="CS34" s="91">
        <f t="shared" si="35"/>
        <v>3.3656098703732651E-2</v>
      </c>
      <c r="CU34" s="91">
        <f t="shared" si="44"/>
        <v>3.6931818181818121E-2</v>
      </c>
      <c r="CW34" s="91">
        <f t="shared" si="45"/>
        <v>4.284559417946654E-2</v>
      </c>
      <c r="CY34" s="91">
        <f t="shared" si="34"/>
        <v>1.5090543259557387E-2</v>
      </c>
      <c r="DA34" s="91">
        <f t="shared" si="35"/>
        <v>3.0460142579390892E-2</v>
      </c>
      <c r="DC34" s="91">
        <f t="shared" si="48"/>
        <v>3.7766348273328587E-2</v>
      </c>
      <c r="DE34" s="91">
        <f t="shared" si="49"/>
        <v>2.8107680126682411E-2</v>
      </c>
      <c r="DG34" s="91">
        <f t="shared" si="50"/>
        <v>6.846473029045641E-2</v>
      </c>
      <c r="DI34" s="91">
        <f t="shared" si="51"/>
        <v>5.117139334155385E-2</v>
      </c>
      <c r="DK34" s="91">
        <f t="shared" si="52"/>
        <v>9.7724663703528947E-3</v>
      </c>
      <c r="DM34" s="91">
        <f t="shared" si="53"/>
        <v>9.944118068491159E-3</v>
      </c>
      <c r="DO34" s="91">
        <f t="shared" si="50"/>
        <v>2.2879464285714191E-2</v>
      </c>
      <c r="DQ34" s="91">
        <f t="shared" si="51"/>
        <v>-1.2448132780083054E-2</v>
      </c>
      <c r="DS34" s="91">
        <f t="shared" si="56"/>
        <v>0.11124401913875603</v>
      </c>
      <c r="DU34" s="91">
        <f t="shared" si="57"/>
        <v>2.6390465380249806E-2</v>
      </c>
      <c r="DW34" s="91">
        <f t="shared" si="50"/>
        <v>2.1897810218978186E-2</v>
      </c>
      <c r="DY34" s="91">
        <f t="shared" si="51"/>
        <v>2.9242108636436503E-2</v>
      </c>
      <c r="EA34" s="91">
        <f t="shared" si="60"/>
        <v>9.3813611824056231E-3</v>
      </c>
      <c r="EC34" s="91">
        <f t="shared" si="61"/>
        <v>-1.6962220508866643E-2</v>
      </c>
      <c r="EE34" s="91">
        <f t="shared" si="50"/>
        <v>-2.7576197387518042E-2</v>
      </c>
      <c r="EG34" s="91">
        <f t="shared" si="51"/>
        <v>4.4926804644119134E-2</v>
      </c>
    </row>
    <row r="35" spans="1:137">
      <c r="A35" s="90">
        <v>46126.666666666664</v>
      </c>
      <c r="C35" s="91">
        <f t="shared" si="64"/>
        <v>-1.4274691358024949E-3</v>
      </c>
      <c r="E35" s="91">
        <f t="shared" si="64"/>
        <v>-1.8283286826871081E-2</v>
      </c>
      <c r="G35" s="91">
        <f t="shared" si="65"/>
        <v>6.6299724793595249E-2</v>
      </c>
      <c r="I35" s="91">
        <f t="shared" si="66"/>
        <v>3.8059110425611831E-2</v>
      </c>
      <c r="K35" s="91">
        <f t="shared" si="0"/>
        <v>-0.10508234818631912</v>
      </c>
      <c r="M35" s="91">
        <f t="shared" si="1"/>
        <v>1.5686274509803866E-2</v>
      </c>
      <c r="O35" s="91">
        <f t="shared" si="2"/>
        <v>2.7123107307438499E-3</v>
      </c>
      <c r="Q35" s="91">
        <f t="shared" si="3"/>
        <v>2.609171158503254E-2</v>
      </c>
      <c r="S35" s="91">
        <f t="shared" si="4"/>
        <v>-1.3947001394700731E-3</v>
      </c>
      <c r="U35" s="91">
        <f t="shared" si="5"/>
        <v>-2.7738764044943798E-2</v>
      </c>
      <c r="W35" s="91">
        <f t="shared" si="2"/>
        <v>2.7777777777777901E-2</v>
      </c>
      <c r="Y35" s="91">
        <f t="shared" si="3"/>
        <v>1.1777301927194728E-2</v>
      </c>
      <c r="AA35" s="91">
        <f t="shared" si="8"/>
        <v>1.393556038742827E-2</v>
      </c>
      <c r="AC35" s="91">
        <f t="shared" si="9"/>
        <v>2.6926912665621971E-2</v>
      </c>
      <c r="AE35" s="91">
        <f t="shared" si="2"/>
        <v>-1.4295505727993651E-2</v>
      </c>
      <c r="AG35" s="91">
        <f t="shared" si="3"/>
        <v>-1.5574067366896038E-2</v>
      </c>
      <c r="AI35" s="91">
        <f t="shared" si="12"/>
        <v>-1.5250521362493941E-2</v>
      </c>
      <c r="AK35" s="91">
        <f t="shared" si="13"/>
        <v>-3.9624608967674613E-2</v>
      </c>
      <c r="AM35" s="91">
        <f t="shared" si="2"/>
        <v>-5.6443298969072075E-2</v>
      </c>
      <c r="AO35" s="91">
        <f t="shared" si="3"/>
        <v>3.6102206591765107E-2</v>
      </c>
      <c r="AQ35" s="91">
        <f t="shared" si="16"/>
        <v>2.1149765938099918E-2</v>
      </c>
      <c r="AS35" s="91">
        <f t="shared" si="17"/>
        <v>4.5433227810995902E-3</v>
      </c>
      <c r="AU35" s="91">
        <f t="shared" si="18"/>
        <v>0.1035300683689131</v>
      </c>
      <c r="AW35" s="91">
        <f t="shared" si="19"/>
        <v>4.1903621670158486E-3</v>
      </c>
      <c r="AY35" s="91">
        <f t="shared" si="20"/>
        <v>9.9837473879730521E-2</v>
      </c>
      <c r="BA35" s="91">
        <f t="shared" si="21"/>
        <v>1.8066847335138636E-3</v>
      </c>
      <c r="BC35" s="91">
        <f t="shared" si="18"/>
        <v>-2.1109300029844569E-2</v>
      </c>
      <c r="BE35" s="91">
        <f t="shared" si="19"/>
        <v>-1.2057086614173262E-2</v>
      </c>
      <c r="BG35" s="91">
        <f t="shared" si="24"/>
        <v>-3.0315444489963039E-2</v>
      </c>
      <c r="BI35" s="91">
        <f t="shared" si="25"/>
        <v>3.3791938209026817E-3</v>
      </c>
      <c r="BK35" s="91">
        <f t="shared" si="18"/>
        <v>9.8199672667757643E-2</v>
      </c>
      <c r="BM35" s="91">
        <f t="shared" si="19"/>
        <v>4.4064110443950755E-2</v>
      </c>
      <c r="BO35" s="91">
        <f t="shared" si="28"/>
        <v>-2.4449877750611138E-2</v>
      </c>
      <c r="BQ35" s="91">
        <f t="shared" si="29"/>
        <v>2.2738507167572974E-2</v>
      </c>
      <c r="BS35" s="91">
        <f t="shared" si="18"/>
        <v>-8.1425718236288747E-3</v>
      </c>
      <c r="BU35" s="91">
        <f t="shared" si="19"/>
        <v>9.1663540885221328E-2</v>
      </c>
      <c r="BW35" s="91">
        <f t="shared" si="32"/>
        <v>3.0244280728964679E-2</v>
      </c>
      <c r="BY35" s="91">
        <f t="shared" si="33"/>
        <v>3.0062922395712066E-2</v>
      </c>
      <c r="CA35" s="91">
        <f t="shared" si="34"/>
        <v>3.5324341682723137E-2</v>
      </c>
      <c r="CC35" s="91">
        <f t="shared" si="35"/>
        <v>3.8032856161850814E-2</v>
      </c>
      <c r="CE35" s="91">
        <f t="shared" si="36"/>
        <v>3.5281727224855342E-2</v>
      </c>
      <c r="CG35" s="91">
        <f t="shared" si="37"/>
        <v>8.602150537634401E-2</v>
      </c>
      <c r="CI35" s="91">
        <f t="shared" si="34"/>
        <v>-7.3917634635691787E-3</v>
      </c>
      <c r="CK35" s="91">
        <f t="shared" si="35"/>
        <v>4.7423210384269332E-2</v>
      </c>
      <c r="CM35" s="91">
        <f t="shared" si="40"/>
        <v>-4.6159145711333061E-2</v>
      </c>
      <c r="CO35" s="91">
        <f t="shared" si="41"/>
        <v>-9.8814229249011287E-3</v>
      </c>
      <c r="CQ35" s="91">
        <f t="shared" si="34"/>
        <v>-1.1363636363636354E-2</v>
      </c>
      <c r="CS35" s="91">
        <f t="shared" si="35"/>
        <v>2.5156757573468136E-2</v>
      </c>
      <c r="CU35" s="91">
        <f t="shared" si="44"/>
        <v>-8.0821917808219124E-2</v>
      </c>
      <c r="CW35" s="91">
        <f t="shared" si="45"/>
        <v>-2.0155038759689936E-2</v>
      </c>
      <c r="CY35" s="91">
        <f t="shared" si="34"/>
        <v>2.9732408325073845E-3</v>
      </c>
      <c r="DA35" s="91">
        <f t="shared" si="35"/>
        <v>5.6603773584904538E-3</v>
      </c>
      <c r="DC35" s="91">
        <f t="shared" si="48"/>
        <v>2.2656471254602017E-2</v>
      </c>
      <c r="DE35" s="91">
        <f t="shared" si="49"/>
        <v>4.7362341162880295E-2</v>
      </c>
      <c r="DG35" s="91">
        <f t="shared" si="50"/>
        <v>8.737864077669899E-2</v>
      </c>
      <c r="DI35" s="91">
        <f t="shared" si="51"/>
        <v>5.043988269794708E-2</v>
      </c>
      <c r="DK35" s="91">
        <f t="shared" si="52"/>
        <v>1.2184812709517656E-2</v>
      </c>
      <c r="DM35" s="91">
        <f t="shared" si="53"/>
        <v>3.3426025764712541E-2</v>
      </c>
      <c r="DO35" s="91">
        <f t="shared" si="50"/>
        <v>-1.4184397163120477E-2</v>
      </c>
      <c r="DQ35" s="91">
        <f t="shared" si="51"/>
        <v>2.1008403361344463E-2</v>
      </c>
      <c r="DS35" s="91">
        <f t="shared" si="56"/>
        <v>8.6114101184069369E-3</v>
      </c>
      <c r="DU35" s="91">
        <f t="shared" si="57"/>
        <v>7.8794581144594478E-3</v>
      </c>
      <c r="DW35" s="91">
        <f t="shared" si="50"/>
        <v>-7.1428571428566734E-4</v>
      </c>
      <c r="DY35" s="91">
        <f t="shared" si="51"/>
        <v>-3.5961703121351274E-2</v>
      </c>
      <c r="EA35" s="91">
        <f t="shared" si="60"/>
        <v>-0.15817623849188944</v>
      </c>
      <c r="EC35" s="91">
        <f t="shared" si="61"/>
        <v>-1.8823529411764683E-2</v>
      </c>
      <c r="EE35" s="91">
        <f t="shared" si="50"/>
        <v>1.1940298507462588E-2</v>
      </c>
      <c r="EG35" s="91">
        <f t="shared" si="51"/>
        <v>-4.8309178743960457E-3</v>
      </c>
    </row>
    <row r="36" spans="1:137">
      <c r="A36" s="90">
        <v>46127.666666666664</v>
      </c>
      <c r="C36" s="91">
        <f t="shared" si="64"/>
        <v>2.9362902291079074E-2</v>
      </c>
      <c r="E36" s="91">
        <f t="shared" si="64"/>
        <v>3.7926353300526072E-2</v>
      </c>
      <c r="G36" s="91">
        <f t="shared" si="65"/>
        <v>-1.8770530267480101E-3</v>
      </c>
      <c r="I36" s="91">
        <f t="shared" si="66"/>
        <v>-2.0881856878965932E-3</v>
      </c>
      <c r="K36" s="91">
        <f t="shared" si="0"/>
        <v>-1.8742237778028636E-2</v>
      </c>
      <c r="M36" s="91">
        <f t="shared" si="1"/>
        <v>1.2134583563155221E-2</v>
      </c>
      <c r="O36" s="91">
        <f t="shared" si="2"/>
        <v>4.1861442302641994E-2</v>
      </c>
      <c r="Q36" s="91">
        <f t="shared" si="3"/>
        <v>1.4693566806242897E-2</v>
      </c>
      <c r="S36" s="91">
        <f t="shared" si="4"/>
        <v>4.0037243947858459E-2</v>
      </c>
      <c r="U36" s="91">
        <f t="shared" si="5"/>
        <v>1.2278801011195384E-2</v>
      </c>
      <c r="W36" s="91">
        <f t="shared" si="2"/>
        <v>-3.6036036036036112E-2</v>
      </c>
      <c r="Y36" s="91">
        <f t="shared" si="3"/>
        <v>2.2222222222222365E-2</v>
      </c>
      <c r="AA36" s="91">
        <f t="shared" si="8"/>
        <v>4.3863924359099915E-3</v>
      </c>
      <c r="AC36" s="91">
        <f t="shared" si="9"/>
        <v>3.4221235664075866E-3</v>
      </c>
      <c r="AE36" s="91">
        <f t="shared" si="2"/>
        <v>6.5560743021753076E-3</v>
      </c>
      <c r="AG36" s="91">
        <f t="shared" si="3"/>
        <v>-1.5820456217807255E-2</v>
      </c>
      <c r="AI36" s="91">
        <f t="shared" si="12"/>
        <v>-2.3664462038032519E-2</v>
      </c>
      <c r="AK36" s="91">
        <f t="shared" si="13"/>
        <v>0.10423452768729624</v>
      </c>
      <c r="AM36" s="91">
        <f t="shared" si="2"/>
        <v>2.7588090685604971E-2</v>
      </c>
      <c r="AO36" s="91">
        <f t="shared" si="3"/>
        <v>1.2646060496830813E-2</v>
      </c>
      <c r="AQ36" s="91">
        <f t="shared" si="16"/>
        <v>-1.1147389597968349E-2</v>
      </c>
      <c r="AS36" s="91">
        <f t="shared" si="17"/>
        <v>-1.1088091972804914E-2</v>
      </c>
      <c r="AU36" s="91">
        <f t="shared" si="18"/>
        <v>0.10405866734100377</v>
      </c>
      <c r="AW36" s="91">
        <f t="shared" si="19"/>
        <v>5.0670640834575842E-3</v>
      </c>
      <c r="AY36" s="91">
        <f t="shared" si="20"/>
        <v>3.0610090774751963E-2</v>
      </c>
      <c r="BA36" s="91">
        <f t="shared" si="21"/>
        <v>-3.8773669972948621E-2</v>
      </c>
      <c r="BC36" s="91">
        <f t="shared" si="18"/>
        <v>-3.374805051653984E-2</v>
      </c>
      <c r="BE36" s="91">
        <f t="shared" si="19"/>
        <v>1.3325031133250453E-2</v>
      </c>
      <c r="BG36" s="91">
        <f t="shared" si="24"/>
        <v>8.8719898605829073E-3</v>
      </c>
      <c r="BI36" s="91">
        <f t="shared" si="25"/>
        <v>-6.2905941784941133E-2</v>
      </c>
      <c r="BK36" s="91">
        <f t="shared" si="18"/>
        <v>0.1743666169895679</v>
      </c>
      <c r="BM36" s="91">
        <f t="shared" si="19"/>
        <v>1.3720961825838929E-2</v>
      </c>
      <c r="BO36" s="91">
        <f t="shared" si="28"/>
        <v>-8.7719298245614308E-3</v>
      </c>
      <c r="BQ36" s="91">
        <f t="shared" si="29"/>
        <v>4.6068530436773392E-2</v>
      </c>
      <c r="BS36" s="91">
        <f t="shared" si="18"/>
        <v>-6.8928128872367544E-3</v>
      </c>
      <c r="BU36" s="91">
        <f t="shared" si="19"/>
        <v>-2.0250826783490106E-2</v>
      </c>
      <c r="BW36" s="91">
        <f t="shared" si="32"/>
        <v>1.3455024463680854E-2</v>
      </c>
      <c r="BY36" s="91">
        <f t="shared" si="33"/>
        <v>2.8054298642533837E-2</v>
      </c>
      <c r="CA36" s="91">
        <f t="shared" si="34"/>
        <v>5.2729528535980119E-2</v>
      </c>
      <c r="CC36" s="91">
        <f t="shared" si="35"/>
        <v>1.2009566943158134E-2</v>
      </c>
      <c r="CE36" s="91">
        <f t="shared" si="36"/>
        <v>3.7894201424211627E-2</v>
      </c>
      <c r="CG36" s="91">
        <f t="shared" si="37"/>
        <v>8.1427108228064204E-2</v>
      </c>
      <c r="CI36" s="91">
        <f t="shared" si="34"/>
        <v>6.7021276595744528E-2</v>
      </c>
      <c r="CK36" s="91">
        <f t="shared" si="35"/>
        <v>4.1779141104294482E-2</v>
      </c>
      <c r="CM36" s="91">
        <f t="shared" si="40"/>
        <v>8.1256771397615335E-3</v>
      </c>
      <c r="CO36" s="91">
        <f t="shared" si="41"/>
        <v>5.8882235528942006E-2</v>
      </c>
      <c r="CQ36" s="91">
        <f t="shared" si="34"/>
        <v>1.4146772767462235E-2</v>
      </c>
      <c r="CS36" s="91">
        <f t="shared" si="35"/>
        <v>4.7531319086219659E-2</v>
      </c>
      <c r="CU36" s="91">
        <f t="shared" si="44"/>
        <v>3.8748137108792768E-2</v>
      </c>
      <c r="CW36" s="91">
        <f t="shared" si="45"/>
        <v>3.0854430379746667E-2</v>
      </c>
      <c r="CY36" s="91">
        <f t="shared" si="34"/>
        <v>5.9288537549406772E-3</v>
      </c>
      <c r="DA36" s="91">
        <f t="shared" si="35"/>
        <v>2.6266416510319024E-2</v>
      </c>
      <c r="DC36" s="91">
        <f t="shared" si="48"/>
        <v>1.9108280254777066E-2</v>
      </c>
      <c r="DE36" s="91">
        <f t="shared" si="49"/>
        <v>3.308823529411864E-3</v>
      </c>
      <c r="DG36" s="91">
        <f t="shared" si="50"/>
        <v>7.8571428571428736E-2</v>
      </c>
      <c r="DI36" s="91">
        <f t="shared" si="51"/>
        <v>4.9134561697375734E-2</v>
      </c>
      <c r="DK36" s="91">
        <f t="shared" si="52"/>
        <v>7.8910232410793757E-3</v>
      </c>
      <c r="DM36" s="91">
        <f t="shared" si="53"/>
        <v>7.6194398682042808E-2</v>
      </c>
      <c r="DO36" s="91">
        <f t="shared" si="50"/>
        <v>2.3242944106253383E-2</v>
      </c>
      <c r="DQ36" s="91">
        <f t="shared" si="51"/>
        <v>-3.0144032921810782E-2</v>
      </c>
      <c r="DS36" s="91">
        <f t="shared" si="56"/>
        <v>0.14194236926360726</v>
      </c>
      <c r="DU36" s="91">
        <f t="shared" si="57"/>
        <v>5.9936908517350229E-2</v>
      </c>
      <c r="DW36" s="91">
        <f t="shared" si="50"/>
        <v>0.10221586847748387</v>
      </c>
      <c r="DY36" s="91">
        <f t="shared" si="51"/>
        <v>-1.0173597093257936E-2</v>
      </c>
      <c r="EA36" s="91">
        <f t="shared" si="60"/>
        <v>-4.7078429330278171E-2</v>
      </c>
      <c r="EC36" s="91">
        <f t="shared" si="61"/>
        <v>-2.6378896882494063E-2</v>
      </c>
      <c r="EE36" s="91">
        <f t="shared" si="50"/>
        <v>1.7699115044247815E-2</v>
      </c>
      <c r="EG36" s="91">
        <f t="shared" si="51"/>
        <v>8.0461165048543615E-2</v>
      </c>
    </row>
    <row r="37" spans="1:137">
      <c r="A37" s="90">
        <v>46128.666666666664</v>
      </c>
      <c r="C37" s="91">
        <f t="shared" si="64"/>
        <v>-1.1372593176444235E-2</v>
      </c>
      <c r="E37" s="91">
        <f t="shared" si="64"/>
        <v>1.4305566909180056E-2</v>
      </c>
      <c r="G37" s="91">
        <f t="shared" si="65"/>
        <v>-3.2675129290079985E-2</v>
      </c>
      <c r="I37" s="91">
        <f t="shared" si="66"/>
        <v>4.8289738430582485E-3</v>
      </c>
      <c r="K37" s="91">
        <f t="shared" si="0"/>
        <v>4.6369807847198352E-2</v>
      </c>
      <c r="M37" s="91">
        <f t="shared" si="1"/>
        <v>1.9073569482288777E-2</v>
      </c>
      <c r="O37" s="91">
        <f t="shared" si="2"/>
        <v>4.4111716071788543E-3</v>
      </c>
      <c r="Q37" s="91">
        <f t="shared" si="3"/>
        <v>3.9840936374549774E-2</v>
      </c>
      <c r="S37" s="91">
        <f t="shared" si="4"/>
        <v>4.4762757385856666E-3</v>
      </c>
      <c r="U37" s="91">
        <f t="shared" si="5"/>
        <v>-3.9243667499108126E-2</v>
      </c>
      <c r="W37" s="91">
        <f t="shared" si="2"/>
        <v>-9.3457943925233655E-3</v>
      </c>
      <c r="Y37" s="91">
        <f t="shared" si="3"/>
        <v>6.2111801242237252E-3</v>
      </c>
      <c r="AA37" s="91">
        <f t="shared" si="8"/>
        <v>8.3462732919254989E-3</v>
      </c>
      <c r="AC37" s="91">
        <f t="shared" si="9"/>
        <v>4.0556733339478512E-3</v>
      </c>
      <c r="AE37" s="91">
        <f t="shared" si="2"/>
        <v>-1.3816243955393159E-2</v>
      </c>
      <c r="AG37" s="91">
        <f t="shared" si="3"/>
        <v>4.4859813084112687E-3</v>
      </c>
      <c r="AI37" s="91">
        <f t="shared" si="12"/>
        <v>-3.2491657397107909E-2</v>
      </c>
      <c r="AK37" s="91">
        <f t="shared" si="13"/>
        <v>-9.8328416912485395E-4</v>
      </c>
      <c r="AM37" s="91">
        <f t="shared" si="2"/>
        <v>0.17410951621477944</v>
      </c>
      <c r="AO37" s="91">
        <f t="shared" si="3"/>
        <v>-3.262933080208863E-3</v>
      </c>
      <c r="AQ37" s="91">
        <f t="shared" si="16"/>
        <v>5.6698795984400086E-4</v>
      </c>
      <c r="AS37" s="91">
        <f t="shared" si="17"/>
        <v>-5.1931191171699087E-3</v>
      </c>
      <c r="AU37" s="91">
        <f t="shared" si="18"/>
        <v>-5.3825011452129923E-3</v>
      </c>
      <c r="AW37" s="91">
        <f t="shared" si="19"/>
        <v>-9.1933570581258506E-3</v>
      </c>
      <c r="AY37" s="91">
        <f t="shared" si="20"/>
        <v>-2.2941417451863955E-2</v>
      </c>
      <c r="BA37" s="91">
        <f t="shared" si="21"/>
        <v>3.8461538461538547E-2</v>
      </c>
      <c r="BC37" s="91">
        <f t="shared" si="18"/>
        <v>8.1564544119610227E-2</v>
      </c>
      <c r="BE37" s="91">
        <f t="shared" si="19"/>
        <v>1.1060587440088199E-3</v>
      </c>
      <c r="BG37" s="91">
        <f t="shared" si="24"/>
        <v>0.14237855946398659</v>
      </c>
      <c r="BI37" s="91">
        <f t="shared" si="25"/>
        <v>3.0612244897959329E-2</v>
      </c>
      <c r="BK37" s="91">
        <f t="shared" si="18"/>
        <v>-5.0761421319796884E-2</v>
      </c>
      <c r="BM37" s="91">
        <f t="shared" si="19"/>
        <v>7.8769469013371118E-3</v>
      </c>
      <c r="BO37" s="91">
        <f t="shared" si="28"/>
        <v>4.2140750105351898E-2</v>
      </c>
      <c r="BQ37" s="91">
        <f t="shared" si="29"/>
        <v>2.1983366567773777E-2</v>
      </c>
      <c r="BS37" s="91">
        <f t="shared" si="18"/>
        <v>8.4223660609843432E-3</v>
      </c>
      <c r="BU37" s="91">
        <f t="shared" si="19"/>
        <v>2.1918769041930908E-3</v>
      </c>
      <c r="BW37" s="91">
        <f t="shared" si="32"/>
        <v>7.4273512208722359E-4</v>
      </c>
      <c r="BY37" s="91">
        <f t="shared" si="33"/>
        <v>5.7218309859154992E-3</v>
      </c>
      <c r="CA37" s="91">
        <f t="shared" si="34"/>
        <v>0.26635238656452564</v>
      </c>
      <c r="CC37" s="91">
        <f t="shared" si="35"/>
        <v>-2.6147734701061909E-3</v>
      </c>
      <c r="CE37" s="91">
        <f t="shared" si="36"/>
        <v>2.9404557706442791E-3</v>
      </c>
      <c r="CG37" s="91">
        <f t="shared" si="37"/>
        <v>1.3575374901341641E-2</v>
      </c>
      <c r="CI37" s="91">
        <f t="shared" si="34"/>
        <v>1.6949152542372836E-2</v>
      </c>
      <c r="CK37" s="91">
        <f t="shared" si="35"/>
        <v>5.0232612920322772E-2</v>
      </c>
      <c r="CM37" s="91">
        <f t="shared" si="40"/>
        <v>1.8627977789718697E-2</v>
      </c>
      <c r="CO37" s="91">
        <f t="shared" si="41"/>
        <v>0</v>
      </c>
      <c r="CQ37" s="91">
        <f t="shared" si="34"/>
        <v>0.15925603022377222</v>
      </c>
      <c r="CS37" s="91">
        <f t="shared" si="35"/>
        <v>4.2912416461482472E-3</v>
      </c>
      <c r="CU37" s="91">
        <f t="shared" si="44"/>
        <v>5.3084648493543884E-2</v>
      </c>
      <c r="CW37" s="91">
        <f t="shared" si="45"/>
        <v>5.2187260168841343E-2</v>
      </c>
      <c r="CY37" s="91">
        <f t="shared" si="34"/>
        <v>-2.1611001964636389E-2</v>
      </c>
      <c r="DA37" s="91">
        <f t="shared" si="35"/>
        <v>2.9250457038391353E-2</v>
      </c>
      <c r="DC37" s="91">
        <f t="shared" si="48"/>
        <v>0.12676630434782621</v>
      </c>
      <c r="DE37" s="91">
        <f t="shared" si="49"/>
        <v>4.0674239648222699E-2</v>
      </c>
      <c r="DG37" s="91">
        <f t="shared" si="50"/>
        <v>-3.3112582781458233E-3</v>
      </c>
      <c r="DI37" s="91">
        <f t="shared" si="51"/>
        <v>1.2772751463544507E-2</v>
      </c>
      <c r="DK37" s="91">
        <f t="shared" si="52"/>
        <v>2.4573534874416936E-3</v>
      </c>
      <c r="DM37" s="91">
        <f t="shared" si="53"/>
        <v>-7.7816047965302282E-3</v>
      </c>
      <c r="DO37" s="91">
        <f t="shared" si="50"/>
        <v>2.0551649540292205E-2</v>
      </c>
      <c r="DQ37" s="91">
        <f t="shared" si="51"/>
        <v>8.0619497188925138E-3</v>
      </c>
      <c r="DS37" s="91">
        <f t="shared" si="56"/>
        <v>-2.6168224299065401E-2</v>
      </c>
      <c r="DU37" s="91">
        <f t="shared" si="57"/>
        <v>-1.0351966873705987E-2</v>
      </c>
      <c r="DW37" s="91">
        <f t="shared" si="50"/>
        <v>3.1776913099870407E-2</v>
      </c>
      <c r="DY37" s="91">
        <f t="shared" si="51"/>
        <v>2.6511134676564074E-2</v>
      </c>
      <c r="EA37" s="91">
        <f t="shared" si="60"/>
        <v>-0.1596895835610449</v>
      </c>
      <c r="EC37" s="91">
        <f t="shared" si="61"/>
        <v>4.1050903119868698E-2</v>
      </c>
      <c r="EE37" s="91">
        <f t="shared" si="50"/>
        <v>-7.2463768115943461E-3</v>
      </c>
      <c r="EG37" s="91">
        <f t="shared" si="51"/>
        <v>-2.6395596989778669E-2</v>
      </c>
    </row>
    <row r="38" spans="1:137">
      <c r="A38" s="90">
        <v>46129.666666666664</v>
      </c>
      <c r="C38" s="91">
        <f t="shared" si="64"/>
        <v>2.5930144267274358E-2</v>
      </c>
      <c r="E38" s="91">
        <f t="shared" si="64"/>
        <v>-1.495003223726632E-2</v>
      </c>
      <c r="G38" s="91">
        <f t="shared" si="65"/>
        <v>0.103280680437424</v>
      </c>
      <c r="I38" s="91">
        <f t="shared" si="66"/>
        <v>3.4441329595515935E-3</v>
      </c>
      <c r="K38" s="91">
        <f t="shared" si="0"/>
        <v>-5.9489773477017782E-2</v>
      </c>
      <c r="M38" s="91">
        <f t="shared" si="1"/>
        <v>1.0695187165774556E-3</v>
      </c>
      <c r="O38" s="91">
        <f t="shared" si="2"/>
        <v>2.0252465681230625E-2</v>
      </c>
      <c r="Q38" s="91">
        <f t="shared" si="3"/>
        <v>1.7461577314380472E-2</v>
      </c>
      <c r="S38" s="91">
        <f t="shared" si="4"/>
        <v>2.2727272727272707E-2</v>
      </c>
      <c r="U38" s="91">
        <f t="shared" si="5"/>
        <v>-4.7530634979576769E-2</v>
      </c>
      <c r="W38" s="91">
        <f t="shared" si="2"/>
        <v>1.8867924528301883E-2</v>
      </c>
      <c r="Y38" s="91">
        <f t="shared" si="3"/>
        <v>2.2633744855967031E-2</v>
      </c>
      <c r="AA38" s="91">
        <f t="shared" si="8"/>
        <v>2.3002887391722737E-2</v>
      </c>
      <c r="AC38" s="91">
        <f t="shared" si="9"/>
        <v>2.98356742862389E-2</v>
      </c>
      <c r="AE38" s="91">
        <f t="shared" si="2"/>
        <v>6.0042029420594334E-2</v>
      </c>
      <c r="AG38" s="91">
        <f t="shared" si="3"/>
        <v>1.8608113137327909E-2</v>
      </c>
      <c r="AI38" s="91">
        <f t="shared" si="12"/>
        <v>3.2076708170938328E-3</v>
      </c>
      <c r="AK38" s="91">
        <f t="shared" si="13"/>
        <v>-6.8897637795275468E-2</v>
      </c>
      <c r="AM38" s="91">
        <f t="shared" si="2"/>
        <v>-1.0187910346388995E-2</v>
      </c>
      <c r="AO38" s="91">
        <f t="shared" si="3"/>
        <v>1.684423546217495E-2</v>
      </c>
      <c r="AQ38" s="91">
        <f t="shared" si="16"/>
        <v>2.8833333333333488E-2</v>
      </c>
      <c r="AS38" s="91">
        <f t="shared" si="17"/>
        <v>3.6333975975085364E-2</v>
      </c>
      <c r="AU38" s="91">
        <f t="shared" si="18"/>
        <v>4.4905008635578669E-2</v>
      </c>
      <c r="AW38" s="91">
        <f t="shared" si="19"/>
        <v>-1.5863513917988459E-2</v>
      </c>
      <c r="AY38" s="91">
        <f t="shared" si="20"/>
        <v>8.8050314465406565E-3</v>
      </c>
      <c r="BA38" s="91">
        <f t="shared" si="21"/>
        <v>0.12466124661246614</v>
      </c>
      <c r="BC38" s="91">
        <f t="shared" si="18"/>
        <v>3.1978636027019114E-3</v>
      </c>
      <c r="BE38" s="91">
        <f t="shared" si="19"/>
        <v>2.6761600785661699E-2</v>
      </c>
      <c r="BG38" s="91">
        <f t="shared" si="24"/>
        <v>1.0997067448680342E-2</v>
      </c>
      <c r="BI38" s="91">
        <f t="shared" si="25"/>
        <v>-2.5094962326421277E-2</v>
      </c>
      <c r="BK38" s="91">
        <f t="shared" si="18"/>
        <v>0.31550802139037426</v>
      </c>
      <c r="BM38" s="91">
        <f t="shared" si="19"/>
        <v>1.7255898473857556E-2</v>
      </c>
      <c r="BO38" s="91">
        <f t="shared" si="28"/>
        <v>-6.4698746461787637E-3</v>
      </c>
      <c r="BQ38" s="91">
        <f t="shared" si="29"/>
        <v>6.0200828058820655E-3</v>
      </c>
      <c r="BS38" s="91">
        <f t="shared" si="18"/>
        <v>3.0237413966437199E-2</v>
      </c>
      <c r="BU38" s="91">
        <f t="shared" si="19"/>
        <v>-4.7240994685389115E-3</v>
      </c>
      <c r="BW38" s="91">
        <f t="shared" si="32"/>
        <v>-9.7226087763243374E-2</v>
      </c>
      <c r="BY38" s="91">
        <f t="shared" si="33"/>
        <v>7.2210065645514909E-3</v>
      </c>
      <c r="CA38" s="91">
        <f t="shared" si="34"/>
        <v>6.2354583527221896E-2</v>
      </c>
      <c r="CC38" s="91">
        <f t="shared" si="35"/>
        <v>1.6788505167633083E-2</v>
      </c>
      <c r="CE38" s="91">
        <f t="shared" si="36"/>
        <v>-1.0017102369899722E-2</v>
      </c>
      <c r="CG38" s="91">
        <f t="shared" si="37"/>
        <v>4.0492135181436018E-2</v>
      </c>
      <c r="CI38" s="91">
        <f t="shared" si="34"/>
        <v>-1.9607843137254832E-2</v>
      </c>
      <c r="CK38" s="91">
        <f t="shared" si="35"/>
        <v>-1.8391835819221769E-2</v>
      </c>
      <c r="CM38" s="91">
        <f t="shared" si="40"/>
        <v>-5.4158607350096699E-2</v>
      </c>
      <c r="CO38" s="91">
        <f t="shared" si="41"/>
        <v>-1.8850141376060225E-2</v>
      </c>
      <c r="CQ38" s="91">
        <f t="shared" si="34"/>
        <v>-3.5347204813236499E-2</v>
      </c>
      <c r="CS38" s="91">
        <f t="shared" si="35"/>
        <v>2.5427290557579196E-2</v>
      </c>
      <c r="CU38" s="91">
        <f t="shared" si="44"/>
        <v>-1.0899182561307952E-2</v>
      </c>
      <c r="CW38" s="91">
        <f t="shared" si="45"/>
        <v>-7.2210065645514243E-2</v>
      </c>
      <c r="CY38" s="91">
        <f t="shared" si="34"/>
        <v>2.008032128514059E-2</v>
      </c>
      <c r="DA38" s="91">
        <f t="shared" si="35"/>
        <v>2.0130254588513807E-2</v>
      </c>
      <c r="DC38" s="91">
        <f t="shared" si="48"/>
        <v>2.254913782708301E-2</v>
      </c>
      <c r="DE38" s="91">
        <f t="shared" si="49"/>
        <v>5.6338028169014009E-3</v>
      </c>
      <c r="DG38" s="91">
        <f t="shared" si="50"/>
        <v>1.6611295681063787E-3</v>
      </c>
      <c r="DI38" s="91">
        <f t="shared" si="51"/>
        <v>2.1019442984760772E-2</v>
      </c>
      <c r="DK38" s="91">
        <f t="shared" si="52"/>
        <v>1.2085625516631948E-2</v>
      </c>
      <c r="DM38" s="91">
        <f t="shared" si="53"/>
        <v>3.0136281820519528E-2</v>
      </c>
      <c r="DO38" s="91">
        <f t="shared" si="50"/>
        <v>-4.7694753577106619E-3</v>
      </c>
      <c r="DQ38" s="91">
        <f t="shared" si="51"/>
        <v>7.1240660843943981E-2</v>
      </c>
      <c r="DS38" s="91">
        <f t="shared" si="56"/>
        <v>1.4395393474088358E-2</v>
      </c>
      <c r="DU38" s="91">
        <f t="shared" si="57"/>
        <v>8.3682008368199945E-3</v>
      </c>
      <c r="DW38" s="91">
        <f t="shared" si="50"/>
        <v>-0.11439346323067257</v>
      </c>
      <c r="DY38" s="91">
        <f t="shared" si="51"/>
        <v>-7.7876668785759717E-2</v>
      </c>
      <c r="EA38" s="91">
        <f t="shared" si="60"/>
        <v>9.8725286160249892E-2</v>
      </c>
      <c r="EC38" s="91">
        <f t="shared" si="61"/>
        <v>-9.6214511041009421E-2</v>
      </c>
      <c r="EE38" s="91">
        <f t="shared" si="50"/>
        <v>1.4598540145985384E-2</v>
      </c>
      <c r="EG38" s="91">
        <f t="shared" si="51"/>
        <v>1.545916012921067E-2</v>
      </c>
    </row>
    <row r="39" spans="1:137">
      <c r="A39" s="90">
        <v>46132.666666666664</v>
      </c>
      <c r="C39" s="91">
        <f t="shared" si="64"/>
        <v>1.0435554897679777E-2</v>
      </c>
      <c r="E39" s="91">
        <f t="shared" si="64"/>
        <v>1.7099611372468848E-2</v>
      </c>
      <c r="G39" s="91">
        <f t="shared" si="65"/>
        <v>-4.0969162995594721E-2</v>
      </c>
      <c r="I39" s="91">
        <f t="shared" si="66"/>
        <v>-9.0996168582375692E-3</v>
      </c>
      <c r="K39" s="91">
        <f t="shared" si="0"/>
        <v>-5.2963872325499817E-2</v>
      </c>
      <c r="M39" s="91">
        <f t="shared" si="1"/>
        <v>9.081196581196771E-3</v>
      </c>
      <c r="O39" s="91">
        <f t="shared" si="2"/>
        <v>-1.6997097456584953E-2</v>
      </c>
      <c r="Q39" s="91">
        <f t="shared" si="3"/>
        <v>-5.9570243245160581E-3</v>
      </c>
      <c r="S39" s="91">
        <f t="shared" si="4"/>
        <v>-1.8300653594771177E-2</v>
      </c>
      <c r="U39" s="91">
        <f t="shared" si="5"/>
        <v>2.7290448343080254E-3</v>
      </c>
      <c r="W39" s="91">
        <f t="shared" si="2"/>
        <v>0</v>
      </c>
      <c r="Y39" s="91">
        <f t="shared" si="3"/>
        <v>-2.1126760563380143E-2</v>
      </c>
      <c r="AA39" s="91">
        <f t="shared" si="8"/>
        <v>9.408222786699838E-5</v>
      </c>
      <c r="AC39" s="91">
        <f t="shared" si="9"/>
        <v>2.790158673560339E-2</v>
      </c>
      <c r="AE39" s="91">
        <f t="shared" si="2"/>
        <v>1.2461059190031154E-2</v>
      </c>
      <c r="AG39" s="91">
        <f t="shared" si="3"/>
        <v>7.3072707343802001E-4</v>
      </c>
      <c r="AI39" s="91">
        <f t="shared" si="12"/>
        <v>1.0772651218226459E-2</v>
      </c>
      <c r="AK39" s="91">
        <f t="shared" si="13"/>
        <v>4.7568710359406907E-3</v>
      </c>
      <c r="AM39" s="91">
        <f t="shared" si="2"/>
        <v>-2.1271729185727395E-2</v>
      </c>
      <c r="AO39" s="91">
        <f t="shared" si="3"/>
        <v>-1.2467806134394688E-2</v>
      </c>
      <c r="AQ39" s="91">
        <f t="shared" si="16"/>
        <v>1.7052756628327614E-2</v>
      </c>
      <c r="AS39" s="91">
        <f t="shared" si="17"/>
        <v>4.5506582713223942E-3</v>
      </c>
      <c r="AU39" s="91">
        <f t="shared" si="18"/>
        <v>5.840220385674888E-3</v>
      </c>
      <c r="AW39" s="91">
        <f t="shared" si="19"/>
        <v>-4.470802919708039E-2</v>
      </c>
      <c r="AY39" s="91">
        <f t="shared" si="20"/>
        <v>1.2468827930174564E-2</v>
      </c>
      <c r="BA39" s="91">
        <f t="shared" si="21"/>
        <v>0</v>
      </c>
      <c r="BC39" s="91">
        <f t="shared" si="18"/>
        <v>1.1632198821120987E-3</v>
      </c>
      <c r="BE39" s="91">
        <f t="shared" si="19"/>
        <v>-2.8096604495456701E-3</v>
      </c>
      <c r="BG39" s="91">
        <f t="shared" si="24"/>
        <v>-2.17548948513413E-3</v>
      </c>
      <c r="BI39" s="91">
        <f t="shared" si="25"/>
        <v>-3.002043944813515E-3</v>
      </c>
      <c r="BK39" s="91">
        <f t="shared" si="18"/>
        <v>5.0813008130081272E-2</v>
      </c>
      <c r="BM39" s="91">
        <f t="shared" si="19"/>
        <v>-2.5619054534892105E-2</v>
      </c>
      <c r="BO39" s="91">
        <f t="shared" si="28"/>
        <v>-1.872201872201873E-2</v>
      </c>
      <c r="BQ39" s="91">
        <f t="shared" si="29"/>
        <v>-1.116393481397393E-2</v>
      </c>
      <c r="BS39" s="91">
        <f t="shared" si="18"/>
        <v>-1.276084671971045E-3</v>
      </c>
      <c r="BU39" s="91">
        <f t="shared" si="19"/>
        <v>-1.4613136440547514E-2</v>
      </c>
      <c r="BW39" s="91">
        <f t="shared" si="32"/>
        <v>-2.5485561607234697E-2</v>
      </c>
      <c r="BY39" s="91">
        <f t="shared" si="33"/>
        <v>9.7762328915922403E-3</v>
      </c>
      <c r="CA39" s="91">
        <f t="shared" si="34"/>
        <v>1.6206745510293441E-2</v>
      </c>
      <c r="CC39" s="91">
        <f t="shared" si="35"/>
        <v>1.8841729472431901E-3</v>
      </c>
      <c r="CE39" s="91">
        <f t="shared" si="36"/>
        <v>-1.4807502467917288E-3</v>
      </c>
      <c r="CG39" s="91">
        <f t="shared" si="37"/>
        <v>1.9757521329142325E-2</v>
      </c>
      <c r="CI39" s="91">
        <f t="shared" si="34"/>
        <v>7.2999999999999954E-2</v>
      </c>
      <c r="CK39" s="91">
        <f t="shared" si="35"/>
        <v>1.4395064549297398E-2</v>
      </c>
      <c r="CM39" s="91">
        <f t="shared" si="40"/>
        <v>1.2827663134411527E-2</v>
      </c>
      <c r="CO39" s="91">
        <f t="shared" si="41"/>
        <v>1.4409221902017322E-2</v>
      </c>
      <c r="CQ39" s="91">
        <f t="shared" si="34"/>
        <v>-2.5467775467775344E-2</v>
      </c>
      <c r="CS39" s="91">
        <f t="shared" si="35"/>
        <v>-3.4155338479404662E-3</v>
      </c>
      <c r="CU39" s="91">
        <f t="shared" si="44"/>
        <v>0.1831955922865014</v>
      </c>
      <c r="CW39" s="91">
        <f t="shared" si="45"/>
        <v>-9.4339622641510523E-3</v>
      </c>
      <c r="CY39" s="91">
        <f t="shared" si="34"/>
        <v>-5.9055118110237226E-3</v>
      </c>
      <c r="DA39" s="91">
        <f t="shared" si="35"/>
        <v>-1.7991874637260485E-2</v>
      </c>
      <c r="DC39" s="91">
        <f t="shared" si="48"/>
        <v>5.4952830188679247E-2</v>
      </c>
      <c r="DE39" s="91">
        <f t="shared" si="49"/>
        <v>8.753501400560193E-3</v>
      </c>
      <c r="DG39" s="91">
        <f t="shared" si="50"/>
        <v>-4.9751243781095411E-3</v>
      </c>
      <c r="DI39" s="91">
        <f t="shared" si="51"/>
        <v>3.6026762738035067E-3</v>
      </c>
      <c r="DK39" s="91">
        <f t="shared" si="52"/>
        <v>-1.999605711549779E-3</v>
      </c>
      <c r="DM39" s="91">
        <f t="shared" si="53"/>
        <v>-2.0268583695272291E-2</v>
      </c>
      <c r="DO39" s="91">
        <f t="shared" si="50"/>
        <v>5.165069222577201E-2</v>
      </c>
      <c r="DQ39" s="91">
        <f t="shared" si="51"/>
        <v>-2.8388998035363433E-2</v>
      </c>
      <c r="DS39" s="91">
        <f t="shared" si="56"/>
        <v>6.6225165562914245E-3</v>
      </c>
      <c r="DU39" s="91">
        <f t="shared" si="57"/>
        <v>4.7977178423235234E-3</v>
      </c>
      <c r="DW39" s="91">
        <f t="shared" si="50"/>
        <v>9.5812633073101505E-2</v>
      </c>
      <c r="DY39" s="91">
        <f t="shared" si="51"/>
        <v>4.5501551189244926E-2</v>
      </c>
      <c r="EA39" s="91">
        <f t="shared" si="60"/>
        <v>8.819699301527173E-2</v>
      </c>
      <c r="EC39" s="91">
        <f t="shared" si="61"/>
        <v>-8.7260034904024231E-4</v>
      </c>
      <c r="EE39" s="91">
        <f t="shared" si="50"/>
        <v>2.5899280575539585E-2</v>
      </c>
      <c r="EG39" s="91">
        <f t="shared" si="51"/>
        <v>2.8857077936832676E-2</v>
      </c>
    </row>
    <row r="40" spans="1:137">
      <c r="A40" s="90">
        <v>46133.666666666664</v>
      </c>
      <c r="C40" s="91">
        <f t="shared" si="64"/>
        <v>-2.5196850393700787E-2</v>
      </c>
      <c r="E40" s="91">
        <f t="shared" si="64"/>
        <v>-5.8319591360656009E-3</v>
      </c>
      <c r="G40" s="91">
        <f t="shared" si="65"/>
        <v>-4.80018373909048E-2</v>
      </c>
      <c r="I40" s="91">
        <f t="shared" si="66"/>
        <v>6.5651683583052289E-3</v>
      </c>
      <c r="K40" s="91">
        <f t="shared" si="0"/>
        <v>-1.2222222222222134E-2</v>
      </c>
      <c r="M40" s="91">
        <f t="shared" si="1"/>
        <v>-1.0058231868713685E-2</v>
      </c>
      <c r="O40" s="91">
        <f t="shared" si="2"/>
        <v>6.3558791882492027E-3</v>
      </c>
      <c r="Q40" s="91">
        <f t="shared" si="3"/>
        <v>-3.4172790183348734E-2</v>
      </c>
      <c r="S40" s="91">
        <f t="shared" si="4"/>
        <v>-3.6395916555703511E-2</v>
      </c>
      <c r="U40" s="91">
        <f t="shared" si="5"/>
        <v>5.1321928460342114E-2</v>
      </c>
      <c r="W40" s="91">
        <f t="shared" si="2"/>
        <v>-3.703703703703709E-2</v>
      </c>
      <c r="Y40" s="91">
        <f t="shared" si="3"/>
        <v>-6.1664953751284668E-2</v>
      </c>
      <c r="AA40" s="91">
        <f t="shared" si="8"/>
        <v>-1.8908748824082666E-2</v>
      </c>
      <c r="AC40" s="91">
        <f t="shared" si="9"/>
        <v>-7.8484086375856243E-3</v>
      </c>
      <c r="AE40" s="91">
        <f t="shared" si="2"/>
        <v>-3.1888111888111914E-2</v>
      </c>
      <c r="AG40" s="91">
        <f t="shared" si="3"/>
        <v>-1.7889740781307117E-2</v>
      </c>
      <c r="AI40" s="91">
        <f t="shared" si="12"/>
        <v>-1.8707907208780239E-2</v>
      </c>
      <c r="AK40" s="91">
        <f t="shared" si="13"/>
        <v>-1.5255128879537172E-2</v>
      </c>
      <c r="AM40" s="91">
        <f t="shared" si="2"/>
        <v>-1.6358962374386388E-2</v>
      </c>
      <c r="AO40" s="91">
        <f t="shared" si="3"/>
        <v>-1.5203603817201095E-2</v>
      </c>
      <c r="AQ40" s="91">
        <f t="shared" si="16"/>
        <v>-1.6129717331747728E-2</v>
      </c>
      <c r="AS40" s="91">
        <f t="shared" si="17"/>
        <v>-2.0143024017778233E-2</v>
      </c>
      <c r="AU40" s="91">
        <f t="shared" si="18"/>
        <v>-5.3133216476774714E-2</v>
      </c>
      <c r="AW40" s="91">
        <f t="shared" si="19"/>
        <v>-5.4441260744985676E-2</v>
      </c>
      <c r="AY40" s="91">
        <f t="shared" si="20"/>
        <v>-7.2865353037766756E-2</v>
      </c>
      <c r="BA40" s="91">
        <f t="shared" si="21"/>
        <v>-7.4698795180722866E-2</v>
      </c>
      <c r="BC40" s="91">
        <f t="shared" si="18"/>
        <v>-6.500876987185944E-2</v>
      </c>
      <c r="BE40" s="91">
        <f t="shared" si="19"/>
        <v>-6.5943288771663777E-4</v>
      </c>
      <c r="BG40" s="91">
        <f t="shared" si="24"/>
        <v>1.0901162790697638E-2</v>
      </c>
      <c r="BI40" s="91">
        <f t="shared" si="25"/>
        <v>-1.7425844064321905E-2</v>
      </c>
      <c r="BK40" s="91">
        <f t="shared" si="18"/>
        <v>-0.12185686653771755</v>
      </c>
      <c r="BM40" s="91">
        <f t="shared" si="19"/>
        <v>-3.085361672951592E-3</v>
      </c>
      <c r="BO40" s="91">
        <f t="shared" si="28"/>
        <v>3.7328909166320923E-3</v>
      </c>
      <c r="BQ40" s="91">
        <f t="shared" si="29"/>
        <v>1.4566938550960362E-2</v>
      </c>
      <c r="BS40" s="91">
        <f t="shared" si="18"/>
        <v>-2.7809094325441652E-3</v>
      </c>
      <c r="BU40" s="91">
        <f t="shared" si="19"/>
        <v>2.140850095892155E-3</v>
      </c>
      <c r="BW40" s="91">
        <f t="shared" si="32"/>
        <v>-2.3726668775703841E-2</v>
      </c>
      <c r="BY40" s="91">
        <f t="shared" si="33"/>
        <v>-1.9363166953527688E-3</v>
      </c>
      <c r="CA40" s="91">
        <f t="shared" si="34"/>
        <v>-2.7155172413793061E-2</v>
      </c>
      <c r="CC40" s="91">
        <f t="shared" si="35"/>
        <v>-1.0788874591705522E-2</v>
      </c>
      <c r="CE40" s="91">
        <f t="shared" si="36"/>
        <v>-2.5704399406821565E-2</v>
      </c>
      <c r="CG40" s="91">
        <f t="shared" si="37"/>
        <v>-8.1021576398062511E-2</v>
      </c>
      <c r="CI40" s="91">
        <f t="shared" si="34"/>
        <v>1.3047530288909481E-2</v>
      </c>
      <c r="CK40" s="91">
        <f t="shared" si="35"/>
        <v>2.0216240567631383E-2</v>
      </c>
      <c r="CM40" s="91">
        <f t="shared" si="40"/>
        <v>3.3957415565345039E-2</v>
      </c>
      <c r="CO40" s="91">
        <f t="shared" si="41"/>
        <v>2.0833333333333259E-2</v>
      </c>
      <c r="CQ40" s="91">
        <f t="shared" si="34"/>
        <v>1.4133333333333331E-2</v>
      </c>
      <c r="CS40" s="91">
        <f t="shared" si="35"/>
        <v>5.4835835218325357E-4</v>
      </c>
      <c r="CU40" s="91">
        <f t="shared" si="44"/>
        <v>0.19324796274738065</v>
      </c>
      <c r="CW40" s="91">
        <f t="shared" si="45"/>
        <v>-2.3809523809523725E-3</v>
      </c>
      <c r="CY40" s="91">
        <f t="shared" si="34"/>
        <v>6.9306930693069368E-3</v>
      </c>
      <c r="DA40" s="91">
        <f t="shared" si="35"/>
        <v>1.3593380614657091E-2</v>
      </c>
      <c r="DC40" s="91">
        <f t="shared" si="48"/>
        <v>-3.1522468142186399E-2</v>
      </c>
      <c r="DE40" s="91">
        <f t="shared" si="49"/>
        <v>-1.3189864630336667E-2</v>
      </c>
      <c r="DG40" s="91">
        <f t="shared" si="50"/>
        <v>-6.0000000000000053E-2</v>
      </c>
      <c r="DI40" s="91">
        <f t="shared" si="51"/>
        <v>-3.4358974358974392E-2</v>
      </c>
      <c r="DK40" s="91">
        <f t="shared" si="52"/>
        <v>-6.5470143357038157E-3</v>
      </c>
      <c r="DM40" s="91">
        <f t="shared" si="53"/>
        <v>-1.5490445859872581E-2</v>
      </c>
      <c r="DO40" s="91">
        <f t="shared" si="50"/>
        <v>1.2658227848101333E-2</v>
      </c>
      <c r="DQ40" s="91">
        <f t="shared" si="51"/>
        <v>-1.7996158123546713E-2</v>
      </c>
      <c r="DS40" s="91">
        <f t="shared" si="56"/>
        <v>-5.3571428571428603E-2</v>
      </c>
      <c r="DU40" s="91">
        <f t="shared" si="57"/>
        <v>-2.9681249193442838E-3</v>
      </c>
      <c r="DW40" s="91">
        <f t="shared" si="50"/>
        <v>-4.5336787564767E-3</v>
      </c>
      <c r="DY40" s="91">
        <f t="shared" si="51"/>
        <v>5.7121661721068362E-2</v>
      </c>
      <c r="EA40" s="91">
        <f t="shared" si="60"/>
        <v>-3.1766753698868611E-2</v>
      </c>
      <c r="EC40" s="91">
        <f t="shared" si="61"/>
        <v>5.5895196506550171E-2</v>
      </c>
      <c r="EE40" s="91">
        <f t="shared" si="50"/>
        <v>-2.8050490883589907E-3</v>
      </c>
      <c r="EG40" s="91">
        <f t="shared" si="51"/>
        <v>4.4169611307418588E-3</v>
      </c>
    </row>
    <row r="41" spans="1:137">
      <c r="A41" s="90">
        <v>46134.666666666664</v>
      </c>
      <c r="C41" s="91">
        <f t="shared" si="64"/>
        <v>2.6298981853702497E-2</v>
      </c>
      <c r="E41" s="91">
        <f t="shared" si="64"/>
        <v>3.5439760498422235E-2</v>
      </c>
      <c r="G41" s="91">
        <f t="shared" si="65"/>
        <v>-1.6164053075995222E-2</v>
      </c>
      <c r="I41" s="91">
        <f t="shared" si="66"/>
        <v>2.1807850826297548E-2</v>
      </c>
      <c r="K41" s="91">
        <f t="shared" si="0"/>
        <v>5.81177352830895E-2</v>
      </c>
      <c r="M41" s="91">
        <f t="shared" si="1"/>
        <v>0</v>
      </c>
      <c r="O41" s="91">
        <f t="shared" si="2"/>
        <v>5.0923738717457701E-2</v>
      </c>
      <c r="Q41" s="91">
        <f t="shared" si="3"/>
        <v>7.6820800709114234E-3</v>
      </c>
      <c r="S41" s="91">
        <f t="shared" si="4"/>
        <v>7.369875633348677E-2</v>
      </c>
      <c r="U41" s="91">
        <f t="shared" si="5"/>
        <v>2.4778106508875908E-2</v>
      </c>
      <c r="W41" s="91">
        <f t="shared" si="2"/>
        <v>-1.9230769230769273E-2</v>
      </c>
      <c r="Y41" s="91">
        <f t="shared" si="3"/>
        <v>4.0525739320919962E-2</v>
      </c>
      <c r="AA41" s="91">
        <f t="shared" si="8"/>
        <v>5.0819829322081844E-3</v>
      </c>
      <c r="AC41" s="91">
        <f t="shared" si="9"/>
        <v>-2.622263012980186E-3</v>
      </c>
      <c r="AE41" s="91">
        <f t="shared" si="2"/>
        <v>-1.7913897717422689E-2</v>
      </c>
      <c r="AG41" s="91">
        <f t="shared" si="3"/>
        <v>8.1784386617100857E-3</v>
      </c>
      <c r="AI41" s="91">
        <f t="shared" si="12"/>
        <v>-5.2109811896288161E-3</v>
      </c>
      <c r="AK41" s="91">
        <f t="shared" si="13"/>
        <v>2.4038461538461675E-2</v>
      </c>
      <c r="AM41" s="91">
        <f t="shared" si="2"/>
        <v>-1.5205511998099275E-2</v>
      </c>
      <c r="AO41" s="91">
        <f t="shared" si="3"/>
        <v>2.1156218965361573E-2</v>
      </c>
      <c r="AQ41" s="91">
        <f t="shared" si="16"/>
        <v>8.9471696076846019E-3</v>
      </c>
      <c r="AS41" s="91">
        <f t="shared" si="17"/>
        <v>-1.2851826006047951E-2</v>
      </c>
      <c r="AU41" s="91">
        <f t="shared" si="18"/>
        <v>2.3140113386555639E-2</v>
      </c>
      <c r="AW41" s="91">
        <f t="shared" si="19"/>
        <v>6.5319865319865444E-2</v>
      </c>
      <c r="AY41" s="91">
        <f t="shared" si="20"/>
        <v>7.1286251937126455E-2</v>
      </c>
      <c r="BA41" s="91">
        <f t="shared" si="21"/>
        <v>-2.5173611111111049E-2</v>
      </c>
      <c r="BC41" s="91">
        <f t="shared" si="18"/>
        <v>4.3827367012378771E-2</v>
      </c>
      <c r="BE41" s="91">
        <f t="shared" si="19"/>
        <v>-1.9496100779843983E-2</v>
      </c>
      <c r="BG41" s="91">
        <f t="shared" si="24"/>
        <v>7.620416966211363E-2</v>
      </c>
      <c r="BI41" s="91">
        <f t="shared" si="25"/>
        <v>8.2154267457781316E-3</v>
      </c>
      <c r="BK41" s="91">
        <f t="shared" si="18"/>
        <v>0.13436123348017626</v>
      </c>
      <c r="BM41" s="91">
        <f t="shared" si="19"/>
        <v>8.7913402308474886E-3</v>
      </c>
      <c r="BO41" s="91">
        <f t="shared" si="28"/>
        <v>1.3223140495867813E-2</v>
      </c>
      <c r="BQ41" s="91">
        <f t="shared" si="29"/>
        <v>2.0652583930592217E-2</v>
      </c>
      <c r="BS41" s="91">
        <f t="shared" si="18"/>
        <v>-1.9143804642749673E-2</v>
      </c>
      <c r="BU41" s="91">
        <f t="shared" si="19"/>
        <v>8.4783479460590172E-2</v>
      </c>
      <c r="BW41" s="91">
        <f t="shared" si="32"/>
        <v>7.1289695398573105E-3</v>
      </c>
      <c r="BY41" s="91">
        <f t="shared" si="33"/>
        <v>-1.5305022634188425E-2</v>
      </c>
      <c r="CA41" s="91">
        <f t="shared" si="34"/>
        <v>-0.2215330084182543</v>
      </c>
      <c r="CC41" s="91">
        <f t="shared" si="35"/>
        <v>1.3107864718831408E-2</v>
      </c>
      <c r="CE41" s="91">
        <f t="shared" si="36"/>
        <v>-6.8493150684931781E-3</v>
      </c>
      <c r="CG41" s="91">
        <f t="shared" si="37"/>
        <v>0.1565245168503433</v>
      </c>
      <c r="CI41" s="91">
        <f t="shared" si="34"/>
        <v>1.7479300827967004E-2</v>
      </c>
      <c r="CK41" s="91">
        <f t="shared" si="35"/>
        <v>3.4939559529723496E-2</v>
      </c>
      <c r="CM41" s="91">
        <f t="shared" si="40"/>
        <v>1.2781821409550753E-2</v>
      </c>
      <c r="CO41" s="91">
        <f t="shared" si="41"/>
        <v>1.0204081632653184E-2</v>
      </c>
      <c r="CQ41" s="91">
        <f t="shared" si="34"/>
        <v>3.7864843544570093E-2</v>
      </c>
      <c r="CS41" s="91">
        <f t="shared" si="35"/>
        <v>4.5557306295814337E-2</v>
      </c>
      <c r="CU41" s="91">
        <f t="shared" si="44"/>
        <v>0.24585365853658536</v>
      </c>
      <c r="CW41" s="91">
        <f t="shared" si="45"/>
        <v>7.7963404932378744E-2</v>
      </c>
      <c r="CY41" s="91">
        <f t="shared" si="34"/>
        <v>9.8328416912485395E-4</v>
      </c>
      <c r="DA41" s="91">
        <f t="shared" si="35"/>
        <v>3.440233236151613E-2</v>
      </c>
      <c r="DC41" s="91">
        <f t="shared" si="48"/>
        <v>3.9242843951985185E-2</v>
      </c>
      <c r="DE41" s="91">
        <f t="shared" si="49"/>
        <v>2.6380583890256881E-2</v>
      </c>
      <c r="DG41" s="91">
        <f t="shared" si="50"/>
        <v>3.5460992907801359E-2</v>
      </c>
      <c r="DI41" s="91">
        <f t="shared" si="51"/>
        <v>1.2214551248008521E-2</v>
      </c>
      <c r="DK41" s="91">
        <f t="shared" si="52"/>
        <v>1.0126690148846818E-2</v>
      </c>
      <c r="DM41" s="91">
        <f t="shared" si="53"/>
        <v>2.820764970757228E-3</v>
      </c>
      <c r="DO41" s="91">
        <f t="shared" si="50"/>
        <v>6.0000000000000053E-3</v>
      </c>
      <c r="DQ41" s="91">
        <f t="shared" si="51"/>
        <v>-5.5801503140121556E-2</v>
      </c>
      <c r="DS41" s="91">
        <f t="shared" si="56"/>
        <v>5.2631578947368363E-2</v>
      </c>
      <c r="DU41" s="91">
        <f t="shared" si="57"/>
        <v>-2.1744757960134642E-2</v>
      </c>
      <c r="DW41" s="91">
        <f t="shared" si="50"/>
        <v>7.0266753415745065E-2</v>
      </c>
      <c r="DY41" s="91">
        <f t="shared" si="51"/>
        <v>8.966861598440623E-3</v>
      </c>
      <c r="EA41" s="91">
        <f t="shared" si="60"/>
        <v>4.3932584269662955E-2</v>
      </c>
      <c r="EC41" s="91">
        <f t="shared" si="61"/>
        <v>2.0678246484698182E-2</v>
      </c>
      <c r="EE41" s="91">
        <f t="shared" si="50"/>
        <v>-1.4064697609001975E-3</v>
      </c>
      <c r="EG41" s="91">
        <f t="shared" si="51"/>
        <v>1.0554089709762682E-2</v>
      </c>
    </row>
    <row r="42" spans="1:137">
      <c r="A42" s="90">
        <v>46135.666666666664</v>
      </c>
      <c r="C42" s="91">
        <f t="shared" si="64"/>
        <v>9.5178826371844494E-4</v>
      </c>
      <c r="E42" s="91">
        <f t="shared" si="64"/>
        <v>-6.6265530983824372E-2</v>
      </c>
      <c r="G42" s="91">
        <f t="shared" si="65"/>
        <v>9.3182932810200736E-3</v>
      </c>
      <c r="I42" s="91">
        <f t="shared" si="66"/>
        <v>-1.0964912280702066E-3</v>
      </c>
      <c r="K42" s="91">
        <f t="shared" si="0"/>
        <v>-6.9808646350106307E-2</v>
      </c>
      <c r="M42" s="91">
        <f t="shared" si="1"/>
        <v>-1.7647058823529349E-2</v>
      </c>
      <c r="O42" s="91">
        <f t="shared" si="2"/>
        <v>-6.4119247604400575E-3</v>
      </c>
      <c r="Q42" s="91">
        <f t="shared" si="3"/>
        <v>-3.4599032399941332E-2</v>
      </c>
      <c r="S42" s="91">
        <f t="shared" si="4"/>
        <v>-5.6199056199056185E-2</v>
      </c>
      <c r="U42" s="91">
        <f t="shared" si="5"/>
        <v>-1.2630819198845233E-2</v>
      </c>
      <c r="W42" s="91">
        <f t="shared" si="2"/>
        <v>-2.9411764705882359E-2</v>
      </c>
      <c r="Y42" s="91">
        <f t="shared" si="3"/>
        <v>-4.3157894736842173E-2</v>
      </c>
      <c r="AA42" s="91">
        <f t="shared" si="8"/>
        <v>-1.1161991986261999E-2</v>
      </c>
      <c r="AC42" s="91">
        <f t="shared" si="9"/>
        <v>-1.6432233469173108E-2</v>
      </c>
      <c r="AE42" s="91">
        <f t="shared" si="2"/>
        <v>2.7459056585270591E-3</v>
      </c>
      <c r="AG42" s="91">
        <f t="shared" si="3"/>
        <v>8.4808259587021428E-3</v>
      </c>
      <c r="AI42" s="91">
        <f t="shared" si="12"/>
        <v>-1.002357805730747E-2</v>
      </c>
      <c r="AK42" s="91">
        <f t="shared" si="13"/>
        <v>-9.6504955659885261E-2</v>
      </c>
      <c r="AM42" s="91">
        <f t="shared" si="2"/>
        <v>-7.0205066344994016E-2</v>
      </c>
      <c r="AO42" s="91">
        <f t="shared" si="3"/>
        <v>-1.2672403630791251E-3</v>
      </c>
      <c r="AQ42" s="91">
        <f t="shared" si="16"/>
        <v>-3.7867442557015796E-3</v>
      </c>
      <c r="AS42" s="91">
        <f t="shared" si="17"/>
        <v>1.9440353460973281E-3</v>
      </c>
      <c r="AU42" s="91">
        <f t="shared" si="18"/>
        <v>-5.52979758000679E-2</v>
      </c>
      <c r="AW42" s="91">
        <f t="shared" si="19"/>
        <v>-6.0682680151706747E-2</v>
      </c>
      <c r="AY42" s="91">
        <f t="shared" si="20"/>
        <v>7.501549907005578E-2</v>
      </c>
      <c r="BA42" s="91">
        <f t="shared" si="21"/>
        <v>9.7951914514691207E-3</v>
      </c>
      <c r="BC42" s="91">
        <f t="shared" si="18"/>
        <v>-3.0574633699633758E-2</v>
      </c>
      <c r="BE42" s="91">
        <f t="shared" si="19"/>
        <v>-0.1333129397369226</v>
      </c>
      <c r="BG42" s="91">
        <f t="shared" si="24"/>
        <v>-7.949231796927192E-2</v>
      </c>
      <c r="BI42" s="91">
        <f t="shared" si="25"/>
        <v>-9.1832115372177947E-3</v>
      </c>
      <c r="BK42" s="91">
        <f t="shared" si="18"/>
        <v>-0.1155339805825244</v>
      </c>
      <c r="BM42" s="91">
        <f t="shared" si="19"/>
        <v>-2.3076239032487678E-2</v>
      </c>
      <c r="BO42" s="91">
        <f t="shared" si="28"/>
        <v>-9.7879282218595876E-3</v>
      </c>
      <c r="BQ42" s="91">
        <f t="shared" si="29"/>
        <v>-3.9660907326988903E-2</v>
      </c>
      <c r="BS42" s="91">
        <f t="shared" si="18"/>
        <v>-5.0484094052558715E-2</v>
      </c>
      <c r="BU42" s="91">
        <f t="shared" si="19"/>
        <v>-1.1815869368999699E-2</v>
      </c>
      <c r="BW42" s="91">
        <f t="shared" si="32"/>
        <v>-4.5045045045045695E-3</v>
      </c>
      <c r="BY42" s="91">
        <f t="shared" si="33"/>
        <v>-1.9702276707530664E-2</v>
      </c>
      <c r="CA42" s="91">
        <f t="shared" si="34"/>
        <v>1.9920318725099584E-2</v>
      </c>
      <c r="CC42" s="91">
        <f t="shared" si="35"/>
        <v>-1.4123456790123501E-2</v>
      </c>
      <c r="CE42" s="91">
        <f t="shared" si="36"/>
        <v>-1.6091954022988353E-2</v>
      </c>
      <c r="CG42" s="91">
        <f t="shared" si="37"/>
        <v>5.5931501173871023E-2</v>
      </c>
      <c r="CI42" s="91">
        <f t="shared" si="34"/>
        <v>-4.7016274864376206E-2</v>
      </c>
      <c r="CK42" s="91">
        <f t="shared" si="35"/>
        <v>-5.9840000000000004E-2</v>
      </c>
      <c r="CM42" s="91">
        <f t="shared" si="40"/>
        <v>1.3672217353198901E-2</v>
      </c>
      <c r="CO42" s="91">
        <f t="shared" si="41"/>
        <v>-7.3461891643709865E-2</v>
      </c>
      <c r="CQ42" s="91">
        <f t="shared" si="34"/>
        <v>-2.9896123638206262E-2</v>
      </c>
      <c r="CS42" s="91">
        <f t="shared" si="35"/>
        <v>-7.2402044293015444E-2</v>
      </c>
      <c r="CU42" s="91">
        <f t="shared" si="44"/>
        <v>-8.2223962411902773E-2</v>
      </c>
      <c r="CW42" s="91">
        <f t="shared" si="45"/>
        <v>-7.4538745387453975E-2</v>
      </c>
      <c r="CY42" s="91">
        <f t="shared" si="34"/>
        <v>-5.893909626719096E-3</v>
      </c>
      <c r="DA42" s="91">
        <f t="shared" si="35"/>
        <v>-4.4532130777902967E-2</v>
      </c>
      <c r="DC42" s="91">
        <f t="shared" si="48"/>
        <v>-6.0417592181252866E-2</v>
      </c>
      <c r="DE42" s="91">
        <f t="shared" si="49"/>
        <v>-8.3276216586703256E-2</v>
      </c>
      <c r="DG42" s="91">
        <f t="shared" si="50"/>
        <v>-4.6232876712328674E-2</v>
      </c>
      <c r="DI42" s="91">
        <f t="shared" si="51"/>
        <v>-3.8824763903462678E-2</v>
      </c>
      <c r="DK42" s="91">
        <f t="shared" si="52"/>
        <v>-3.8807103387185071E-3</v>
      </c>
      <c r="DM42" s="91">
        <f t="shared" si="53"/>
        <v>-3.5586178421201931E-2</v>
      </c>
      <c r="DO42" s="91">
        <f t="shared" si="50"/>
        <v>-7.4552683896621508E-3</v>
      </c>
      <c r="DQ42" s="91">
        <f t="shared" si="51"/>
        <v>-5.0158107076654357E-3</v>
      </c>
      <c r="DS42" s="91">
        <f t="shared" si="56"/>
        <v>-4.5283018867924518E-2</v>
      </c>
      <c r="DU42" s="91">
        <f t="shared" si="57"/>
        <v>-1.1643291876157646E-2</v>
      </c>
      <c r="DW42" s="91">
        <f t="shared" si="50"/>
        <v>-1.9452887537993901E-2</v>
      </c>
      <c r="DY42" s="91">
        <f t="shared" si="51"/>
        <v>4.1112828438949034E-2</v>
      </c>
      <c r="EA42" s="91">
        <f t="shared" si="60"/>
        <v>-3.4119039931116202E-2</v>
      </c>
      <c r="EC42" s="91">
        <f t="shared" si="61"/>
        <v>4.943273905996759E-2</v>
      </c>
      <c r="EE42" s="91">
        <f t="shared" si="50"/>
        <v>-2.3943661971830954E-2</v>
      </c>
      <c r="EG42" s="91">
        <f t="shared" si="51"/>
        <v>-2.077893820713661E-2</v>
      </c>
    </row>
    <row r="43" spans="1:137">
      <c r="A43" s="90">
        <v>46136.666666666664</v>
      </c>
      <c r="C43" s="91">
        <f t="shared" si="64"/>
        <v>-8.6676663131332043E-3</v>
      </c>
      <c r="E43" s="91">
        <f t="shared" si="64"/>
        <v>2.7031550757385503E-2</v>
      </c>
      <c r="G43" s="91">
        <f t="shared" si="65"/>
        <v>1.0447035957240169E-2</v>
      </c>
      <c r="I43" s="91">
        <f t="shared" si="66"/>
        <v>3.4930217970832622E-2</v>
      </c>
      <c r="K43" s="91">
        <f t="shared" si="0"/>
        <v>-2.984126984126978E-2</v>
      </c>
      <c r="M43" s="91">
        <f t="shared" si="1"/>
        <v>7.0767555797495163E-3</v>
      </c>
      <c r="O43" s="91">
        <f t="shared" si="2"/>
        <v>6.7152450350049797E-3</v>
      </c>
      <c r="Q43" s="91">
        <f t="shared" si="3"/>
        <v>3.128321943811696E-2</v>
      </c>
      <c r="S43" s="91">
        <f t="shared" si="4"/>
        <v>6.3636363636363491E-3</v>
      </c>
      <c r="U43" s="91">
        <f t="shared" si="5"/>
        <v>-2.7777777777777679E-2</v>
      </c>
      <c r="W43" s="91">
        <f t="shared" si="2"/>
        <v>0</v>
      </c>
      <c r="Y43" s="91">
        <f t="shared" si="3"/>
        <v>7.3707370737073674E-2</v>
      </c>
      <c r="AA43" s="91">
        <f t="shared" si="8"/>
        <v>-1.013024602026058E-2</v>
      </c>
      <c r="AC43" s="91">
        <f t="shared" si="9"/>
        <v>6.4599483204133001E-3</v>
      </c>
      <c r="AE43" s="91">
        <f t="shared" si="2"/>
        <v>1.4669926650366705E-2</v>
      </c>
      <c r="AG43" s="91">
        <f t="shared" si="3"/>
        <v>7.3126142595980603E-4</v>
      </c>
      <c r="AI43" s="91">
        <f t="shared" si="12"/>
        <v>-3.5643053241664169E-2</v>
      </c>
      <c r="AK43" s="91">
        <f t="shared" si="13"/>
        <v>8.6605080831407832E-3</v>
      </c>
      <c r="AM43" s="91">
        <f t="shared" si="2"/>
        <v>-8.8479501816294714E-2</v>
      </c>
      <c r="AO43" s="91">
        <f t="shared" si="3"/>
        <v>1.6258963085366895E-2</v>
      </c>
      <c r="AQ43" s="91">
        <f t="shared" si="16"/>
        <v>-4.7138408676044019E-3</v>
      </c>
      <c r="AS43" s="91">
        <f t="shared" si="17"/>
        <v>-1.2552916274694348E-2</v>
      </c>
      <c r="AU43" s="91">
        <f t="shared" si="18"/>
        <v>1.4005266937993532E-2</v>
      </c>
      <c r="AW43" s="91">
        <f t="shared" si="19"/>
        <v>-9.7577388963661082E-3</v>
      </c>
      <c r="AY43" s="91">
        <f t="shared" si="20"/>
        <v>-2.6528258362168433E-2</v>
      </c>
      <c r="BA43" s="91">
        <f t="shared" si="21"/>
        <v>7.9365079365079083E-3</v>
      </c>
      <c r="BC43" s="91">
        <f t="shared" si="18"/>
        <v>4.1032483557486898E-2</v>
      </c>
      <c r="BE43" s="91">
        <f t="shared" si="19"/>
        <v>1.5106593251447142E-2</v>
      </c>
      <c r="BG43" s="91">
        <f t="shared" si="24"/>
        <v>-7.3657474600870798E-2</v>
      </c>
      <c r="BI43" s="91">
        <f t="shared" si="25"/>
        <v>2.2387572612753592E-2</v>
      </c>
      <c r="BK43" s="91">
        <f t="shared" si="18"/>
        <v>9.8792535675082949E-3</v>
      </c>
      <c r="BM43" s="91">
        <f t="shared" si="19"/>
        <v>2.4091633163923154E-2</v>
      </c>
      <c r="BO43" s="91">
        <f t="shared" si="28"/>
        <v>-1.1532125205930832E-2</v>
      </c>
      <c r="BQ43" s="91">
        <f t="shared" si="29"/>
        <v>2.1334936861094445E-2</v>
      </c>
      <c r="BS43" s="91">
        <f t="shared" si="18"/>
        <v>-3.6821234927571389E-2</v>
      </c>
      <c r="BU43" s="91">
        <f t="shared" si="19"/>
        <v>3.1138420659304167E-2</v>
      </c>
      <c r="BW43" s="91">
        <f t="shared" si="32"/>
        <v>-4.0939452704158441E-3</v>
      </c>
      <c r="BY43" s="91">
        <f t="shared" si="33"/>
        <v>-2.0098258150961223E-3</v>
      </c>
      <c r="CA43" s="91">
        <f t="shared" si="34"/>
        <v>-1.171875E-2</v>
      </c>
      <c r="CC43" s="91">
        <f t="shared" si="35"/>
        <v>4.3227810058104721E-2</v>
      </c>
      <c r="CE43" s="91">
        <f t="shared" si="36"/>
        <v>6.8795430944963654E-2</v>
      </c>
      <c r="CG43" s="91">
        <f t="shared" si="37"/>
        <v>-7.1409887522887683E-2</v>
      </c>
      <c r="CI43" s="91">
        <f t="shared" si="34"/>
        <v>9.487666034158071E-4</v>
      </c>
      <c r="CK43" s="91">
        <f t="shared" si="35"/>
        <v>-1.7018379850238241E-2</v>
      </c>
      <c r="CM43" s="91">
        <f t="shared" si="40"/>
        <v>-1.2277364689607495E-2</v>
      </c>
      <c r="CO43" s="91">
        <f t="shared" si="41"/>
        <v>2.7750247770069292E-2</v>
      </c>
      <c r="CQ43" s="91">
        <f t="shared" si="34"/>
        <v>-7.4431966570906227E-2</v>
      </c>
      <c r="CS43" s="91">
        <f t="shared" si="35"/>
        <v>1.0736738009465396E-2</v>
      </c>
      <c r="CU43" s="91">
        <f t="shared" si="44"/>
        <v>0.28839590443686003</v>
      </c>
      <c r="CW43" s="91">
        <f t="shared" si="45"/>
        <v>-5.901116427432207E-2</v>
      </c>
      <c r="CY43" s="91">
        <f t="shared" si="34"/>
        <v>9.8814229249022389E-4</v>
      </c>
      <c r="DA43" s="91">
        <f t="shared" si="35"/>
        <v>-2.5368731563421787E-2</v>
      </c>
      <c r="DC43" s="91">
        <f t="shared" si="48"/>
        <v>-5.8156028368794188E-2</v>
      </c>
      <c r="DE43" s="91">
        <f t="shared" si="49"/>
        <v>8.7102803738317691E-2</v>
      </c>
      <c r="DG43" s="91">
        <f t="shared" si="50"/>
        <v>1.4362657091562037E-2</v>
      </c>
      <c r="DI43" s="91">
        <f t="shared" si="51"/>
        <v>6.5502183406114245E-3</v>
      </c>
      <c r="DK43" s="91">
        <f t="shared" si="52"/>
        <v>7.7493118780436188E-3</v>
      </c>
      <c r="DM43" s="91">
        <f t="shared" si="53"/>
        <v>6.903564165685605E-3</v>
      </c>
      <c r="DO43" s="91">
        <f t="shared" si="50"/>
        <v>-8.5127691537304484E-3</v>
      </c>
      <c r="DQ43" s="91">
        <f t="shared" si="51"/>
        <v>1.9178082191780854E-2</v>
      </c>
      <c r="DS43" s="91">
        <f t="shared" si="56"/>
        <v>-3.75494071146244E-2</v>
      </c>
      <c r="DU43" s="91">
        <f t="shared" si="57"/>
        <v>-8.0321285140561027E-4</v>
      </c>
      <c r="DW43" s="91">
        <f t="shared" si="50"/>
        <v>-9.175449473031605E-2</v>
      </c>
      <c r="DY43" s="91">
        <f t="shared" si="51"/>
        <v>-1.7220902612826605E-2</v>
      </c>
      <c r="EA43" s="91">
        <f t="shared" si="60"/>
        <v>-4.7470470247381269E-2</v>
      </c>
      <c r="EC43" s="91">
        <f t="shared" si="61"/>
        <v>-8.108108108108103E-2</v>
      </c>
      <c r="EE43" s="91">
        <f t="shared" si="50"/>
        <v>3.0303030303030276E-2</v>
      </c>
      <c r="EG43" s="91">
        <f t="shared" si="51"/>
        <v>2.2441950894344975E-2</v>
      </c>
    </row>
    <row r="44" spans="1:137">
      <c r="A44" s="90">
        <v>46139.666666666664</v>
      </c>
      <c r="C44" s="91">
        <f t="shared" si="64"/>
        <v>-1.2727809341105289E-2</v>
      </c>
      <c r="E44" s="91">
        <f t="shared" si="64"/>
        <v>-2.4975554106909992E-2</v>
      </c>
      <c r="G44" s="91">
        <f t="shared" si="65"/>
        <v>-2.7650877614811442E-2</v>
      </c>
      <c r="I44" s="91">
        <f t="shared" si="66"/>
        <v>-1.0871623925148732E-2</v>
      </c>
      <c r="K44" s="91">
        <f t="shared" si="0"/>
        <v>1.0471204188481575E-2</v>
      </c>
      <c r="M44" s="91">
        <f t="shared" si="1"/>
        <v>-2.1621621621621401E-3</v>
      </c>
      <c r="O44" s="91">
        <f t="shared" si="2"/>
        <v>-1.078626170877095E-2</v>
      </c>
      <c r="Q44" s="91">
        <f t="shared" si="3"/>
        <v>-2.4296863495803178E-2</v>
      </c>
      <c r="S44" s="91">
        <f t="shared" si="4"/>
        <v>-2.6648599819331542E-2</v>
      </c>
      <c r="U44" s="91">
        <f t="shared" si="5"/>
        <v>1.7669172932330834E-2</v>
      </c>
      <c r="W44" s="91">
        <f t="shared" si="2"/>
        <v>1.0101010101010166E-2</v>
      </c>
      <c r="Y44" s="91">
        <f t="shared" si="3"/>
        <v>8.7090163934426146E-2</v>
      </c>
      <c r="AA44" s="91">
        <f t="shared" si="8"/>
        <v>-2.436647173489237E-3</v>
      </c>
      <c r="AC44" s="91">
        <f t="shared" si="9"/>
        <v>1.5183037492806806E-2</v>
      </c>
      <c r="AE44" s="91">
        <f t="shared" si="2"/>
        <v>-5.5421686746987997E-2</v>
      </c>
      <c r="AG44" s="91">
        <f t="shared" si="3"/>
        <v>-5.4804530507855942E-3</v>
      </c>
      <c r="AI44" s="91">
        <f t="shared" si="12"/>
        <v>-2.8103557350723785E-3</v>
      </c>
      <c r="AK44" s="91">
        <f t="shared" si="13"/>
        <v>-9.1585575271895259E-3</v>
      </c>
      <c r="AM44" s="91">
        <f t="shared" si="2"/>
        <v>-1.764873327640204E-2</v>
      </c>
      <c r="AO44" s="91">
        <f t="shared" si="3"/>
        <v>1.7247386759581929E-2</v>
      </c>
      <c r="AQ44" s="91">
        <f t="shared" si="16"/>
        <v>1.175950200127307E-2</v>
      </c>
      <c r="AS44" s="91">
        <f t="shared" si="17"/>
        <v>-1.0688022864628222E-2</v>
      </c>
      <c r="AU44" s="91">
        <f t="shared" si="18"/>
        <v>-8.9717860937313931E-3</v>
      </c>
      <c r="AW44" s="91">
        <f t="shared" si="19"/>
        <v>0.10941216445803592</v>
      </c>
      <c r="AY44" s="91">
        <f t="shared" si="20"/>
        <v>-4.5023696682464531E-2</v>
      </c>
      <c r="BA44" s="91">
        <f t="shared" si="21"/>
        <v>7.0866141732283561E-2</v>
      </c>
      <c r="BC44" s="91">
        <f t="shared" si="18"/>
        <v>-2.4908125765618627E-2</v>
      </c>
      <c r="BE44" s="91">
        <f t="shared" si="19"/>
        <v>2.1835883171070769E-2</v>
      </c>
      <c r="BG44" s="91">
        <f t="shared" si="24"/>
        <v>2.6243634939286942E-2</v>
      </c>
      <c r="BI44" s="91">
        <f t="shared" si="25"/>
        <v>-9.5760980592429767E-4</v>
      </c>
      <c r="BK44" s="91">
        <f t="shared" si="18"/>
        <v>-4.8913043478260754E-2</v>
      </c>
      <c r="BM44" s="91">
        <f t="shared" si="19"/>
        <v>5.3182821504229594E-3</v>
      </c>
      <c r="BO44" s="91">
        <f t="shared" si="28"/>
        <v>-3.2500000000000084E-2</v>
      </c>
      <c r="BQ44" s="91">
        <f t="shared" si="29"/>
        <v>4.7100937308641733E-4</v>
      </c>
      <c r="BS44" s="91">
        <f t="shared" si="18"/>
        <v>1.2518904385817597E-2</v>
      </c>
      <c r="BU44" s="91">
        <f t="shared" si="19"/>
        <v>5.6047672733129161E-2</v>
      </c>
      <c r="BW44" s="91">
        <f t="shared" si="32"/>
        <v>-1.1575075724794437E-2</v>
      </c>
      <c r="BY44" s="91">
        <f t="shared" si="33"/>
        <v>1.0069366748713504E-2</v>
      </c>
      <c r="CA44" s="91">
        <f t="shared" si="34"/>
        <v>-3.9525691699604737E-2</v>
      </c>
      <c r="CC44" s="91">
        <f t="shared" si="35"/>
        <v>4.0044173428722241E-2</v>
      </c>
      <c r="CE44" s="91">
        <f t="shared" si="36"/>
        <v>7.2868593636155055E-4</v>
      </c>
      <c r="CG44" s="91">
        <f t="shared" si="37"/>
        <v>6.9436619718310055E-2</v>
      </c>
      <c r="CI44" s="91">
        <f t="shared" si="34"/>
        <v>3.7914691943127909E-2</v>
      </c>
      <c r="CK44" s="91">
        <f t="shared" si="35"/>
        <v>-1.8467220683286989E-3</v>
      </c>
      <c r="CM44" s="91">
        <f t="shared" si="40"/>
        <v>2.6260504201680579E-3</v>
      </c>
      <c r="CO44" s="91">
        <f t="shared" si="41"/>
        <v>8.6788813886211624E-3</v>
      </c>
      <c r="CQ44" s="91">
        <f t="shared" si="34"/>
        <v>2.8216704288963612E-4</v>
      </c>
      <c r="CS44" s="91">
        <f t="shared" si="35"/>
        <v>6.9886085680259669E-5</v>
      </c>
      <c r="CU44" s="91">
        <f t="shared" si="44"/>
        <v>-0.47350993377483441</v>
      </c>
      <c r="CW44" s="91">
        <f t="shared" si="45"/>
        <v>-9.3220338983052153E-3</v>
      </c>
      <c r="CY44" s="91">
        <f t="shared" si="34"/>
        <v>-9.8716683119459692E-4</v>
      </c>
      <c r="DA44" s="91">
        <f t="shared" si="35"/>
        <v>1.2106537530266248E-2</v>
      </c>
      <c r="DC44" s="91">
        <f t="shared" si="48"/>
        <v>3.2756024096385561E-2</v>
      </c>
      <c r="DE44" s="91">
        <f t="shared" si="49"/>
        <v>-4.2297111416781163E-2</v>
      </c>
      <c r="DG44" s="91">
        <f t="shared" si="50"/>
        <v>7.2566371681415776E-2</v>
      </c>
      <c r="DI44" s="91">
        <f t="shared" si="51"/>
        <v>1.7353579175704903E-2</v>
      </c>
      <c r="DK44" s="91">
        <f t="shared" si="52"/>
        <v>1.7228338515840047E-3</v>
      </c>
      <c r="DM44" s="91">
        <f t="shared" si="53"/>
        <v>6.2981663566303858E-3</v>
      </c>
      <c r="DO44" s="91">
        <f t="shared" si="50"/>
        <v>-3.5353535353535026E-3</v>
      </c>
      <c r="DQ44" s="91">
        <f t="shared" si="51"/>
        <v>-1.1827956989247213E-2</v>
      </c>
      <c r="DS44" s="91">
        <f t="shared" si="56"/>
        <v>0.14784394250513344</v>
      </c>
      <c r="DU44" s="91">
        <f t="shared" si="57"/>
        <v>2.1838156484458748E-2</v>
      </c>
      <c r="DW44" s="91">
        <f t="shared" si="50"/>
        <v>1.1604095563140016E-2</v>
      </c>
      <c r="DY44" s="91">
        <f t="shared" si="51"/>
        <v>1.7522658610271913E-2</v>
      </c>
      <c r="EA44" s="91">
        <f t="shared" si="60"/>
        <v>-5.6153486195601454E-3</v>
      </c>
      <c r="EC44" s="91">
        <f t="shared" si="61"/>
        <v>2.4369747899159577E-2</v>
      </c>
      <c r="EE44" s="91">
        <f t="shared" si="50"/>
        <v>-3.3613445378151141E-2</v>
      </c>
      <c r="EG44" s="91">
        <f t="shared" si="51"/>
        <v>-1.3039226339237264E-2</v>
      </c>
    </row>
    <row r="45" spans="1:137">
      <c r="A45" s="90">
        <v>46140.666666666664</v>
      </c>
      <c r="C45" s="91">
        <f t="shared" si="64"/>
        <v>1.1584021523859178E-2</v>
      </c>
      <c r="E45" s="91">
        <f t="shared" si="64"/>
        <v>1.625506664995191E-2</v>
      </c>
      <c r="G45" s="91">
        <f t="shared" si="65"/>
        <v>-1.6073194856577655E-2</v>
      </c>
      <c r="I45" s="91">
        <f t="shared" si="66"/>
        <v>-5.4381127450980893E-3</v>
      </c>
      <c r="K45" s="91">
        <f t="shared" si="0"/>
        <v>-6.8911917098445685E-2</v>
      </c>
      <c r="M45" s="91">
        <f t="shared" si="1"/>
        <v>-1.0834236186348822E-2</v>
      </c>
      <c r="O45" s="91">
        <f t="shared" si="2"/>
        <v>-4.3926351028216182E-2</v>
      </c>
      <c r="Q45" s="91">
        <f t="shared" si="3"/>
        <v>-1.2601871415635513E-2</v>
      </c>
      <c r="S45" s="91">
        <f t="shared" si="4"/>
        <v>-3.2482598607889157E-3</v>
      </c>
      <c r="U45" s="91">
        <f t="shared" si="5"/>
        <v>-6.280014776505416E-3</v>
      </c>
      <c r="W45" s="91">
        <f t="shared" si="2"/>
        <v>-2.0000000000000018E-2</v>
      </c>
      <c r="Y45" s="91">
        <f t="shared" si="3"/>
        <v>-3.6757775683317506E-2</v>
      </c>
      <c r="AA45" s="91">
        <f t="shared" si="8"/>
        <v>-8.5979482169027399E-3</v>
      </c>
      <c r="AC45" s="91">
        <f t="shared" si="9"/>
        <v>-1.3081015086770731E-2</v>
      </c>
      <c r="AE45" s="91">
        <f t="shared" si="2"/>
        <v>2.2448979591835894E-3</v>
      </c>
      <c r="AG45" s="91">
        <f t="shared" si="3"/>
        <v>-3.6737692872879091E-4</v>
      </c>
      <c r="AI45" s="91">
        <f t="shared" si="12"/>
        <v>1.7568474348807372E-2</v>
      </c>
      <c r="AK45" s="91">
        <f t="shared" si="13"/>
        <v>-7.5101097631425917E-3</v>
      </c>
      <c r="AM45" s="91">
        <f t="shared" si="2"/>
        <v>-8.4033613445377853E-3</v>
      </c>
      <c r="AO45" s="91">
        <f t="shared" si="3"/>
        <v>-1.598447222697974E-3</v>
      </c>
      <c r="AQ45" s="91">
        <f t="shared" si="16"/>
        <v>-1.2006696452373067E-2</v>
      </c>
      <c r="AS45" s="91">
        <f t="shared" si="17"/>
        <v>-9.7502256996689907E-3</v>
      </c>
      <c r="AU45" s="91">
        <f t="shared" si="18"/>
        <v>-2.239428231089946E-2</v>
      </c>
      <c r="AW45" s="91">
        <f t="shared" si="19"/>
        <v>-5.9111791730474761E-2</v>
      </c>
      <c r="AY45" s="91">
        <f t="shared" si="20"/>
        <v>-8.105872622001653E-2</v>
      </c>
      <c r="BA45" s="91">
        <f t="shared" si="21"/>
        <v>-1.6339869281045694E-3</v>
      </c>
      <c r="BC45" s="91">
        <f t="shared" si="18"/>
        <v>-7.9459798994974795E-2</v>
      </c>
      <c r="BE45" s="91">
        <f t="shared" si="19"/>
        <v>-3.0965019735946675E-2</v>
      </c>
      <c r="BG45" s="91">
        <f t="shared" si="24"/>
        <v>-6.1832061068702315E-2</v>
      </c>
      <c r="BI45" s="91">
        <f t="shared" si="25"/>
        <v>-1.1118921336826681E-2</v>
      </c>
      <c r="BK45" s="91">
        <f t="shared" si="18"/>
        <v>0.21371428571428552</v>
      </c>
      <c r="BM45" s="91">
        <f t="shared" si="19"/>
        <v>-1.0727653178509322E-2</v>
      </c>
      <c r="BO45" s="91">
        <f t="shared" si="28"/>
        <v>-1.2919896640826156E-3</v>
      </c>
      <c r="BQ45" s="91">
        <f t="shared" si="29"/>
        <v>1.042794595358032E-2</v>
      </c>
      <c r="BS45" s="91">
        <f t="shared" si="18"/>
        <v>5.0950128620031565E-2</v>
      </c>
      <c r="BU45" s="91">
        <f t="shared" si="19"/>
        <v>-3.8641909409790953E-2</v>
      </c>
      <c r="BW45" s="91">
        <f t="shared" si="32"/>
        <v>9.8500601948121602E-3</v>
      </c>
      <c r="BY45" s="91">
        <f t="shared" si="33"/>
        <v>-2.4368630926008272E-3</v>
      </c>
      <c r="CA45" s="91">
        <f t="shared" si="34"/>
        <v>-2.3515579071136106E-3</v>
      </c>
      <c r="CC45" s="91">
        <f t="shared" si="35"/>
        <v>-1.5881076589261967E-2</v>
      </c>
      <c r="CE45" s="91">
        <f t="shared" si="36"/>
        <v>-7.2815533980585823E-4</v>
      </c>
      <c r="CG45" s="91">
        <f t="shared" si="37"/>
        <v>-9.0082971157645186E-2</v>
      </c>
      <c r="CI45" s="91">
        <f t="shared" si="34"/>
        <v>-4.2922374429223642E-2</v>
      </c>
      <c r="CK45" s="91">
        <f t="shared" si="35"/>
        <v>-4.0471785383903836E-2</v>
      </c>
      <c r="CM45" s="91">
        <f t="shared" si="40"/>
        <v>2.3397939584424599E-2</v>
      </c>
      <c r="CO45" s="91">
        <f t="shared" si="41"/>
        <v>9.5602294455066072E-3</v>
      </c>
      <c r="CQ45" s="91">
        <f t="shared" si="34"/>
        <v>-1.1847672778561358E-2</v>
      </c>
      <c r="CS45" s="91">
        <f t="shared" si="35"/>
        <v>-1.3417190775681265E-2</v>
      </c>
      <c r="CU45" s="91">
        <f t="shared" si="44"/>
        <v>1.0062893081761004E-2</v>
      </c>
      <c r="CW45" s="91">
        <f t="shared" si="45"/>
        <v>-2.9940119760479056E-2</v>
      </c>
      <c r="CY45" s="91">
        <f t="shared" si="34"/>
        <v>-2.6679841897233159E-2</v>
      </c>
      <c r="DA45" s="91">
        <f t="shared" si="35"/>
        <v>-3.468899521531088E-2</v>
      </c>
      <c r="DC45" s="91">
        <f t="shared" si="48"/>
        <v>-4.496293595819667E-2</v>
      </c>
      <c r="DE45" s="91">
        <f t="shared" si="49"/>
        <v>-2.1543985637342944E-2</v>
      </c>
      <c r="DG45" s="91">
        <f t="shared" si="50"/>
        <v>-1.8151815181518094E-2</v>
      </c>
      <c r="DI45" s="91">
        <f t="shared" si="51"/>
        <v>-2.1321961620469176E-2</v>
      </c>
      <c r="DK45" s="91">
        <f t="shared" si="52"/>
        <v>-4.8659759218087073E-3</v>
      </c>
      <c r="DM45" s="91">
        <f t="shared" si="53"/>
        <v>-6.9981778329416544E-3</v>
      </c>
      <c r="DO45" s="91">
        <f t="shared" si="50"/>
        <v>8.6163203243789788E-3</v>
      </c>
      <c r="DQ45" s="91">
        <f t="shared" si="51"/>
        <v>-1.6213275299238439E-2</v>
      </c>
      <c r="DS45" s="91">
        <f t="shared" si="56"/>
        <v>-3.3094812164579546E-2</v>
      </c>
      <c r="DU45" s="91">
        <f t="shared" si="57"/>
        <v>-2.832044054018612E-2</v>
      </c>
      <c r="DW45" s="91">
        <f t="shared" si="50"/>
        <v>-2.2267206477732837E-2</v>
      </c>
      <c r="DY45" s="91">
        <f t="shared" si="51"/>
        <v>3.6223277909738671E-2</v>
      </c>
      <c r="EA45" s="91">
        <f t="shared" si="60"/>
        <v>-7.4705882352941066E-2</v>
      </c>
      <c r="EC45" s="91">
        <f t="shared" si="61"/>
        <v>-2.4610336341263084E-3</v>
      </c>
      <c r="EE45" s="91">
        <f t="shared" si="50"/>
        <v>-1.3043478260869712E-2</v>
      </c>
      <c r="EG45" s="91">
        <f t="shared" si="51"/>
        <v>3.4129692832765013E-3</v>
      </c>
    </row>
    <row r="46" spans="1:137">
      <c r="A46" s="90">
        <v>46141.666666666664</v>
      </c>
      <c r="C46" s="91">
        <f t="shared" si="64"/>
        <v>-1.9947545343724782E-3</v>
      </c>
      <c r="E46" s="91">
        <f t="shared" si="64"/>
        <v>1.5213815789474339E-3</v>
      </c>
      <c r="G46" s="91">
        <f t="shared" si="65"/>
        <v>-3.7195275194772504E-2</v>
      </c>
      <c r="I46" s="91">
        <f t="shared" si="66"/>
        <v>1.2860993453985392E-2</v>
      </c>
      <c r="K46" s="91">
        <f t="shared" si="0"/>
        <v>-2.8241513633834203E-2</v>
      </c>
      <c r="M46" s="91">
        <f t="shared" si="1"/>
        <v>-2.7382256297919794E-3</v>
      </c>
      <c r="O46" s="91">
        <f t="shared" ref="O46:BS50" si="67">O24/O23-1</f>
        <v>1.4055973788860365E-2</v>
      </c>
      <c r="Q46" s="91">
        <f t="shared" ref="Q46:BU50" si="68">Q24/Q23-1</f>
        <v>-3.2097821933511073E-3</v>
      </c>
      <c r="S46" s="91">
        <f t="shared" si="4"/>
        <v>-3.8175046554934866E-2</v>
      </c>
      <c r="U46" s="91">
        <f t="shared" si="5"/>
        <v>2.007434944237918E-2</v>
      </c>
      <c r="W46" s="91">
        <f t="shared" si="67"/>
        <v>0</v>
      </c>
      <c r="Y46" s="91">
        <f t="shared" si="68"/>
        <v>2.9354207436398383E-3</v>
      </c>
      <c r="AA46" s="91">
        <f t="shared" si="8"/>
        <v>-1.6753720311422082E-3</v>
      </c>
      <c r="AC46" s="91">
        <f t="shared" si="9"/>
        <v>-2.8010956967394196E-2</v>
      </c>
      <c r="AE46" s="91">
        <f t="shared" si="67"/>
        <v>-2.5656689065363447E-2</v>
      </c>
      <c r="AG46" s="91">
        <f t="shared" si="68"/>
        <v>-9.5553105475928435E-3</v>
      </c>
      <c r="AI46" s="91">
        <f t="shared" si="12"/>
        <v>-1.7444997302319964E-2</v>
      </c>
      <c r="AK46" s="91">
        <f t="shared" si="13"/>
        <v>-1.8626309662398199E-2</v>
      </c>
      <c r="AM46" s="91">
        <f t="shared" si="67"/>
        <v>-2.1332554061952003E-2</v>
      </c>
      <c r="AO46" s="91">
        <f t="shared" si="68"/>
        <v>4.5743038481327325E-4</v>
      </c>
      <c r="AQ46" s="91">
        <f t="shared" si="16"/>
        <v>-2.2610760347525738E-2</v>
      </c>
      <c r="AS46" s="91">
        <f t="shared" si="17"/>
        <v>-1.899349662675498E-2</v>
      </c>
      <c r="AU46" s="91">
        <f t="shared" si="67"/>
        <v>-0.132447910320458</v>
      </c>
      <c r="AW46" s="91">
        <f t="shared" si="68"/>
        <v>-5.436197916666663E-2</v>
      </c>
      <c r="AY46" s="91">
        <f t="shared" si="20"/>
        <v>-3.5553555355535504E-2</v>
      </c>
      <c r="BA46" s="91">
        <f t="shared" si="21"/>
        <v>-1.6366612111293755E-3</v>
      </c>
      <c r="BC46" s="91">
        <f t="shared" si="67"/>
        <v>8.4600123835879559E-2</v>
      </c>
      <c r="BE46" s="91">
        <f t="shared" si="68"/>
        <v>-2.9707142355502425E-2</v>
      </c>
      <c r="BG46" s="91">
        <f t="shared" si="24"/>
        <v>8.5435313262816059E-3</v>
      </c>
      <c r="BI46" s="91">
        <f t="shared" si="25"/>
        <v>-1.0468497576736735E-2</v>
      </c>
      <c r="BK46" s="91">
        <f t="shared" si="67"/>
        <v>-3.5781544256120457E-2</v>
      </c>
      <c r="BM46" s="91">
        <f t="shared" si="68"/>
        <v>-3.3068191974260364E-3</v>
      </c>
      <c r="BO46" s="91">
        <f t="shared" si="28"/>
        <v>-6.8995256576110942E-3</v>
      </c>
      <c r="BQ46" s="91">
        <f t="shared" si="29"/>
        <v>-1.115899825276645E-2</v>
      </c>
      <c r="BS46" s="91">
        <f t="shared" si="67"/>
        <v>-3.5452033162258312E-2</v>
      </c>
      <c r="BU46" s="91">
        <f t="shared" si="68"/>
        <v>2.8098911340696864E-2</v>
      </c>
      <c r="BW46" s="91">
        <f t="shared" si="32"/>
        <v>-1.6256638127234435E-3</v>
      </c>
      <c r="BY46" s="91">
        <f t="shared" si="33"/>
        <v>-1.4212747057517183E-2</v>
      </c>
      <c r="CA46" s="91">
        <f t="shared" ref="CA46:EE50" si="69">CA24/CA23-1</f>
        <v>5.6570418385386123E-2</v>
      </c>
      <c r="CC46" s="91">
        <f t="shared" ref="CC46:EG50" si="70">CC24/CC23-1</f>
        <v>-1.8389079138715569E-2</v>
      </c>
      <c r="CE46" s="91">
        <f t="shared" si="36"/>
        <v>-2.137478746660193E-2</v>
      </c>
      <c r="CG46" s="91">
        <f t="shared" si="37"/>
        <v>-5.9487624837168851E-2</v>
      </c>
      <c r="CI46" s="91">
        <f t="shared" si="69"/>
        <v>-9.4465648854961892E-2</v>
      </c>
      <c r="CK46" s="91">
        <f t="shared" si="70"/>
        <v>-1.2834417932031772E-2</v>
      </c>
      <c r="CM46" s="91">
        <f t="shared" si="40"/>
        <v>3.6683159870329218E-2</v>
      </c>
      <c r="CO46" s="91">
        <f t="shared" si="41"/>
        <v>-1.7045454545454475E-2</v>
      </c>
      <c r="CQ46" s="91">
        <f t="shared" si="69"/>
        <v>-2.7119611761347473E-2</v>
      </c>
      <c r="CS46" s="91">
        <f t="shared" si="70"/>
        <v>-2.2736931576710639E-2</v>
      </c>
      <c r="CU46" s="91">
        <f t="shared" si="44"/>
        <v>-0.17808219178082185</v>
      </c>
      <c r="CW46" s="91">
        <f t="shared" si="45"/>
        <v>-2.3809523809523725E-2</v>
      </c>
      <c r="CY46" s="91">
        <f t="shared" si="69"/>
        <v>-1.9289340101522834E-2</v>
      </c>
      <c r="DA46" s="91">
        <f t="shared" si="70"/>
        <v>-4.9566294919456411E-3</v>
      </c>
      <c r="DC46" s="91">
        <f t="shared" si="48"/>
        <v>-1.9977096322687404E-2</v>
      </c>
      <c r="DE46" s="91">
        <f t="shared" si="49"/>
        <v>-3.412844036697249E-2</v>
      </c>
      <c r="DG46" s="91">
        <f t="shared" si="69"/>
        <v>5.0420168067226712E-3</v>
      </c>
      <c r="DI46" s="91">
        <f t="shared" si="70"/>
        <v>-0.1541394335511983</v>
      </c>
      <c r="DK46" s="91">
        <f t="shared" si="52"/>
        <v>-1.5456167713467917E-4</v>
      </c>
      <c r="DM46" s="91">
        <f t="shared" si="53"/>
        <v>-8.563374288601544E-3</v>
      </c>
      <c r="DO46" s="91">
        <f t="shared" si="69"/>
        <v>-5.0251256281407031E-2</v>
      </c>
      <c r="DQ46" s="91">
        <f t="shared" si="70"/>
        <v>-1.9798694834642139E-2</v>
      </c>
      <c r="DS46" s="91">
        <f t="shared" si="56"/>
        <v>-7.6780758556891815E-2</v>
      </c>
      <c r="DU46" s="91">
        <f t="shared" si="57"/>
        <v>4.8576440426393308E-3</v>
      </c>
      <c r="DW46" s="91">
        <f t="shared" si="69"/>
        <v>-5.1759834368530044E-2</v>
      </c>
      <c r="DY46" s="91">
        <f t="shared" si="70"/>
        <v>7.9011461318051479E-2</v>
      </c>
      <c r="EA46" s="91">
        <f t="shared" si="60"/>
        <v>8.0864589955498944E-2</v>
      </c>
      <c r="EC46" s="91">
        <f t="shared" si="61"/>
        <v>8.2236842105263053E-2</v>
      </c>
      <c r="EE46" s="91">
        <f t="shared" si="69"/>
        <v>-7.342143906020504E-3</v>
      </c>
      <c r="EG46" s="91">
        <f t="shared" si="70"/>
        <v>5.069124423963145E-2</v>
      </c>
    </row>
    <row r="47" spans="1:137">
      <c r="A47" s="90">
        <v>46142.666666666664</v>
      </c>
      <c r="C47" s="91">
        <f t="shared" ref="C47:E50" si="71">C25/C24-1</f>
        <v>4.367620387163651E-3</v>
      </c>
      <c r="E47" s="91">
        <f t="shared" si="71"/>
        <v>1.0387157695939564E-2</v>
      </c>
      <c r="G47" s="91">
        <f t="shared" si="65"/>
        <v>2.0882276168102232E-2</v>
      </c>
      <c r="I47" s="91">
        <f t="shared" si="66"/>
        <v>7.6794403892943564E-3</v>
      </c>
      <c r="K47" s="91">
        <f t="shared" si="0"/>
        <v>5.7981388690050206E-2</v>
      </c>
      <c r="M47" s="91">
        <f t="shared" si="1"/>
        <v>2.3064250411861442E-2</v>
      </c>
      <c r="O47" s="91">
        <f t="shared" si="67"/>
        <v>2.9547416450857122E-2</v>
      </c>
      <c r="Q47" s="91">
        <f t="shared" si="68"/>
        <v>1.1117074292724016E-2</v>
      </c>
      <c r="S47" s="91">
        <f t="shared" si="4"/>
        <v>3.5818005808325282E-2</v>
      </c>
      <c r="U47" s="91">
        <f t="shared" si="5"/>
        <v>-2.8425655976676456E-2</v>
      </c>
      <c r="W47" s="91">
        <f t="shared" si="67"/>
        <v>3.0612244897959107E-2</v>
      </c>
      <c r="Y47" s="91">
        <f t="shared" si="68"/>
        <v>-4.8780487804879202E-3</v>
      </c>
      <c r="AA47" s="91">
        <f t="shared" si="8"/>
        <v>2.4185587364264682E-2</v>
      </c>
      <c r="AC47" s="91">
        <f t="shared" si="9"/>
        <v>3.1454545454545402E-2</v>
      </c>
      <c r="AE47" s="91">
        <f t="shared" si="67"/>
        <v>1.4733542319749215E-2</v>
      </c>
      <c r="AG47" s="91">
        <f t="shared" si="68"/>
        <v>4.0816326530612734E-3</v>
      </c>
      <c r="AI47" s="91">
        <f t="shared" si="12"/>
        <v>2.4209884075655941E-2</v>
      </c>
      <c r="AK47" s="91">
        <f t="shared" si="13"/>
        <v>4.9822064056939563E-2</v>
      </c>
      <c r="AM47" s="91">
        <f t="shared" si="67"/>
        <v>3.314422215586732E-2</v>
      </c>
      <c r="AO47" s="91">
        <f t="shared" si="68"/>
        <v>9.9617077213236538E-2</v>
      </c>
      <c r="AQ47" s="91">
        <f t="shared" si="16"/>
        <v>2.0064045936395658E-2</v>
      </c>
      <c r="AS47" s="91">
        <f t="shared" si="17"/>
        <v>1.8555806821350052E-2</v>
      </c>
      <c r="AU47" s="91">
        <f t="shared" si="67"/>
        <v>2.3735955056179758E-2</v>
      </c>
      <c r="AW47" s="91">
        <f t="shared" si="68"/>
        <v>0.15249569707401012</v>
      </c>
      <c r="AY47" s="91">
        <f t="shared" si="20"/>
        <v>6.1829211385907579E-2</v>
      </c>
      <c r="BA47" s="91">
        <f t="shared" si="21"/>
        <v>1.9672131147540961E-2</v>
      </c>
      <c r="BC47" s="91">
        <f t="shared" si="67"/>
        <v>5.1262932239724002E-2</v>
      </c>
      <c r="BE47" s="91">
        <f t="shared" si="68"/>
        <v>-3.3294730746961099E-3</v>
      </c>
      <c r="BG47" s="91">
        <f t="shared" si="24"/>
        <v>2.2589753933037526E-2</v>
      </c>
      <c r="BI47" s="91">
        <f t="shared" si="25"/>
        <v>3.1411219225494724E-2</v>
      </c>
      <c r="BK47" s="91">
        <f t="shared" si="67"/>
        <v>-5.2734375000000111E-2</v>
      </c>
      <c r="BM47" s="91">
        <f t="shared" si="68"/>
        <v>-8.5500358680057453E-2</v>
      </c>
      <c r="BO47" s="91">
        <f t="shared" si="28"/>
        <v>1.0421189752496618E-2</v>
      </c>
      <c r="BQ47" s="91">
        <f t="shared" si="29"/>
        <v>-3.9296989115582215E-2</v>
      </c>
      <c r="BS47" s="91">
        <f t="shared" si="67"/>
        <v>4.10936476751802E-2</v>
      </c>
      <c r="BU47" s="91">
        <f t="shared" si="68"/>
        <v>-2.5074258380589631E-3</v>
      </c>
      <c r="BW47" s="91">
        <f t="shared" si="32"/>
        <v>1.617455492835429E-2</v>
      </c>
      <c r="BY47" s="91">
        <f t="shared" si="33"/>
        <v>-6.7582788916420444E-4</v>
      </c>
      <c r="CA47" s="91">
        <f t="shared" si="69"/>
        <v>3.3463469046291161E-2</v>
      </c>
      <c r="CC47" s="91">
        <f t="shared" si="70"/>
        <v>-4.6260454002389539E-2</v>
      </c>
      <c r="CE47" s="91">
        <f t="shared" si="36"/>
        <v>4.790270538595176E-2</v>
      </c>
      <c r="CG47" s="91">
        <f t="shared" si="37"/>
        <v>0.11572791628193291</v>
      </c>
      <c r="CI47" s="91">
        <f t="shared" si="69"/>
        <v>5.7955742887249695E-2</v>
      </c>
      <c r="CK47" s="91">
        <f t="shared" si="70"/>
        <v>-1.4893487151315554E-2</v>
      </c>
      <c r="CM47" s="91">
        <f t="shared" si="40"/>
        <v>-2.9624753127057701E-3</v>
      </c>
      <c r="CO47" s="91">
        <f t="shared" si="41"/>
        <v>-7.7071290944122905E-3</v>
      </c>
      <c r="CQ47" s="91">
        <f t="shared" si="69"/>
        <v>8.4800469483568008E-2</v>
      </c>
      <c r="CS47" s="91">
        <f t="shared" si="70"/>
        <v>8.2626657969124828E-3</v>
      </c>
      <c r="CU47" s="91">
        <f t="shared" si="44"/>
        <v>7.8787878787878851E-2</v>
      </c>
      <c r="CW47" s="91">
        <f t="shared" si="45"/>
        <v>5.8717253839205119E-2</v>
      </c>
      <c r="CY47" s="91">
        <f t="shared" si="69"/>
        <v>1.2422360248447228E-2</v>
      </c>
      <c r="DA47" s="91">
        <f t="shared" si="70"/>
        <v>2.1170610211706187E-2</v>
      </c>
      <c r="DC47" s="91">
        <f t="shared" si="48"/>
        <v>7.1280186964424841E-2</v>
      </c>
      <c r="DE47" s="91">
        <f t="shared" si="49"/>
        <v>4.1033434650455947E-2</v>
      </c>
      <c r="DG47" s="91">
        <f t="shared" si="69"/>
        <v>1.5050167224080147E-2</v>
      </c>
      <c r="DI47" s="91">
        <f t="shared" si="70"/>
        <v>3.6703155183515968E-2</v>
      </c>
      <c r="DK47" s="91">
        <f t="shared" si="52"/>
        <v>9.9496894235362454E-3</v>
      </c>
      <c r="DM47" s="91">
        <f t="shared" si="53"/>
        <v>2.3685622317596522E-2</v>
      </c>
      <c r="DO47" s="91">
        <f t="shared" si="69"/>
        <v>-1.6931216931216908E-2</v>
      </c>
      <c r="DQ47" s="91">
        <f t="shared" si="70"/>
        <v>1.5572105619498844E-2</v>
      </c>
      <c r="DS47" s="91">
        <f t="shared" si="56"/>
        <v>0.20340681362725443</v>
      </c>
      <c r="DU47" s="91">
        <f t="shared" si="57"/>
        <v>1.8799516583858367E-3</v>
      </c>
      <c r="DW47" s="91">
        <f t="shared" si="69"/>
        <v>6.1863173216885059E-2</v>
      </c>
      <c r="DY47" s="91">
        <f t="shared" si="70"/>
        <v>-2.3501294562836006E-2</v>
      </c>
      <c r="EA47" s="91">
        <f t="shared" si="60"/>
        <v>0.11504528878955411</v>
      </c>
      <c r="EC47" s="91">
        <f t="shared" si="61"/>
        <v>8.358662613981771E-3</v>
      </c>
      <c r="EE47" s="91">
        <f t="shared" si="69"/>
        <v>2.9585798816567976E-2</v>
      </c>
      <c r="EG47" s="91">
        <f t="shared" si="70"/>
        <v>1.4515455304928926E-2</v>
      </c>
    </row>
    <row r="48" spans="1:137">
      <c r="A48" s="90">
        <v>46143.666666666664</v>
      </c>
      <c r="C48" s="91">
        <f t="shared" si="71"/>
        <v>3.2393587617468134E-2</v>
      </c>
      <c r="E48" s="91">
        <f t="shared" si="71"/>
        <v>1.8732222673709886E-2</v>
      </c>
      <c r="G48" s="91">
        <f t="shared" si="65"/>
        <v>-1.4318588596267001E-2</v>
      </c>
      <c r="I48" s="91">
        <f t="shared" si="66"/>
        <v>1.2072738247943748E-2</v>
      </c>
      <c r="K48" s="91">
        <f t="shared" si="0"/>
        <v>-4.0730717185385679E-2</v>
      </c>
      <c r="M48" s="91">
        <f t="shared" si="1"/>
        <v>-1.6103059581319412E-3</v>
      </c>
      <c r="O48" s="91">
        <f t="shared" si="67"/>
        <v>9.2231032748004704E-3</v>
      </c>
      <c r="Q48" s="91">
        <f t="shared" si="68"/>
        <v>-2.8814073400060813E-3</v>
      </c>
      <c r="S48" s="91">
        <f t="shared" si="4"/>
        <v>2.2429906542056122E-2</v>
      </c>
      <c r="U48" s="91">
        <f t="shared" si="5"/>
        <v>-4.876219054763653E-3</v>
      </c>
      <c r="W48" s="91">
        <f t="shared" si="67"/>
        <v>5.9405940594059459E-2</v>
      </c>
      <c r="Y48" s="91">
        <f t="shared" si="68"/>
        <v>3.0392156862745212E-2</v>
      </c>
      <c r="AA48" s="91">
        <f t="shared" si="8"/>
        <v>-6.4578313253011999E-3</v>
      </c>
      <c r="AC48" s="91">
        <f t="shared" si="9"/>
        <v>-1.0135730653974884E-2</v>
      </c>
      <c r="AE48" s="91">
        <f t="shared" si="67"/>
        <v>-2.5126145608073247E-2</v>
      </c>
      <c r="AG48" s="91">
        <f t="shared" si="68"/>
        <v>1.7738359201773912E-2</v>
      </c>
      <c r="AI48" s="91">
        <f t="shared" si="12"/>
        <v>-9.6742678771415402E-3</v>
      </c>
      <c r="AK48" s="91">
        <f t="shared" si="13"/>
        <v>5.8757062146892691E-2</v>
      </c>
      <c r="AM48" s="91">
        <f t="shared" si="67"/>
        <v>-2.3121387283237094E-2</v>
      </c>
      <c r="AO48" s="91">
        <f t="shared" si="68"/>
        <v>2.3128898128896846E-3</v>
      </c>
      <c r="AQ48" s="91">
        <f t="shared" si="16"/>
        <v>-6.4951232449539376E-5</v>
      </c>
      <c r="AS48" s="91">
        <f t="shared" si="17"/>
        <v>-1.4963503649635057E-2</v>
      </c>
      <c r="AU48" s="91">
        <f t="shared" si="67"/>
        <v>1.0563863355741443E-2</v>
      </c>
      <c r="AW48" s="91">
        <f t="shared" si="68"/>
        <v>-5.9737156511341372E-4</v>
      </c>
      <c r="AY48" s="91">
        <f t="shared" si="20"/>
        <v>3.2959789057349642E-3</v>
      </c>
      <c r="BA48" s="91">
        <f t="shared" si="21"/>
        <v>1.688102893890675E-2</v>
      </c>
      <c r="BC48" s="91">
        <f t="shared" si="67"/>
        <v>5.2763986168986587E-2</v>
      </c>
      <c r="BE48" s="91">
        <f t="shared" si="68"/>
        <v>-2.9920116194625868E-2</v>
      </c>
      <c r="BG48" s="91">
        <f t="shared" si="24"/>
        <v>1.0650887573964374E-2</v>
      </c>
      <c r="BI48" s="91">
        <f t="shared" si="25"/>
        <v>1.9627706724072436E-3</v>
      </c>
      <c r="BK48" s="91">
        <f t="shared" si="67"/>
        <v>-6.1855670103091454E-3</v>
      </c>
      <c r="BM48" s="91">
        <f t="shared" si="68"/>
        <v>-5.1641581278292215E-3</v>
      </c>
      <c r="BO48" s="91">
        <f t="shared" si="28"/>
        <v>-5.1568543188655891E-3</v>
      </c>
      <c r="BQ48" s="91">
        <f t="shared" si="29"/>
        <v>1.6332336063563657E-2</v>
      </c>
      <c r="BS48" s="91">
        <f t="shared" si="67"/>
        <v>-1.037899040729684E-2</v>
      </c>
      <c r="BU48" s="91">
        <f t="shared" si="68"/>
        <v>4.8437620852347596E-2</v>
      </c>
      <c r="BW48" s="91">
        <f t="shared" si="32"/>
        <v>-1.6558060036320876E-2</v>
      </c>
      <c r="BY48" s="91">
        <f t="shared" si="33"/>
        <v>9.0171325518473289E-4</v>
      </c>
      <c r="CA48" s="91">
        <f t="shared" si="69"/>
        <v>4.587155963302747E-2</v>
      </c>
      <c r="CC48" s="91">
        <f t="shared" si="70"/>
        <v>-5.6120659417748797E-3</v>
      </c>
      <c r="CE48" s="91">
        <f t="shared" si="36"/>
        <v>3.9317858834675645E-2</v>
      </c>
      <c r="CG48" s="91">
        <f t="shared" si="37"/>
        <v>-2.8965517241379191E-2</v>
      </c>
      <c r="CI48" s="91">
        <f t="shared" si="69"/>
        <v>2.788844621513964E-2</v>
      </c>
      <c r="CK48" s="91">
        <f t="shared" si="70"/>
        <v>6.4688022801908662E-2</v>
      </c>
      <c r="CM48" s="91">
        <f t="shared" si="40"/>
        <v>-3.0868273357543718E-2</v>
      </c>
      <c r="CO48" s="91">
        <f t="shared" si="41"/>
        <v>3.5922330097087229E-2</v>
      </c>
      <c r="CQ48" s="91">
        <f t="shared" si="69"/>
        <v>-1.8934271030565109E-3</v>
      </c>
      <c r="CS48" s="91">
        <f t="shared" si="70"/>
        <v>3.5655236862914164E-2</v>
      </c>
      <c r="CU48" s="91">
        <f t="shared" si="44"/>
        <v>2.6685393258427004E-2</v>
      </c>
      <c r="CW48" s="91">
        <f t="shared" si="45"/>
        <v>-4.180887372013653E-2</v>
      </c>
      <c r="CY48" s="91">
        <f t="shared" si="69"/>
        <v>1.0224948875254825E-3</v>
      </c>
      <c r="DA48" s="91">
        <f t="shared" si="70"/>
        <v>-8.4146341463414598E-2</v>
      </c>
      <c r="DC48" s="91">
        <f t="shared" si="48"/>
        <v>-4.4843049327354279E-2</v>
      </c>
      <c r="DE48" s="91">
        <f t="shared" si="49"/>
        <v>-1.1313868613138656E-2</v>
      </c>
      <c r="DG48" s="91">
        <f t="shared" si="69"/>
        <v>3.6243822075782584E-2</v>
      </c>
      <c r="DI48" s="91">
        <f t="shared" si="70"/>
        <v>2.0496894409937738E-2</v>
      </c>
      <c r="DK48" s="91">
        <f t="shared" si="52"/>
        <v>2.7690423844377587E-3</v>
      </c>
      <c r="DM48" s="91">
        <f t="shared" si="53"/>
        <v>2.4080916070539526E-2</v>
      </c>
      <c r="DO48" s="91">
        <f t="shared" si="69"/>
        <v>1.0764262648008671E-2</v>
      </c>
      <c r="DQ48" s="91">
        <f t="shared" si="70"/>
        <v>2.8000000000000025E-2</v>
      </c>
      <c r="DS48" s="91">
        <f t="shared" si="56"/>
        <v>1.1656952539550458E-2</v>
      </c>
      <c r="DU48" s="91">
        <f t="shared" si="57"/>
        <v>6.8355448331323121E-3</v>
      </c>
      <c r="DW48" s="91">
        <f t="shared" si="69"/>
        <v>-2.7416038382453767E-2</v>
      </c>
      <c r="DY48" s="91">
        <f t="shared" si="70"/>
        <v>-2.9165816846828396E-2</v>
      </c>
      <c r="EA48" s="91">
        <f t="shared" si="60"/>
        <v>-2.5319126490137567E-3</v>
      </c>
      <c r="EC48" s="91">
        <f t="shared" si="61"/>
        <v>-4.0693293142426423E-2</v>
      </c>
      <c r="EE48" s="91">
        <f t="shared" si="69"/>
        <v>-3.7356321839080442E-2</v>
      </c>
      <c r="EG48" s="91">
        <f t="shared" si="70"/>
        <v>6.4745239320638026E-2</v>
      </c>
    </row>
    <row r="49" spans="1:137">
      <c r="A49" s="90">
        <v>46146.666666666664</v>
      </c>
      <c r="C49" s="91">
        <f t="shared" si="71"/>
        <v>-1.1815520811023106E-2</v>
      </c>
      <c r="E49" s="91">
        <f t="shared" si="71"/>
        <v>1.2963184555861318E-2</v>
      </c>
      <c r="G49" s="91">
        <f t="shared" si="65"/>
        <v>-4.1245136186770281E-2</v>
      </c>
      <c r="I49" s="91">
        <f t="shared" si="66"/>
        <v>1.4128084693953769E-2</v>
      </c>
      <c r="K49" s="91">
        <f t="shared" si="0"/>
        <v>-3.4701650444350363E-2</v>
      </c>
      <c r="M49" s="91">
        <f t="shared" si="1"/>
        <v>-9.6774193548386789E-3</v>
      </c>
      <c r="O49" s="91">
        <f t="shared" si="67"/>
        <v>-1.1346372958602302E-2</v>
      </c>
      <c r="Q49" s="91">
        <f t="shared" si="68"/>
        <v>1.3460076045627378E-2</v>
      </c>
      <c r="S49" s="91">
        <f t="shared" si="4"/>
        <v>4.1590493601462608E-2</v>
      </c>
      <c r="U49" s="91">
        <f t="shared" si="5"/>
        <v>-3.7693177534869893E-4</v>
      </c>
      <c r="W49" s="91">
        <f t="shared" si="67"/>
        <v>0.30841121495327095</v>
      </c>
      <c r="Y49" s="91">
        <f t="shared" si="68"/>
        <v>-2.4738344433872461E-2</v>
      </c>
      <c r="AA49" s="91">
        <f t="shared" si="8"/>
        <v>-1.7171129220023285E-2</v>
      </c>
      <c r="AC49" s="91">
        <f t="shared" si="9"/>
        <v>-3.2721930371293673E-2</v>
      </c>
      <c r="AE49" s="91">
        <f t="shared" si="67"/>
        <v>-6.5490651737615257E-3</v>
      </c>
      <c r="AG49" s="91">
        <f t="shared" si="68"/>
        <v>-1.1982570806100101E-2</v>
      </c>
      <c r="AI49" s="91">
        <f t="shared" si="12"/>
        <v>3.1965063400784421E-2</v>
      </c>
      <c r="AK49" s="91">
        <f t="shared" si="13"/>
        <v>6.5101387406617084E-2</v>
      </c>
      <c r="AM49" s="91">
        <f t="shared" si="67"/>
        <v>-1.2721893491124292E-2</v>
      </c>
      <c r="AO49" s="91">
        <f t="shared" si="68"/>
        <v>-6.3263242500453121E-3</v>
      </c>
      <c r="AQ49" s="91">
        <f t="shared" si="16"/>
        <v>-2.2128157105585133E-2</v>
      </c>
      <c r="AS49" s="91">
        <f t="shared" si="17"/>
        <v>-3.5383475361244865E-2</v>
      </c>
      <c r="AU49" s="91">
        <f t="shared" si="67"/>
        <v>3.9234319847950117E-2</v>
      </c>
      <c r="AW49" s="91">
        <f t="shared" si="68"/>
        <v>8.9659294680211055E-4</v>
      </c>
      <c r="AY49" s="91">
        <f t="shared" si="20"/>
        <v>8.3661848445028442E-2</v>
      </c>
      <c r="BA49" s="91">
        <f t="shared" si="21"/>
        <v>-2.3715415019763819E-3</v>
      </c>
      <c r="BC49" s="91">
        <f t="shared" si="67"/>
        <v>2.7633615108481724E-2</v>
      </c>
      <c r="BE49" s="91">
        <f t="shared" si="68"/>
        <v>-3.4436292858212481E-2</v>
      </c>
      <c r="BG49" s="91">
        <f t="shared" si="24"/>
        <v>-1.0538641686182681E-2</v>
      </c>
      <c r="BI49" s="91">
        <f t="shared" si="25"/>
        <v>-4.2338072669825255E-3</v>
      </c>
      <c r="BK49" s="91">
        <f t="shared" si="67"/>
        <v>-1.6597510373444035E-2</v>
      </c>
      <c r="BM49" s="91">
        <f t="shared" si="68"/>
        <v>2.7268993839835165E-3</v>
      </c>
      <c r="BO49" s="91">
        <f t="shared" si="28"/>
        <v>-7.7753779697623537E-3</v>
      </c>
      <c r="BQ49" s="91">
        <f t="shared" si="29"/>
        <v>-1.9785734967666668E-3</v>
      </c>
      <c r="BS49" s="91">
        <f t="shared" si="67"/>
        <v>-2.034006038455427E-2</v>
      </c>
      <c r="BU49" s="91">
        <f t="shared" si="68"/>
        <v>6.3148964423378473E-2</v>
      </c>
      <c r="BW49" s="91">
        <f t="shared" si="32"/>
        <v>-1.1296980230284692E-2</v>
      </c>
      <c r="BY49" s="91">
        <f t="shared" si="33"/>
        <v>-2.950450450450437E-2</v>
      </c>
      <c r="CA49" s="91">
        <f t="shared" si="69"/>
        <v>-6.5015479876160853E-2</v>
      </c>
      <c r="CC49" s="91">
        <f t="shared" si="70"/>
        <v>1.5117157974309237E-4</v>
      </c>
      <c r="CE49" s="91">
        <f t="shared" si="36"/>
        <v>1.162260711030072E-2</v>
      </c>
      <c r="CG49" s="91">
        <f t="shared" si="37"/>
        <v>-2.556818181818199E-2</v>
      </c>
      <c r="CI49" s="91">
        <f t="shared" si="69"/>
        <v>-5.7170542635658905E-2</v>
      </c>
      <c r="CK49" s="91">
        <f t="shared" si="70"/>
        <v>4.9234708723738363E-2</v>
      </c>
      <c r="CM49" s="91">
        <f t="shared" si="40"/>
        <v>2.6571282575370558E-2</v>
      </c>
      <c r="CO49" s="91">
        <f t="shared" si="41"/>
        <v>1.4995313964386137E-2</v>
      </c>
      <c r="CQ49" s="91">
        <f t="shared" si="69"/>
        <v>4.4444444444444509E-2</v>
      </c>
      <c r="CS49" s="91">
        <f t="shared" si="70"/>
        <v>1.3604497813562988E-2</v>
      </c>
      <c r="CU49" s="91">
        <f t="shared" si="44"/>
        <v>-2.735978112175097E-2</v>
      </c>
      <c r="CW49" s="91">
        <f t="shared" si="45"/>
        <v>-2.0480854853072161E-2</v>
      </c>
      <c r="CY49" s="91">
        <f t="shared" si="69"/>
        <v>-1.5321756894790428E-2</v>
      </c>
      <c r="DA49" s="91">
        <f t="shared" si="70"/>
        <v>-3.3954727030625853E-2</v>
      </c>
      <c r="DC49" s="91">
        <f t="shared" si="48"/>
        <v>1.9033117624666973E-2</v>
      </c>
      <c r="DE49" s="91">
        <f t="shared" si="49"/>
        <v>3.063861203396101E-2</v>
      </c>
      <c r="DG49" s="91">
        <f t="shared" si="69"/>
        <v>-1.9077901430842648E-2</v>
      </c>
      <c r="DI49" s="91">
        <f t="shared" si="70"/>
        <v>-1.3998782714546576E-2</v>
      </c>
      <c r="DK49" s="91">
        <f t="shared" si="52"/>
        <v>-3.6633594671476866E-3</v>
      </c>
      <c r="DM49" s="91">
        <f t="shared" si="53"/>
        <v>4.3242413387236667E-3</v>
      </c>
      <c r="DO49" s="91">
        <f t="shared" si="69"/>
        <v>-7.4547390841320782E-3</v>
      </c>
      <c r="DQ49" s="91">
        <f t="shared" si="70"/>
        <v>-2.6480760916558599E-2</v>
      </c>
      <c r="DS49" s="91">
        <f t="shared" si="56"/>
        <v>-3.292181069958855E-2</v>
      </c>
      <c r="DU49" s="91">
        <f t="shared" si="57"/>
        <v>-1.5841320553780625E-2</v>
      </c>
      <c r="DW49" s="91">
        <f t="shared" si="69"/>
        <v>-2.6779422128259234E-2</v>
      </c>
      <c r="DY49" s="91">
        <f t="shared" si="70"/>
        <v>3.3683473389355845E-2</v>
      </c>
      <c r="EA49" s="91">
        <f t="shared" si="60"/>
        <v>0.21628767847699626</v>
      </c>
      <c r="EC49" s="91">
        <f t="shared" si="61"/>
        <v>8.1696779261586805E-2</v>
      </c>
      <c r="EE49" s="91">
        <f t="shared" si="69"/>
        <v>-2.3880597014925398E-2</v>
      </c>
      <c r="EG49" s="91">
        <f t="shared" si="70"/>
        <v>3.0839133797370355E-2</v>
      </c>
    </row>
    <row r="50" spans="1:137">
      <c r="A50" s="90">
        <v>46147.666666666664</v>
      </c>
      <c r="C50" s="91">
        <f t="shared" si="71"/>
        <v>2.6550590615179059E-2</v>
      </c>
      <c r="E50" s="91">
        <f t="shared" si="71"/>
        <v>6.5364624350290335E-3</v>
      </c>
      <c r="G50" s="91">
        <f t="shared" si="65"/>
        <v>4.1937229437229329E-2</v>
      </c>
      <c r="I50" s="91">
        <f t="shared" si="66"/>
        <v>5.513692335967546E-3</v>
      </c>
      <c r="K50" s="91">
        <f t="shared" si="0"/>
        <v>-6.6637439719421487E-2</v>
      </c>
      <c r="M50" s="91">
        <f t="shared" si="1"/>
        <v>-4.8859934853422438E-3</v>
      </c>
      <c r="O50" s="91">
        <f t="shared" si="67"/>
        <v>2.607442977190888E-2</v>
      </c>
      <c r="Q50" s="91">
        <f t="shared" si="68"/>
        <v>-7.5785998349217065E-3</v>
      </c>
      <c r="S50" s="91">
        <f t="shared" si="4"/>
        <v>1.3602457218078179E-2</v>
      </c>
      <c r="U50" s="91">
        <f t="shared" si="5"/>
        <v>-5.731523378582204E-2</v>
      </c>
      <c r="W50" s="91">
        <f t="shared" si="67"/>
        <v>7.8571428571428736E-2</v>
      </c>
      <c r="Y50" s="91">
        <f t="shared" si="68"/>
        <v>3.9024390243902474E-2</v>
      </c>
      <c r="AA50" s="91">
        <f t="shared" si="8"/>
        <v>-8.1926759451189657E-3</v>
      </c>
      <c r="AC50" s="91">
        <f t="shared" si="9"/>
        <v>-8.1925714548718442E-3</v>
      </c>
      <c r="AE50" s="91">
        <f t="shared" si="67"/>
        <v>-3.827751196172291E-3</v>
      </c>
      <c r="AG50" s="91">
        <f t="shared" si="68"/>
        <v>2.9400955531054818E-2</v>
      </c>
      <c r="AI50" s="91">
        <f t="shared" si="12"/>
        <v>-7.6125858310308603E-3</v>
      </c>
      <c r="AK50" s="91">
        <f t="shared" si="13"/>
        <v>-2.7054108216432837E-2</v>
      </c>
      <c r="AM50" s="91">
        <f t="shared" si="67"/>
        <v>-5.5439017081210573E-2</v>
      </c>
      <c r="AO50" s="91">
        <f t="shared" si="68"/>
        <v>1.3515981735159777E-2</v>
      </c>
      <c r="AQ50" s="91">
        <f t="shared" si="16"/>
        <v>1.72927253202253E-2</v>
      </c>
      <c r="AS50" s="91">
        <f t="shared" si="17"/>
        <v>9.6024582293066096E-3</v>
      </c>
      <c r="AU50" s="91">
        <f t="shared" si="67"/>
        <v>6.2704114957543577E-3</v>
      </c>
      <c r="AW50" s="91">
        <f t="shared" si="68"/>
        <v>9.8536876679604646E-3</v>
      </c>
      <c r="AY50" s="91">
        <f t="shared" si="20"/>
        <v>0.10630557801131779</v>
      </c>
      <c r="BA50" s="91">
        <f t="shared" si="21"/>
        <v>-1.5847860538826808E-3</v>
      </c>
      <c r="BC50" s="91">
        <f t="shared" si="67"/>
        <v>1.8828494744821622E-2</v>
      </c>
      <c r="BE50" s="91">
        <f t="shared" si="68"/>
        <v>9.5363622267019554E-3</v>
      </c>
      <c r="BG50" s="91">
        <f t="shared" si="24"/>
        <v>-2.1696252465483234E-2</v>
      </c>
      <c r="BI50" s="91">
        <f t="shared" si="25"/>
        <v>-2.0307145576851093E-3</v>
      </c>
      <c r="BK50" s="91">
        <f t="shared" si="67"/>
        <v>-1.7932489451476741E-2</v>
      </c>
      <c r="BM50" s="91">
        <f t="shared" si="68"/>
        <v>-8.9284251568616524E-3</v>
      </c>
      <c r="BO50" s="91">
        <f t="shared" si="28"/>
        <v>1.2625163256421601E-2</v>
      </c>
      <c r="BQ50" s="91">
        <f t="shared" si="29"/>
        <v>-5.4155988588560078E-3</v>
      </c>
      <c r="BS50" s="91">
        <f t="shared" si="67"/>
        <v>-3.2441200324411223E-3</v>
      </c>
      <c r="BU50" s="91">
        <f t="shared" si="68"/>
        <v>0.11059068436117614</v>
      </c>
      <c r="BW50" s="91">
        <f t="shared" si="32"/>
        <v>-3.4388046583168519E-2</v>
      </c>
      <c r="BY50" s="91">
        <f t="shared" si="33"/>
        <v>-6.962172197726435E-4</v>
      </c>
      <c r="CA50" s="91">
        <f t="shared" si="69"/>
        <v>3.7527593818984517E-2</v>
      </c>
      <c r="CC50" s="91">
        <f t="shared" si="70"/>
        <v>-9.9758162031438058E-3</v>
      </c>
      <c r="CE50" s="91">
        <f t="shared" si="36"/>
        <v>1.0813246226627493E-2</v>
      </c>
      <c r="CG50" s="91">
        <f t="shared" si="37"/>
        <v>-3.20699708454808E-3</v>
      </c>
      <c r="CI50" s="91">
        <f t="shared" si="69"/>
        <v>-4.1109969167523186E-2</v>
      </c>
      <c r="CK50" s="91">
        <f t="shared" si="70"/>
        <v>2.8065893837705858E-2</v>
      </c>
      <c r="CM50" s="91">
        <f t="shared" si="40"/>
        <v>-1.5430562468889963E-2</v>
      </c>
      <c r="CO50" s="91">
        <f t="shared" si="41"/>
        <v>-1.2003693444136765E-2</v>
      </c>
      <c r="CQ50" s="91">
        <f t="shared" si="69"/>
        <v>-3.6585365853658458E-2</v>
      </c>
      <c r="CS50" s="91">
        <f t="shared" si="70"/>
        <v>-6.9300828596863706E-2</v>
      </c>
      <c r="CU50" s="91">
        <f t="shared" si="44"/>
        <v>0.2953586497890297</v>
      </c>
      <c r="CW50" s="91">
        <f t="shared" si="45"/>
        <v>-5.1818181818181874E-2</v>
      </c>
      <c r="CY50" s="91">
        <f t="shared" si="69"/>
        <v>6.2240663900414717E-3</v>
      </c>
      <c r="DA50" s="91">
        <f t="shared" si="70"/>
        <v>6.2026188835286877E-3</v>
      </c>
      <c r="DC50" s="91">
        <f t="shared" si="48"/>
        <v>-1.9300211679740942E-2</v>
      </c>
      <c r="DE50" s="91">
        <f t="shared" si="49"/>
        <v>-3.223495702005863E-3</v>
      </c>
      <c r="DG50" s="91">
        <f t="shared" si="69"/>
        <v>-9.7244732576984294E-3</v>
      </c>
      <c r="DI50" s="91">
        <f t="shared" si="70"/>
        <v>-1.1111111111111072E-2</v>
      </c>
      <c r="DK50" s="91">
        <f t="shared" si="52"/>
        <v>8.0221723931421796E-3</v>
      </c>
      <c r="DM50" s="91">
        <f t="shared" si="53"/>
        <v>-7.9997961835367448E-3</v>
      </c>
      <c r="DO50" s="91">
        <f t="shared" si="69"/>
        <v>2.6287553648068673E-2</v>
      </c>
      <c r="DQ50" s="91">
        <f t="shared" si="70"/>
        <v>3.9968913067614187E-2</v>
      </c>
      <c r="DS50" s="91">
        <f t="shared" si="56"/>
        <v>-5.1063829787234005E-2</v>
      </c>
      <c r="DU50" s="91">
        <f t="shared" si="57"/>
        <v>-1.3255782496956581E-2</v>
      </c>
      <c r="DW50" s="91">
        <f t="shared" si="69"/>
        <v>-1.5930485155684293E-2</v>
      </c>
      <c r="DY50" s="91">
        <f t="shared" si="70"/>
        <v>-2.3304654156222626E-2</v>
      </c>
      <c r="EA50" s="91">
        <f t="shared" si="60"/>
        <v>0.19817391304347809</v>
      </c>
      <c r="EC50" s="91">
        <f t="shared" si="61"/>
        <v>-5.4466230936819127E-2</v>
      </c>
      <c r="EE50" s="91">
        <f t="shared" si="69"/>
        <v>1.070336391437321E-2</v>
      </c>
      <c r="EG50" s="91">
        <f t="shared" si="70"/>
        <v>2.3164212698114861E-2</v>
      </c>
    </row>
    <row r="52" spans="1:137">
      <c r="A52" s="89" t="s">
        <v>1798</v>
      </c>
      <c r="B52" t="s">
        <v>1777</v>
      </c>
      <c r="C52" t="s">
        <v>1777</v>
      </c>
      <c r="D52" t="s">
        <v>1964</v>
      </c>
      <c r="E52" t="s">
        <v>1964</v>
      </c>
      <c r="F52" t="s">
        <v>1970</v>
      </c>
      <c r="G52" t="s">
        <v>1970</v>
      </c>
      <c r="H52" t="s">
        <v>1778</v>
      </c>
      <c r="I52" t="s">
        <v>1778</v>
      </c>
      <c r="J52" t="s">
        <v>1953</v>
      </c>
      <c r="K52" t="s">
        <v>1953</v>
      </c>
      <c r="L52" t="s">
        <v>1938</v>
      </c>
      <c r="M52" t="s">
        <v>1938</v>
      </c>
      <c r="N52" t="s">
        <v>1973</v>
      </c>
      <c r="O52" t="s">
        <v>1973</v>
      </c>
      <c r="P52" t="s">
        <v>1783</v>
      </c>
      <c r="Q52" t="s">
        <v>1783</v>
      </c>
      <c r="R52" t="s">
        <v>1956</v>
      </c>
      <c r="S52" t="s">
        <v>1956</v>
      </c>
      <c r="T52" t="s">
        <v>1934</v>
      </c>
      <c r="U52" t="s">
        <v>1934</v>
      </c>
      <c r="V52" t="s">
        <v>1942</v>
      </c>
      <c r="W52" t="s">
        <v>1942</v>
      </c>
      <c r="X52" t="s">
        <v>1937</v>
      </c>
      <c r="Y52" t="s">
        <v>1937</v>
      </c>
      <c r="Z52" t="s">
        <v>1787</v>
      </c>
      <c r="AA52" t="s">
        <v>1787</v>
      </c>
      <c r="AB52" t="s">
        <v>1967</v>
      </c>
      <c r="AC52" t="s">
        <v>1967</v>
      </c>
      <c r="AD52" t="s">
        <v>1960</v>
      </c>
      <c r="AE52" t="s">
        <v>1960</v>
      </c>
      <c r="AF52" t="s">
        <v>1965</v>
      </c>
      <c r="AG52" t="s">
        <v>1965</v>
      </c>
      <c r="AH52" t="s">
        <v>1961</v>
      </c>
      <c r="AI52" t="s">
        <v>1961</v>
      </c>
      <c r="AJ52" t="s">
        <v>1931</v>
      </c>
      <c r="AK52" t="s">
        <v>1931</v>
      </c>
      <c r="AL52" t="s">
        <v>1924</v>
      </c>
      <c r="AM52" t="s">
        <v>1924</v>
      </c>
      <c r="AN52" t="s">
        <v>1780</v>
      </c>
      <c r="AO52" t="s">
        <v>1780</v>
      </c>
      <c r="AP52" t="s">
        <v>1969</v>
      </c>
      <c r="AQ52" t="s">
        <v>1969</v>
      </c>
      <c r="AR52" t="s">
        <v>1929</v>
      </c>
      <c r="AS52" t="s">
        <v>1929</v>
      </c>
      <c r="AT52" t="s">
        <v>1921</v>
      </c>
      <c r="AU52" t="s">
        <v>1921</v>
      </c>
      <c r="AV52" t="s">
        <v>1959</v>
      </c>
      <c r="AW52" t="s">
        <v>1959</v>
      </c>
      <c r="AX52" t="s">
        <v>1933</v>
      </c>
      <c r="AY52" t="s">
        <v>1933</v>
      </c>
      <c r="AZ52" t="s">
        <v>1939</v>
      </c>
      <c r="BA52" t="s">
        <v>1939</v>
      </c>
      <c r="BB52" t="s">
        <v>1927</v>
      </c>
      <c r="BC52" t="s">
        <v>1927</v>
      </c>
      <c r="BD52" t="s">
        <v>1958</v>
      </c>
      <c r="BE52" t="s">
        <v>1958</v>
      </c>
      <c r="BF52" t="s">
        <v>1955</v>
      </c>
      <c r="BG52" t="s">
        <v>1955</v>
      </c>
      <c r="BH52" t="s">
        <v>1935</v>
      </c>
      <c r="BI52" t="s">
        <v>1935</v>
      </c>
      <c r="BJ52" t="s">
        <v>1932</v>
      </c>
      <c r="BK52" t="s">
        <v>1932</v>
      </c>
      <c r="BL52" t="s">
        <v>1811</v>
      </c>
      <c r="BM52" t="s">
        <v>1811</v>
      </c>
      <c r="BN52" t="s">
        <v>1949</v>
      </c>
      <c r="BO52" t="s">
        <v>1949</v>
      </c>
      <c r="BP52" t="s">
        <v>1779</v>
      </c>
      <c r="BQ52" t="s">
        <v>1779</v>
      </c>
      <c r="BR52" t="s">
        <v>1928</v>
      </c>
      <c r="BS52" t="s">
        <v>1928</v>
      </c>
      <c r="BT52" t="s">
        <v>1782</v>
      </c>
      <c r="BU52" t="s">
        <v>1782</v>
      </c>
      <c r="BV52" t="s">
        <v>1797</v>
      </c>
      <c r="BW52" t="s">
        <v>1797</v>
      </c>
      <c r="BX52" t="s">
        <v>1950</v>
      </c>
      <c r="BY52" t="s">
        <v>1950</v>
      </c>
      <c r="BZ52" t="s">
        <v>1971</v>
      </c>
      <c r="CA52" t="s">
        <v>1971</v>
      </c>
      <c r="CB52" t="s">
        <v>1774</v>
      </c>
      <c r="CC52" t="s">
        <v>1774</v>
      </c>
      <c r="CD52" t="s">
        <v>1789</v>
      </c>
      <c r="CE52" t="s">
        <v>1789</v>
      </c>
      <c r="CF52" t="s">
        <v>1786</v>
      </c>
      <c r="CG52" t="s">
        <v>1786</v>
      </c>
      <c r="CH52" t="s">
        <v>1952</v>
      </c>
      <c r="CI52" t="s">
        <v>1952</v>
      </c>
      <c r="CJ52" t="s">
        <v>1972</v>
      </c>
      <c r="CK52" t="s">
        <v>1972</v>
      </c>
      <c r="CL52" t="s">
        <v>1968</v>
      </c>
      <c r="CM52" t="s">
        <v>1968</v>
      </c>
      <c r="CN52" t="s">
        <v>1951</v>
      </c>
      <c r="CO52" t="s">
        <v>1951</v>
      </c>
      <c r="CP52" t="s">
        <v>1925</v>
      </c>
      <c r="CQ52" t="s">
        <v>1925</v>
      </c>
      <c r="CR52" t="s">
        <v>1781</v>
      </c>
      <c r="CS52" t="s">
        <v>1781</v>
      </c>
      <c r="CT52" t="s">
        <v>1945</v>
      </c>
      <c r="CU52" t="s">
        <v>1945</v>
      </c>
      <c r="CV52" t="s">
        <v>1930</v>
      </c>
      <c r="CW52" t="s">
        <v>1930</v>
      </c>
      <c r="CX52" t="s">
        <v>1963</v>
      </c>
      <c r="CY52" t="s">
        <v>1963</v>
      </c>
      <c r="CZ52" t="s">
        <v>1923</v>
      </c>
      <c r="DA52" t="s">
        <v>1923</v>
      </c>
      <c r="DB52" t="s">
        <v>1785</v>
      </c>
      <c r="DC52" t="s">
        <v>1785</v>
      </c>
      <c r="DD52" t="s">
        <v>1944</v>
      </c>
      <c r="DE52" t="s">
        <v>1944</v>
      </c>
      <c r="DF52" t="s">
        <v>1796</v>
      </c>
      <c r="DG52" t="s">
        <v>1796</v>
      </c>
      <c r="DH52" t="s">
        <v>1790</v>
      </c>
      <c r="DI52" t="s">
        <v>1790</v>
      </c>
      <c r="DJ52" t="s">
        <v>1775</v>
      </c>
      <c r="DK52" t="s">
        <v>1775</v>
      </c>
      <c r="DL52" t="s">
        <v>1776</v>
      </c>
      <c r="DM52" t="s">
        <v>1776</v>
      </c>
      <c r="DN52" t="s">
        <v>1936</v>
      </c>
      <c r="DO52" t="s">
        <v>1936</v>
      </c>
      <c r="DP52" t="s">
        <v>1791</v>
      </c>
      <c r="DQ52" t="s">
        <v>1791</v>
      </c>
      <c r="DR52" t="s">
        <v>1957</v>
      </c>
      <c r="DS52" t="s">
        <v>1957</v>
      </c>
      <c r="DT52" t="s">
        <v>1784</v>
      </c>
      <c r="DU52" t="s">
        <v>1784</v>
      </c>
      <c r="DV52" t="s">
        <v>1962</v>
      </c>
      <c r="DW52" t="s">
        <v>1962</v>
      </c>
      <c r="DX52" t="s">
        <v>1795</v>
      </c>
      <c r="DY52" t="s">
        <v>1795</v>
      </c>
      <c r="DZ52" t="s">
        <v>1954</v>
      </c>
      <c r="EA52" t="s">
        <v>1954</v>
      </c>
      <c r="EB52" t="s">
        <v>1946</v>
      </c>
      <c r="EC52" t="s">
        <v>1946</v>
      </c>
      <c r="ED52" t="s">
        <v>1966</v>
      </c>
      <c r="EE52" t="s">
        <v>1966</v>
      </c>
      <c r="EF52" t="s">
        <v>1926</v>
      </c>
      <c r="EG52" t="s">
        <v>1926</v>
      </c>
    </row>
    <row r="53" spans="1:137">
      <c r="A53" s="89" t="s">
        <v>1917</v>
      </c>
      <c r="B53">
        <v>0</v>
      </c>
      <c r="D53">
        <v>0</v>
      </c>
      <c r="F53">
        <v>-1</v>
      </c>
      <c r="H53">
        <v>0.1</v>
      </c>
      <c r="J53">
        <v>0.33333333300000001</v>
      </c>
      <c r="L53">
        <v>1</v>
      </c>
      <c r="N53">
        <v>-1</v>
      </c>
      <c r="P53">
        <v>0</v>
      </c>
      <c r="R53">
        <v>0</v>
      </c>
      <c r="T53">
        <v>1</v>
      </c>
      <c r="V53">
        <v>1</v>
      </c>
      <c r="X53">
        <v>1</v>
      </c>
      <c r="Z53">
        <v>-1</v>
      </c>
      <c r="AB53">
        <v>0</v>
      </c>
      <c r="AD53">
        <v>0</v>
      </c>
      <c r="AF53">
        <v>0</v>
      </c>
      <c r="AH53">
        <v>0</v>
      </c>
      <c r="AJ53">
        <v>1</v>
      </c>
      <c r="AL53">
        <v>1</v>
      </c>
      <c r="AN53">
        <v>7.6923077000000006E-2</v>
      </c>
      <c r="AP53">
        <v>-0.5</v>
      </c>
      <c r="AR53">
        <v>1</v>
      </c>
      <c r="AT53">
        <v>1</v>
      </c>
      <c r="AV53">
        <v>0</v>
      </c>
      <c r="AX53">
        <v>1</v>
      </c>
      <c r="AZ53">
        <v>1</v>
      </c>
      <c r="BB53">
        <v>1</v>
      </c>
      <c r="BD53">
        <v>0</v>
      </c>
      <c r="BF53">
        <v>0</v>
      </c>
      <c r="BH53">
        <v>1</v>
      </c>
      <c r="BJ53">
        <v>1</v>
      </c>
      <c r="BL53">
        <v>0.66666666699999999</v>
      </c>
      <c r="BN53">
        <v>0.33333333300000001</v>
      </c>
      <c r="BP53">
        <v>0.21739130400000001</v>
      </c>
      <c r="BR53">
        <v>1</v>
      </c>
      <c r="BT53">
        <v>0.31818181800000001</v>
      </c>
      <c r="BV53">
        <v>0</v>
      </c>
      <c r="BX53">
        <v>0.14285714299999999</v>
      </c>
      <c r="BZ53">
        <v>-1</v>
      </c>
      <c r="CB53">
        <v>0.111111111</v>
      </c>
      <c r="CD53">
        <v>-0.5</v>
      </c>
      <c r="CF53">
        <v>0.5</v>
      </c>
      <c r="CH53">
        <v>0.2</v>
      </c>
      <c r="CJ53">
        <v>-1</v>
      </c>
      <c r="CL53">
        <v>-0.5</v>
      </c>
      <c r="CN53">
        <v>0.5</v>
      </c>
      <c r="CP53">
        <v>1</v>
      </c>
      <c r="CR53">
        <v>0.5</v>
      </c>
      <c r="CT53">
        <v>0.5</v>
      </c>
      <c r="CV53">
        <v>1</v>
      </c>
      <c r="CX53">
        <v>0</v>
      </c>
      <c r="CZ53">
        <v>1</v>
      </c>
      <c r="DB53">
        <v>0.33333333300000001</v>
      </c>
      <c r="DD53">
        <v>0.33333333300000001</v>
      </c>
      <c r="DF53">
        <v>-0.25</v>
      </c>
      <c r="DH53">
        <v>0</v>
      </c>
      <c r="DJ53">
        <v>-0.30769230800000003</v>
      </c>
      <c r="DL53">
        <v>-0.77777777800000003</v>
      </c>
      <c r="DN53">
        <v>1</v>
      </c>
      <c r="DP53">
        <v>-1</v>
      </c>
      <c r="DR53">
        <v>0</v>
      </c>
      <c r="DT53">
        <v>-1</v>
      </c>
      <c r="DV53">
        <v>0</v>
      </c>
      <c r="DX53">
        <v>0.428571429</v>
      </c>
      <c r="DZ53">
        <v>-9.0909090999999997E-2</v>
      </c>
      <c r="EB53">
        <v>0.5</v>
      </c>
      <c r="ED53">
        <v>-0.33333333300000001</v>
      </c>
      <c r="EF53">
        <v>1</v>
      </c>
    </row>
    <row r="54" spans="1:137">
      <c r="A54" s="89" t="s">
        <v>1918</v>
      </c>
      <c r="B54">
        <v>168</v>
      </c>
      <c r="D54">
        <v>2</v>
      </c>
      <c r="F54">
        <v>276</v>
      </c>
      <c r="H54">
        <v>1777</v>
      </c>
      <c r="J54">
        <v>23</v>
      </c>
      <c r="L54">
        <v>2</v>
      </c>
      <c r="N54">
        <v>19</v>
      </c>
      <c r="P54">
        <v>520</v>
      </c>
      <c r="R54">
        <v>61</v>
      </c>
      <c r="T54">
        <v>9</v>
      </c>
      <c r="V54">
        <v>1</v>
      </c>
      <c r="X54">
        <v>3</v>
      </c>
      <c r="Z54">
        <v>11686</v>
      </c>
      <c r="AB54">
        <v>0</v>
      </c>
      <c r="AD54">
        <v>4</v>
      </c>
      <c r="AF54">
        <v>1</v>
      </c>
      <c r="AH54">
        <v>4</v>
      </c>
      <c r="AJ54">
        <v>37</v>
      </c>
      <c r="AL54">
        <v>196</v>
      </c>
      <c r="AN54">
        <v>3076</v>
      </c>
      <c r="AP54">
        <v>11</v>
      </c>
      <c r="AR54">
        <v>41</v>
      </c>
      <c r="AT54">
        <v>2589</v>
      </c>
      <c r="AV54">
        <v>7</v>
      </c>
      <c r="AX54">
        <v>11</v>
      </c>
      <c r="AZ54">
        <v>2</v>
      </c>
      <c r="BB54">
        <v>68</v>
      </c>
      <c r="BD54">
        <v>8</v>
      </c>
      <c r="BF54">
        <v>74</v>
      </c>
      <c r="BH54">
        <v>5</v>
      </c>
      <c r="BJ54">
        <v>15</v>
      </c>
      <c r="BL54">
        <v>120</v>
      </c>
      <c r="BN54">
        <v>90</v>
      </c>
      <c r="BP54">
        <v>15358</v>
      </c>
      <c r="BR54">
        <v>65</v>
      </c>
      <c r="BT54">
        <v>10002</v>
      </c>
      <c r="BV54">
        <v>4979</v>
      </c>
      <c r="BX54">
        <v>600</v>
      </c>
      <c r="BZ54">
        <v>49</v>
      </c>
      <c r="CB54">
        <v>1062</v>
      </c>
      <c r="CD54">
        <v>1023</v>
      </c>
      <c r="CF54">
        <v>48</v>
      </c>
      <c r="CH54">
        <v>123</v>
      </c>
      <c r="CJ54">
        <v>37</v>
      </c>
      <c r="CL54">
        <v>18</v>
      </c>
      <c r="CN54">
        <v>7</v>
      </c>
      <c r="CP54">
        <v>150</v>
      </c>
      <c r="CR54">
        <v>2370</v>
      </c>
      <c r="CT54">
        <v>76</v>
      </c>
      <c r="CV54">
        <v>39</v>
      </c>
      <c r="CX54">
        <v>3</v>
      </c>
      <c r="CZ54">
        <v>209</v>
      </c>
      <c r="DB54">
        <v>117</v>
      </c>
      <c r="DD54">
        <v>1232</v>
      </c>
      <c r="DF54">
        <v>44</v>
      </c>
      <c r="DH54">
        <v>561</v>
      </c>
      <c r="DJ54">
        <v>5961</v>
      </c>
      <c r="DL54">
        <v>1258</v>
      </c>
      <c r="DN54">
        <v>5</v>
      </c>
      <c r="DP54">
        <v>7206</v>
      </c>
      <c r="DR54">
        <v>10</v>
      </c>
      <c r="DT54">
        <v>47</v>
      </c>
      <c r="DV54">
        <v>3</v>
      </c>
      <c r="DX54">
        <v>267</v>
      </c>
      <c r="DZ54">
        <v>469</v>
      </c>
      <c r="EB54">
        <v>31</v>
      </c>
      <c r="ED54">
        <v>64</v>
      </c>
      <c r="EF54">
        <v>133</v>
      </c>
    </row>
    <row r="55" spans="1:137">
      <c r="A55" s="89" t="s">
        <v>1919</v>
      </c>
      <c r="B55">
        <v>2.2278867000000001E-2</v>
      </c>
      <c r="D55">
        <v>4.7712129999999998E-3</v>
      </c>
      <c r="F55">
        <v>-2.5575201999999998E-2</v>
      </c>
      <c r="H55">
        <v>3.7499317999999997E-2</v>
      </c>
      <c r="J55">
        <v>3.0468779000000001E-2</v>
      </c>
      <c r="L55">
        <v>5.4771212999999999E-2</v>
      </c>
      <c r="N55">
        <v>-3.69897E-2</v>
      </c>
      <c r="P55">
        <v>2.7168377E-2</v>
      </c>
      <c r="R55">
        <v>1.7923917000000001E-2</v>
      </c>
      <c r="T55">
        <v>0.06</v>
      </c>
      <c r="V55">
        <v>5.3010300000000003E-2</v>
      </c>
      <c r="X55">
        <v>5.6020599999999997E-2</v>
      </c>
      <c r="Z55">
        <v>-9.3229699999999999E-3</v>
      </c>
      <c r="AB55">
        <v>0</v>
      </c>
      <c r="AD55">
        <v>6.9896999999999997E-3</v>
      </c>
      <c r="AF55">
        <v>3.0103E-3</v>
      </c>
      <c r="AH55">
        <v>6.9896999999999997E-3</v>
      </c>
      <c r="AJ55">
        <v>6.5797835999999998E-2</v>
      </c>
      <c r="AL55">
        <v>7.2944661999999993E-2</v>
      </c>
      <c r="AN55">
        <v>3.8727429000000001E-2</v>
      </c>
      <c r="AP55">
        <v>-1.4208188E-2</v>
      </c>
      <c r="AR55">
        <v>6.6232493000000003E-2</v>
      </c>
      <c r="AT55">
        <v>8.4132998000000001E-2</v>
      </c>
      <c r="AV55">
        <v>9.0308999999999997E-3</v>
      </c>
      <c r="AX55">
        <v>6.0791812000000001E-2</v>
      </c>
      <c r="AZ55">
        <v>5.4771212999999999E-2</v>
      </c>
      <c r="BB55">
        <v>6.8388490999999996E-2</v>
      </c>
      <c r="BD55">
        <v>9.5424250000000002E-3</v>
      </c>
      <c r="BF55">
        <v>1.8750612999999999E-2</v>
      </c>
      <c r="BH55">
        <v>5.7781513E-2</v>
      </c>
      <c r="BJ55">
        <v>6.2041199999999998E-2</v>
      </c>
      <c r="BL55">
        <v>5.4161187E-2</v>
      </c>
      <c r="BN55">
        <v>3.6257080999999997E-2</v>
      </c>
      <c r="BP55">
        <v>5.2733194999999997E-2</v>
      </c>
      <c r="BR55">
        <v>6.8195438999999997E-2</v>
      </c>
      <c r="BT55">
        <v>5.5910394000000002E-2</v>
      </c>
      <c r="BV55">
        <v>3.6972293000000003E-2</v>
      </c>
      <c r="BX55">
        <v>3.4931601999999999E-2</v>
      </c>
      <c r="BZ55">
        <v>-3.3010299999999999E-2</v>
      </c>
      <c r="CB55">
        <v>3.5820888000000002E-2</v>
      </c>
      <c r="CD55">
        <v>5.1029999999999999E-3</v>
      </c>
      <c r="CF55">
        <v>4.1901961000000001E-2</v>
      </c>
      <c r="CH55">
        <v>3.0934217E-2</v>
      </c>
      <c r="CJ55">
        <v>-3.4202164E-2</v>
      </c>
      <c r="CL55">
        <v>-1.2212463999999999E-2</v>
      </c>
      <c r="CN55">
        <v>3.4030900000000003E-2</v>
      </c>
      <c r="CP55">
        <v>7.1789769000000003E-2</v>
      </c>
      <c r="CR55">
        <v>5.8749316000000003E-2</v>
      </c>
      <c r="CT55">
        <v>4.3864907000000002E-2</v>
      </c>
      <c r="CV55">
        <v>6.6020599999999999E-2</v>
      </c>
      <c r="CX55">
        <v>6.0206000000000001E-3</v>
      </c>
      <c r="CZ55">
        <v>7.3222193000000005E-2</v>
      </c>
      <c r="DB55">
        <v>3.7385487000000002E-2</v>
      </c>
      <c r="DD55">
        <v>4.7576296999999997E-2</v>
      </c>
      <c r="DF55">
        <v>4.0321250000000001E-3</v>
      </c>
      <c r="DH55">
        <v>2.7497363E-2</v>
      </c>
      <c r="DJ55">
        <v>2.2369304E-2</v>
      </c>
      <c r="DL55">
        <v>-7.8886319999999996E-3</v>
      </c>
      <c r="DN55">
        <v>5.7781513E-2</v>
      </c>
      <c r="DP55">
        <v>-1.1422455E-2</v>
      </c>
      <c r="DR55">
        <v>1.0413927E-2</v>
      </c>
      <c r="DT55">
        <v>-3.3187587999999997E-2</v>
      </c>
      <c r="DV55">
        <v>6.0206000000000001E-3</v>
      </c>
      <c r="DX55">
        <v>4.5709919000000002E-2</v>
      </c>
      <c r="DZ55">
        <v>2.2175523999999999E-2</v>
      </c>
      <c r="EB55">
        <v>4.0051499999999997E-2</v>
      </c>
      <c r="ED55">
        <v>1.4624670000000001E-3</v>
      </c>
      <c r="EF55">
        <v>7.1271048000000004E-2</v>
      </c>
    </row>
    <row r="56" spans="1:137">
      <c r="A56" s="92" t="s">
        <v>1978</v>
      </c>
      <c r="B56">
        <f>RANK(B55,$B$55:$EG$55)</f>
        <v>42</v>
      </c>
      <c r="D56">
        <f>RANK(D55,$B$55:$EG$55)</f>
        <v>54</v>
      </c>
      <c r="F56">
        <f>RANK(F55,$B$55:$EG$55)</f>
        <v>64</v>
      </c>
      <c r="H56">
        <f>RANK(H55,$B$55:$EG$55)</f>
        <v>30</v>
      </c>
      <c r="J56">
        <f>RANK(J55,$B$55:$EG$55)</f>
        <v>38</v>
      </c>
      <c r="L56">
        <f>RANK(L55,$B$55:$EG$55)</f>
        <v>19</v>
      </c>
      <c r="N56">
        <f>RANK(N55,$B$55:$EG$55)</f>
        <v>68</v>
      </c>
      <c r="P56">
        <f>RANK(P55,$B$55:$EG$55)</f>
        <v>40</v>
      </c>
      <c r="R56">
        <f>RANK(R55,$B$55:$EG$55)</f>
        <v>45</v>
      </c>
      <c r="T56">
        <f>RANK(T55,$B$55:$EG$55)</f>
        <v>13</v>
      </c>
      <c r="V56">
        <f>RANK(V55,$B$55:$EG$55)</f>
        <v>22</v>
      </c>
      <c r="X56">
        <f>RANK(X55,$B$55:$EG$55)</f>
        <v>17</v>
      </c>
      <c r="Z56">
        <f>RANK(Z55,$B$55:$EG$55)</f>
        <v>60</v>
      </c>
      <c r="AB56">
        <f>RANK(AB55,$B$55:$EG$55)</f>
        <v>58</v>
      </c>
      <c r="AD56">
        <f>RANK(AD55,$B$55:$EG$55)</f>
        <v>49</v>
      </c>
      <c r="AF56">
        <f>RANK(AF55,$B$55:$EG$55)</f>
        <v>56</v>
      </c>
      <c r="AH56">
        <f>RANK(AH55,$B$55:$EG$55)</f>
        <v>49</v>
      </c>
      <c r="AJ56">
        <f>RANK(AJ55,$B$55:$EG$55)</f>
        <v>10</v>
      </c>
      <c r="AL56">
        <f>RANK(AL55,$B$55:$EG$55)</f>
        <v>3</v>
      </c>
      <c r="AN56">
        <f>RANK(AN55,$B$55:$EG$55)</f>
        <v>29</v>
      </c>
      <c r="AP56">
        <f>RANK(AP55,$B$55:$EG$55)</f>
        <v>63</v>
      </c>
      <c r="AR56">
        <f>RANK(AR55,$B$55:$EG$55)</f>
        <v>8</v>
      </c>
      <c r="AT56">
        <f>RANK(AT55,$B$55:$EG$55)</f>
        <v>1</v>
      </c>
      <c r="AV56">
        <f>RANK(AV55,$B$55:$EG$55)</f>
        <v>48</v>
      </c>
      <c r="AX56">
        <f>RANK(AX55,$B$55:$EG$55)</f>
        <v>12</v>
      </c>
      <c r="AZ56">
        <f>RANK(AZ55,$B$55:$EG$55)</f>
        <v>19</v>
      </c>
      <c r="BB56">
        <f>RANK(BB55,$B$55:$EG$55)</f>
        <v>6</v>
      </c>
      <c r="BD56">
        <f>RANK(BD55,$B$55:$EG$55)</f>
        <v>47</v>
      </c>
      <c r="BF56">
        <f>RANK(BF55,$B$55:$EG$55)</f>
        <v>44</v>
      </c>
      <c r="BH56">
        <f>RANK(BH55,$B$55:$EG$55)</f>
        <v>15</v>
      </c>
      <c r="BJ56">
        <f>RANK(BJ55,$B$55:$EG$55)</f>
        <v>11</v>
      </c>
      <c r="BL56">
        <f>RANK(BL55,$B$55:$EG$55)</f>
        <v>21</v>
      </c>
      <c r="BN56">
        <f>RANK(BN55,$B$55:$EG$55)</f>
        <v>33</v>
      </c>
      <c r="BP56">
        <f>RANK(BP55,$B$55:$EG$55)</f>
        <v>23</v>
      </c>
      <c r="BR56">
        <f>RANK(BR55,$B$55:$EG$55)</f>
        <v>7</v>
      </c>
      <c r="BT56">
        <f>RANK(BT55,$B$55:$EG$55)</f>
        <v>18</v>
      </c>
      <c r="BV56">
        <f>RANK(BV55,$B$55:$EG$55)</f>
        <v>32</v>
      </c>
      <c r="BX56">
        <f>RANK(BX55,$B$55:$EG$55)</f>
        <v>35</v>
      </c>
      <c r="BZ56">
        <f>RANK(BZ55,$B$55:$EG$55)</f>
        <v>65</v>
      </c>
      <c r="CB56">
        <f>RANK(CB55,$B$55:$EG$55)</f>
        <v>34</v>
      </c>
      <c r="CD56">
        <f>RANK(CD55,$B$55:$EG$55)</f>
        <v>53</v>
      </c>
      <c r="CF56">
        <f>RANK(CF55,$B$55:$EG$55)</f>
        <v>27</v>
      </c>
      <c r="CH56">
        <f>RANK(CH55,$B$55:$EG$55)</f>
        <v>37</v>
      </c>
      <c r="CJ56">
        <f>RANK(CJ55,$B$55:$EG$55)</f>
        <v>67</v>
      </c>
      <c r="CL56">
        <f>RANK(CL55,$B$55:$EG$55)</f>
        <v>62</v>
      </c>
      <c r="CN56">
        <f>RANK(CN55,$B$55:$EG$55)</f>
        <v>36</v>
      </c>
      <c r="CP56">
        <f>RANK(CP55,$B$55:$EG$55)</f>
        <v>4</v>
      </c>
      <c r="CR56">
        <f>RANK(CR55,$B$55:$EG$55)</f>
        <v>14</v>
      </c>
      <c r="CT56">
        <f>RANK(CT55,$B$55:$EG$55)</f>
        <v>26</v>
      </c>
      <c r="CV56">
        <f>RANK(CV55,$B$55:$EG$55)</f>
        <v>9</v>
      </c>
      <c r="CX56">
        <f>RANK(CX55,$B$55:$EG$55)</f>
        <v>51</v>
      </c>
      <c r="CZ56">
        <f>RANK(CZ55,$B$55:$EG$55)</f>
        <v>2</v>
      </c>
      <c r="DB56">
        <f>RANK(DB55,$B$55:$EG$55)</f>
        <v>31</v>
      </c>
      <c r="DD56">
        <f>RANK(DD55,$B$55:$EG$55)</f>
        <v>24</v>
      </c>
      <c r="DF56">
        <f>RANK(DF55,$B$55:$EG$55)</f>
        <v>55</v>
      </c>
      <c r="DH56">
        <f>RANK(DH55,$B$55:$EG$55)</f>
        <v>39</v>
      </c>
      <c r="DJ56">
        <f>RANK(DJ55,$B$55:$EG$55)</f>
        <v>41</v>
      </c>
      <c r="DL56">
        <f>RANK(DL55,$B$55:$EG$55)</f>
        <v>59</v>
      </c>
      <c r="DN56">
        <f>RANK(DN55,$B$55:$EG$55)</f>
        <v>15</v>
      </c>
      <c r="DP56">
        <f>RANK(DP55,$B$55:$EG$55)</f>
        <v>61</v>
      </c>
      <c r="DR56">
        <f>RANK(DR55,$B$55:$EG$55)</f>
        <v>46</v>
      </c>
      <c r="DT56">
        <f>RANK(DT55,$B$55:$EG$55)</f>
        <v>66</v>
      </c>
      <c r="DV56">
        <f>RANK(DV55,$B$55:$EG$55)</f>
        <v>51</v>
      </c>
      <c r="DX56">
        <f>RANK(DX55,$B$55:$EG$55)</f>
        <v>25</v>
      </c>
      <c r="DZ56">
        <f>RANK(DZ55,$B$55:$EG$55)</f>
        <v>43</v>
      </c>
      <c r="EB56">
        <f>RANK(EB55,$B$55:$EG$55)</f>
        <v>28</v>
      </c>
      <c r="ED56">
        <f>RANK(ED55,$B$55:$EG$55)</f>
        <v>57</v>
      </c>
      <c r="EF56">
        <f>RANK(EF55,$B$55:$EG$55)</f>
        <v>5</v>
      </c>
    </row>
    <row r="57" spans="1:137">
      <c r="A57" s="92" t="s">
        <v>1979</v>
      </c>
      <c r="C57">
        <f>IF(B56&lt;=10,1/10,0)</f>
        <v>0</v>
      </c>
      <c r="E57">
        <f t="shared" ref="E57" si="72">IF(D56&lt;=10,1/10,0)</f>
        <v>0</v>
      </c>
      <c r="G57">
        <f t="shared" ref="G57" si="73">IF(F56&lt;=10,1/10,0)</f>
        <v>0</v>
      </c>
      <c r="I57">
        <f t="shared" ref="I57" si="74">IF(H56&lt;=10,1/10,0)</f>
        <v>0</v>
      </c>
      <c r="K57">
        <f t="shared" ref="K57" si="75">IF(J56&lt;=10,1/10,0)</f>
        <v>0</v>
      </c>
      <c r="M57">
        <f t="shared" ref="M57" si="76">IF(L56&lt;=10,1/10,0)</f>
        <v>0</v>
      </c>
      <c r="O57">
        <f t="shared" ref="O57" si="77">IF(N56&lt;=10,1/10,0)</f>
        <v>0</v>
      </c>
      <c r="Q57">
        <f t="shared" ref="Q57" si="78">IF(P56&lt;=10,1/10,0)</f>
        <v>0</v>
      </c>
      <c r="S57">
        <f t="shared" ref="S57" si="79">IF(R56&lt;=10,1/10,0)</f>
        <v>0</v>
      </c>
      <c r="U57">
        <f t="shared" ref="U57" si="80">IF(T56&lt;=10,1/10,0)</f>
        <v>0</v>
      </c>
      <c r="W57">
        <f t="shared" ref="W57" si="81">IF(V56&lt;=10,1/10,0)</f>
        <v>0</v>
      </c>
      <c r="Y57">
        <f t="shared" ref="Y57" si="82">IF(X56&lt;=10,1/10,0)</f>
        <v>0</v>
      </c>
      <c r="AA57">
        <f t="shared" ref="AA57" si="83">IF(Z56&lt;=10,1/10,0)</f>
        <v>0</v>
      </c>
      <c r="AC57">
        <f t="shared" ref="AC57" si="84">IF(AB56&lt;=10,1/10,0)</f>
        <v>0</v>
      </c>
      <c r="AE57">
        <f t="shared" ref="AE57" si="85">IF(AD56&lt;=10,1/10,0)</f>
        <v>0</v>
      </c>
      <c r="AG57">
        <f t="shared" ref="AG57" si="86">IF(AF56&lt;=10,1/10,0)</f>
        <v>0</v>
      </c>
      <c r="AI57">
        <f t="shared" ref="AI57" si="87">IF(AH56&lt;=10,1/10,0)</f>
        <v>0</v>
      </c>
      <c r="AK57">
        <f t="shared" ref="AK57" si="88">IF(AJ56&lt;=10,1/10,0)</f>
        <v>0.1</v>
      </c>
      <c r="AM57">
        <f t="shared" ref="AM57" si="89">IF(AL56&lt;=10,1/10,0)</f>
        <v>0.1</v>
      </c>
      <c r="AO57">
        <f t="shared" ref="AO57" si="90">IF(AN56&lt;=10,1/10,0)</f>
        <v>0</v>
      </c>
      <c r="AQ57">
        <f t="shared" ref="AQ57" si="91">IF(AP56&lt;=10,1/10,0)</f>
        <v>0</v>
      </c>
      <c r="AS57">
        <f t="shared" ref="AS57" si="92">IF(AR56&lt;=10,1/10,0)</f>
        <v>0.1</v>
      </c>
      <c r="AU57">
        <f t="shared" ref="AU57" si="93">IF(AT56&lt;=10,1/10,0)</f>
        <v>0.1</v>
      </c>
      <c r="AW57">
        <f t="shared" ref="AW57" si="94">IF(AV56&lt;=10,1/10,0)</f>
        <v>0</v>
      </c>
      <c r="AY57">
        <f t="shared" ref="AY57" si="95">IF(AX56&lt;=10,1/10,0)</f>
        <v>0</v>
      </c>
      <c r="BA57">
        <f t="shared" ref="BA57" si="96">IF(AZ56&lt;=10,1/10,0)</f>
        <v>0</v>
      </c>
      <c r="BC57">
        <f t="shared" ref="BC57" si="97">IF(BB56&lt;=10,1/10,0)</f>
        <v>0.1</v>
      </c>
      <c r="BE57">
        <f t="shared" ref="BE57" si="98">IF(BD56&lt;=10,1/10,0)</f>
        <v>0</v>
      </c>
      <c r="BG57">
        <f t="shared" ref="BG57" si="99">IF(BF56&lt;=10,1/10,0)</f>
        <v>0</v>
      </c>
      <c r="BI57">
        <f t="shared" ref="BI57" si="100">IF(BH56&lt;=10,1/10,0)</f>
        <v>0</v>
      </c>
      <c r="BK57">
        <f t="shared" ref="BK57" si="101">IF(BJ56&lt;=10,1/10,0)</f>
        <v>0</v>
      </c>
      <c r="BM57">
        <f t="shared" ref="BM57" si="102">IF(BL56&lt;=10,1/10,0)</f>
        <v>0</v>
      </c>
      <c r="BO57">
        <f t="shared" ref="BO57" si="103">IF(BN56&lt;=10,1/10,0)</f>
        <v>0</v>
      </c>
      <c r="BQ57">
        <f t="shared" ref="BQ57" si="104">IF(BP56&lt;=10,1/10,0)</f>
        <v>0</v>
      </c>
      <c r="BS57">
        <f t="shared" ref="BS57" si="105">IF(BR56&lt;=10,1/10,0)</f>
        <v>0.1</v>
      </c>
      <c r="BU57">
        <f t="shared" ref="BU57" si="106">IF(BT56&lt;=10,1/10,0)</f>
        <v>0</v>
      </c>
      <c r="BW57">
        <f t="shared" ref="BW57" si="107">IF(BV56&lt;=10,1/10,0)</f>
        <v>0</v>
      </c>
      <c r="BY57">
        <f t="shared" ref="BY57" si="108">IF(BX56&lt;=10,1/10,0)</f>
        <v>0</v>
      </c>
      <c r="CA57">
        <f t="shared" ref="CA57" si="109">IF(BZ56&lt;=10,1/10,0)</f>
        <v>0</v>
      </c>
      <c r="CC57">
        <f t="shared" ref="CC57" si="110">IF(CB56&lt;=10,1/10,0)</f>
        <v>0</v>
      </c>
      <c r="CE57">
        <f t="shared" ref="CE57" si="111">IF(CD56&lt;=10,1/10,0)</f>
        <v>0</v>
      </c>
      <c r="CG57">
        <f t="shared" ref="CG57" si="112">IF(CF56&lt;=10,1/10,0)</f>
        <v>0</v>
      </c>
      <c r="CI57">
        <f t="shared" ref="CI57" si="113">IF(CH56&lt;=10,1/10,0)</f>
        <v>0</v>
      </c>
      <c r="CK57">
        <f t="shared" ref="CK57" si="114">IF(CJ56&lt;=10,1/10,0)</f>
        <v>0</v>
      </c>
      <c r="CM57">
        <f t="shared" ref="CM57" si="115">IF(CL56&lt;=10,1/10,0)</f>
        <v>0</v>
      </c>
      <c r="CO57">
        <f t="shared" ref="CO57" si="116">IF(CN56&lt;=10,1/10,0)</f>
        <v>0</v>
      </c>
      <c r="CQ57">
        <f t="shared" ref="CQ57" si="117">IF(CP56&lt;=10,1/10,0)</f>
        <v>0.1</v>
      </c>
      <c r="CS57">
        <f t="shared" ref="CS57" si="118">IF(CR56&lt;=10,1/10,0)</f>
        <v>0</v>
      </c>
      <c r="CU57">
        <f t="shared" ref="CU57" si="119">IF(CT56&lt;=10,1/10,0)</f>
        <v>0</v>
      </c>
      <c r="CW57">
        <f t="shared" ref="CW57" si="120">IF(CV56&lt;=10,1/10,0)</f>
        <v>0.1</v>
      </c>
      <c r="CY57">
        <f t="shared" ref="CY57" si="121">IF(CX56&lt;=10,1/10,0)</f>
        <v>0</v>
      </c>
      <c r="DA57">
        <f t="shared" ref="DA57" si="122">IF(CZ56&lt;=10,1/10,0)</f>
        <v>0.1</v>
      </c>
      <c r="DC57">
        <f t="shared" ref="DC57" si="123">IF(DB56&lt;=10,1/10,0)</f>
        <v>0</v>
      </c>
      <c r="DE57">
        <f t="shared" ref="DE57" si="124">IF(DD56&lt;=10,1/10,0)</f>
        <v>0</v>
      </c>
      <c r="DG57">
        <f t="shared" ref="DG57" si="125">IF(DF56&lt;=10,1/10,0)</f>
        <v>0</v>
      </c>
      <c r="DI57">
        <f t="shared" ref="DI57" si="126">IF(DH56&lt;=10,1/10,0)</f>
        <v>0</v>
      </c>
      <c r="DK57">
        <f t="shared" ref="DK57" si="127">IF(DJ56&lt;=10,1/10,0)</f>
        <v>0</v>
      </c>
      <c r="DM57">
        <f t="shared" ref="DM57" si="128">IF(DL56&lt;=10,1/10,0)</f>
        <v>0</v>
      </c>
      <c r="DO57">
        <f t="shared" ref="DO57" si="129">IF(DN56&lt;=10,1/10,0)</f>
        <v>0</v>
      </c>
      <c r="DQ57">
        <f t="shared" ref="DQ57" si="130">IF(DP56&lt;=10,1/10,0)</f>
        <v>0</v>
      </c>
      <c r="DS57">
        <f t="shared" ref="DS57" si="131">IF(DR56&lt;=10,1/10,0)</f>
        <v>0</v>
      </c>
      <c r="DU57">
        <f t="shared" ref="DU57" si="132">IF(DT56&lt;=10,1/10,0)</f>
        <v>0</v>
      </c>
      <c r="DW57">
        <f t="shared" ref="DW57" si="133">IF(DV56&lt;=10,1/10,0)</f>
        <v>0</v>
      </c>
      <c r="DY57">
        <f t="shared" ref="DY57" si="134">IF(DX56&lt;=10,1/10,0)</f>
        <v>0</v>
      </c>
      <c r="EA57">
        <f t="shared" ref="EA57" si="135">IF(DZ56&lt;=10,1/10,0)</f>
        <v>0</v>
      </c>
      <c r="EC57">
        <f t="shared" ref="EC57" si="136">IF(EB56&lt;=10,1/10,0)</f>
        <v>0</v>
      </c>
      <c r="EE57">
        <f t="shared" ref="EE57" si="137">IF(ED56&lt;=10,1/10,0)</f>
        <v>0</v>
      </c>
      <c r="EG57">
        <f t="shared" ref="EG57" si="138">IF(EF56&lt;=10,1/10,0)</f>
        <v>0.1</v>
      </c>
    </row>
    <row r="58" spans="1:137">
      <c r="A58" s="92" t="s">
        <v>1980</v>
      </c>
      <c r="C58">
        <f>IF(B56&gt;=58,1/10,0)</f>
        <v>0</v>
      </c>
      <c r="E58">
        <f t="shared" ref="E58" si="139">IF(D56&gt;=58,1/10,0)</f>
        <v>0</v>
      </c>
      <c r="G58">
        <f t="shared" ref="G58" si="140">IF(F56&gt;=58,1/10,0)</f>
        <v>0.1</v>
      </c>
      <c r="I58">
        <f t="shared" ref="I58" si="141">IF(H56&gt;=58,1/10,0)</f>
        <v>0</v>
      </c>
      <c r="K58">
        <f t="shared" ref="K58" si="142">IF(J56&gt;=58,1/10,0)</f>
        <v>0</v>
      </c>
      <c r="M58">
        <f t="shared" ref="M58" si="143">IF(L56&gt;=58,1/10,0)</f>
        <v>0</v>
      </c>
      <c r="O58">
        <f t="shared" ref="O58" si="144">IF(N56&gt;=58,1/10,0)</f>
        <v>0.1</v>
      </c>
      <c r="Q58">
        <f t="shared" ref="Q58" si="145">IF(P56&gt;=58,1/10,0)</f>
        <v>0</v>
      </c>
      <c r="S58">
        <f t="shared" ref="S58" si="146">IF(R56&gt;=58,1/10,0)</f>
        <v>0</v>
      </c>
      <c r="U58">
        <f t="shared" ref="U58" si="147">IF(T56&gt;=58,1/10,0)</f>
        <v>0</v>
      </c>
      <c r="W58">
        <f t="shared" ref="W58" si="148">IF(V56&gt;=58,1/10,0)</f>
        <v>0</v>
      </c>
      <c r="Y58">
        <f t="shared" ref="Y58" si="149">IF(X56&gt;=58,1/10,0)</f>
        <v>0</v>
      </c>
      <c r="AA58">
        <f t="shared" ref="AA58" si="150">IF(Z56&gt;=58,1/10,0)</f>
        <v>0.1</v>
      </c>
      <c r="AC58">
        <f t="shared" ref="AC58" si="151">IF(AB56&gt;=58,1/10,0)</f>
        <v>0.1</v>
      </c>
      <c r="AE58">
        <f t="shared" ref="AE58" si="152">IF(AD56&gt;=58,1/10,0)</f>
        <v>0</v>
      </c>
      <c r="AG58">
        <f t="shared" ref="AG58" si="153">IF(AF56&gt;=58,1/10,0)</f>
        <v>0</v>
      </c>
      <c r="AI58">
        <f t="shared" ref="AI58" si="154">IF(AH56&gt;=58,1/10,0)</f>
        <v>0</v>
      </c>
      <c r="AK58">
        <f t="shared" ref="AK58" si="155">IF(AJ56&gt;=58,1/10,0)</f>
        <v>0</v>
      </c>
      <c r="AM58">
        <f t="shared" ref="AM58" si="156">IF(AL56&gt;=58,1/10,0)</f>
        <v>0</v>
      </c>
      <c r="AO58">
        <f t="shared" ref="AO58" si="157">IF(AN56&gt;=58,1/10,0)</f>
        <v>0</v>
      </c>
      <c r="AQ58">
        <f t="shared" ref="AQ58" si="158">IF(AP56&gt;=58,1/10,0)</f>
        <v>0.1</v>
      </c>
      <c r="AS58">
        <f t="shared" ref="AS58" si="159">IF(AR56&gt;=58,1/10,0)</f>
        <v>0</v>
      </c>
      <c r="AU58">
        <f t="shared" ref="AU58" si="160">IF(AT56&gt;=58,1/10,0)</f>
        <v>0</v>
      </c>
      <c r="AW58">
        <f t="shared" ref="AW58" si="161">IF(AV56&gt;=58,1/10,0)</f>
        <v>0</v>
      </c>
      <c r="AY58">
        <f t="shared" ref="AY58" si="162">IF(AX56&gt;=58,1/10,0)</f>
        <v>0</v>
      </c>
      <c r="BA58">
        <f t="shared" ref="BA58" si="163">IF(AZ56&gt;=58,1/10,0)</f>
        <v>0</v>
      </c>
      <c r="BC58">
        <f t="shared" ref="BC58" si="164">IF(BB56&gt;=58,1/10,0)</f>
        <v>0</v>
      </c>
      <c r="BE58">
        <f t="shared" ref="BE58" si="165">IF(BD56&gt;=58,1/10,0)</f>
        <v>0</v>
      </c>
      <c r="BG58">
        <f t="shared" ref="BG58" si="166">IF(BF56&gt;=58,1/10,0)</f>
        <v>0</v>
      </c>
      <c r="BI58">
        <f t="shared" ref="BI58" si="167">IF(BH56&gt;=58,1/10,0)</f>
        <v>0</v>
      </c>
      <c r="BK58">
        <f t="shared" ref="BK58" si="168">IF(BJ56&gt;=58,1/10,0)</f>
        <v>0</v>
      </c>
      <c r="BM58">
        <f t="shared" ref="BM58" si="169">IF(BL56&gt;=58,1/10,0)</f>
        <v>0</v>
      </c>
      <c r="BO58">
        <f t="shared" ref="BO58" si="170">IF(BN56&gt;=58,1/10,0)</f>
        <v>0</v>
      </c>
      <c r="BQ58">
        <f t="shared" ref="BQ58" si="171">IF(BP56&gt;=58,1/10,0)</f>
        <v>0</v>
      </c>
      <c r="BS58">
        <f t="shared" ref="BS58" si="172">IF(BR56&gt;=58,1/10,0)</f>
        <v>0</v>
      </c>
      <c r="BU58">
        <f t="shared" ref="BU58" si="173">IF(BT56&gt;=58,1/10,0)</f>
        <v>0</v>
      </c>
      <c r="BW58">
        <f t="shared" ref="BW58" si="174">IF(BV56&gt;=58,1/10,0)</f>
        <v>0</v>
      </c>
      <c r="BY58">
        <f t="shared" ref="BY58" si="175">IF(BX56&gt;=58,1/10,0)</f>
        <v>0</v>
      </c>
      <c r="CA58">
        <f t="shared" ref="CA58" si="176">IF(BZ56&gt;=58,1/10,0)</f>
        <v>0.1</v>
      </c>
      <c r="CC58">
        <f t="shared" ref="CC58" si="177">IF(CB56&gt;=58,1/10,0)</f>
        <v>0</v>
      </c>
      <c r="CE58">
        <f t="shared" ref="CE58" si="178">IF(CD56&gt;=58,1/10,0)</f>
        <v>0</v>
      </c>
      <c r="CG58">
        <f t="shared" ref="CG58" si="179">IF(CF56&gt;=58,1/10,0)</f>
        <v>0</v>
      </c>
      <c r="CI58">
        <f t="shared" ref="CI58" si="180">IF(CH56&gt;=58,1/10,0)</f>
        <v>0</v>
      </c>
      <c r="CK58">
        <f t="shared" ref="CK58" si="181">IF(CJ56&gt;=58,1/10,0)</f>
        <v>0.1</v>
      </c>
      <c r="CM58">
        <f t="shared" ref="CM58" si="182">IF(CL56&gt;=58,1/10,0)</f>
        <v>0.1</v>
      </c>
      <c r="CO58">
        <f t="shared" ref="CO58" si="183">IF(CN56&gt;=58,1/10,0)</f>
        <v>0</v>
      </c>
      <c r="CQ58">
        <f t="shared" ref="CQ58" si="184">IF(CP56&gt;=58,1/10,0)</f>
        <v>0</v>
      </c>
      <c r="CS58">
        <f t="shared" ref="CS58" si="185">IF(CR56&gt;=58,1/10,0)</f>
        <v>0</v>
      </c>
      <c r="CU58">
        <f t="shared" ref="CU58" si="186">IF(CT56&gt;=58,1/10,0)</f>
        <v>0</v>
      </c>
      <c r="CW58">
        <f t="shared" ref="CW58" si="187">IF(CV56&gt;=58,1/10,0)</f>
        <v>0</v>
      </c>
      <c r="CY58">
        <f t="shared" ref="CY58" si="188">IF(CX56&gt;=58,1/10,0)</f>
        <v>0</v>
      </c>
      <c r="DA58">
        <f t="shared" ref="DA58" si="189">IF(CZ56&gt;=58,1/10,0)</f>
        <v>0</v>
      </c>
      <c r="DC58">
        <f t="shared" ref="DC58" si="190">IF(DB56&gt;=58,1/10,0)</f>
        <v>0</v>
      </c>
      <c r="DE58">
        <f t="shared" ref="DE58" si="191">IF(DD56&gt;=58,1/10,0)</f>
        <v>0</v>
      </c>
      <c r="DG58">
        <f t="shared" ref="DG58" si="192">IF(DF56&gt;=58,1/10,0)</f>
        <v>0</v>
      </c>
      <c r="DI58">
        <f t="shared" ref="DI58" si="193">IF(DH56&gt;=58,1/10,0)</f>
        <v>0</v>
      </c>
      <c r="DK58">
        <f t="shared" ref="DK58" si="194">IF(DJ56&gt;=58,1/10,0)</f>
        <v>0</v>
      </c>
      <c r="DM58">
        <f t="shared" ref="DM58" si="195">IF(DL56&gt;=58,1/10,0)</f>
        <v>0.1</v>
      </c>
      <c r="DO58">
        <f t="shared" ref="DO58" si="196">IF(DN56&gt;=58,1/10,0)</f>
        <v>0</v>
      </c>
      <c r="DQ58">
        <f t="shared" ref="DQ58" si="197">IF(DP56&gt;=58,1/10,0)</f>
        <v>0.1</v>
      </c>
      <c r="DS58">
        <f t="shared" ref="DS58" si="198">IF(DR56&gt;=58,1/10,0)</f>
        <v>0</v>
      </c>
      <c r="DU58">
        <f t="shared" ref="DU58" si="199">IF(DT56&gt;=58,1/10,0)</f>
        <v>0.1</v>
      </c>
      <c r="DW58">
        <f t="shared" ref="DW58" si="200">IF(DV56&gt;=58,1/10,0)</f>
        <v>0</v>
      </c>
      <c r="DY58">
        <f t="shared" ref="DY58" si="201">IF(DX56&gt;=58,1/10,0)</f>
        <v>0</v>
      </c>
      <c r="EA58">
        <f t="shared" ref="EA58" si="202">IF(DZ56&gt;=58,1/10,0)</f>
        <v>0</v>
      </c>
      <c r="EC58">
        <f t="shared" ref="EC58" si="203">IF(EB56&gt;=58,1/10,0)</f>
        <v>0</v>
      </c>
      <c r="EE58">
        <f t="shared" ref="EE58" si="204">IF(ED56&gt;=58,1/10,0)</f>
        <v>0</v>
      </c>
      <c r="EG58">
        <f t="shared" ref="EG58" si="205">IF(EF56&gt;=58,1/10,0)</f>
        <v>0</v>
      </c>
    </row>
    <row r="59" spans="1:137">
      <c r="A59" s="93"/>
    </row>
    <row r="60" spans="1:137">
      <c r="B60" s="94" t="s">
        <v>1981</v>
      </c>
      <c r="C60" s="94"/>
      <c r="D60" s="94" t="s">
        <v>1982</v>
      </c>
      <c r="E60" s="94"/>
      <c r="F60" s="94" t="s">
        <v>1775</v>
      </c>
      <c r="G60" s="94"/>
    </row>
    <row r="61" spans="1:137">
      <c r="A61" s="93" t="s">
        <v>1822</v>
      </c>
      <c r="B61" s="92" t="s">
        <v>1983</v>
      </c>
      <c r="C61" s="92" t="s">
        <v>1984</v>
      </c>
      <c r="D61" s="92" t="s">
        <v>1983</v>
      </c>
      <c r="E61" s="92" t="s">
        <v>1984</v>
      </c>
      <c r="F61" s="92" t="s">
        <v>1983</v>
      </c>
      <c r="G61" s="92" t="s">
        <v>1984</v>
      </c>
    </row>
    <row r="62" spans="1:137">
      <c r="A62" s="90">
        <v>46119.666666666664</v>
      </c>
      <c r="B62" s="91">
        <f>SUMPRODUCT(C30:EG30,C57:EG57)</f>
        <v>-5.2948607857397417E-3</v>
      </c>
      <c r="C62" s="91">
        <f>1+B62</f>
        <v>0.99470513921426029</v>
      </c>
      <c r="D62" s="91">
        <f t="shared" ref="D62:D82" si="206">SUMPRODUCT(C30:EG30,$C$58:$EG$58)</f>
        <v>-1.2080220275355547E-2</v>
      </c>
      <c r="E62" s="91">
        <f>1+D62</f>
        <v>0.9879197797246444</v>
      </c>
      <c r="F62" s="91">
        <f>DK30</f>
        <v>4.4010744692157822E-4</v>
      </c>
      <c r="G62" s="91">
        <f>1+F62</f>
        <v>1.0004401074469216</v>
      </c>
    </row>
    <row r="63" spans="1:137">
      <c r="A63" s="90">
        <v>46120.666666666664</v>
      </c>
      <c r="B63" s="91">
        <f t="shared" ref="B63:B82" si="207">SUMPRODUCT(C31:EG31,$C$57:$EG$57)</f>
        <v>3.4518266025341186E-2</v>
      </c>
      <c r="C63" s="91">
        <f>C62*(1+B63)</f>
        <v>1.0290406358264321</v>
      </c>
      <c r="D63" s="91">
        <f t="shared" si="206"/>
        <v>2.3514484176368134E-2</v>
      </c>
      <c r="E63" s="91">
        <f>E62*(1+D63)</f>
        <v>1.0111502037525006</v>
      </c>
      <c r="F63" s="91">
        <f t="shared" ref="F63:F82" si="208">DK31</f>
        <v>2.5469494250781155E-2</v>
      </c>
      <c r="G63" s="91">
        <f>G62*(1+F63)</f>
        <v>1.0259208110117919</v>
      </c>
    </row>
    <row r="64" spans="1:137">
      <c r="A64" s="90">
        <v>46121.666666666664</v>
      </c>
      <c r="B64" s="91">
        <f t="shared" si="207"/>
        <v>-2.1511158137252032E-2</v>
      </c>
      <c r="C64" s="91">
        <f t="shared" ref="C64:C81" si="209">C63*(1+B64)</f>
        <v>1.0069047799795114</v>
      </c>
      <c r="D64" s="91">
        <f t="shared" si="206"/>
        <v>4.2079765004331207E-3</v>
      </c>
      <c r="E64" s="91">
        <f t="shared" ref="E64:E81" si="210">E63*(1+D64)</f>
        <v>1.0154051000482993</v>
      </c>
      <c r="F64" s="91">
        <f t="shared" si="208"/>
        <v>5.7691454268427034E-3</v>
      </c>
      <c r="G64" s="91">
        <f t="shared" ref="G64:G82" si="211">G63*(1+DK32)</f>
        <v>1.0318394973669434</v>
      </c>
    </row>
    <row r="65" spans="1:7">
      <c r="A65" s="90">
        <v>46122.666666666664</v>
      </c>
      <c r="B65" s="91">
        <f t="shared" si="207"/>
        <v>-7.3251103169186147E-3</v>
      </c>
      <c r="C65" s="91">
        <f t="shared" si="209"/>
        <v>0.99952909138752888</v>
      </c>
      <c r="D65" s="91">
        <f t="shared" si="206"/>
        <v>1.5871408216063477E-3</v>
      </c>
      <c r="E65" s="91">
        <f t="shared" si="210"/>
        <v>1.0170166909330534</v>
      </c>
      <c r="F65" s="91">
        <f t="shared" si="208"/>
        <v>-6.618523039813029E-4</v>
      </c>
      <c r="G65" s="91">
        <f t="shared" si="211"/>
        <v>1.031156572018272</v>
      </c>
    </row>
    <row r="66" spans="1:7">
      <c r="A66" s="90">
        <v>46125.666666666664</v>
      </c>
      <c r="B66" s="91">
        <f t="shared" si="207"/>
        <v>2.3399184577459632E-2</v>
      </c>
      <c r="C66" s="91">
        <f t="shared" si="209"/>
        <v>1.0229172570874463</v>
      </c>
      <c r="D66" s="91">
        <f t="shared" si="206"/>
        <v>1.9796749882411792E-2</v>
      </c>
      <c r="E66" s="91">
        <f t="shared" si="210"/>
        <v>1.0371503159896931</v>
      </c>
      <c r="F66" s="91">
        <f t="shared" si="208"/>
        <v>9.7724663703528947E-3</v>
      </c>
      <c r="G66" s="91">
        <f t="shared" si="211"/>
        <v>1.0412335149408889</v>
      </c>
    </row>
    <row r="67" spans="1:7">
      <c r="A67" s="90">
        <v>46126.666666666664</v>
      </c>
      <c r="B67" s="91">
        <f t="shared" si="207"/>
        <v>-4.7935604279439326E-3</v>
      </c>
      <c r="C67" s="91">
        <f t="shared" si="209"/>
        <v>1.018013841402811</v>
      </c>
      <c r="D67" s="91">
        <f t="shared" si="206"/>
        <v>2.2992656811166509E-2</v>
      </c>
      <c r="E67" s="91">
        <f t="shared" si="210"/>
        <v>1.0609971572668371</v>
      </c>
      <c r="F67" s="91">
        <f t="shared" si="208"/>
        <v>1.2184812709517656E-2</v>
      </c>
      <c r="G67" s="91">
        <f t="shared" si="211"/>
        <v>1.0539207503073165</v>
      </c>
    </row>
    <row r="68" spans="1:7">
      <c r="A68" s="90">
        <v>46127.666666666664</v>
      </c>
      <c r="B68" s="91">
        <f t="shared" si="207"/>
        <v>3.3588111504339505E-2</v>
      </c>
      <c r="C68" s="91">
        <f t="shared" si="209"/>
        <v>1.0522070038208096</v>
      </c>
      <c r="D68" s="91">
        <f t="shared" si="206"/>
        <v>2.4526713673786161E-2</v>
      </c>
      <c r="E68" s="91">
        <f t="shared" si="210"/>
        <v>1.0870199307518218</v>
      </c>
      <c r="F68" s="91">
        <f t="shared" si="208"/>
        <v>7.8910232410793757E-3</v>
      </c>
      <c r="G68" s="91">
        <f t="shared" si="211"/>
        <v>1.0622372634422472</v>
      </c>
    </row>
    <row r="69" spans="1:7">
      <c r="A69" s="90">
        <v>46128.666666666664</v>
      </c>
      <c r="B69" s="91">
        <f t="shared" si="207"/>
        <v>4.668356724050924E-2</v>
      </c>
      <c r="C69" s="91">
        <f t="shared" si="209"/>
        <v>1.1013277802346131</v>
      </c>
      <c r="D69" s="91">
        <f t="shared" si="206"/>
        <v>3.0984633222603961E-2</v>
      </c>
      <c r="E69" s="91">
        <f t="shared" si="210"/>
        <v>1.1207008446118274</v>
      </c>
      <c r="F69" s="91">
        <f t="shared" si="208"/>
        <v>2.4573534874416936E-3</v>
      </c>
      <c r="G69" s="91">
        <f t="shared" si="211"/>
        <v>1.0648475558860575</v>
      </c>
    </row>
    <row r="70" spans="1:7">
      <c r="A70" s="90">
        <v>46129.666666666664</v>
      </c>
      <c r="B70" s="91">
        <f t="shared" si="207"/>
        <v>-3.6379141702887591E-3</v>
      </c>
      <c r="C70" s="91">
        <f t="shared" si="209"/>
        <v>1.0973212442967648</v>
      </c>
      <c r="D70" s="91">
        <f t="shared" si="206"/>
        <v>3.0475432498913674E-2</v>
      </c>
      <c r="E70" s="91">
        <f t="shared" si="210"/>
        <v>1.1548546875532706</v>
      </c>
      <c r="F70" s="91">
        <f t="shared" si="208"/>
        <v>1.2085625516631948E-2</v>
      </c>
      <c r="G70" s="91">
        <f t="shared" si="211"/>
        <v>1.0777169046787971</v>
      </c>
    </row>
    <row r="71" spans="1:7">
      <c r="A71" s="90">
        <v>46132.666666666664</v>
      </c>
      <c r="B71" s="91">
        <f t="shared" si="207"/>
        <v>-3.027337871500258E-3</v>
      </c>
      <c r="C71" s="91">
        <f t="shared" si="209"/>
        <v>1.0939992821367035</v>
      </c>
      <c r="D71" s="91">
        <f t="shared" si="206"/>
        <v>-1.3348225554691516E-3</v>
      </c>
      <c r="E71" s="91">
        <f t="shared" si="210"/>
        <v>1.1533131614680352</v>
      </c>
      <c r="F71" s="91">
        <f t="shared" si="208"/>
        <v>-1.999605711549779E-3</v>
      </c>
      <c r="G71" s="91">
        <f t="shared" si="211"/>
        <v>1.0755618958007676</v>
      </c>
    </row>
    <row r="72" spans="1:7">
      <c r="A72" s="90">
        <v>46133.666666666664</v>
      </c>
      <c r="B72" s="91">
        <f t="shared" si="207"/>
        <v>-1.4291728835510024E-2</v>
      </c>
      <c r="C72" s="91">
        <f t="shared" si="209"/>
        <v>1.0783641410501632</v>
      </c>
      <c r="D72" s="91">
        <f t="shared" si="206"/>
        <v>-9.3969078179651812E-3</v>
      </c>
      <c r="E72" s="91">
        <f t="shared" si="210"/>
        <v>1.142475584004474</v>
      </c>
      <c r="F72" s="91">
        <f t="shared" si="208"/>
        <v>-6.5470143357038157E-3</v>
      </c>
      <c r="G72" s="91">
        <f t="shared" si="211"/>
        <v>1.0685201766500232</v>
      </c>
    </row>
    <row r="73" spans="1:7">
      <c r="A73" s="90">
        <v>46134.666666666664</v>
      </c>
      <c r="B73" s="91">
        <f t="shared" si="207"/>
        <v>2.0458946983872687E-2</v>
      </c>
      <c r="C73" s="91">
        <f t="shared" si="209"/>
        <v>1.1004263358412179</v>
      </c>
      <c r="D73" s="91">
        <f t="shared" si="206"/>
        <v>-2.0237054844010394E-2</v>
      </c>
      <c r="E73" s="91">
        <f t="shared" si="210"/>
        <v>1.1193552429530327</v>
      </c>
      <c r="F73" s="91">
        <f t="shared" si="208"/>
        <v>1.0126690148846818E-2</v>
      </c>
      <c r="G73" s="91">
        <f t="shared" si="211"/>
        <v>1.0793407493967491</v>
      </c>
    </row>
    <row r="74" spans="1:7">
      <c r="A74" s="90">
        <v>46135.666666666664</v>
      </c>
      <c r="B74" s="91">
        <f t="shared" si="207"/>
        <v>-4.7086862822174211E-2</v>
      </c>
      <c r="C74" s="91">
        <f t="shared" si="209"/>
        <v>1.0486107119195547</v>
      </c>
      <c r="D74" s="91">
        <f t="shared" si="206"/>
        <v>-1.069673461172832E-2</v>
      </c>
      <c r="E74" s="91">
        <f t="shared" si="210"/>
        <v>1.1073817969829174</v>
      </c>
      <c r="F74" s="91">
        <f t="shared" si="208"/>
        <v>-3.8807103387185071E-3</v>
      </c>
      <c r="G74" s="91">
        <f t="shared" si="211"/>
        <v>1.0751521405915649</v>
      </c>
    </row>
    <row r="75" spans="1:7">
      <c r="A75" s="90">
        <v>46136.666666666664</v>
      </c>
      <c r="B75" s="91">
        <f t="shared" si="207"/>
        <v>-2.1052530595424432E-2</v>
      </c>
      <c r="C75" s="91">
        <f t="shared" si="209"/>
        <v>1.0265348028241785</v>
      </c>
      <c r="D75" s="91">
        <f t="shared" si="206"/>
        <v>-6.9579186089914241E-4</v>
      </c>
      <c r="E75" s="91">
        <f t="shared" si="210"/>
        <v>1.1066112897416687</v>
      </c>
      <c r="F75" s="91">
        <f t="shared" si="208"/>
        <v>7.7493118780436188E-3</v>
      </c>
      <c r="G75" s="91">
        <f t="shared" si="211"/>
        <v>1.0834838298453551</v>
      </c>
    </row>
    <row r="76" spans="1:7">
      <c r="A76" s="90">
        <v>46139.666666666664</v>
      </c>
      <c r="B76" s="91">
        <f t="shared" si="207"/>
        <v>-6.882887680613882E-3</v>
      </c>
      <c r="C76" s="91">
        <f t="shared" si="209"/>
        <v>1.0194692790760986</v>
      </c>
      <c r="D76" s="91">
        <f t="shared" si="206"/>
        <v>-3.6369244498915209E-3</v>
      </c>
      <c r="E76" s="91">
        <f t="shared" si="210"/>
        <v>1.1025866280854812</v>
      </c>
      <c r="F76" s="91">
        <f t="shared" si="208"/>
        <v>1.7228338515840047E-3</v>
      </c>
      <c r="G76" s="91">
        <f t="shared" si="211"/>
        <v>1.0853504924650565</v>
      </c>
    </row>
    <row r="77" spans="1:7">
      <c r="A77" s="90">
        <v>46140.666666666664</v>
      </c>
      <c r="B77" s="91">
        <f t="shared" si="207"/>
        <v>-1.4963146796426687E-2</v>
      </c>
      <c r="C77" s="91">
        <f t="shared" si="209"/>
        <v>1.0042148105988355</v>
      </c>
      <c r="D77" s="91">
        <f t="shared" si="206"/>
        <v>-1.6464250301979944E-2</v>
      </c>
      <c r="E77" s="91">
        <f t="shared" si="210"/>
        <v>1.0844333658610659</v>
      </c>
      <c r="F77" s="91">
        <f t="shared" si="208"/>
        <v>-4.8659759218087073E-3</v>
      </c>
      <c r="G77" s="91">
        <f t="shared" si="211"/>
        <v>1.0800692031019983</v>
      </c>
    </row>
    <row r="78" spans="1:7">
      <c r="A78" s="90">
        <v>46141.666666666664</v>
      </c>
      <c r="B78" s="91">
        <f t="shared" si="207"/>
        <v>-1.4744670082112733E-2</v>
      </c>
      <c r="C78" s="91">
        <f t="shared" si="209"/>
        <v>0.9894079945249844</v>
      </c>
      <c r="D78" s="91">
        <f t="shared" si="206"/>
        <v>-1.8521655508895066E-3</v>
      </c>
      <c r="E78" s="91">
        <f t="shared" si="210"/>
        <v>1.0824248157385827</v>
      </c>
      <c r="F78" s="91">
        <f t="shared" si="208"/>
        <v>-1.5456167713467917E-4</v>
      </c>
      <c r="G78" s="91">
        <f t="shared" si="211"/>
        <v>1.0799022657945454</v>
      </c>
    </row>
    <row r="79" spans="1:7">
      <c r="A79" s="90">
        <v>46142.666666666664</v>
      </c>
      <c r="B79" s="91">
        <f t="shared" si="207"/>
        <v>3.9681841684464911E-2</v>
      </c>
      <c r="C79" s="91">
        <f t="shared" si="209"/>
        <v>1.0286695259250687</v>
      </c>
      <c r="D79" s="91">
        <f t="shared" si="206"/>
        <v>1.8287905755191614E-2</v>
      </c>
      <c r="E79" s="91">
        <f t="shared" si="210"/>
        <v>1.1022200987558906</v>
      </c>
      <c r="F79" s="91">
        <f t="shared" si="208"/>
        <v>9.9496894235362454E-3</v>
      </c>
      <c r="G79" s="91">
        <f t="shared" si="211"/>
        <v>1.0906469579469742</v>
      </c>
    </row>
    <row r="80" spans="1:7">
      <c r="A80" s="90">
        <v>46143.666666666664</v>
      </c>
      <c r="B80" s="91">
        <f t="shared" si="207"/>
        <v>1.0517627365482125E-3</v>
      </c>
      <c r="C80" s="91">
        <f t="shared" si="209"/>
        <v>1.0297514422006595</v>
      </c>
      <c r="D80" s="91">
        <f t="shared" si="206"/>
        <v>1.1685377144787212E-2</v>
      </c>
      <c r="E80" s="91">
        <f t="shared" si="210"/>
        <v>1.1150999563064177</v>
      </c>
      <c r="F80" s="91">
        <f t="shared" si="208"/>
        <v>2.7690423844377587E-3</v>
      </c>
      <c r="G80" s="91">
        <f t="shared" si="211"/>
        <v>1.0936670055999875</v>
      </c>
    </row>
    <row r="81" spans="1:7">
      <c r="A81" s="90">
        <v>46146.666666666664</v>
      </c>
      <c r="B81" s="91">
        <f t="shared" si="207"/>
        <v>8.4371889484242367E-3</v>
      </c>
      <c r="C81" s="91">
        <f t="shared" si="209"/>
        <v>1.038439649688419</v>
      </c>
      <c r="D81" s="91">
        <f t="shared" si="206"/>
        <v>-1.5182005455094218E-2</v>
      </c>
      <c r="E81" s="91">
        <f t="shared" si="210"/>
        <v>1.0981705026867983</v>
      </c>
      <c r="F81" s="91">
        <f t="shared" si="208"/>
        <v>-3.6633594671476866E-3</v>
      </c>
      <c r="G81" s="91">
        <f t="shared" si="211"/>
        <v>1.0896605102211157</v>
      </c>
    </row>
    <row r="82" spans="1:7">
      <c r="A82" s="90">
        <v>46147.666666666664</v>
      </c>
      <c r="B82" s="91">
        <f t="shared" si="207"/>
        <v>-1.1007259695039871E-2</v>
      </c>
      <c r="C82" s="91">
        <f>C81*(1+B82)</f>
        <v>1.0270092747866724</v>
      </c>
      <c r="D82" s="91">
        <f t="shared" si="206"/>
        <v>1.3779539670429396E-2</v>
      </c>
      <c r="E82" s="91">
        <f>E81*(1+D82)</f>
        <v>1.1133027866934664</v>
      </c>
      <c r="F82" s="91">
        <f t="shared" si="208"/>
        <v>8.0221723931421796E-3</v>
      </c>
      <c r="G82" s="91">
        <f t="shared" si="211"/>
        <v>1.0984019546841086</v>
      </c>
    </row>
    <row r="84" spans="1:7">
      <c r="A84" t="s">
        <v>1985</v>
      </c>
      <c r="B84" cm="1">
        <f t="array" ref="B84">100000*PRODUCT(1+B62:B82)</f>
        <v>102700.92747866723</v>
      </c>
      <c r="D84" cm="1">
        <f t="array" ref="D84">100000*PRODUCT(1+D62:D82)</f>
        <v>111330.27866934663</v>
      </c>
      <c r="F84" cm="1">
        <f t="array" ref="F84">100000*PRODUCT(1+F62:F82)</f>
        <v>109840.19546841086</v>
      </c>
    </row>
    <row r="87" spans="1:7" ht="15" customHeight="1">
      <c r="A87" s="104" t="s">
        <v>2019</v>
      </c>
      <c r="B87" s="104"/>
      <c r="C87" s="104"/>
    </row>
  </sheetData>
  <mergeCells count="4">
    <mergeCell ref="B60:C60"/>
    <mergeCell ref="D60:E60"/>
    <mergeCell ref="F60:G60"/>
    <mergeCell ref="A87:C87"/>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CF176-B7AD-496D-9F8F-76FBCE2265D8}">
  <sheetPr codeName="Sheet15"/>
  <dimension ref="A1:EH108"/>
  <sheetViews>
    <sheetView topLeftCell="A99" zoomScale="87" workbookViewId="0">
      <selection activeCell="C55" sqref="C55"/>
    </sheetView>
  </sheetViews>
  <sheetFormatPr defaultRowHeight="14.4"/>
  <cols>
    <col min="1" max="1" width="18.88671875" bestFit="1" customWidth="1"/>
    <col min="2" max="2" width="34.5546875" bestFit="1" customWidth="1"/>
    <col min="3" max="3" width="29.88671875" customWidth="1"/>
    <col min="4" max="4" width="29.5546875" customWidth="1"/>
    <col min="5" max="5" width="25.44140625" customWidth="1"/>
    <col min="6" max="6" width="15.5546875" bestFit="1" customWidth="1"/>
    <col min="8" max="8" width="15.5546875" bestFit="1" customWidth="1"/>
    <col min="10" max="10" width="15.5546875" bestFit="1" customWidth="1"/>
    <col min="12" max="12" width="15.5546875" bestFit="1" customWidth="1"/>
    <col min="14" max="14" width="15.5546875" bestFit="1" customWidth="1"/>
    <col min="16" max="16" width="15.5546875" bestFit="1" customWidth="1"/>
    <col min="18" max="18" width="15.5546875" bestFit="1" customWidth="1"/>
    <col min="20" max="20" width="15.5546875" bestFit="1" customWidth="1"/>
    <col min="22" max="22" width="15.5546875" bestFit="1" customWidth="1"/>
    <col min="24" max="24" width="15.5546875" bestFit="1" customWidth="1"/>
    <col min="26" max="26" width="15.5546875" bestFit="1" customWidth="1"/>
    <col min="28" max="28" width="15.5546875" bestFit="1" customWidth="1"/>
    <col min="30" max="30" width="15.5546875" bestFit="1" customWidth="1"/>
    <col min="32" max="32" width="15.5546875" bestFit="1" customWidth="1"/>
    <col min="34" max="34" width="15.5546875" bestFit="1" customWidth="1"/>
    <col min="36" max="36" width="15.5546875" bestFit="1" customWidth="1"/>
    <col min="38" max="38" width="15.5546875" bestFit="1" customWidth="1"/>
    <col min="40" max="40" width="15.5546875" bestFit="1" customWidth="1"/>
    <col min="42" max="42" width="15.5546875" bestFit="1" customWidth="1"/>
    <col min="44" max="44" width="15.5546875" bestFit="1" customWidth="1"/>
    <col min="46" max="46" width="15.5546875" bestFit="1" customWidth="1"/>
    <col min="48" max="48" width="15.5546875" bestFit="1" customWidth="1"/>
    <col min="50" max="50" width="15.5546875" bestFit="1" customWidth="1"/>
    <col min="52" max="52" width="15.5546875" bestFit="1" customWidth="1"/>
    <col min="54" max="54" width="15.5546875" bestFit="1" customWidth="1"/>
    <col min="56" max="56" width="15.5546875" bestFit="1" customWidth="1"/>
    <col min="58" max="58" width="15.5546875" bestFit="1" customWidth="1"/>
    <col min="60" max="60" width="15.5546875" bestFit="1" customWidth="1"/>
    <col min="62" max="62" width="15.5546875" bestFit="1" customWidth="1"/>
    <col min="64" max="64" width="15.5546875" bestFit="1" customWidth="1"/>
    <col min="66" max="66" width="15.5546875" bestFit="1" customWidth="1"/>
    <col min="68" max="68" width="15.5546875" bestFit="1" customWidth="1"/>
    <col min="70" max="70" width="15.5546875" bestFit="1" customWidth="1"/>
    <col min="72" max="72" width="15.5546875" bestFit="1" customWidth="1"/>
    <col min="74" max="74" width="15.5546875" bestFit="1" customWidth="1"/>
    <col min="76" max="76" width="15.5546875" bestFit="1" customWidth="1"/>
    <col min="78" max="78" width="15.5546875" bestFit="1" customWidth="1"/>
    <col min="80" max="80" width="15.5546875" bestFit="1" customWidth="1"/>
    <col min="82" max="82" width="15.5546875" bestFit="1" customWidth="1"/>
    <col min="84" max="84" width="15.5546875" bestFit="1" customWidth="1"/>
    <col min="86" max="86" width="15.5546875" bestFit="1" customWidth="1"/>
    <col min="88" max="88" width="15.5546875" bestFit="1" customWidth="1"/>
    <col min="90" max="90" width="15.5546875" bestFit="1" customWidth="1"/>
    <col min="92" max="92" width="15.5546875" bestFit="1" customWidth="1"/>
    <col min="94" max="94" width="15.5546875" bestFit="1" customWidth="1"/>
    <col min="96" max="96" width="15.5546875" bestFit="1" customWidth="1"/>
    <col min="98" max="98" width="15.5546875" bestFit="1" customWidth="1"/>
    <col min="100" max="100" width="15.5546875" bestFit="1" customWidth="1"/>
    <col min="102" max="102" width="15.5546875" bestFit="1" customWidth="1"/>
    <col min="104" max="104" width="15.5546875" bestFit="1" customWidth="1"/>
    <col min="106" max="106" width="15.5546875" bestFit="1" customWidth="1"/>
    <col min="108" max="108" width="15.5546875" bestFit="1" customWidth="1"/>
    <col min="110" max="110" width="15.5546875" bestFit="1" customWidth="1"/>
    <col min="112" max="112" width="15.5546875" bestFit="1" customWidth="1"/>
    <col min="114" max="114" width="15.5546875" bestFit="1" customWidth="1"/>
    <col min="116" max="116" width="15.5546875" bestFit="1" customWidth="1"/>
    <col min="118" max="118" width="15.5546875" bestFit="1" customWidth="1"/>
    <col min="120" max="120" width="15.5546875" bestFit="1" customWidth="1"/>
    <col min="122" max="122" width="15.5546875" bestFit="1" customWidth="1"/>
    <col min="124" max="124" width="15.5546875" bestFit="1" customWidth="1"/>
    <col min="126" max="126" width="15.5546875" bestFit="1" customWidth="1"/>
    <col min="128" max="128" width="15.5546875" bestFit="1" customWidth="1"/>
    <col min="130" max="130" width="15.5546875" bestFit="1" customWidth="1"/>
    <col min="132" max="132" width="15.5546875" bestFit="1" customWidth="1"/>
    <col min="134" max="134" width="15.5546875" bestFit="1" customWidth="1"/>
    <col min="136" max="136" width="15.5546875" bestFit="1" customWidth="1"/>
    <col min="138" max="138" width="12.33203125" bestFit="1" customWidth="1"/>
  </cols>
  <sheetData>
    <row r="1" spans="1:138">
      <c r="A1" t="s">
        <v>1798</v>
      </c>
      <c r="B1" t="s">
        <v>1777</v>
      </c>
      <c r="C1" t="s">
        <v>1777</v>
      </c>
      <c r="D1" t="s">
        <v>1964</v>
      </c>
      <c r="E1" t="s">
        <v>1964</v>
      </c>
      <c r="F1" t="s">
        <v>1970</v>
      </c>
      <c r="G1" t="s">
        <v>1970</v>
      </c>
      <c r="H1" t="s">
        <v>1778</v>
      </c>
      <c r="I1" t="s">
        <v>1778</v>
      </c>
      <c r="J1" t="s">
        <v>1953</v>
      </c>
      <c r="K1" t="s">
        <v>1953</v>
      </c>
      <c r="L1" t="s">
        <v>1938</v>
      </c>
      <c r="M1" t="s">
        <v>1938</v>
      </c>
      <c r="N1" t="s">
        <v>1973</v>
      </c>
      <c r="O1" t="s">
        <v>1973</v>
      </c>
      <c r="P1" t="s">
        <v>1783</v>
      </c>
      <c r="Q1" t="s">
        <v>1783</v>
      </c>
      <c r="R1" t="s">
        <v>1956</v>
      </c>
      <c r="S1" t="s">
        <v>1956</v>
      </c>
      <c r="T1" t="s">
        <v>1934</v>
      </c>
      <c r="U1" t="s">
        <v>1934</v>
      </c>
      <c r="V1" t="s">
        <v>1942</v>
      </c>
      <c r="W1" t="s">
        <v>1942</v>
      </c>
      <c r="X1" t="s">
        <v>1937</v>
      </c>
      <c r="Y1" t="s">
        <v>1937</v>
      </c>
      <c r="Z1" t="s">
        <v>1787</v>
      </c>
      <c r="AA1" t="s">
        <v>1787</v>
      </c>
      <c r="AB1" t="s">
        <v>1967</v>
      </c>
      <c r="AC1" t="s">
        <v>1967</v>
      </c>
      <c r="AD1" t="s">
        <v>1960</v>
      </c>
      <c r="AE1" t="s">
        <v>1960</v>
      </c>
      <c r="AF1" t="s">
        <v>1965</v>
      </c>
      <c r="AG1" t="s">
        <v>1965</v>
      </c>
      <c r="AH1" t="s">
        <v>1961</v>
      </c>
      <c r="AI1" t="s">
        <v>1961</v>
      </c>
      <c r="AJ1" t="s">
        <v>1931</v>
      </c>
      <c r="AK1" t="s">
        <v>1931</v>
      </c>
      <c r="AL1" t="s">
        <v>1924</v>
      </c>
      <c r="AM1" t="s">
        <v>1924</v>
      </c>
      <c r="AN1" t="s">
        <v>1780</v>
      </c>
      <c r="AO1" t="s">
        <v>1780</v>
      </c>
      <c r="AP1" t="s">
        <v>1969</v>
      </c>
      <c r="AQ1" t="s">
        <v>1969</v>
      </c>
      <c r="AR1" t="s">
        <v>1929</v>
      </c>
      <c r="AS1" t="s">
        <v>1929</v>
      </c>
      <c r="AT1" t="s">
        <v>1921</v>
      </c>
      <c r="AU1" t="s">
        <v>1921</v>
      </c>
      <c r="AV1" t="s">
        <v>1959</v>
      </c>
      <c r="AW1" t="s">
        <v>1959</v>
      </c>
      <c r="AX1" t="s">
        <v>1933</v>
      </c>
      <c r="AY1" t="s">
        <v>1933</v>
      </c>
      <c r="AZ1" t="s">
        <v>1939</v>
      </c>
      <c r="BA1" t="s">
        <v>1939</v>
      </c>
      <c r="BB1" t="s">
        <v>1927</v>
      </c>
      <c r="BC1" t="s">
        <v>1927</v>
      </c>
      <c r="BD1" t="s">
        <v>1958</v>
      </c>
      <c r="BE1" t="s">
        <v>1958</v>
      </c>
      <c r="BF1" t="s">
        <v>1955</v>
      </c>
      <c r="BG1" t="s">
        <v>1955</v>
      </c>
      <c r="BH1" t="s">
        <v>1935</v>
      </c>
      <c r="BI1" t="s">
        <v>1935</v>
      </c>
      <c r="BJ1" t="s">
        <v>1932</v>
      </c>
      <c r="BK1" t="s">
        <v>1932</v>
      </c>
      <c r="BL1" t="s">
        <v>1811</v>
      </c>
      <c r="BM1" t="s">
        <v>1811</v>
      </c>
      <c r="BN1" t="s">
        <v>1949</v>
      </c>
      <c r="BO1" t="s">
        <v>1949</v>
      </c>
      <c r="BP1" t="s">
        <v>1779</v>
      </c>
      <c r="BQ1" t="s">
        <v>1779</v>
      </c>
      <c r="BR1" t="s">
        <v>1928</v>
      </c>
      <c r="BS1" t="s">
        <v>1928</v>
      </c>
      <c r="BT1" t="s">
        <v>1782</v>
      </c>
      <c r="BU1" t="s">
        <v>1782</v>
      </c>
      <c r="BV1" t="s">
        <v>1797</v>
      </c>
      <c r="BW1" t="s">
        <v>1797</v>
      </c>
      <c r="BX1" t="s">
        <v>1950</v>
      </c>
      <c r="BY1" t="s">
        <v>1950</v>
      </c>
      <c r="BZ1" t="s">
        <v>1971</v>
      </c>
      <c r="CA1" t="s">
        <v>1971</v>
      </c>
      <c r="CB1" t="s">
        <v>1774</v>
      </c>
      <c r="CC1" t="s">
        <v>1774</v>
      </c>
      <c r="CD1" t="s">
        <v>1789</v>
      </c>
      <c r="CE1" t="s">
        <v>1789</v>
      </c>
      <c r="CF1" t="s">
        <v>1786</v>
      </c>
      <c r="CG1" t="s">
        <v>1786</v>
      </c>
      <c r="CH1" t="s">
        <v>1952</v>
      </c>
      <c r="CI1" t="s">
        <v>1952</v>
      </c>
      <c r="CJ1" t="s">
        <v>1972</v>
      </c>
      <c r="CK1" t="s">
        <v>1972</v>
      </c>
      <c r="CL1" t="s">
        <v>1968</v>
      </c>
      <c r="CM1" t="s">
        <v>1968</v>
      </c>
      <c r="CN1" t="s">
        <v>1951</v>
      </c>
      <c r="CO1" t="s">
        <v>1951</v>
      </c>
      <c r="CP1" t="s">
        <v>1925</v>
      </c>
      <c r="CQ1" t="s">
        <v>1925</v>
      </c>
      <c r="CR1" t="s">
        <v>1781</v>
      </c>
      <c r="CS1" t="s">
        <v>1781</v>
      </c>
      <c r="CT1" t="s">
        <v>1945</v>
      </c>
      <c r="CU1" t="s">
        <v>1945</v>
      </c>
      <c r="CV1" t="s">
        <v>1930</v>
      </c>
      <c r="CW1" t="s">
        <v>1930</v>
      </c>
      <c r="CX1" t="s">
        <v>1963</v>
      </c>
      <c r="CY1" t="s">
        <v>1963</v>
      </c>
      <c r="CZ1" t="s">
        <v>1923</v>
      </c>
      <c r="DA1" t="s">
        <v>1923</v>
      </c>
      <c r="DB1" t="s">
        <v>1785</v>
      </c>
      <c r="DC1" t="s">
        <v>1785</v>
      </c>
      <c r="DD1" t="s">
        <v>1944</v>
      </c>
      <c r="DE1" t="s">
        <v>1944</v>
      </c>
      <c r="DF1" t="s">
        <v>1796</v>
      </c>
      <c r="DG1" t="s">
        <v>1796</v>
      </c>
      <c r="DH1" t="s">
        <v>1790</v>
      </c>
      <c r="DI1" t="s">
        <v>1790</v>
      </c>
      <c r="DJ1" t="s">
        <v>1775</v>
      </c>
      <c r="DK1" t="s">
        <v>1775</v>
      </c>
      <c r="DL1" t="s">
        <v>1776</v>
      </c>
      <c r="DM1" t="s">
        <v>1776</v>
      </c>
      <c r="DN1" t="s">
        <v>1936</v>
      </c>
      <c r="DO1" t="s">
        <v>1936</v>
      </c>
      <c r="DP1" t="s">
        <v>1791</v>
      </c>
      <c r="DQ1" t="s">
        <v>1791</v>
      </c>
      <c r="DR1" t="s">
        <v>1957</v>
      </c>
      <c r="DS1" t="s">
        <v>1957</v>
      </c>
      <c r="DT1" t="s">
        <v>1784</v>
      </c>
      <c r="DU1" t="s">
        <v>1784</v>
      </c>
      <c r="DV1" t="s">
        <v>1962</v>
      </c>
      <c r="DW1" t="s">
        <v>1962</v>
      </c>
      <c r="DX1" t="s">
        <v>1795</v>
      </c>
      <c r="DY1" t="s">
        <v>1795</v>
      </c>
      <c r="DZ1" t="s">
        <v>1954</v>
      </c>
      <c r="EA1" t="s">
        <v>1954</v>
      </c>
      <c r="EB1" t="s">
        <v>1946</v>
      </c>
      <c r="EC1" t="s">
        <v>1946</v>
      </c>
      <c r="ED1" t="s">
        <v>1966</v>
      </c>
      <c r="EE1" t="s">
        <v>1966</v>
      </c>
      <c r="EF1" t="s">
        <v>1926</v>
      </c>
      <c r="EG1" t="s">
        <v>1926</v>
      </c>
      <c r="EH1" t="s">
        <v>1799</v>
      </c>
    </row>
    <row r="2" spans="1:138">
      <c r="A2" t="s">
        <v>1917</v>
      </c>
      <c r="B2">
        <v>0</v>
      </c>
      <c r="D2">
        <v>0</v>
      </c>
      <c r="F2">
        <v>-1</v>
      </c>
      <c r="H2">
        <v>0.1</v>
      </c>
      <c r="J2">
        <v>0.33333333300000001</v>
      </c>
      <c r="L2">
        <v>1</v>
      </c>
      <c r="N2">
        <v>-1</v>
      </c>
      <c r="P2">
        <v>0</v>
      </c>
      <c r="R2">
        <v>0</v>
      </c>
      <c r="T2">
        <v>1</v>
      </c>
      <c r="V2">
        <v>1</v>
      </c>
      <c r="X2">
        <v>1</v>
      </c>
      <c r="Z2">
        <v>-1</v>
      </c>
      <c r="AB2">
        <v>0</v>
      </c>
      <c r="AD2">
        <v>0</v>
      </c>
      <c r="AF2">
        <v>0</v>
      </c>
      <c r="AH2">
        <v>0</v>
      </c>
      <c r="AJ2">
        <v>1</v>
      </c>
      <c r="AL2">
        <v>1</v>
      </c>
      <c r="AN2">
        <v>7.6923077000000006E-2</v>
      </c>
      <c r="AP2">
        <v>-0.5</v>
      </c>
      <c r="AR2">
        <v>1</v>
      </c>
      <c r="AT2">
        <v>1</v>
      </c>
      <c r="AV2">
        <v>0</v>
      </c>
      <c r="AX2">
        <v>1</v>
      </c>
      <c r="AZ2">
        <v>1</v>
      </c>
      <c r="BB2">
        <v>1</v>
      </c>
      <c r="BD2">
        <v>0</v>
      </c>
      <c r="BF2">
        <v>0</v>
      </c>
      <c r="BH2">
        <v>1</v>
      </c>
      <c r="BJ2">
        <v>1</v>
      </c>
      <c r="BL2">
        <v>0.66666666699999999</v>
      </c>
      <c r="BN2">
        <v>0.33333333300000001</v>
      </c>
      <c r="BP2">
        <v>0.21739130400000001</v>
      </c>
      <c r="BR2">
        <v>1</v>
      </c>
      <c r="BT2">
        <v>0.31818181800000001</v>
      </c>
      <c r="BV2">
        <v>0</v>
      </c>
      <c r="BX2">
        <v>0.14285714299999999</v>
      </c>
      <c r="BZ2">
        <v>-1</v>
      </c>
      <c r="CB2">
        <v>0.111111111</v>
      </c>
      <c r="CD2">
        <v>-0.5</v>
      </c>
      <c r="CF2">
        <v>0.5</v>
      </c>
      <c r="CH2">
        <v>0.2</v>
      </c>
      <c r="CJ2">
        <v>-1</v>
      </c>
      <c r="CL2">
        <v>-0.5</v>
      </c>
      <c r="CN2">
        <v>0.5</v>
      </c>
      <c r="CP2">
        <v>1</v>
      </c>
      <c r="CR2">
        <v>0.5</v>
      </c>
      <c r="CT2">
        <v>0.5</v>
      </c>
      <c r="CV2">
        <v>1</v>
      </c>
      <c r="CX2">
        <v>0</v>
      </c>
      <c r="CZ2">
        <v>1</v>
      </c>
      <c r="DB2">
        <v>0.33333333300000001</v>
      </c>
      <c r="DD2">
        <v>0.33333333300000001</v>
      </c>
      <c r="DF2">
        <v>-0.25</v>
      </c>
      <c r="DH2">
        <v>0</v>
      </c>
      <c r="DJ2">
        <v>-0.30769230800000003</v>
      </c>
      <c r="DL2">
        <v>-0.77777777800000003</v>
      </c>
      <c r="DN2">
        <v>1</v>
      </c>
      <c r="DP2">
        <v>-1</v>
      </c>
      <c r="DR2">
        <v>0</v>
      </c>
      <c r="DT2">
        <v>-1</v>
      </c>
      <c r="DV2">
        <v>0</v>
      </c>
      <c r="DX2">
        <v>0.428571429</v>
      </c>
      <c r="DZ2">
        <v>-9.0909090999999997E-2</v>
      </c>
      <c r="EB2">
        <v>0.5</v>
      </c>
      <c r="ED2">
        <v>-0.33333333300000001</v>
      </c>
      <c r="EF2">
        <v>1</v>
      </c>
      <c r="EH2">
        <v>0.109848485</v>
      </c>
    </row>
    <row r="3" spans="1:138">
      <c r="A3" t="s">
        <v>1918</v>
      </c>
      <c r="B3">
        <v>168</v>
      </c>
      <c r="D3">
        <v>2</v>
      </c>
      <c r="F3">
        <v>276</v>
      </c>
      <c r="H3">
        <v>1777</v>
      </c>
      <c r="J3">
        <v>23</v>
      </c>
      <c r="L3">
        <v>2</v>
      </c>
      <c r="N3">
        <v>19</v>
      </c>
      <c r="P3">
        <v>520</v>
      </c>
      <c r="R3">
        <v>61</v>
      </c>
      <c r="T3">
        <v>9</v>
      </c>
      <c r="V3">
        <v>1</v>
      </c>
      <c r="X3">
        <v>3</v>
      </c>
      <c r="Z3">
        <v>11686</v>
      </c>
      <c r="AB3">
        <v>0</v>
      </c>
      <c r="AD3">
        <v>4</v>
      </c>
      <c r="AF3">
        <v>1</v>
      </c>
      <c r="AH3">
        <v>4</v>
      </c>
      <c r="AJ3">
        <v>37</v>
      </c>
      <c r="AL3">
        <v>196</v>
      </c>
      <c r="AN3">
        <v>3076</v>
      </c>
      <c r="AP3">
        <v>11</v>
      </c>
      <c r="AR3">
        <v>41</v>
      </c>
      <c r="AT3">
        <v>2589</v>
      </c>
      <c r="AV3">
        <v>7</v>
      </c>
      <c r="AX3">
        <v>11</v>
      </c>
      <c r="AZ3">
        <v>2</v>
      </c>
      <c r="BB3">
        <v>68</v>
      </c>
      <c r="BD3">
        <v>8</v>
      </c>
      <c r="BF3">
        <v>74</v>
      </c>
      <c r="BH3">
        <v>5</v>
      </c>
      <c r="BJ3">
        <v>15</v>
      </c>
      <c r="BL3">
        <v>120</v>
      </c>
      <c r="BN3">
        <v>90</v>
      </c>
      <c r="BP3">
        <v>15358</v>
      </c>
      <c r="BR3">
        <v>65</v>
      </c>
      <c r="BT3">
        <v>10002</v>
      </c>
      <c r="BV3">
        <v>4979</v>
      </c>
      <c r="BX3">
        <v>600</v>
      </c>
      <c r="BZ3">
        <v>49</v>
      </c>
      <c r="CB3">
        <v>1062</v>
      </c>
      <c r="CD3">
        <v>1023</v>
      </c>
      <c r="CF3">
        <v>48</v>
      </c>
      <c r="CH3">
        <v>123</v>
      </c>
      <c r="CJ3">
        <v>37</v>
      </c>
      <c r="CL3">
        <v>18</v>
      </c>
      <c r="CN3">
        <v>7</v>
      </c>
      <c r="CP3">
        <v>150</v>
      </c>
      <c r="CR3">
        <v>2370</v>
      </c>
      <c r="CT3">
        <v>76</v>
      </c>
      <c r="CV3">
        <v>39</v>
      </c>
      <c r="CX3">
        <v>3</v>
      </c>
      <c r="CZ3">
        <v>209</v>
      </c>
      <c r="DB3">
        <v>117</v>
      </c>
      <c r="DD3">
        <v>1232</v>
      </c>
      <c r="DF3">
        <v>44</v>
      </c>
      <c r="DH3">
        <v>561</v>
      </c>
      <c r="DJ3">
        <v>5961</v>
      </c>
      <c r="DL3">
        <v>1258</v>
      </c>
      <c r="DN3">
        <v>5</v>
      </c>
      <c r="DP3">
        <v>7206</v>
      </c>
      <c r="DR3">
        <v>10</v>
      </c>
      <c r="DT3">
        <v>47</v>
      </c>
      <c r="DV3">
        <v>3</v>
      </c>
      <c r="DX3">
        <v>267</v>
      </c>
      <c r="DZ3">
        <v>469</v>
      </c>
      <c r="EB3">
        <v>31</v>
      </c>
      <c r="ED3">
        <v>64</v>
      </c>
      <c r="EF3">
        <v>133</v>
      </c>
      <c r="EH3">
        <v>74532</v>
      </c>
    </row>
    <row r="4" spans="1:138">
      <c r="A4" t="s">
        <v>1919</v>
      </c>
      <c r="B4">
        <v>2.2278867000000001E-2</v>
      </c>
      <c r="D4">
        <v>4.7712129999999998E-3</v>
      </c>
      <c r="F4">
        <v>-2.5575201999999998E-2</v>
      </c>
      <c r="H4">
        <v>3.7499317999999997E-2</v>
      </c>
      <c r="J4">
        <v>3.0468779000000001E-2</v>
      </c>
      <c r="L4">
        <v>5.4771212999999999E-2</v>
      </c>
      <c r="N4">
        <v>-3.69897E-2</v>
      </c>
      <c r="P4">
        <v>2.7168377E-2</v>
      </c>
      <c r="R4">
        <v>1.7923917000000001E-2</v>
      </c>
      <c r="T4">
        <v>0.06</v>
      </c>
      <c r="V4">
        <v>5.3010300000000003E-2</v>
      </c>
      <c r="X4">
        <v>5.6020599999999997E-2</v>
      </c>
      <c r="Z4">
        <v>-9.3229699999999999E-3</v>
      </c>
      <c r="AB4">
        <v>0</v>
      </c>
      <c r="AD4">
        <v>6.9896999999999997E-3</v>
      </c>
      <c r="AF4">
        <v>3.0103E-3</v>
      </c>
      <c r="AH4">
        <v>6.9896999999999997E-3</v>
      </c>
      <c r="AJ4">
        <v>6.5797835999999998E-2</v>
      </c>
      <c r="AL4">
        <v>7.2944661999999993E-2</v>
      </c>
      <c r="AN4">
        <v>3.8727429000000001E-2</v>
      </c>
      <c r="AP4">
        <v>-1.4208188E-2</v>
      </c>
      <c r="AR4">
        <v>6.6232493000000003E-2</v>
      </c>
      <c r="AT4">
        <v>8.4132998000000001E-2</v>
      </c>
      <c r="AV4">
        <v>9.0308999999999997E-3</v>
      </c>
      <c r="AX4">
        <v>6.0791812000000001E-2</v>
      </c>
      <c r="AZ4">
        <v>5.4771212999999999E-2</v>
      </c>
      <c r="BB4">
        <v>6.8388490999999996E-2</v>
      </c>
      <c r="BD4">
        <v>9.5424250000000002E-3</v>
      </c>
      <c r="BF4">
        <v>1.8750612999999999E-2</v>
      </c>
      <c r="BH4">
        <v>5.7781513E-2</v>
      </c>
      <c r="BJ4">
        <v>6.2041199999999998E-2</v>
      </c>
      <c r="BL4">
        <v>5.4161187E-2</v>
      </c>
      <c r="BN4">
        <v>3.6257080999999997E-2</v>
      </c>
      <c r="BP4">
        <v>5.2733194999999997E-2</v>
      </c>
      <c r="BR4">
        <v>6.8195438999999997E-2</v>
      </c>
      <c r="BT4">
        <v>5.5910394000000002E-2</v>
      </c>
      <c r="BV4">
        <v>3.6972293000000003E-2</v>
      </c>
      <c r="BX4">
        <v>3.4931601999999999E-2</v>
      </c>
      <c r="BZ4">
        <v>-3.3010299999999999E-2</v>
      </c>
      <c r="CB4">
        <v>3.5820888000000002E-2</v>
      </c>
      <c r="CD4">
        <v>5.1029999999999999E-3</v>
      </c>
      <c r="CF4">
        <v>4.1901961000000001E-2</v>
      </c>
      <c r="CH4">
        <v>3.0934217E-2</v>
      </c>
      <c r="CJ4">
        <v>-3.4202164E-2</v>
      </c>
      <c r="CL4">
        <v>-1.2212463999999999E-2</v>
      </c>
      <c r="CN4">
        <v>3.4030900000000003E-2</v>
      </c>
      <c r="CP4">
        <v>7.1789769000000003E-2</v>
      </c>
      <c r="CR4">
        <v>5.8749316000000003E-2</v>
      </c>
      <c r="CT4">
        <v>4.3864907000000002E-2</v>
      </c>
      <c r="CV4">
        <v>6.6020599999999999E-2</v>
      </c>
      <c r="CX4">
        <v>6.0206000000000001E-3</v>
      </c>
      <c r="CZ4">
        <v>7.3222193000000005E-2</v>
      </c>
      <c r="DB4">
        <v>3.7385487000000002E-2</v>
      </c>
      <c r="DD4">
        <v>4.7576296999999997E-2</v>
      </c>
      <c r="DF4">
        <v>4.0321250000000001E-3</v>
      </c>
      <c r="DH4">
        <v>2.7497363E-2</v>
      </c>
      <c r="DJ4">
        <v>2.2369304E-2</v>
      </c>
      <c r="DL4">
        <v>-7.8886319999999996E-3</v>
      </c>
      <c r="DN4">
        <v>5.7781513E-2</v>
      </c>
      <c r="DP4">
        <v>-1.1422455E-2</v>
      </c>
      <c r="DR4">
        <v>1.0413927E-2</v>
      </c>
      <c r="DT4">
        <v>-3.3187587999999997E-2</v>
      </c>
      <c r="DV4">
        <v>6.0206000000000001E-3</v>
      </c>
      <c r="DX4">
        <v>4.5709919000000002E-2</v>
      </c>
      <c r="DZ4">
        <v>2.2175523999999999E-2</v>
      </c>
      <c r="EB4">
        <v>4.0051499999999997E-2</v>
      </c>
      <c r="ED4">
        <v>1.4624670000000001E-3</v>
      </c>
      <c r="EF4">
        <v>7.1271048000000004E-2</v>
      </c>
      <c r="EH4">
        <v>5.4215909999999999E-2</v>
      </c>
    </row>
    <row r="6" spans="1:138">
      <c r="A6" t="s">
        <v>1975</v>
      </c>
      <c r="B6" t="s">
        <v>1822</v>
      </c>
      <c r="C6" t="s">
        <v>1976</v>
      </c>
      <c r="D6" t="s">
        <v>1822</v>
      </c>
      <c r="E6" t="s">
        <v>1976</v>
      </c>
      <c r="F6" t="s">
        <v>1822</v>
      </c>
      <c r="G6" t="s">
        <v>1976</v>
      </c>
      <c r="H6" t="s">
        <v>1822</v>
      </c>
      <c r="I6" t="s">
        <v>1976</v>
      </c>
      <c r="J6" t="s">
        <v>1822</v>
      </c>
      <c r="K6" t="s">
        <v>1976</v>
      </c>
      <c r="L6" t="s">
        <v>1822</v>
      </c>
      <c r="M6" t="s">
        <v>1976</v>
      </c>
      <c r="N6" t="s">
        <v>1822</v>
      </c>
      <c r="O6" t="s">
        <v>1976</v>
      </c>
      <c r="P6" t="s">
        <v>1822</v>
      </c>
      <c r="Q6" t="s">
        <v>1976</v>
      </c>
      <c r="R6" t="s">
        <v>1822</v>
      </c>
      <c r="S6" t="s">
        <v>1976</v>
      </c>
      <c r="T6" t="s">
        <v>1822</v>
      </c>
      <c r="U6" t="s">
        <v>1976</v>
      </c>
      <c r="V6" t="s">
        <v>1822</v>
      </c>
      <c r="W6" t="s">
        <v>1976</v>
      </c>
      <c r="X6" t="s">
        <v>1822</v>
      </c>
      <c r="Y6" t="s">
        <v>1976</v>
      </c>
      <c r="Z6" t="s">
        <v>1822</v>
      </c>
      <c r="AA6" t="s">
        <v>1976</v>
      </c>
      <c r="AB6" t="s">
        <v>1822</v>
      </c>
      <c r="AC6" t="s">
        <v>1976</v>
      </c>
      <c r="AD6" t="s">
        <v>1822</v>
      </c>
      <c r="AE6" t="s">
        <v>1976</v>
      </c>
      <c r="AF6" t="s">
        <v>1822</v>
      </c>
      <c r="AG6" t="s">
        <v>1976</v>
      </c>
      <c r="AH6" t="s">
        <v>1822</v>
      </c>
      <c r="AI6" t="s">
        <v>1976</v>
      </c>
      <c r="AJ6" t="s">
        <v>1822</v>
      </c>
      <c r="AK6" t="s">
        <v>1976</v>
      </c>
      <c r="AL6" t="s">
        <v>1822</v>
      </c>
      <c r="AM6" t="s">
        <v>1976</v>
      </c>
      <c r="AN6" t="s">
        <v>1822</v>
      </c>
      <c r="AO6" t="s">
        <v>1976</v>
      </c>
      <c r="AP6" t="s">
        <v>1822</v>
      </c>
      <c r="AQ6" t="s">
        <v>1976</v>
      </c>
      <c r="AR6" t="s">
        <v>1822</v>
      </c>
      <c r="AS6" t="s">
        <v>1976</v>
      </c>
      <c r="AT6" t="s">
        <v>1822</v>
      </c>
      <c r="AU6" t="s">
        <v>1976</v>
      </c>
      <c r="AV6" t="s">
        <v>1822</v>
      </c>
      <c r="AW6" t="s">
        <v>1976</v>
      </c>
      <c r="AX6" t="s">
        <v>1822</v>
      </c>
      <c r="AY6" t="s">
        <v>1976</v>
      </c>
      <c r="AZ6" t="s">
        <v>1822</v>
      </c>
      <c r="BA6" t="s">
        <v>1976</v>
      </c>
      <c r="BB6" t="s">
        <v>1822</v>
      </c>
      <c r="BC6" t="s">
        <v>1976</v>
      </c>
      <c r="BD6" t="s">
        <v>1822</v>
      </c>
      <c r="BE6" t="s">
        <v>1976</v>
      </c>
      <c r="BF6" t="s">
        <v>1822</v>
      </c>
      <c r="BG6" t="s">
        <v>1976</v>
      </c>
      <c r="BH6" t="s">
        <v>1822</v>
      </c>
      <c r="BI6" t="s">
        <v>1976</v>
      </c>
      <c r="BJ6" t="s">
        <v>1822</v>
      </c>
      <c r="BK6" t="s">
        <v>1976</v>
      </c>
      <c r="BL6" t="s">
        <v>1822</v>
      </c>
      <c r="BM6" t="s">
        <v>1976</v>
      </c>
      <c r="BN6" t="s">
        <v>1822</v>
      </c>
      <c r="BO6" t="s">
        <v>1976</v>
      </c>
      <c r="BP6" t="s">
        <v>1822</v>
      </c>
      <c r="BQ6" t="s">
        <v>1976</v>
      </c>
      <c r="BR6" t="s">
        <v>1822</v>
      </c>
      <c r="BS6" t="s">
        <v>1976</v>
      </c>
      <c r="BT6" t="s">
        <v>1822</v>
      </c>
      <c r="BU6" t="s">
        <v>1976</v>
      </c>
      <c r="BV6" t="s">
        <v>1822</v>
      </c>
      <c r="BW6" t="s">
        <v>1976</v>
      </c>
      <c r="BX6" t="s">
        <v>1822</v>
      </c>
      <c r="BY6" t="s">
        <v>1976</v>
      </c>
      <c r="BZ6" t="s">
        <v>1822</v>
      </c>
      <c r="CA6" t="s">
        <v>1976</v>
      </c>
      <c r="CB6" t="s">
        <v>1822</v>
      </c>
      <c r="CC6" t="s">
        <v>1976</v>
      </c>
      <c r="CD6" t="s">
        <v>1822</v>
      </c>
      <c r="CE6" t="s">
        <v>1976</v>
      </c>
      <c r="CF6" t="s">
        <v>1822</v>
      </c>
      <c r="CG6" t="s">
        <v>1976</v>
      </c>
      <c r="CH6" t="s">
        <v>1822</v>
      </c>
      <c r="CI6" t="s">
        <v>1976</v>
      </c>
      <c r="CJ6" t="s">
        <v>1822</v>
      </c>
      <c r="CK6" t="s">
        <v>1976</v>
      </c>
      <c r="CL6" t="s">
        <v>1822</v>
      </c>
      <c r="CM6" t="s">
        <v>1976</v>
      </c>
      <c r="CN6" t="s">
        <v>1822</v>
      </c>
      <c r="CO6" t="s">
        <v>1976</v>
      </c>
      <c r="CP6" t="s">
        <v>1822</v>
      </c>
      <c r="CQ6" t="s">
        <v>1976</v>
      </c>
      <c r="CR6" t="s">
        <v>1822</v>
      </c>
      <c r="CS6" t="s">
        <v>1976</v>
      </c>
      <c r="CT6" t="s">
        <v>1822</v>
      </c>
      <c r="CU6" t="s">
        <v>1976</v>
      </c>
      <c r="CV6" t="s">
        <v>1822</v>
      </c>
      <c r="CW6" t="s">
        <v>1976</v>
      </c>
      <c r="CX6" t="s">
        <v>1822</v>
      </c>
      <c r="CY6" t="s">
        <v>1976</v>
      </c>
      <c r="CZ6" t="s">
        <v>1822</v>
      </c>
      <c r="DA6" t="s">
        <v>1976</v>
      </c>
      <c r="DB6" t="s">
        <v>1822</v>
      </c>
      <c r="DC6" t="s">
        <v>1976</v>
      </c>
      <c r="DD6" t="s">
        <v>1822</v>
      </c>
      <c r="DE6" t="s">
        <v>1976</v>
      </c>
      <c r="DF6" t="s">
        <v>1822</v>
      </c>
      <c r="DG6" t="s">
        <v>1976</v>
      </c>
      <c r="DH6" t="s">
        <v>1822</v>
      </c>
      <c r="DI6" t="s">
        <v>1976</v>
      </c>
      <c r="DJ6" t="s">
        <v>1822</v>
      </c>
      <c r="DK6" t="s">
        <v>1976</v>
      </c>
      <c r="DL6" t="s">
        <v>1822</v>
      </c>
      <c r="DM6" t="s">
        <v>1976</v>
      </c>
      <c r="DN6" t="s">
        <v>1822</v>
      </c>
      <c r="DO6" t="s">
        <v>1976</v>
      </c>
      <c r="DP6" t="s">
        <v>1822</v>
      </c>
      <c r="DQ6" t="s">
        <v>1976</v>
      </c>
      <c r="DR6" t="s">
        <v>1822</v>
      </c>
      <c r="DS6" t="s">
        <v>1976</v>
      </c>
      <c r="DT6" t="s">
        <v>1822</v>
      </c>
      <c r="DU6" t="s">
        <v>1976</v>
      </c>
      <c r="DV6" t="s">
        <v>1822</v>
      </c>
      <c r="DW6" t="s">
        <v>1976</v>
      </c>
      <c r="DX6" t="s">
        <v>1822</v>
      </c>
      <c r="DY6" t="s">
        <v>1976</v>
      </c>
      <c r="DZ6" t="s">
        <v>1822</v>
      </c>
      <c r="EA6" t="s">
        <v>1976</v>
      </c>
      <c r="EB6" t="s">
        <v>1822</v>
      </c>
      <c r="EC6" t="s">
        <v>1976</v>
      </c>
      <c r="ED6" t="s">
        <v>1822</v>
      </c>
      <c r="EE6" t="s">
        <v>1976</v>
      </c>
      <c r="EF6" t="s">
        <v>1822</v>
      </c>
      <c r="EG6" t="s">
        <v>1976</v>
      </c>
    </row>
    <row r="7" spans="1:138">
      <c r="B7" s="88">
        <v>46118.666666666664</v>
      </c>
      <c r="C7">
        <v>258.86</v>
      </c>
      <c r="D7" s="88">
        <v>46118.666666666664</v>
      </c>
      <c r="E7">
        <v>244.36</v>
      </c>
      <c r="F7" s="88">
        <v>46118.666666666664</v>
      </c>
      <c r="G7">
        <v>37.979999999999997</v>
      </c>
      <c r="H7" s="88">
        <v>46118.666666666664</v>
      </c>
      <c r="I7">
        <v>212.79</v>
      </c>
      <c r="J7" s="88">
        <v>46118.666666666664</v>
      </c>
      <c r="K7">
        <v>94.81</v>
      </c>
      <c r="L7" s="88">
        <v>46118.666666666664</v>
      </c>
      <c r="M7">
        <v>17.48</v>
      </c>
      <c r="N7" s="88">
        <v>46118.666666666664</v>
      </c>
      <c r="O7">
        <v>314.43</v>
      </c>
      <c r="P7" s="88">
        <v>46118.666666666664</v>
      </c>
      <c r="Q7">
        <v>122.31</v>
      </c>
      <c r="R7" s="88">
        <v>46118.666666666664</v>
      </c>
      <c r="S7">
        <v>20.6</v>
      </c>
      <c r="T7" s="88">
        <v>46118.666666666664</v>
      </c>
      <c r="U7">
        <v>33.03</v>
      </c>
      <c r="V7" s="88">
        <v>46118.666666666664</v>
      </c>
      <c r="W7">
        <v>1.0900000000000001</v>
      </c>
      <c r="X7" s="88">
        <v>46118.666666666664</v>
      </c>
      <c r="Y7">
        <v>8.5299999999999994</v>
      </c>
      <c r="Z7" s="88">
        <v>46118.666666666664</v>
      </c>
      <c r="AA7">
        <v>96.28</v>
      </c>
      <c r="AB7" s="88">
        <v>46118.666666666664</v>
      </c>
      <c r="AC7">
        <v>199.66</v>
      </c>
      <c r="AD7" s="88">
        <v>46118.666666666664</v>
      </c>
      <c r="AE7">
        <v>111.09</v>
      </c>
      <c r="AF7" s="88">
        <v>46118.666666666664</v>
      </c>
      <c r="AG7">
        <v>26.47</v>
      </c>
      <c r="AH7" s="88">
        <v>46118.666666666664</v>
      </c>
      <c r="AI7">
        <v>923.68</v>
      </c>
      <c r="AJ7" s="88">
        <v>46118.666666666664</v>
      </c>
      <c r="AK7">
        <v>21.42</v>
      </c>
      <c r="AL7" s="88">
        <v>46118.666666666664</v>
      </c>
      <c r="AM7">
        <v>34.85</v>
      </c>
      <c r="AN7" s="88">
        <v>46118.666666666664</v>
      </c>
      <c r="AO7">
        <v>299.99</v>
      </c>
      <c r="AP7" s="88">
        <v>46118.666666666664</v>
      </c>
      <c r="AQ7">
        <v>866.05</v>
      </c>
      <c r="AR7" s="88">
        <v>46118.666666666664</v>
      </c>
      <c r="AS7">
        <v>326.64999999999998</v>
      </c>
      <c r="AT7" s="88">
        <v>46118.666666666664</v>
      </c>
      <c r="AU7">
        <v>69.78</v>
      </c>
      <c r="AV7" s="88">
        <v>46118.666666666664</v>
      </c>
      <c r="AW7">
        <v>26.89</v>
      </c>
      <c r="AX7" s="88">
        <v>46118.666666666664</v>
      </c>
      <c r="AY7">
        <v>35.130000000000003</v>
      </c>
      <c r="AZ7" s="88">
        <v>46118.666666666664</v>
      </c>
      <c r="BA7">
        <v>9.7200000000000006</v>
      </c>
      <c r="BB7" s="88">
        <v>46118.666666666664</v>
      </c>
      <c r="BC7">
        <v>772.28</v>
      </c>
      <c r="BD7" s="88">
        <v>46118.666666666664</v>
      </c>
      <c r="BE7">
        <v>156.18</v>
      </c>
      <c r="BF7" s="88">
        <v>46118.666666666664</v>
      </c>
      <c r="BG7">
        <v>22.92</v>
      </c>
      <c r="BH7" s="88">
        <v>46118.666666666664</v>
      </c>
      <c r="BI7">
        <v>160.12</v>
      </c>
      <c r="BJ7" s="88">
        <v>46118.666666666664</v>
      </c>
      <c r="BK7">
        <v>5.9</v>
      </c>
      <c r="BL7" s="88">
        <v>46118.666666666664</v>
      </c>
      <c r="BM7">
        <v>573.02</v>
      </c>
      <c r="BN7" s="88">
        <v>46118.666666666664</v>
      </c>
      <c r="BO7">
        <v>26.51</v>
      </c>
      <c r="BP7" s="88">
        <v>46118.666666666664</v>
      </c>
      <c r="BQ7">
        <v>372.88</v>
      </c>
      <c r="BR7" s="88">
        <v>46118.666666666664</v>
      </c>
      <c r="BS7">
        <v>129.63</v>
      </c>
      <c r="BT7" s="88">
        <v>46118.666666666664</v>
      </c>
      <c r="BU7">
        <v>377.76</v>
      </c>
      <c r="BV7" s="88">
        <v>46118.666666666664</v>
      </c>
      <c r="BW7">
        <v>98.93</v>
      </c>
      <c r="BX7" s="88">
        <v>46118.666666666664</v>
      </c>
      <c r="BY7">
        <v>44.03</v>
      </c>
      <c r="BZ7" s="88">
        <v>46118.666666666664</v>
      </c>
      <c r="CA7">
        <v>16.61</v>
      </c>
      <c r="CB7" s="88">
        <v>46118.666666666664</v>
      </c>
      <c r="CC7">
        <v>177.64</v>
      </c>
      <c r="CD7" s="88">
        <v>46118.666666666664</v>
      </c>
      <c r="CE7">
        <v>36.67</v>
      </c>
      <c r="CF7" s="88">
        <v>46118.666666666664</v>
      </c>
      <c r="CG7">
        <v>48.76</v>
      </c>
      <c r="CH7" s="88">
        <v>46118.666666666664</v>
      </c>
      <c r="CI7">
        <v>9.52</v>
      </c>
      <c r="CJ7" s="88">
        <v>46118.666666666664</v>
      </c>
      <c r="CK7">
        <v>145.54</v>
      </c>
      <c r="CL7" s="88">
        <v>46118.666666666664</v>
      </c>
      <c r="CM7">
        <v>62.96</v>
      </c>
      <c r="CN7" s="88">
        <v>46118.666666666664</v>
      </c>
      <c r="CO7">
        <v>11.15</v>
      </c>
      <c r="CP7" s="88">
        <v>46118.666666666664</v>
      </c>
      <c r="CQ7">
        <v>35.020000000000003</v>
      </c>
      <c r="CR7" s="88">
        <v>46118.666666666664</v>
      </c>
      <c r="CS7">
        <v>147.93</v>
      </c>
      <c r="CT7" s="88">
        <v>46118.666666666664</v>
      </c>
      <c r="CU7">
        <v>6.08</v>
      </c>
      <c r="CV7" s="88">
        <v>46118.666666666664</v>
      </c>
      <c r="CW7">
        <v>13.06</v>
      </c>
      <c r="CX7" s="88">
        <v>46118.666666666664</v>
      </c>
      <c r="CY7">
        <v>9.64</v>
      </c>
      <c r="CZ7" s="88">
        <v>46118.666666666664</v>
      </c>
      <c r="DA7">
        <v>15.29</v>
      </c>
      <c r="DB7" s="88">
        <v>46118.666666666664</v>
      </c>
      <c r="DC7">
        <v>67.67</v>
      </c>
      <c r="DD7" s="88">
        <v>46118.666666666664</v>
      </c>
      <c r="DE7">
        <v>22.05</v>
      </c>
      <c r="DF7" s="88">
        <v>46118.666666666664</v>
      </c>
      <c r="DG7">
        <v>4.71</v>
      </c>
      <c r="DH7" s="88">
        <v>46118.666666666664</v>
      </c>
      <c r="DI7">
        <v>16.27</v>
      </c>
      <c r="DJ7" s="88">
        <v>46118.666666666664</v>
      </c>
      <c r="DK7">
        <v>658.93</v>
      </c>
      <c r="DL7" s="88">
        <v>46118.666666666664</v>
      </c>
      <c r="DM7">
        <v>352.82</v>
      </c>
      <c r="DN7" s="88">
        <v>46118.666666666664</v>
      </c>
      <c r="DO7">
        <v>18.61</v>
      </c>
      <c r="DP7" s="88">
        <v>46118.666666666664</v>
      </c>
      <c r="DQ7">
        <v>90.97</v>
      </c>
      <c r="DR7" s="88">
        <v>46118.666666666664</v>
      </c>
      <c r="DS7">
        <v>8.2799999999999994</v>
      </c>
      <c r="DT7" s="88">
        <v>46118.666666666664</v>
      </c>
      <c r="DU7">
        <v>72.17</v>
      </c>
      <c r="DV7" s="88">
        <v>46118.666666666664</v>
      </c>
      <c r="DW7">
        <v>13.71</v>
      </c>
      <c r="DX7" s="88">
        <v>46118.666666666664</v>
      </c>
      <c r="DY7">
        <v>138.94</v>
      </c>
      <c r="DZ7" s="88">
        <v>46118.666666666664</v>
      </c>
      <c r="EA7">
        <v>118</v>
      </c>
      <c r="EB7" s="88">
        <v>46118.666666666664</v>
      </c>
      <c r="EC7">
        <v>15.94</v>
      </c>
      <c r="ED7" s="88">
        <v>46118.666666666664</v>
      </c>
      <c r="EE7">
        <v>7.09</v>
      </c>
      <c r="EF7" s="88">
        <v>46118.666666666664</v>
      </c>
      <c r="EG7">
        <v>82.68</v>
      </c>
    </row>
    <row r="8" spans="1:138">
      <c r="B8" s="88">
        <v>46119.666666666664</v>
      </c>
      <c r="C8">
        <v>253.5</v>
      </c>
      <c r="D8" s="88">
        <v>46119.666666666664</v>
      </c>
      <c r="E8">
        <v>240.14</v>
      </c>
      <c r="F8" s="88">
        <v>46119.666666666664</v>
      </c>
      <c r="G8">
        <v>36.93</v>
      </c>
      <c r="H8" s="88">
        <v>46119.666666666664</v>
      </c>
      <c r="I8">
        <v>213.77</v>
      </c>
      <c r="J8" s="88">
        <v>46119.666666666664</v>
      </c>
      <c r="K8">
        <v>92.57</v>
      </c>
      <c r="L8" s="88">
        <v>46119.666666666664</v>
      </c>
      <c r="M8">
        <v>17.510000000000002</v>
      </c>
      <c r="N8" s="88">
        <v>46119.666666666664</v>
      </c>
      <c r="O8">
        <v>333.97</v>
      </c>
      <c r="P8" s="88">
        <v>46119.666666666664</v>
      </c>
      <c r="Q8">
        <v>119.72</v>
      </c>
      <c r="R8" s="88">
        <v>46119.666666666664</v>
      </c>
      <c r="S8">
        <v>20.170000000000002</v>
      </c>
      <c r="T8" s="88">
        <v>46119.666666666664</v>
      </c>
      <c r="U8">
        <v>31.96</v>
      </c>
      <c r="V8" s="88">
        <v>46119.666666666664</v>
      </c>
      <c r="W8">
        <v>1.01</v>
      </c>
      <c r="X8" s="88">
        <v>46119.666666666664</v>
      </c>
      <c r="Y8">
        <v>8.7100000000000009</v>
      </c>
      <c r="Z8" s="88">
        <v>46119.666666666664</v>
      </c>
      <c r="AA8">
        <v>95.78</v>
      </c>
      <c r="AB8" s="88">
        <v>46119.666666666664</v>
      </c>
      <c r="AC8">
        <v>200.35</v>
      </c>
      <c r="AD8" s="88">
        <v>46119.666666666664</v>
      </c>
      <c r="AE8">
        <v>106.42</v>
      </c>
      <c r="AF8" s="88">
        <v>46119.666666666664</v>
      </c>
      <c r="AG8">
        <v>26.58</v>
      </c>
      <c r="AH8" s="88">
        <v>46119.666666666664</v>
      </c>
      <c r="AI8">
        <v>914.17</v>
      </c>
      <c r="AJ8" s="88">
        <v>46119.666666666664</v>
      </c>
      <c r="AK8">
        <v>21.19</v>
      </c>
      <c r="AL8" s="88">
        <v>46119.666666666664</v>
      </c>
      <c r="AM8">
        <v>35.57</v>
      </c>
      <c r="AN8" s="88">
        <v>46119.666666666664</v>
      </c>
      <c r="AO8">
        <v>305.45999999999998</v>
      </c>
      <c r="AP8" s="88">
        <v>46119.666666666664</v>
      </c>
      <c r="AQ8">
        <v>864.15</v>
      </c>
      <c r="AR8" s="88">
        <v>46119.666666666664</v>
      </c>
      <c r="AS8">
        <v>318.77</v>
      </c>
      <c r="AT8" s="88">
        <v>46119.666666666664</v>
      </c>
      <c r="AU8">
        <v>69.650000000000006</v>
      </c>
      <c r="AV8" s="88">
        <v>46119.666666666664</v>
      </c>
      <c r="AW8">
        <v>27.21</v>
      </c>
      <c r="AX8" s="88">
        <v>46119.666666666664</v>
      </c>
      <c r="AY8">
        <v>35.74</v>
      </c>
      <c r="AZ8" s="88">
        <v>46119.666666666664</v>
      </c>
      <c r="BA8">
        <v>9.7899999999999991</v>
      </c>
      <c r="BB8" s="88">
        <v>46119.666666666664</v>
      </c>
      <c r="BC8">
        <v>815.75</v>
      </c>
      <c r="BD8" s="88">
        <v>46119.666666666664</v>
      </c>
      <c r="BE8">
        <v>153.66999999999999</v>
      </c>
      <c r="BF8" s="88">
        <v>46119.666666666664</v>
      </c>
      <c r="BG8">
        <v>22.73</v>
      </c>
      <c r="BH8" s="88">
        <v>46119.666666666664</v>
      </c>
      <c r="BI8">
        <v>158.29</v>
      </c>
      <c r="BJ8" s="88">
        <v>46119.666666666664</v>
      </c>
      <c r="BK8">
        <v>5.67</v>
      </c>
      <c r="BL8" s="88">
        <v>46119.666666666664</v>
      </c>
      <c r="BM8">
        <v>575.04999999999995</v>
      </c>
      <c r="BN8" s="88">
        <v>46119.666666666664</v>
      </c>
      <c r="BO8">
        <v>26.37</v>
      </c>
      <c r="BP8" s="88">
        <v>46119.666666666664</v>
      </c>
      <c r="BQ8">
        <v>372.29</v>
      </c>
      <c r="BR8" s="88">
        <v>46119.666666666664</v>
      </c>
      <c r="BS8">
        <v>129.71</v>
      </c>
      <c r="BT8" s="88">
        <v>46119.666666666664</v>
      </c>
      <c r="BU8">
        <v>377.58</v>
      </c>
      <c r="BV8" s="88">
        <v>46119.666666666664</v>
      </c>
      <c r="BW8">
        <v>98.82</v>
      </c>
      <c r="BX8" s="88">
        <v>46119.666666666664</v>
      </c>
      <c r="BY8">
        <v>42.69</v>
      </c>
      <c r="BZ8" s="88">
        <v>46119.666666666664</v>
      </c>
      <c r="CA8">
        <v>15.07</v>
      </c>
      <c r="CB8" s="88">
        <v>46119.666666666664</v>
      </c>
      <c r="CC8">
        <v>178.1</v>
      </c>
      <c r="CD8" s="88">
        <v>46119.666666666664</v>
      </c>
      <c r="CE8">
        <v>36.909999999999997</v>
      </c>
      <c r="CF8" s="88">
        <v>46119.666666666664</v>
      </c>
      <c r="CG8">
        <v>46.59</v>
      </c>
      <c r="CH8" s="88">
        <v>46119.666666666664</v>
      </c>
      <c r="CI8">
        <v>9.5299999999999994</v>
      </c>
      <c r="CJ8" s="88">
        <v>46119.666666666664</v>
      </c>
      <c r="CK8">
        <v>143.16999999999999</v>
      </c>
      <c r="CL8" s="88">
        <v>46119.666666666664</v>
      </c>
      <c r="CM8">
        <v>62.94</v>
      </c>
      <c r="CN8" s="88">
        <v>46119.666666666664</v>
      </c>
      <c r="CO8">
        <v>10.95</v>
      </c>
      <c r="CP8" s="88">
        <v>46119.666666666664</v>
      </c>
      <c r="CQ8">
        <v>35.17</v>
      </c>
      <c r="CR8" s="88">
        <v>46119.666666666664</v>
      </c>
      <c r="CS8">
        <v>150.07</v>
      </c>
      <c r="CT8" s="88">
        <v>46119.666666666664</v>
      </c>
      <c r="CU8">
        <v>5.96</v>
      </c>
      <c r="CV8" s="88">
        <v>46119.666666666664</v>
      </c>
      <c r="CW8">
        <v>12.08</v>
      </c>
      <c r="CX8" s="88">
        <v>46119.666666666664</v>
      </c>
      <c r="CY8">
        <v>9.5</v>
      </c>
      <c r="CZ8" s="88">
        <v>46119.666666666664</v>
      </c>
      <c r="DA8">
        <v>14.69</v>
      </c>
      <c r="DB8" s="88">
        <v>46119.666666666664</v>
      </c>
      <c r="DC8">
        <v>66.319999999999993</v>
      </c>
      <c r="DD8" s="88">
        <v>46119.666666666664</v>
      </c>
      <c r="DE8">
        <v>22.67</v>
      </c>
      <c r="DF8" s="88">
        <v>46119.666666666664</v>
      </c>
      <c r="DG8">
        <v>4.8</v>
      </c>
      <c r="DH8" s="88">
        <v>46119.666666666664</v>
      </c>
      <c r="DI8">
        <v>16.11</v>
      </c>
      <c r="DJ8" s="88">
        <v>46119.666666666664</v>
      </c>
      <c r="DK8">
        <v>659.22</v>
      </c>
      <c r="DL8" s="88">
        <v>46119.666666666664</v>
      </c>
      <c r="DM8">
        <v>346.65</v>
      </c>
      <c r="DN8" s="88">
        <v>46119.666666666664</v>
      </c>
      <c r="DO8">
        <v>18.91</v>
      </c>
      <c r="DP8" s="88">
        <v>46119.666666666664</v>
      </c>
      <c r="DQ8">
        <v>89.29</v>
      </c>
      <c r="DR8" s="88">
        <v>46119.666666666664</v>
      </c>
      <c r="DS8">
        <v>8.1300000000000008</v>
      </c>
      <c r="DT8" s="88">
        <v>46119.666666666664</v>
      </c>
      <c r="DU8">
        <v>71.73</v>
      </c>
      <c r="DV8" s="88">
        <v>46119.666666666664</v>
      </c>
      <c r="DW8">
        <v>13.15</v>
      </c>
      <c r="DX8" s="88">
        <v>46119.666666666664</v>
      </c>
      <c r="DY8">
        <v>138.08000000000001</v>
      </c>
      <c r="DZ8" s="88">
        <v>46119.666666666664</v>
      </c>
      <c r="EA8">
        <v>113.71</v>
      </c>
      <c r="EB8" s="88">
        <v>46119.666666666664</v>
      </c>
      <c r="EC8">
        <v>15.99</v>
      </c>
      <c r="ED8" s="88">
        <v>46119.666666666664</v>
      </c>
      <c r="EE8">
        <v>6.89</v>
      </c>
      <c r="EF8" s="88">
        <v>46119.666666666664</v>
      </c>
      <c r="EG8">
        <v>84.02</v>
      </c>
    </row>
    <row r="9" spans="1:138">
      <c r="B9" s="88">
        <v>46120.666666666664</v>
      </c>
      <c r="C9">
        <v>258.89999999999998</v>
      </c>
      <c r="D9" s="88">
        <v>46120.666666666664</v>
      </c>
      <c r="E9">
        <v>239.31</v>
      </c>
      <c r="F9" s="88">
        <v>46120.666666666664</v>
      </c>
      <c r="G9">
        <v>39.909999999999997</v>
      </c>
      <c r="H9" s="88">
        <v>46120.666666666664</v>
      </c>
      <c r="I9">
        <v>221.25</v>
      </c>
      <c r="J9" s="88">
        <v>46120.666666666664</v>
      </c>
      <c r="K9">
        <v>96.46</v>
      </c>
      <c r="L9" s="88">
        <v>46120.666666666664</v>
      </c>
      <c r="M9">
        <v>18.12</v>
      </c>
      <c r="N9" s="88">
        <v>46120.666666666664</v>
      </c>
      <c r="O9">
        <v>350.63</v>
      </c>
      <c r="P9" s="88">
        <v>46120.666666666664</v>
      </c>
      <c r="Q9">
        <v>125.32</v>
      </c>
      <c r="R9" s="88">
        <v>46120.666666666664</v>
      </c>
      <c r="S9">
        <v>21.52</v>
      </c>
      <c r="T9" s="88">
        <v>46120.666666666664</v>
      </c>
      <c r="U9">
        <v>30.18</v>
      </c>
      <c r="V9" s="88">
        <v>46120.666666666664</v>
      </c>
      <c r="W9">
        <v>1.08</v>
      </c>
      <c r="X9" s="88">
        <v>46120.666666666664</v>
      </c>
      <c r="Y9">
        <v>9.0399999999999991</v>
      </c>
      <c r="Z9" s="88">
        <v>46120.666666666664</v>
      </c>
      <c r="AA9">
        <v>99.18</v>
      </c>
      <c r="AB9" s="88">
        <v>46120.666666666664</v>
      </c>
      <c r="AC9">
        <v>204.75</v>
      </c>
      <c r="AD9" s="88">
        <v>46120.666666666664</v>
      </c>
      <c r="AE9">
        <v>105.62</v>
      </c>
      <c r="AF9" s="88">
        <v>46120.666666666664</v>
      </c>
      <c r="AG9">
        <v>27.39</v>
      </c>
      <c r="AH9" s="88">
        <v>46120.666666666664</v>
      </c>
      <c r="AI9">
        <v>920.52</v>
      </c>
      <c r="AJ9" s="88">
        <v>46120.666666666664</v>
      </c>
      <c r="AK9">
        <v>20.149999999999999</v>
      </c>
      <c r="AL9" s="88">
        <v>46120.666666666664</v>
      </c>
      <c r="AM9">
        <v>38.119999999999997</v>
      </c>
      <c r="AN9" s="88">
        <v>46120.666666666664</v>
      </c>
      <c r="AO9">
        <v>317.32</v>
      </c>
      <c r="AP9" s="88">
        <v>46120.666666666664</v>
      </c>
      <c r="AQ9">
        <v>905.75</v>
      </c>
      <c r="AR9" s="88">
        <v>46120.666666666664</v>
      </c>
      <c r="AS9">
        <v>336.16</v>
      </c>
      <c r="AT9" s="88">
        <v>46120.666666666664</v>
      </c>
      <c r="AU9">
        <v>71.83</v>
      </c>
      <c r="AV9" s="88">
        <v>46120.666666666664</v>
      </c>
      <c r="AW9">
        <v>30.95</v>
      </c>
      <c r="AX9" s="88">
        <v>46120.666666666664</v>
      </c>
      <c r="AY9">
        <v>36.83</v>
      </c>
      <c r="AZ9" s="88">
        <v>46120.666666666664</v>
      </c>
      <c r="BA9">
        <v>10.45</v>
      </c>
      <c r="BB9" s="88">
        <v>46120.666666666664</v>
      </c>
      <c r="BC9">
        <v>896.02</v>
      </c>
      <c r="BD9" s="88">
        <v>46120.666666666664</v>
      </c>
      <c r="BE9">
        <v>158.86000000000001</v>
      </c>
      <c r="BF9" s="88">
        <v>46120.666666666664</v>
      </c>
      <c r="BG9">
        <v>23.39</v>
      </c>
      <c r="BH9" s="88">
        <v>46120.666666666664</v>
      </c>
      <c r="BI9">
        <v>163.56</v>
      </c>
      <c r="BJ9" s="88">
        <v>46120.666666666664</v>
      </c>
      <c r="BK9">
        <v>5.84</v>
      </c>
      <c r="BL9" s="88">
        <v>46120.666666666664</v>
      </c>
      <c r="BM9">
        <v>612.41999999999996</v>
      </c>
      <c r="BN9" s="88">
        <v>46120.666666666664</v>
      </c>
      <c r="BO9">
        <v>26.62</v>
      </c>
      <c r="BP9" s="88">
        <v>46120.666666666664</v>
      </c>
      <c r="BQ9">
        <v>374.33</v>
      </c>
      <c r="BR9" s="88">
        <v>46120.666666666664</v>
      </c>
      <c r="BS9">
        <v>129.5</v>
      </c>
      <c r="BT9" s="88">
        <v>46120.666666666664</v>
      </c>
      <c r="BU9">
        <v>406.73</v>
      </c>
      <c r="BV9" s="88">
        <v>46120.666666666664</v>
      </c>
      <c r="BW9">
        <v>99.39</v>
      </c>
      <c r="BX9" s="88">
        <v>46120.666666666664</v>
      </c>
      <c r="BY9">
        <v>43.13</v>
      </c>
      <c r="BZ9" s="88">
        <v>46120.666666666664</v>
      </c>
      <c r="CA9">
        <v>14.59</v>
      </c>
      <c r="CB9" s="88">
        <v>46120.666666666664</v>
      </c>
      <c r="CC9">
        <v>182.08</v>
      </c>
      <c r="CD9" s="88">
        <v>46120.666666666664</v>
      </c>
      <c r="CE9">
        <v>37.61</v>
      </c>
      <c r="CF9" s="88">
        <v>46120.666666666664</v>
      </c>
      <c r="CG9">
        <v>50.21</v>
      </c>
      <c r="CH9" s="88">
        <v>46120.666666666664</v>
      </c>
      <c r="CI9">
        <v>9.4499999999999993</v>
      </c>
      <c r="CJ9" s="88">
        <v>46120.666666666664</v>
      </c>
      <c r="CK9">
        <v>143.66</v>
      </c>
      <c r="CL9" s="88">
        <v>46120.666666666664</v>
      </c>
      <c r="CM9">
        <v>59.77</v>
      </c>
      <c r="CN9" s="88">
        <v>46120.666666666664</v>
      </c>
      <c r="CO9">
        <v>10.39</v>
      </c>
      <c r="CP9" s="88">
        <v>46120.666666666664</v>
      </c>
      <c r="CQ9">
        <v>36.549999999999997</v>
      </c>
      <c r="CR9" s="88">
        <v>46120.666666666664</v>
      </c>
      <c r="CS9">
        <v>140.76</v>
      </c>
      <c r="CT9" s="88">
        <v>46120.666666666664</v>
      </c>
      <c r="CU9">
        <v>6.22</v>
      </c>
      <c r="CV9" s="88">
        <v>46120.666666666664</v>
      </c>
      <c r="CW9">
        <v>13.04</v>
      </c>
      <c r="CX9" s="88">
        <v>46120.666666666664</v>
      </c>
      <c r="CY9">
        <v>9.7899999999999991</v>
      </c>
      <c r="CZ9" s="88">
        <v>46120.666666666664</v>
      </c>
      <c r="DA9">
        <v>15.14</v>
      </c>
      <c r="DB9" s="88">
        <v>46120.666666666664</v>
      </c>
      <c r="DC9">
        <v>69.08</v>
      </c>
      <c r="DD9" s="88">
        <v>46120.666666666664</v>
      </c>
      <c r="DE9">
        <v>23.37</v>
      </c>
      <c r="DF9" s="88">
        <v>46120.666666666664</v>
      </c>
      <c r="DG9">
        <v>4.7300000000000004</v>
      </c>
      <c r="DH9" s="88">
        <v>46120.666666666664</v>
      </c>
      <c r="DI9">
        <v>16.489999999999998</v>
      </c>
      <c r="DJ9" s="88">
        <v>46120.666666666664</v>
      </c>
      <c r="DK9">
        <v>676.01</v>
      </c>
      <c r="DL9" s="88">
        <v>46120.666666666664</v>
      </c>
      <c r="DM9">
        <v>343.25</v>
      </c>
      <c r="DN9" s="88">
        <v>46120.666666666664</v>
      </c>
      <c r="DO9">
        <v>19.399999999999999</v>
      </c>
      <c r="DP9" s="88">
        <v>46120.666666666664</v>
      </c>
      <c r="DQ9">
        <v>96.3</v>
      </c>
      <c r="DR9" s="88">
        <v>46120.666666666664</v>
      </c>
      <c r="DS9">
        <v>8.84</v>
      </c>
      <c r="DT9" s="88">
        <v>46120.666666666664</v>
      </c>
      <c r="DU9">
        <v>72.38</v>
      </c>
      <c r="DV9" s="88">
        <v>46120.666666666664</v>
      </c>
      <c r="DW9">
        <v>12.85</v>
      </c>
      <c r="DX9" s="88">
        <v>46120.666666666664</v>
      </c>
      <c r="DY9">
        <v>124.58</v>
      </c>
      <c r="DZ9" s="88">
        <v>46120.666666666664</v>
      </c>
      <c r="EA9">
        <v>119.74</v>
      </c>
      <c r="EB9" s="88">
        <v>46120.666666666664</v>
      </c>
      <c r="EC9">
        <v>14.44</v>
      </c>
      <c r="ED9" s="88">
        <v>46120.666666666664</v>
      </c>
      <c r="EE9">
        <v>7.06</v>
      </c>
      <c r="EF9" s="88">
        <v>46120.666666666664</v>
      </c>
      <c r="EG9">
        <v>83.23</v>
      </c>
    </row>
    <row r="10" spans="1:138">
      <c r="B10" s="88">
        <v>46121.666666666664</v>
      </c>
      <c r="C10">
        <v>260.49</v>
      </c>
      <c r="D10" s="88">
        <v>46121.666666666664</v>
      </c>
      <c r="E10">
        <v>229.94</v>
      </c>
      <c r="F10" s="88">
        <v>46121.666666666664</v>
      </c>
      <c r="G10">
        <v>39.9</v>
      </c>
      <c r="H10" s="88">
        <v>46121.666666666664</v>
      </c>
      <c r="I10">
        <v>233.65</v>
      </c>
      <c r="J10" s="88">
        <v>46121.666666666664</v>
      </c>
      <c r="K10">
        <v>91.61</v>
      </c>
      <c r="L10" s="88">
        <v>46121.666666666664</v>
      </c>
      <c r="M10">
        <v>18.12</v>
      </c>
      <c r="N10" s="88">
        <v>46121.666666666664</v>
      </c>
      <c r="O10">
        <v>354.91</v>
      </c>
      <c r="P10" s="88">
        <v>46121.666666666664</v>
      </c>
      <c r="Q10">
        <v>127.68</v>
      </c>
      <c r="R10" s="88">
        <v>46121.666666666664</v>
      </c>
      <c r="S10">
        <v>21.08</v>
      </c>
      <c r="T10" s="88">
        <v>46121.666666666664</v>
      </c>
      <c r="U10">
        <v>27.71</v>
      </c>
      <c r="V10" s="88">
        <v>46121.666666666664</v>
      </c>
      <c r="W10">
        <v>1.07</v>
      </c>
      <c r="X10" s="88">
        <v>46121.666666666664</v>
      </c>
      <c r="Y10">
        <v>9.23</v>
      </c>
      <c r="Z10" s="88">
        <v>46121.666666666664</v>
      </c>
      <c r="AA10">
        <v>99.79</v>
      </c>
      <c r="AB10" s="88">
        <v>46121.666666666664</v>
      </c>
      <c r="AC10">
        <v>212.62</v>
      </c>
      <c r="AD10" s="88">
        <v>46121.666666666664</v>
      </c>
      <c r="AE10">
        <v>102.6</v>
      </c>
      <c r="AF10" s="88">
        <v>46121.666666666664</v>
      </c>
      <c r="AG10">
        <v>27.7</v>
      </c>
      <c r="AH10" s="88">
        <v>46121.666666666664</v>
      </c>
      <c r="AI10">
        <v>928.47</v>
      </c>
      <c r="AJ10" s="88">
        <v>46121.666666666664</v>
      </c>
      <c r="AK10">
        <v>19.079999999999998</v>
      </c>
      <c r="AL10" s="88">
        <v>46121.666666666664</v>
      </c>
      <c r="AM10">
        <v>37.57</v>
      </c>
      <c r="AN10" s="88">
        <v>46121.666666666664</v>
      </c>
      <c r="AO10">
        <v>318.49</v>
      </c>
      <c r="AP10" s="88">
        <v>46121.666666666664</v>
      </c>
      <c r="AQ10">
        <v>903.72</v>
      </c>
      <c r="AR10" s="88">
        <v>46121.666666666664</v>
      </c>
      <c r="AS10">
        <v>339.58</v>
      </c>
      <c r="AT10" s="88">
        <v>46121.666666666664</v>
      </c>
      <c r="AU10">
        <v>70.12</v>
      </c>
      <c r="AV10" s="88">
        <v>46121.666666666664</v>
      </c>
      <c r="AW10">
        <v>31.12</v>
      </c>
      <c r="AX10" s="88">
        <v>46121.666666666664</v>
      </c>
      <c r="AY10">
        <v>37.06</v>
      </c>
      <c r="AZ10" s="88">
        <v>46121.666666666664</v>
      </c>
      <c r="BA10">
        <v>10.64</v>
      </c>
      <c r="BB10" s="88">
        <v>46121.666666666664</v>
      </c>
      <c r="BC10">
        <v>894.13</v>
      </c>
      <c r="BD10" s="88">
        <v>46121.666666666664</v>
      </c>
      <c r="BE10">
        <v>166.51</v>
      </c>
      <c r="BF10" s="88">
        <v>46121.666666666664</v>
      </c>
      <c r="BG10">
        <v>21.97</v>
      </c>
      <c r="BH10" s="88">
        <v>46121.666666666664</v>
      </c>
      <c r="BI10">
        <v>163.66</v>
      </c>
      <c r="BJ10" s="88">
        <v>46121.666666666664</v>
      </c>
      <c r="BK10">
        <v>5.87</v>
      </c>
      <c r="BL10" s="88">
        <v>46121.666666666664</v>
      </c>
      <c r="BM10">
        <v>628.39</v>
      </c>
      <c r="BN10" s="88">
        <v>46121.666666666664</v>
      </c>
      <c r="BO10">
        <v>25.27</v>
      </c>
      <c r="BP10" s="88">
        <v>46121.666666666664</v>
      </c>
      <c r="BQ10">
        <v>373.07</v>
      </c>
      <c r="BR10" s="88">
        <v>46121.666666666664</v>
      </c>
      <c r="BS10">
        <v>129.57</v>
      </c>
      <c r="BT10" s="88">
        <v>46121.666666666664</v>
      </c>
      <c r="BU10">
        <v>421.51</v>
      </c>
      <c r="BV10" s="88">
        <v>46121.666666666664</v>
      </c>
      <c r="BW10">
        <v>102.05</v>
      </c>
      <c r="BX10" s="88">
        <v>46121.666666666664</v>
      </c>
      <c r="BY10">
        <v>44</v>
      </c>
      <c r="BZ10" s="88">
        <v>46121.666666666664</v>
      </c>
      <c r="CA10">
        <v>15.11</v>
      </c>
      <c r="CB10" s="88">
        <v>46121.666666666664</v>
      </c>
      <c r="CC10">
        <v>183.91</v>
      </c>
      <c r="CD10" s="88">
        <v>46121.666666666664</v>
      </c>
      <c r="CE10">
        <v>37.44</v>
      </c>
      <c r="CF10" s="88">
        <v>46121.666666666664</v>
      </c>
      <c r="CG10">
        <v>47.75</v>
      </c>
      <c r="CH10" s="88">
        <v>46121.666666666664</v>
      </c>
      <c r="CI10">
        <v>9.14</v>
      </c>
      <c r="CJ10" s="88">
        <v>46121.666666666664</v>
      </c>
      <c r="CK10">
        <v>137.86000000000001</v>
      </c>
      <c r="CL10" s="88">
        <v>46121.666666666664</v>
      </c>
      <c r="CM10">
        <v>58.53</v>
      </c>
      <c r="CN10" s="88">
        <v>46121.666666666664</v>
      </c>
      <c r="CO10">
        <v>9.94</v>
      </c>
      <c r="CP10" s="88">
        <v>46121.666666666664</v>
      </c>
      <c r="CQ10">
        <v>34.229999999999997</v>
      </c>
      <c r="CR10" s="88">
        <v>46121.666666666664</v>
      </c>
      <c r="CS10">
        <v>130.49</v>
      </c>
      <c r="CT10" s="88">
        <v>46121.666666666664</v>
      </c>
      <c r="CU10">
        <v>6.08</v>
      </c>
      <c r="CV10" s="88">
        <v>46121.666666666664</v>
      </c>
      <c r="CW10">
        <v>11.93</v>
      </c>
      <c r="CX10" s="88">
        <v>46121.666666666664</v>
      </c>
      <c r="CY10">
        <v>9.91</v>
      </c>
      <c r="CZ10" s="88">
        <v>46121.666666666664</v>
      </c>
      <c r="DA10">
        <v>15.24</v>
      </c>
      <c r="DB10" s="88">
        <v>46121.666666666664</v>
      </c>
      <c r="DC10">
        <v>66.739999999999995</v>
      </c>
      <c r="DD10" s="88">
        <v>46121.666666666664</v>
      </c>
      <c r="DE10">
        <v>23.22</v>
      </c>
      <c r="DF10" s="88">
        <v>46121.666666666664</v>
      </c>
      <c r="DG10">
        <v>4.95</v>
      </c>
      <c r="DH10" s="88">
        <v>46121.666666666664</v>
      </c>
      <c r="DI10">
        <v>16.27</v>
      </c>
      <c r="DJ10" s="88">
        <v>46121.666666666664</v>
      </c>
      <c r="DK10">
        <v>679.91</v>
      </c>
      <c r="DL10" s="88">
        <v>46121.666666666664</v>
      </c>
      <c r="DM10">
        <v>345.62</v>
      </c>
      <c r="DN10" s="88">
        <v>46121.666666666664</v>
      </c>
      <c r="DO10">
        <v>18.440000000000001</v>
      </c>
      <c r="DP10" s="88">
        <v>46121.666666666664</v>
      </c>
      <c r="DQ10">
        <v>97.67</v>
      </c>
      <c r="DR10" s="88">
        <v>46121.666666666664</v>
      </c>
      <c r="DS10">
        <v>8.77</v>
      </c>
      <c r="DT10" s="88">
        <v>46121.666666666664</v>
      </c>
      <c r="DU10">
        <v>71.81</v>
      </c>
      <c r="DV10" s="88">
        <v>46121.666666666664</v>
      </c>
      <c r="DW10">
        <v>12.41</v>
      </c>
      <c r="DX10" s="88">
        <v>46121.666666666664</v>
      </c>
      <c r="DY10">
        <v>126.96</v>
      </c>
      <c r="DZ10" s="88">
        <v>46121.666666666664</v>
      </c>
      <c r="EA10">
        <v>115</v>
      </c>
      <c r="EB10" s="88">
        <v>46121.666666666664</v>
      </c>
      <c r="EC10">
        <v>12.99</v>
      </c>
      <c r="ED10" s="88">
        <v>46121.666666666664</v>
      </c>
      <c r="EE10">
        <v>7.1</v>
      </c>
      <c r="EF10" s="88">
        <v>46121.666666666664</v>
      </c>
      <c r="EG10">
        <v>84.03</v>
      </c>
    </row>
    <row r="11" spans="1:138">
      <c r="B11" s="88">
        <v>46122.666666666664</v>
      </c>
      <c r="C11">
        <v>260.48</v>
      </c>
      <c r="D11" s="88">
        <v>46122.666666666664</v>
      </c>
      <c r="E11">
        <v>225.35</v>
      </c>
      <c r="F11" s="88">
        <v>46122.666666666664</v>
      </c>
      <c r="G11">
        <v>39.5</v>
      </c>
      <c r="H11" s="88">
        <v>46122.666666666664</v>
      </c>
      <c r="I11">
        <v>238.38</v>
      </c>
      <c r="J11" s="88">
        <v>46122.666666666664</v>
      </c>
      <c r="K11">
        <v>94.9</v>
      </c>
      <c r="L11" s="88">
        <v>46122.666666666664</v>
      </c>
      <c r="M11">
        <v>17.899999999999999</v>
      </c>
      <c r="N11" s="88">
        <v>46122.666666666664</v>
      </c>
      <c r="O11">
        <v>371.55</v>
      </c>
      <c r="P11" s="88">
        <v>46122.666666666664</v>
      </c>
      <c r="Q11">
        <v>127.33</v>
      </c>
      <c r="R11" s="88">
        <v>46122.666666666664</v>
      </c>
      <c r="S11">
        <v>21.28</v>
      </c>
      <c r="T11" s="88">
        <v>46122.666666666664</v>
      </c>
      <c r="U11">
        <v>28.29</v>
      </c>
      <c r="V11" s="88">
        <v>46122.666666666664</v>
      </c>
      <c r="W11">
        <v>1.06</v>
      </c>
      <c r="X11" s="88">
        <v>46122.666666666664</v>
      </c>
      <c r="Y11">
        <v>9.0399999999999991</v>
      </c>
      <c r="Z11" s="88">
        <v>46122.666666666664</v>
      </c>
      <c r="AA11">
        <v>99.17</v>
      </c>
      <c r="AB11" s="88">
        <v>46122.666666666664</v>
      </c>
      <c r="AC11">
        <v>212.46</v>
      </c>
      <c r="AD11" s="88">
        <v>46122.666666666664</v>
      </c>
      <c r="AE11">
        <v>99.55</v>
      </c>
      <c r="AF11" s="88">
        <v>46122.666666666664</v>
      </c>
      <c r="AG11">
        <v>27.34</v>
      </c>
      <c r="AH11" s="88">
        <v>46122.666666666664</v>
      </c>
      <c r="AI11">
        <v>925.24</v>
      </c>
      <c r="AJ11" s="88">
        <v>46122.666666666664</v>
      </c>
      <c r="AK11">
        <v>18.16</v>
      </c>
      <c r="AL11" s="88">
        <v>46122.666666666664</v>
      </c>
      <c r="AM11">
        <v>37.54</v>
      </c>
      <c r="AN11" s="88">
        <v>46122.666666666664</v>
      </c>
      <c r="AO11">
        <v>317.24</v>
      </c>
      <c r="AP11" s="88">
        <v>46122.666666666664</v>
      </c>
      <c r="AQ11">
        <v>907.8</v>
      </c>
      <c r="AR11" s="88">
        <v>46122.666666666664</v>
      </c>
      <c r="AS11">
        <v>337.34</v>
      </c>
      <c r="AT11" s="88">
        <v>46122.666666666664</v>
      </c>
      <c r="AU11">
        <v>69.19</v>
      </c>
      <c r="AV11" s="88">
        <v>46122.666666666664</v>
      </c>
      <c r="AW11">
        <v>31.89</v>
      </c>
      <c r="AX11" s="88">
        <v>46122.666666666664</v>
      </c>
      <c r="AY11">
        <v>39.32</v>
      </c>
      <c r="AZ11" s="88">
        <v>46122.666666666664</v>
      </c>
      <c r="BA11">
        <v>10.88</v>
      </c>
      <c r="BB11" s="88">
        <v>46122.666666666664</v>
      </c>
      <c r="BC11">
        <v>897.3</v>
      </c>
      <c r="BD11" s="88">
        <v>46122.666666666664</v>
      </c>
      <c r="BE11">
        <v>163.86</v>
      </c>
      <c r="BF11" s="88">
        <v>46122.666666666664</v>
      </c>
      <c r="BG11">
        <v>23.57</v>
      </c>
      <c r="BH11" s="88">
        <v>46122.666666666664</v>
      </c>
      <c r="BI11">
        <v>160.59</v>
      </c>
      <c r="BJ11" s="88">
        <v>46122.666666666664</v>
      </c>
      <c r="BK11">
        <v>5.35</v>
      </c>
      <c r="BL11" s="88">
        <v>46122.666666666664</v>
      </c>
      <c r="BM11">
        <v>629.86</v>
      </c>
      <c r="BN11" s="88">
        <v>46122.666666666664</v>
      </c>
      <c r="BO11">
        <v>24.76</v>
      </c>
      <c r="BP11" s="88">
        <v>46122.666666666664</v>
      </c>
      <c r="BQ11">
        <v>370.87</v>
      </c>
      <c r="BR11" s="88">
        <v>46122.666666666664</v>
      </c>
      <c r="BS11">
        <v>127.87</v>
      </c>
      <c r="BT11" s="88">
        <v>46122.666666666664</v>
      </c>
      <c r="BU11">
        <v>420.59</v>
      </c>
      <c r="BV11" s="88">
        <v>46122.666666666664</v>
      </c>
      <c r="BW11">
        <v>103.01</v>
      </c>
      <c r="BX11" s="88">
        <v>46122.666666666664</v>
      </c>
      <c r="BY11">
        <v>42.62</v>
      </c>
      <c r="BZ11" s="88">
        <v>46122.666666666664</v>
      </c>
      <c r="CA11">
        <v>15.28</v>
      </c>
      <c r="CB11" s="88">
        <v>46122.666666666664</v>
      </c>
      <c r="CC11">
        <v>188.63</v>
      </c>
      <c r="CD11" s="88">
        <v>46122.666666666664</v>
      </c>
      <c r="CE11">
        <v>37.520000000000003</v>
      </c>
      <c r="CF11" s="88">
        <v>46122.666666666664</v>
      </c>
      <c r="CG11">
        <v>50.25</v>
      </c>
      <c r="CH11" s="88">
        <v>46122.666666666664</v>
      </c>
      <c r="CI11">
        <v>9.1300000000000008</v>
      </c>
      <c r="CJ11" s="88">
        <v>46122.666666666664</v>
      </c>
      <c r="CK11">
        <v>138.09</v>
      </c>
      <c r="CL11" s="88">
        <v>46122.666666666664</v>
      </c>
      <c r="CM11">
        <v>57.97</v>
      </c>
      <c r="CN11" s="88">
        <v>46122.666666666664</v>
      </c>
      <c r="CO11">
        <v>9.3800000000000008</v>
      </c>
      <c r="CP11" s="88">
        <v>46122.666666666664</v>
      </c>
      <c r="CQ11">
        <v>34.67</v>
      </c>
      <c r="CR11" s="88">
        <v>46122.666666666664</v>
      </c>
      <c r="CS11">
        <v>128.06</v>
      </c>
      <c r="CT11" s="88">
        <v>46122.666666666664</v>
      </c>
      <c r="CU11">
        <v>7.04</v>
      </c>
      <c r="CV11" s="88">
        <v>46122.666666666664</v>
      </c>
      <c r="CW11">
        <v>12.37</v>
      </c>
      <c r="CX11" s="88">
        <v>46122.666666666664</v>
      </c>
      <c r="CY11">
        <v>9.94</v>
      </c>
      <c r="CZ11" s="88">
        <v>46122.666666666664</v>
      </c>
      <c r="DA11">
        <v>15.43</v>
      </c>
      <c r="DB11" s="88">
        <v>46122.666666666664</v>
      </c>
      <c r="DC11">
        <v>68.05</v>
      </c>
      <c r="DD11" s="88">
        <v>46122.666666666664</v>
      </c>
      <c r="DE11">
        <v>25.26</v>
      </c>
      <c r="DF11" s="88">
        <v>46122.666666666664</v>
      </c>
      <c r="DG11">
        <v>4.82</v>
      </c>
      <c r="DH11" s="88">
        <v>46122.666666666664</v>
      </c>
      <c r="DI11">
        <v>16.22</v>
      </c>
      <c r="DJ11" s="88">
        <v>46122.666666666664</v>
      </c>
      <c r="DK11">
        <v>679.46</v>
      </c>
      <c r="DL11" s="88">
        <v>46122.666666666664</v>
      </c>
      <c r="DM11">
        <v>348.95</v>
      </c>
      <c r="DN11" s="88">
        <v>46122.666666666664</v>
      </c>
      <c r="DO11">
        <v>17.920000000000002</v>
      </c>
      <c r="DP11" s="88">
        <v>46122.666666666664</v>
      </c>
      <c r="DQ11">
        <v>96.4</v>
      </c>
      <c r="DR11" s="88">
        <v>46122.666666666664</v>
      </c>
      <c r="DS11">
        <v>8.36</v>
      </c>
      <c r="DT11" s="88">
        <v>46122.666666666664</v>
      </c>
      <c r="DU11">
        <v>70.48</v>
      </c>
      <c r="DV11" s="88">
        <v>46122.666666666664</v>
      </c>
      <c r="DW11">
        <v>13.7</v>
      </c>
      <c r="DX11" s="88">
        <v>46122.666666666664</v>
      </c>
      <c r="DY11">
        <v>124.82</v>
      </c>
      <c r="DZ11" s="88">
        <v>46122.666666666664</v>
      </c>
      <c r="EA11">
        <v>112.99</v>
      </c>
      <c r="EB11" s="88">
        <v>46122.666666666664</v>
      </c>
      <c r="EC11">
        <v>12.97</v>
      </c>
      <c r="ED11" s="88">
        <v>46122.666666666664</v>
      </c>
      <c r="EE11">
        <v>6.89</v>
      </c>
      <c r="EF11" s="88">
        <v>46122.666666666664</v>
      </c>
      <c r="EG11">
        <v>79.239999999999995</v>
      </c>
    </row>
    <row r="12" spans="1:138">
      <c r="B12" s="88">
        <v>46125.666666666664</v>
      </c>
      <c r="C12">
        <v>259.2</v>
      </c>
      <c r="D12" s="88">
        <v>46125.666666666664</v>
      </c>
      <c r="E12">
        <v>240.11</v>
      </c>
      <c r="F12" s="88">
        <v>46125.666666666664</v>
      </c>
      <c r="G12">
        <v>39.97</v>
      </c>
      <c r="H12" s="88">
        <v>46125.666666666664</v>
      </c>
      <c r="I12">
        <v>239.89</v>
      </c>
      <c r="J12" s="88">
        <v>46125.666666666664</v>
      </c>
      <c r="K12">
        <v>98.97</v>
      </c>
      <c r="L12" s="88">
        <v>46125.666666666664</v>
      </c>
      <c r="M12">
        <v>17.850000000000001</v>
      </c>
      <c r="N12" s="88">
        <v>46125.666666666664</v>
      </c>
      <c r="O12">
        <v>379.75</v>
      </c>
      <c r="P12" s="88">
        <v>46125.666666666664</v>
      </c>
      <c r="Q12">
        <v>128.01</v>
      </c>
      <c r="R12" s="88">
        <v>46125.666666666664</v>
      </c>
      <c r="S12">
        <v>21.51</v>
      </c>
      <c r="T12" s="88">
        <v>46125.666666666664</v>
      </c>
      <c r="U12">
        <v>28.48</v>
      </c>
      <c r="V12" s="88">
        <v>46125.666666666664</v>
      </c>
      <c r="W12">
        <v>1.08</v>
      </c>
      <c r="X12" s="88">
        <v>46125.666666666664</v>
      </c>
      <c r="Y12">
        <v>9.34</v>
      </c>
      <c r="Z12" s="88">
        <v>46125.666666666664</v>
      </c>
      <c r="AA12">
        <v>101.18</v>
      </c>
      <c r="AB12" s="88">
        <v>46125.666666666664</v>
      </c>
      <c r="AC12">
        <v>210.57</v>
      </c>
      <c r="AD12" s="88">
        <v>46125.666666666664</v>
      </c>
      <c r="AE12">
        <v>102.13</v>
      </c>
      <c r="AF12" s="88">
        <v>46125.666666666664</v>
      </c>
      <c r="AG12">
        <v>27.61</v>
      </c>
      <c r="AH12" s="88">
        <v>46125.666666666664</v>
      </c>
      <c r="AI12">
        <v>935.05</v>
      </c>
      <c r="AJ12" s="88">
        <v>46125.666666666664</v>
      </c>
      <c r="AK12">
        <v>19.18</v>
      </c>
      <c r="AL12" s="88">
        <v>46125.666666666664</v>
      </c>
      <c r="AM12">
        <v>38.799999999999997</v>
      </c>
      <c r="AN12" s="88">
        <v>46125.666666666664</v>
      </c>
      <c r="AO12">
        <v>321.31</v>
      </c>
      <c r="AP12" s="88">
        <v>46125.666666666664</v>
      </c>
      <c r="AQ12">
        <v>890.79</v>
      </c>
      <c r="AR12" s="88">
        <v>46125.666666666664</v>
      </c>
      <c r="AS12">
        <v>341.16</v>
      </c>
      <c r="AT12" s="88">
        <v>46125.666666666664</v>
      </c>
      <c r="AU12">
        <v>71.67</v>
      </c>
      <c r="AV12" s="88">
        <v>46125.666666666664</v>
      </c>
      <c r="AW12">
        <v>33.409999999999997</v>
      </c>
      <c r="AX12" s="88">
        <v>46125.666666666664</v>
      </c>
      <c r="AY12">
        <v>43.07</v>
      </c>
      <c r="AZ12" s="88">
        <v>46125.666666666664</v>
      </c>
      <c r="BA12">
        <v>11.07</v>
      </c>
      <c r="BB12" s="88">
        <v>46125.666666666664</v>
      </c>
      <c r="BC12">
        <v>871.18</v>
      </c>
      <c r="BD12" s="88">
        <v>46125.666666666664</v>
      </c>
      <c r="BE12">
        <v>162.56</v>
      </c>
      <c r="BF12" s="88">
        <v>46125.666666666664</v>
      </c>
      <c r="BG12">
        <v>24.41</v>
      </c>
      <c r="BH12" s="88">
        <v>46125.666666666664</v>
      </c>
      <c r="BI12">
        <v>165.72</v>
      </c>
      <c r="BJ12" s="88">
        <v>46125.666666666664</v>
      </c>
      <c r="BK12">
        <v>6.11</v>
      </c>
      <c r="BL12" s="88">
        <v>46125.666666666664</v>
      </c>
      <c r="BM12">
        <v>634.53</v>
      </c>
      <c r="BN12" s="88">
        <v>46125.666666666664</v>
      </c>
      <c r="BO12">
        <v>24.54</v>
      </c>
      <c r="BP12" s="88">
        <v>46125.666666666664</v>
      </c>
      <c r="BQ12">
        <v>384.37</v>
      </c>
      <c r="BR12" s="88">
        <v>46125.666666666664</v>
      </c>
      <c r="BS12">
        <v>130.18</v>
      </c>
      <c r="BT12" s="88">
        <v>46125.666666666664</v>
      </c>
      <c r="BU12">
        <v>426.56</v>
      </c>
      <c r="BV12" s="88">
        <v>46125.666666666664</v>
      </c>
      <c r="BW12">
        <v>103.16</v>
      </c>
      <c r="BX12" s="88">
        <v>46125.666666666664</v>
      </c>
      <c r="BY12">
        <v>42.91</v>
      </c>
      <c r="BZ12" s="88">
        <v>46125.666666666664</v>
      </c>
      <c r="CA12">
        <v>15.57</v>
      </c>
      <c r="CB12" s="88">
        <v>46125.666666666664</v>
      </c>
      <c r="CC12">
        <v>189.31</v>
      </c>
      <c r="CD12" s="88">
        <v>46125.666666666664</v>
      </c>
      <c r="CE12">
        <v>37.979999999999997</v>
      </c>
      <c r="CF12" s="88">
        <v>46125.666666666664</v>
      </c>
      <c r="CG12">
        <v>53.94</v>
      </c>
      <c r="CH12" s="88">
        <v>46125.666666666664</v>
      </c>
      <c r="CI12">
        <v>9.4700000000000006</v>
      </c>
      <c r="CJ12" s="88">
        <v>46125.666666666664</v>
      </c>
      <c r="CK12">
        <v>155.62</v>
      </c>
      <c r="CL12" s="88">
        <v>46125.666666666664</v>
      </c>
      <c r="CM12">
        <v>58.06</v>
      </c>
      <c r="CN12" s="88">
        <v>46125.666666666664</v>
      </c>
      <c r="CO12">
        <v>10.119999999999999</v>
      </c>
      <c r="CP12" s="88">
        <v>46125.666666666664</v>
      </c>
      <c r="CQ12">
        <v>34.32</v>
      </c>
      <c r="CR12" s="88">
        <v>46125.666666666664</v>
      </c>
      <c r="CS12">
        <v>132.37</v>
      </c>
      <c r="CT12" s="88">
        <v>46125.666666666664</v>
      </c>
      <c r="CU12">
        <v>7.3</v>
      </c>
      <c r="CV12" s="88">
        <v>46125.666666666664</v>
      </c>
      <c r="CW12">
        <v>12.9</v>
      </c>
      <c r="CX12" s="88">
        <v>46125.666666666664</v>
      </c>
      <c r="CY12">
        <v>10.09</v>
      </c>
      <c r="CZ12" s="88">
        <v>46125.666666666664</v>
      </c>
      <c r="DA12">
        <v>15.9</v>
      </c>
      <c r="DB12" s="88">
        <v>46125.666666666664</v>
      </c>
      <c r="DC12">
        <v>70.62</v>
      </c>
      <c r="DD12" s="88">
        <v>46125.666666666664</v>
      </c>
      <c r="DE12">
        <v>25.97</v>
      </c>
      <c r="DF12" s="88">
        <v>46125.666666666664</v>
      </c>
      <c r="DG12">
        <v>5.15</v>
      </c>
      <c r="DH12" s="88">
        <v>46125.666666666664</v>
      </c>
      <c r="DI12">
        <v>17.05</v>
      </c>
      <c r="DJ12" s="88">
        <v>46125.666666666664</v>
      </c>
      <c r="DK12">
        <v>686.1</v>
      </c>
      <c r="DL12" s="88">
        <v>46125.666666666664</v>
      </c>
      <c r="DM12">
        <v>352.42</v>
      </c>
      <c r="DN12" s="88">
        <v>46125.666666666664</v>
      </c>
      <c r="DO12">
        <v>18.329999999999998</v>
      </c>
      <c r="DP12" s="88">
        <v>46125.666666666664</v>
      </c>
      <c r="DQ12">
        <v>95.2</v>
      </c>
      <c r="DR12" s="88">
        <v>46125.666666666664</v>
      </c>
      <c r="DS12">
        <v>9.2899999999999991</v>
      </c>
      <c r="DT12" s="88">
        <v>46125.666666666664</v>
      </c>
      <c r="DU12">
        <v>72.34</v>
      </c>
      <c r="DV12" s="88">
        <v>46125.666666666664</v>
      </c>
      <c r="DW12">
        <v>14</v>
      </c>
      <c r="DX12" s="88">
        <v>46125.666666666664</v>
      </c>
      <c r="DY12">
        <v>128.47</v>
      </c>
      <c r="DZ12" s="88">
        <v>46125.666666666664</v>
      </c>
      <c r="EA12">
        <v>114.05</v>
      </c>
      <c r="EB12" s="88">
        <v>46125.666666666664</v>
      </c>
      <c r="EC12">
        <v>12.75</v>
      </c>
      <c r="ED12" s="88">
        <v>46125.666666666664</v>
      </c>
      <c r="EE12">
        <v>6.7</v>
      </c>
      <c r="EF12" s="88">
        <v>46125.666666666664</v>
      </c>
      <c r="EG12">
        <v>82.8</v>
      </c>
    </row>
    <row r="13" spans="1:138">
      <c r="B13" s="88">
        <v>46126.666666666664</v>
      </c>
      <c r="C13">
        <v>258.83</v>
      </c>
      <c r="D13" s="88">
        <v>46126.666666666664</v>
      </c>
      <c r="E13">
        <v>235.72</v>
      </c>
      <c r="F13" s="88">
        <v>46126.666666666664</v>
      </c>
      <c r="G13">
        <v>42.62</v>
      </c>
      <c r="H13" s="88">
        <v>46126.666666666664</v>
      </c>
      <c r="I13">
        <v>249.02</v>
      </c>
      <c r="J13" s="88">
        <v>46126.666666666664</v>
      </c>
      <c r="K13">
        <v>88.57</v>
      </c>
      <c r="L13" s="88">
        <v>46126.666666666664</v>
      </c>
      <c r="M13">
        <v>18.13</v>
      </c>
      <c r="N13" s="88">
        <v>46126.666666666664</v>
      </c>
      <c r="O13">
        <v>380.78</v>
      </c>
      <c r="P13" s="88">
        <v>46126.666666666664</v>
      </c>
      <c r="Q13">
        <v>131.35</v>
      </c>
      <c r="R13" s="88">
        <v>46126.666666666664</v>
      </c>
      <c r="S13">
        <v>21.48</v>
      </c>
      <c r="T13" s="88">
        <v>46126.666666666664</v>
      </c>
      <c r="U13">
        <v>27.69</v>
      </c>
      <c r="V13" s="88">
        <v>46126.666666666664</v>
      </c>
      <c r="W13">
        <v>1.1100000000000001</v>
      </c>
      <c r="X13" s="88">
        <v>46126.666666666664</v>
      </c>
      <c r="Y13">
        <v>9.4499999999999993</v>
      </c>
      <c r="Z13" s="88">
        <v>46126.666666666664</v>
      </c>
      <c r="AA13">
        <v>102.59</v>
      </c>
      <c r="AB13" s="88">
        <v>46126.666666666664</v>
      </c>
      <c r="AC13">
        <v>216.24</v>
      </c>
      <c r="AD13" s="88">
        <v>46126.666666666664</v>
      </c>
      <c r="AE13">
        <v>100.67</v>
      </c>
      <c r="AF13" s="88">
        <v>46126.666666666664</v>
      </c>
      <c r="AG13">
        <v>27.18</v>
      </c>
      <c r="AH13" s="88">
        <v>46126.666666666664</v>
      </c>
      <c r="AI13">
        <v>920.79</v>
      </c>
      <c r="AJ13" s="88">
        <v>46126.666666666664</v>
      </c>
      <c r="AK13">
        <v>18.420000000000002</v>
      </c>
      <c r="AL13" s="88">
        <v>46126.666666666664</v>
      </c>
      <c r="AM13">
        <v>36.61</v>
      </c>
      <c r="AN13" s="88">
        <v>46126.666666666664</v>
      </c>
      <c r="AO13">
        <v>332.91</v>
      </c>
      <c r="AP13" s="88">
        <v>46126.666666666664</v>
      </c>
      <c r="AQ13">
        <v>909.63</v>
      </c>
      <c r="AR13" s="88">
        <v>46126.666666666664</v>
      </c>
      <c r="AS13">
        <v>342.71</v>
      </c>
      <c r="AT13" s="88">
        <v>46126.666666666664</v>
      </c>
      <c r="AU13">
        <v>79.09</v>
      </c>
      <c r="AV13" s="88">
        <v>46126.666666666664</v>
      </c>
      <c r="AW13">
        <v>33.549999999999997</v>
      </c>
      <c r="AX13" s="88">
        <v>46126.666666666664</v>
      </c>
      <c r="AY13">
        <v>47.37</v>
      </c>
      <c r="AZ13" s="88">
        <v>46126.666666666664</v>
      </c>
      <c r="BA13">
        <v>11.09</v>
      </c>
      <c r="BB13" s="88">
        <v>46126.666666666664</v>
      </c>
      <c r="BC13">
        <v>852.79</v>
      </c>
      <c r="BD13" s="88">
        <v>46126.666666666664</v>
      </c>
      <c r="BE13">
        <v>160.6</v>
      </c>
      <c r="BF13" s="88">
        <v>46126.666666666664</v>
      </c>
      <c r="BG13">
        <v>23.67</v>
      </c>
      <c r="BH13" s="88">
        <v>46126.666666666664</v>
      </c>
      <c r="BI13">
        <v>166.28</v>
      </c>
      <c r="BJ13" s="88">
        <v>46126.666666666664</v>
      </c>
      <c r="BK13">
        <v>6.71</v>
      </c>
      <c r="BL13" s="88">
        <v>46126.666666666664</v>
      </c>
      <c r="BM13">
        <v>662.49</v>
      </c>
      <c r="BN13" s="88">
        <v>46126.666666666664</v>
      </c>
      <c r="BO13">
        <v>23.94</v>
      </c>
      <c r="BP13" s="88">
        <v>46126.666666666664</v>
      </c>
      <c r="BQ13">
        <v>393.11</v>
      </c>
      <c r="BR13" s="88">
        <v>46126.666666666664</v>
      </c>
      <c r="BS13">
        <v>129.12</v>
      </c>
      <c r="BT13" s="88">
        <v>46126.666666666664</v>
      </c>
      <c r="BU13">
        <v>465.66</v>
      </c>
      <c r="BV13" s="88">
        <v>46126.666666666664</v>
      </c>
      <c r="BW13">
        <v>106.28</v>
      </c>
      <c r="BX13" s="88">
        <v>46126.666666666664</v>
      </c>
      <c r="BY13">
        <v>44.2</v>
      </c>
      <c r="BZ13" s="88">
        <v>46126.666666666664</v>
      </c>
      <c r="CA13">
        <v>16.12</v>
      </c>
      <c r="CB13" s="88">
        <v>46126.666666666664</v>
      </c>
      <c r="CC13">
        <v>196.51</v>
      </c>
      <c r="CD13" s="88">
        <v>46126.666666666664</v>
      </c>
      <c r="CE13">
        <v>39.32</v>
      </c>
      <c r="CF13" s="88">
        <v>46126.666666666664</v>
      </c>
      <c r="CG13">
        <v>58.58</v>
      </c>
      <c r="CH13" s="88">
        <v>46126.666666666664</v>
      </c>
      <c r="CI13">
        <v>9.4</v>
      </c>
      <c r="CJ13" s="88">
        <v>46126.666666666664</v>
      </c>
      <c r="CK13">
        <v>163</v>
      </c>
      <c r="CL13" s="88">
        <v>46126.666666666664</v>
      </c>
      <c r="CM13">
        <v>55.38</v>
      </c>
      <c r="CN13" s="88">
        <v>46126.666666666664</v>
      </c>
      <c r="CO13">
        <v>10.02</v>
      </c>
      <c r="CP13" s="88">
        <v>46126.666666666664</v>
      </c>
      <c r="CQ13">
        <v>33.93</v>
      </c>
      <c r="CR13" s="88">
        <v>46126.666666666664</v>
      </c>
      <c r="CS13">
        <v>135.69999999999999</v>
      </c>
      <c r="CT13" s="88">
        <v>46126.666666666664</v>
      </c>
      <c r="CU13">
        <v>6.71</v>
      </c>
      <c r="CV13" s="88">
        <v>46126.666666666664</v>
      </c>
      <c r="CW13">
        <v>12.64</v>
      </c>
      <c r="CX13" s="88">
        <v>46126.666666666664</v>
      </c>
      <c r="CY13">
        <v>10.119999999999999</v>
      </c>
      <c r="CZ13" s="88">
        <v>46126.666666666664</v>
      </c>
      <c r="DA13">
        <v>15.99</v>
      </c>
      <c r="DB13" s="88">
        <v>46126.666666666664</v>
      </c>
      <c r="DC13">
        <v>72.22</v>
      </c>
      <c r="DD13" s="88">
        <v>46126.666666666664</v>
      </c>
      <c r="DE13">
        <v>27.2</v>
      </c>
      <c r="DF13" s="88">
        <v>46126.666666666664</v>
      </c>
      <c r="DG13">
        <v>5.6</v>
      </c>
      <c r="DH13" s="88">
        <v>46126.666666666664</v>
      </c>
      <c r="DI13">
        <v>17.91</v>
      </c>
      <c r="DJ13" s="88">
        <v>46126.666666666664</v>
      </c>
      <c r="DK13">
        <v>694.46</v>
      </c>
      <c r="DL13" s="88">
        <v>46126.666666666664</v>
      </c>
      <c r="DM13">
        <v>364.2</v>
      </c>
      <c r="DN13" s="88">
        <v>46126.666666666664</v>
      </c>
      <c r="DO13">
        <v>18.07</v>
      </c>
      <c r="DP13" s="88">
        <v>46126.666666666664</v>
      </c>
      <c r="DQ13">
        <v>97.2</v>
      </c>
      <c r="DR13" s="88">
        <v>46126.666666666664</v>
      </c>
      <c r="DS13">
        <v>9.3699999999999992</v>
      </c>
      <c r="DT13" s="88">
        <v>46126.666666666664</v>
      </c>
      <c r="DU13">
        <v>72.91</v>
      </c>
      <c r="DV13" s="88">
        <v>46126.666666666664</v>
      </c>
      <c r="DW13">
        <v>13.99</v>
      </c>
      <c r="DX13" s="88">
        <v>46126.666666666664</v>
      </c>
      <c r="DY13">
        <v>123.85</v>
      </c>
      <c r="DZ13" s="88">
        <v>46126.666666666664</v>
      </c>
      <c r="EA13">
        <v>96.01</v>
      </c>
      <c r="EB13" s="88">
        <v>46126.666666666664</v>
      </c>
      <c r="EC13">
        <v>12.51</v>
      </c>
      <c r="ED13" s="88">
        <v>46126.666666666664</v>
      </c>
      <c r="EE13">
        <v>6.78</v>
      </c>
      <c r="EF13" s="88">
        <v>46126.666666666664</v>
      </c>
      <c r="EG13">
        <v>82.4</v>
      </c>
    </row>
    <row r="14" spans="1:138">
      <c r="B14" s="88">
        <v>46127.666666666664</v>
      </c>
      <c r="C14">
        <v>266.43</v>
      </c>
      <c r="D14" s="88">
        <v>46127.666666666664</v>
      </c>
      <c r="E14">
        <v>244.66</v>
      </c>
      <c r="F14" s="88">
        <v>46127.666666666664</v>
      </c>
      <c r="G14">
        <v>42.54</v>
      </c>
      <c r="H14" s="88">
        <v>46127.666666666664</v>
      </c>
      <c r="I14">
        <v>248.5</v>
      </c>
      <c r="J14" s="88">
        <v>46127.666666666664</v>
      </c>
      <c r="K14">
        <v>86.91</v>
      </c>
      <c r="L14" s="88">
        <v>46127.666666666664</v>
      </c>
      <c r="M14">
        <v>18.350000000000001</v>
      </c>
      <c r="N14" s="88">
        <v>46127.666666666664</v>
      </c>
      <c r="O14">
        <v>396.72</v>
      </c>
      <c r="P14" s="88">
        <v>46127.666666666664</v>
      </c>
      <c r="Q14">
        <v>133.28</v>
      </c>
      <c r="R14" s="88">
        <v>46127.666666666664</v>
      </c>
      <c r="S14">
        <v>22.34</v>
      </c>
      <c r="T14" s="88">
        <v>46127.666666666664</v>
      </c>
      <c r="U14">
        <v>28.03</v>
      </c>
      <c r="V14" s="88">
        <v>46127.666666666664</v>
      </c>
      <c r="W14">
        <v>1.07</v>
      </c>
      <c r="X14" s="88">
        <v>46127.666666666664</v>
      </c>
      <c r="Y14">
        <v>9.66</v>
      </c>
      <c r="Z14" s="88">
        <v>46127.666666666664</v>
      </c>
      <c r="AA14">
        <v>103.04</v>
      </c>
      <c r="AB14" s="88">
        <v>46127.666666666664</v>
      </c>
      <c r="AC14">
        <v>216.98</v>
      </c>
      <c r="AD14" s="88">
        <v>46127.666666666664</v>
      </c>
      <c r="AE14">
        <v>101.33</v>
      </c>
      <c r="AF14" s="88">
        <v>46127.666666666664</v>
      </c>
      <c r="AG14">
        <v>26.75</v>
      </c>
      <c r="AH14" s="88">
        <v>46127.666666666664</v>
      </c>
      <c r="AI14">
        <v>899</v>
      </c>
      <c r="AJ14" s="88">
        <v>46127.666666666664</v>
      </c>
      <c r="AK14">
        <v>20.34</v>
      </c>
      <c r="AL14" s="88">
        <v>46127.666666666664</v>
      </c>
      <c r="AM14">
        <v>37.619999999999997</v>
      </c>
      <c r="AN14" s="88">
        <v>46127.666666666664</v>
      </c>
      <c r="AO14">
        <v>337.12</v>
      </c>
      <c r="AP14" s="88">
        <v>46127.666666666664</v>
      </c>
      <c r="AQ14">
        <v>899.49</v>
      </c>
      <c r="AR14" s="88">
        <v>46127.666666666664</v>
      </c>
      <c r="AS14">
        <v>338.91</v>
      </c>
      <c r="AT14" s="88">
        <v>46127.666666666664</v>
      </c>
      <c r="AU14">
        <v>87.32</v>
      </c>
      <c r="AV14" s="88">
        <v>46127.666666666664</v>
      </c>
      <c r="AW14">
        <v>33.72</v>
      </c>
      <c r="AX14" s="88">
        <v>46127.666666666664</v>
      </c>
      <c r="AY14">
        <v>48.82</v>
      </c>
      <c r="AZ14" s="88">
        <v>46127.666666666664</v>
      </c>
      <c r="BA14">
        <v>10.66</v>
      </c>
      <c r="BB14" s="88">
        <v>46127.666666666664</v>
      </c>
      <c r="BC14">
        <v>824.01</v>
      </c>
      <c r="BD14" s="88">
        <v>46127.666666666664</v>
      </c>
      <c r="BE14">
        <v>162.74</v>
      </c>
      <c r="BF14" s="88">
        <v>46127.666666666664</v>
      </c>
      <c r="BG14">
        <v>23.88</v>
      </c>
      <c r="BH14" s="88">
        <v>46127.666666666664</v>
      </c>
      <c r="BI14">
        <v>155.82</v>
      </c>
      <c r="BJ14" s="88">
        <v>46127.666666666664</v>
      </c>
      <c r="BK14">
        <v>7.88</v>
      </c>
      <c r="BL14" s="88">
        <v>46127.666666666664</v>
      </c>
      <c r="BM14">
        <v>671.58</v>
      </c>
      <c r="BN14" s="88">
        <v>46127.666666666664</v>
      </c>
      <c r="BO14">
        <v>23.73</v>
      </c>
      <c r="BP14" s="88">
        <v>46127.666666666664</v>
      </c>
      <c r="BQ14">
        <v>411.22</v>
      </c>
      <c r="BR14" s="88">
        <v>46127.666666666664</v>
      </c>
      <c r="BS14">
        <v>128.22999999999999</v>
      </c>
      <c r="BT14" s="88">
        <v>46127.666666666664</v>
      </c>
      <c r="BU14">
        <v>456.23</v>
      </c>
      <c r="BV14" s="88">
        <v>46127.666666666664</v>
      </c>
      <c r="BW14">
        <v>107.71</v>
      </c>
      <c r="BX14" s="88">
        <v>46127.666666666664</v>
      </c>
      <c r="BY14">
        <v>45.44</v>
      </c>
      <c r="BZ14" s="88">
        <v>46127.666666666664</v>
      </c>
      <c r="CA14">
        <v>16.97</v>
      </c>
      <c r="CB14" s="88">
        <v>46127.666666666664</v>
      </c>
      <c r="CC14">
        <v>198.87</v>
      </c>
      <c r="CD14" s="88">
        <v>46127.666666666664</v>
      </c>
      <c r="CE14">
        <v>40.81</v>
      </c>
      <c r="CF14" s="88">
        <v>46127.666666666664</v>
      </c>
      <c r="CG14">
        <v>63.35</v>
      </c>
      <c r="CH14" s="88">
        <v>46127.666666666664</v>
      </c>
      <c r="CI14">
        <v>10.029999999999999</v>
      </c>
      <c r="CJ14" s="88">
        <v>46127.666666666664</v>
      </c>
      <c r="CK14">
        <v>169.81</v>
      </c>
      <c r="CL14" s="88">
        <v>46127.666666666664</v>
      </c>
      <c r="CM14">
        <v>55.83</v>
      </c>
      <c r="CN14" s="88">
        <v>46127.666666666664</v>
      </c>
      <c r="CO14">
        <v>10.61</v>
      </c>
      <c r="CP14" s="88">
        <v>46127.666666666664</v>
      </c>
      <c r="CQ14">
        <v>34.409999999999997</v>
      </c>
      <c r="CR14" s="88">
        <v>46127.666666666664</v>
      </c>
      <c r="CS14">
        <v>142.15</v>
      </c>
      <c r="CT14" s="88">
        <v>46127.666666666664</v>
      </c>
      <c r="CU14">
        <v>6.97</v>
      </c>
      <c r="CV14" s="88">
        <v>46127.666666666664</v>
      </c>
      <c r="CW14">
        <v>13.03</v>
      </c>
      <c r="CX14" s="88">
        <v>46127.666666666664</v>
      </c>
      <c r="CY14">
        <v>10.18</v>
      </c>
      <c r="CZ14" s="88">
        <v>46127.666666666664</v>
      </c>
      <c r="DA14">
        <v>16.41</v>
      </c>
      <c r="DB14" s="88">
        <v>46127.666666666664</v>
      </c>
      <c r="DC14">
        <v>73.599999999999994</v>
      </c>
      <c r="DD14" s="88">
        <v>46127.666666666664</v>
      </c>
      <c r="DE14">
        <v>27.29</v>
      </c>
      <c r="DF14" s="88">
        <v>46127.666666666664</v>
      </c>
      <c r="DG14">
        <v>6.04</v>
      </c>
      <c r="DH14" s="88">
        <v>46127.666666666664</v>
      </c>
      <c r="DI14">
        <v>18.79</v>
      </c>
      <c r="DJ14" s="88">
        <v>46127.666666666664</v>
      </c>
      <c r="DK14">
        <v>699.94</v>
      </c>
      <c r="DL14" s="88">
        <v>46127.666666666664</v>
      </c>
      <c r="DM14">
        <v>391.95</v>
      </c>
      <c r="DN14" s="88">
        <v>46127.666666666664</v>
      </c>
      <c r="DO14">
        <v>18.489999999999998</v>
      </c>
      <c r="DP14" s="88">
        <v>46127.666666666664</v>
      </c>
      <c r="DQ14">
        <v>94.27</v>
      </c>
      <c r="DR14" s="88">
        <v>46127.666666666664</v>
      </c>
      <c r="DS14">
        <v>10.7</v>
      </c>
      <c r="DT14" s="88">
        <v>46127.666666666664</v>
      </c>
      <c r="DU14">
        <v>77.28</v>
      </c>
      <c r="DV14" s="88">
        <v>46127.666666666664</v>
      </c>
      <c r="DW14">
        <v>15.42</v>
      </c>
      <c r="DX14" s="88">
        <v>46127.666666666664</v>
      </c>
      <c r="DY14">
        <v>122.59</v>
      </c>
      <c r="DZ14" s="88">
        <v>46127.666666666664</v>
      </c>
      <c r="EA14">
        <v>91.49</v>
      </c>
      <c r="EB14" s="88">
        <v>46127.666666666664</v>
      </c>
      <c r="EC14">
        <v>12.18</v>
      </c>
      <c r="ED14" s="88">
        <v>46127.666666666664</v>
      </c>
      <c r="EE14">
        <v>6.9</v>
      </c>
      <c r="EF14" s="88">
        <v>46127.666666666664</v>
      </c>
      <c r="EG14">
        <v>89.03</v>
      </c>
    </row>
    <row r="15" spans="1:138">
      <c r="B15" s="88">
        <v>46128.666666666664</v>
      </c>
      <c r="C15">
        <v>263.39999999999998</v>
      </c>
      <c r="D15" s="88">
        <v>46128.666666666664</v>
      </c>
      <c r="E15">
        <v>248.16</v>
      </c>
      <c r="F15" s="88">
        <v>46128.666666666664</v>
      </c>
      <c r="G15">
        <v>41.15</v>
      </c>
      <c r="H15" s="88">
        <v>46128.666666666664</v>
      </c>
      <c r="I15">
        <v>249.7</v>
      </c>
      <c r="J15" s="88">
        <v>46128.666666666664</v>
      </c>
      <c r="K15">
        <v>90.94</v>
      </c>
      <c r="L15" s="88">
        <v>46128.666666666664</v>
      </c>
      <c r="M15">
        <v>18.7</v>
      </c>
      <c r="N15" s="88">
        <v>46128.666666666664</v>
      </c>
      <c r="O15">
        <v>398.47</v>
      </c>
      <c r="P15" s="88">
        <v>46128.666666666664</v>
      </c>
      <c r="Q15">
        <v>138.59</v>
      </c>
      <c r="R15" s="88">
        <v>46128.666666666664</v>
      </c>
      <c r="S15">
        <v>22.44</v>
      </c>
      <c r="T15" s="88">
        <v>46128.666666666664</v>
      </c>
      <c r="U15">
        <v>26.93</v>
      </c>
      <c r="V15" s="88">
        <v>46128.666666666664</v>
      </c>
      <c r="W15">
        <v>1.06</v>
      </c>
      <c r="X15" s="88">
        <v>46128.666666666664</v>
      </c>
      <c r="Y15">
        <v>9.7200000000000006</v>
      </c>
      <c r="Z15" s="88">
        <v>46128.666666666664</v>
      </c>
      <c r="AA15">
        <v>103.9</v>
      </c>
      <c r="AB15" s="88">
        <v>46128.666666666664</v>
      </c>
      <c r="AC15">
        <v>217.86</v>
      </c>
      <c r="AD15" s="88">
        <v>46128.666666666664</v>
      </c>
      <c r="AE15">
        <v>99.93</v>
      </c>
      <c r="AF15" s="88">
        <v>46128.666666666664</v>
      </c>
      <c r="AG15">
        <v>26.87</v>
      </c>
      <c r="AH15" s="88">
        <v>46128.666666666664</v>
      </c>
      <c r="AI15">
        <v>869.79</v>
      </c>
      <c r="AJ15" s="88">
        <v>46128.666666666664</v>
      </c>
      <c r="AK15">
        <v>20.32</v>
      </c>
      <c r="AL15" s="88">
        <v>46128.666666666664</v>
      </c>
      <c r="AM15">
        <v>44.17</v>
      </c>
      <c r="AN15" s="88">
        <v>46128.666666666664</v>
      </c>
      <c r="AO15">
        <v>336.02</v>
      </c>
      <c r="AP15" s="88">
        <v>46128.666666666664</v>
      </c>
      <c r="AQ15">
        <v>900</v>
      </c>
      <c r="AR15" s="88">
        <v>46128.666666666664</v>
      </c>
      <c r="AS15">
        <v>337.15</v>
      </c>
      <c r="AT15" s="88">
        <v>46128.666666666664</v>
      </c>
      <c r="AU15">
        <v>86.85</v>
      </c>
      <c r="AV15" s="88">
        <v>46128.666666666664</v>
      </c>
      <c r="AW15">
        <v>33.409999999999997</v>
      </c>
      <c r="AX15" s="88">
        <v>46128.666666666664</v>
      </c>
      <c r="AY15">
        <v>47.7</v>
      </c>
      <c r="AZ15" s="88">
        <v>46128.666666666664</v>
      </c>
      <c r="BA15">
        <v>11.07</v>
      </c>
      <c r="BB15" s="88">
        <v>46128.666666666664</v>
      </c>
      <c r="BC15">
        <v>891.22</v>
      </c>
      <c r="BD15" s="88">
        <v>46128.666666666664</v>
      </c>
      <c r="BE15">
        <v>162.91999999999999</v>
      </c>
      <c r="BF15" s="88">
        <v>46128.666666666664</v>
      </c>
      <c r="BG15">
        <v>27.28</v>
      </c>
      <c r="BH15" s="88">
        <v>46128.666666666664</v>
      </c>
      <c r="BI15">
        <v>160.59</v>
      </c>
      <c r="BJ15" s="88">
        <v>46128.666666666664</v>
      </c>
      <c r="BK15">
        <v>7.48</v>
      </c>
      <c r="BL15" s="88">
        <v>46128.666666666664</v>
      </c>
      <c r="BM15">
        <v>676.87</v>
      </c>
      <c r="BN15" s="88">
        <v>46128.666666666664</v>
      </c>
      <c r="BO15">
        <v>24.73</v>
      </c>
      <c r="BP15" s="88">
        <v>46128.666666666664</v>
      </c>
      <c r="BQ15">
        <v>420.26</v>
      </c>
      <c r="BR15" s="88">
        <v>46128.666666666664</v>
      </c>
      <c r="BS15">
        <v>129.31</v>
      </c>
      <c r="BT15" s="88">
        <v>46128.666666666664</v>
      </c>
      <c r="BU15">
        <v>457.23</v>
      </c>
      <c r="BV15" s="88">
        <v>46128.666666666664</v>
      </c>
      <c r="BW15">
        <v>107.79</v>
      </c>
      <c r="BX15" s="88">
        <v>46128.666666666664</v>
      </c>
      <c r="BY15">
        <v>45.7</v>
      </c>
      <c r="BZ15" s="88">
        <v>46128.666666666664</v>
      </c>
      <c r="CA15">
        <v>21.49</v>
      </c>
      <c r="CB15" s="88">
        <v>46128.666666666664</v>
      </c>
      <c r="CC15">
        <v>198.35</v>
      </c>
      <c r="CD15" s="88">
        <v>46128.666666666664</v>
      </c>
      <c r="CE15">
        <v>40.93</v>
      </c>
      <c r="CF15" s="88">
        <v>46128.666666666664</v>
      </c>
      <c r="CG15">
        <v>64.209999999999994</v>
      </c>
      <c r="CH15" s="88">
        <v>46128.666666666664</v>
      </c>
      <c r="CI15">
        <v>10.199999999999999</v>
      </c>
      <c r="CJ15" s="88">
        <v>46128.666666666664</v>
      </c>
      <c r="CK15">
        <v>178.34</v>
      </c>
      <c r="CL15" s="88">
        <v>46128.666666666664</v>
      </c>
      <c r="CM15">
        <v>56.87</v>
      </c>
      <c r="CN15" s="88">
        <v>46128.666666666664</v>
      </c>
      <c r="CO15">
        <v>10.61</v>
      </c>
      <c r="CP15" s="88">
        <v>46128.666666666664</v>
      </c>
      <c r="CQ15">
        <v>39.89</v>
      </c>
      <c r="CR15" s="88">
        <v>46128.666666666664</v>
      </c>
      <c r="CS15">
        <v>142.76</v>
      </c>
      <c r="CT15" s="88">
        <v>46128.666666666664</v>
      </c>
      <c r="CU15">
        <v>7.34</v>
      </c>
      <c r="CV15" s="88">
        <v>46128.666666666664</v>
      </c>
      <c r="CW15">
        <v>13.71</v>
      </c>
      <c r="CX15" s="88">
        <v>46128.666666666664</v>
      </c>
      <c r="CY15">
        <v>9.9600000000000009</v>
      </c>
      <c r="CZ15" s="88">
        <v>46128.666666666664</v>
      </c>
      <c r="DA15">
        <v>16.89</v>
      </c>
      <c r="DB15" s="88">
        <v>46128.666666666664</v>
      </c>
      <c r="DC15">
        <v>82.93</v>
      </c>
      <c r="DD15" s="88">
        <v>46128.666666666664</v>
      </c>
      <c r="DE15">
        <v>28.4</v>
      </c>
      <c r="DF15" s="88">
        <v>46128.666666666664</v>
      </c>
      <c r="DG15">
        <v>6.02</v>
      </c>
      <c r="DH15" s="88">
        <v>46128.666666666664</v>
      </c>
      <c r="DI15">
        <v>19.03</v>
      </c>
      <c r="DJ15" s="88">
        <v>46128.666666666664</v>
      </c>
      <c r="DK15">
        <v>701.66</v>
      </c>
      <c r="DL15" s="88">
        <v>46128.666666666664</v>
      </c>
      <c r="DM15">
        <v>388.9</v>
      </c>
      <c r="DN15" s="88">
        <v>46128.666666666664</v>
      </c>
      <c r="DO15">
        <v>18.87</v>
      </c>
      <c r="DP15" s="88">
        <v>46128.666666666664</v>
      </c>
      <c r="DQ15">
        <v>95.03</v>
      </c>
      <c r="DR15" s="88">
        <v>46128.666666666664</v>
      </c>
      <c r="DS15">
        <v>10.42</v>
      </c>
      <c r="DT15" s="88">
        <v>46128.666666666664</v>
      </c>
      <c r="DU15">
        <v>76.48</v>
      </c>
      <c r="DV15" s="88">
        <v>46128.666666666664</v>
      </c>
      <c r="DW15">
        <v>15.91</v>
      </c>
      <c r="DX15" s="88">
        <v>46128.666666666664</v>
      </c>
      <c r="DY15">
        <v>125.84</v>
      </c>
      <c r="DZ15" s="88">
        <v>46128.666666666664</v>
      </c>
      <c r="EA15">
        <v>76.88</v>
      </c>
      <c r="EB15" s="88">
        <v>46128.666666666664</v>
      </c>
      <c r="EC15">
        <v>12.68</v>
      </c>
      <c r="ED15" s="88">
        <v>46128.666666666664</v>
      </c>
      <c r="EE15">
        <v>6.85</v>
      </c>
      <c r="EF15" s="88">
        <v>46128.666666666664</v>
      </c>
      <c r="EG15">
        <v>86.68</v>
      </c>
    </row>
    <row r="16" spans="1:138">
      <c r="B16" s="88">
        <v>46129.666666666664</v>
      </c>
      <c r="C16">
        <v>270.23</v>
      </c>
      <c r="D16" s="88">
        <v>46129.666666666664</v>
      </c>
      <c r="E16">
        <v>244.45</v>
      </c>
      <c r="F16" s="88">
        <v>46129.666666666664</v>
      </c>
      <c r="G16">
        <v>45.4</v>
      </c>
      <c r="H16" s="88">
        <v>46129.666666666664</v>
      </c>
      <c r="I16">
        <v>250.56</v>
      </c>
      <c r="J16" s="88">
        <v>46129.666666666664</v>
      </c>
      <c r="K16">
        <v>85.53</v>
      </c>
      <c r="L16" s="88">
        <v>46129.666666666664</v>
      </c>
      <c r="M16">
        <v>18.72</v>
      </c>
      <c r="N16" s="88">
        <v>46129.666666666664</v>
      </c>
      <c r="O16">
        <v>406.54</v>
      </c>
      <c r="P16" s="88">
        <v>46129.666666666664</v>
      </c>
      <c r="Q16">
        <v>141.01</v>
      </c>
      <c r="R16" s="88">
        <v>46129.666666666664</v>
      </c>
      <c r="S16">
        <v>22.95</v>
      </c>
      <c r="T16" s="88">
        <v>46129.666666666664</v>
      </c>
      <c r="U16">
        <v>25.65</v>
      </c>
      <c r="V16" s="88">
        <v>46129.666666666664</v>
      </c>
      <c r="W16">
        <v>1.08</v>
      </c>
      <c r="X16" s="88">
        <v>46129.666666666664</v>
      </c>
      <c r="Y16">
        <v>9.94</v>
      </c>
      <c r="Z16" s="88">
        <v>46129.666666666664</v>
      </c>
      <c r="AA16">
        <v>106.29</v>
      </c>
      <c r="AB16" s="88">
        <v>46129.666666666664</v>
      </c>
      <c r="AC16">
        <v>224.36</v>
      </c>
      <c r="AD16" s="88">
        <v>46129.666666666664</v>
      </c>
      <c r="AE16">
        <v>105.93</v>
      </c>
      <c r="AF16" s="88">
        <v>46129.666666666664</v>
      </c>
      <c r="AG16">
        <v>27.37</v>
      </c>
      <c r="AH16" s="88">
        <v>46129.666666666664</v>
      </c>
      <c r="AI16">
        <v>872.58</v>
      </c>
      <c r="AJ16" s="88">
        <v>46129.666666666664</v>
      </c>
      <c r="AK16">
        <v>18.920000000000002</v>
      </c>
      <c r="AL16" s="88">
        <v>46129.666666666664</v>
      </c>
      <c r="AM16">
        <v>43.72</v>
      </c>
      <c r="AN16" s="88">
        <v>46129.666666666664</v>
      </c>
      <c r="AO16">
        <v>341.68</v>
      </c>
      <c r="AP16" s="88">
        <v>46129.666666666664</v>
      </c>
      <c r="AQ16">
        <v>925.95</v>
      </c>
      <c r="AR16" s="88">
        <v>46129.666666666664</v>
      </c>
      <c r="AS16">
        <v>349.4</v>
      </c>
      <c r="AT16" s="88">
        <v>46129.666666666664</v>
      </c>
      <c r="AU16">
        <v>90.75</v>
      </c>
      <c r="AV16" s="88">
        <v>46129.666666666664</v>
      </c>
      <c r="AW16">
        <v>32.880000000000003</v>
      </c>
      <c r="AX16" s="88">
        <v>46129.666666666664</v>
      </c>
      <c r="AY16">
        <v>48.12</v>
      </c>
      <c r="AZ16" s="88">
        <v>46129.666666666664</v>
      </c>
      <c r="BA16">
        <v>12.45</v>
      </c>
      <c r="BB16" s="88">
        <v>46129.666666666664</v>
      </c>
      <c r="BC16">
        <v>894.07</v>
      </c>
      <c r="BD16" s="88">
        <v>46129.666666666664</v>
      </c>
      <c r="BE16">
        <v>167.28</v>
      </c>
      <c r="BF16" s="88">
        <v>46129.666666666664</v>
      </c>
      <c r="BG16">
        <v>27.58</v>
      </c>
      <c r="BH16" s="88">
        <v>46129.666666666664</v>
      </c>
      <c r="BI16">
        <v>156.56</v>
      </c>
      <c r="BJ16" s="88">
        <v>46129.666666666664</v>
      </c>
      <c r="BK16">
        <v>9.84</v>
      </c>
      <c r="BL16" s="88">
        <v>46129.666666666664</v>
      </c>
      <c r="BM16">
        <v>688.55</v>
      </c>
      <c r="BN16" s="88">
        <v>46129.666666666664</v>
      </c>
      <c r="BO16">
        <v>24.57</v>
      </c>
      <c r="BP16" s="88">
        <v>46129.666666666664</v>
      </c>
      <c r="BQ16">
        <v>422.79</v>
      </c>
      <c r="BR16" s="88">
        <v>46129.666666666664</v>
      </c>
      <c r="BS16">
        <v>133.22</v>
      </c>
      <c r="BT16" s="88">
        <v>46129.666666666664</v>
      </c>
      <c r="BU16">
        <v>455.07</v>
      </c>
      <c r="BV16" s="88">
        <v>46129.666666666664</v>
      </c>
      <c r="BW16">
        <v>97.31</v>
      </c>
      <c r="BX16" s="88">
        <v>46129.666666666664</v>
      </c>
      <c r="BY16">
        <v>46.03</v>
      </c>
      <c r="BZ16" s="88">
        <v>46129.666666666664</v>
      </c>
      <c r="CA16">
        <v>22.83</v>
      </c>
      <c r="CB16" s="88">
        <v>46129.666666666664</v>
      </c>
      <c r="CC16">
        <v>201.68</v>
      </c>
      <c r="CD16" s="88">
        <v>46129.666666666664</v>
      </c>
      <c r="CE16">
        <v>40.520000000000003</v>
      </c>
      <c r="CF16" s="88">
        <v>46129.666666666664</v>
      </c>
      <c r="CG16">
        <v>66.81</v>
      </c>
      <c r="CH16" s="88">
        <v>46129.666666666664</v>
      </c>
      <c r="CI16">
        <v>10</v>
      </c>
      <c r="CJ16" s="88">
        <v>46129.666666666664</v>
      </c>
      <c r="CK16">
        <v>175.06</v>
      </c>
      <c r="CL16" s="88">
        <v>46129.666666666664</v>
      </c>
      <c r="CM16">
        <v>53.79</v>
      </c>
      <c r="CN16" s="88">
        <v>46129.666666666664</v>
      </c>
      <c r="CO16">
        <v>10.41</v>
      </c>
      <c r="CP16" s="88">
        <v>46129.666666666664</v>
      </c>
      <c r="CQ16">
        <v>38.479999999999997</v>
      </c>
      <c r="CR16" s="88">
        <v>46129.666666666664</v>
      </c>
      <c r="CS16">
        <v>146.38999999999999</v>
      </c>
      <c r="CT16" s="88">
        <v>46129.666666666664</v>
      </c>
      <c r="CU16">
        <v>7.26</v>
      </c>
      <c r="CV16" s="88">
        <v>46129.666666666664</v>
      </c>
      <c r="CW16">
        <v>12.72</v>
      </c>
      <c r="CX16" s="88">
        <v>46129.666666666664</v>
      </c>
      <c r="CY16">
        <v>10.16</v>
      </c>
      <c r="CZ16" s="88">
        <v>46129.666666666664</v>
      </c>
      <c r="DA16">
        <v>17.23</v>
      </c>
      <c r="DB16" s="88">
        <v>46129.666666666664</v>
      </c>
      <c r="DC16">
        <v>84.8</v>
      </c>
      <c r="DD16" s="88">
        <v>46129.666666666664</v>
      </c>
      <c r="DE16">
        <v>28.56</v>
      </c>
      <c r="DF16" s="88">
        <v>46129.666666666664</v>
      </c>
      <c r="DG16">
        <v>6.03</v>
      </c>
      <c r="DH16" s="88">
        <v>46129.666666666664</v>
      </c>
      <c r="DI16">
        <v>19.43</v>
      </c>
      <c r="DJ16" s="88">
        <v>46129.666666666664</v>
      </c>
      <c r="DK16">
        <v>710.14</v>
      </c>
      <c r="DL16" s="88">
        <v>46129.666666666664</v>
      </c>
      <c r="DM16">
        <v>400.62</v>
      </c>
      <c r="DN16" s="88">
        <v>46129.666666666664</v>
      </c>
      <c r="DO16">
        <v>18.78</v>
      </c>
      <c r="DP16" s="88">
        <v>46129.666666666664</v>
      </c>
      <c r="DQ16">
        <v>101.8</v>
      </c>
      <c r="DR16" s="88">
        <v>46129.666666666664</v>
      </c>
      <c r="DS16">
        <v>10.57</v>
      </c>
      <c r="DT16" s="88">
        <v>46129.666666666664</v>
      </c>
      <c r="DU16">
        <v>77.12</v>
      </c>
      <c r="DV16" s="88">
        <v>46129.666666666664</v>
      </c>
      <c r="DW16">
        <v>14.09</v>
      </c>
      <c r="DX16" s="88">
        <v>46129.666666666664</v>
      </c>
      <c r="DY16">
        <v>116.04</v>
      </c>
      <c r="DZ16" s="88">
        <v>46129.666666666664</v>
      </c>
      <c r="EA16">
        <v>84.47</v>
      </c>
      <c r="EB16" s="88">
        <v>46129.666666666664</v>
      </c>
      <c r="EC16">
        <v>11.46</v>
      </c>
      <c r="ED16" s="88">
        <v>46129.666666666664</v>
      </c>
      <c r="EE16">
        <v>6.95</v>
      </c>
      <c r="EF16" s="88">
        <v>46129.666666666664</v>
      </c>
      <c r="EG16">
        <v>88.02</v>
      </c>
    </row>
    <row r="17" spans="1:137">
      <c r="B17" s="88">
        <v>46132.666666666664</v>
      </c>
      <c r="C17">
        <v>273.05</v>
      </c>
      <c r="D17" s="88">
        <v>46132.666666666664</v>
      </c>
      <c r="E17">
        <v>248.63</v>
      </c>
      <c r="F17" s="88">
        <v>46132.666666666664</v>
      </c>
      <c r="G17">
        <v>43.54</v>
      </c>
      <c r="H17" s="88">
        <v>46132.666666666664</v>
      </c>
      <c r="I17">
        <v>248.28</v>
      </c>
      <c r="J17" s="88">
        <v>46132.666666666664</v>
      </c>
      <c r="K17">
        <v>81</v>
      </c>
      <c r="L17" s="88">
        <v>46132.666666666664</v>
      </c>
      <c r="M17">
        <v>18.89</v>
      </c>
      <c r="N17" s="88">
        <v>46132.666666666664</v>
      </c>
      <c r="O17">
        <v>399.63</v>
      </c>
      <c r="P17" s="88">
        <v>46132.666666666664</v>
      </c>
      <c r="Q17">
        <v>140.16999999999999</v>
      </c>
      <c r="R17" s="88">
        <v>46132.666666666664</v>
      </c>
      <c r="S17">
        <v>22.53</v>
      </c>
      <c r="T17" s="88">
        <v>46132.666666666664</v>
      </c>
      <c r="U17">
        <v>25.72</v>
      </c>
      <c r="V17" s="88">
        <v>46132.666666666664</v>
      </c>
      <c r="W17">
        <v>1.08</v>
      </c>
      <c r="X17" s="88">
        <v>46132.666666666664</v>
      </c>
      <c r="Y17">
        <v>9.73</v>
      </c>
      <c r="Z17" s="88">
        <v>46132.666666666664</v>
      </c>
      <c r="AA17">
        <v>106.3</v>
      </c>
      <c r="AB17" s="88">
        <v>46132.666666666664</v>
      </c>
      <c r="AC17">
        <v>230.62</v>
      </c>
      <c r="AD17" s="88">
        <v>46132.666666666664</v>
      </c>
      <c r="AE17">
        <v>107.25</v>
      </c>
      <c r="AF17" s="88">
        <v>46132.666666666664</v>
      </c>
      <c r="AG17">
        <v>27.39</v>
      </c>
      <c r="AH17" s="88">
        <v>46132.666666666664</v>
      </c>
      <c r="AI17">
        <v>881.98</v>
      </c>
      <c r="AJ17" s="88">
        <v>46132.666666666664</v>
      </c>
      <c r="AK17">
        <v>19.010000000000002</v>
      </c>
      <c r="AL17" s="88">
        <v>46132.666666666664</v>
      </c>
      <c r="AM17">
        <v>42.79</v>
      </c>
      <c r="AN17" s="88">
        <v>46132.666666666664</v>
      </c>
      <c r="AO17">
        <v>337.42</v>
      </c>
      <c r="AP17" s="88">
        <v>46132.666666666664</v>
      </c>
      <c r="AQ17">
        <v>941.74</v>
      </c>
      <c r="AR17" s="88">
        <v>46132.666666666664</v>
      </c>
      <c r="AS17">
        <v>350.99</v>
      </c>
      <c r="AT17" s="88">
        <v>46132.666666666664</v>
      </c>
      <c r="AU17">
        <v>91.28</v>
      </c>
      <c r="AV17" s="88">
        <v>46132.666666666664</v>
      </c>
      <c r="AW17">
        <v>31.41</v>
      </c>
      <c r="AX17" s="88">
        <v>46132.666666666664</v>
      </c>
      <c r="AY17">
        <v>48.72</v>
      </c>
      <c r="AZ17" s="88">
        <v>46132.666666666664</v>
      </c>
      <c r="BA17">
        <v>12.45</v>
      </c>
      <c r="BB17" s="88">
        <v>46132.666666666664</v>
      </c>
      <c r="BC17">
        <v>895.11</v>
      </c>
      <c r="BD17" s="88">
        <v>46132.666666666664</v>
      </c>
      <c r="BE17">
        <v>166.81</v>
      </c>
      <c r="BF17" s="88">
        <v>46132.666666666664</v>
      </c>
      <c r="BG17">
        <v>27.52</v>
      </c>
      <c r="BH17" s="88">
        <v>46132.666666666664</v>
      </c>
      <c r="BI17">
        <v>156.09</v>
      </c>
      <c r="BJ17" s="88">
        <v>46132.666666666664</v>
      </c>
      <c r="BK17">
        <v>10.34</v>
      </c>
      <c r="BL17" s="88">
        <v>46132.666666666664</v>
      </c>
      <c r="BM17">
        <v>670.91</v>
      </c>
      <c r="BN17" s="88">
        <v>46132.666666666664</v>
      </c>
      <c r="BO17">
        <v>24.11</v>
      </c>
      <c r="BP17" s="88">
        <v>46132.666666666664</v>
      </c>
      <c r="BQ17">
        <v>418.07</v>
      </c>
      <c r="BR17" s="88">
        <v>46132.666666666664</v>
      </c>
      <c r="BS17">
        <v>133.05000000000001</v>
      </c>
      <c r="BT17" s="88">
        <v>46132.666666666664</v>
      </c>
      <c r="BU17">
        <v>448.42</v>
      </c>
      <c r="BV17" s="88">
        <v>46132.666666666664</v>
      </c>
      <c r="BW17">
        <v>94.83</v>
      </c>
      <c r="BX17" s="88">
        <v>46132.666666666664</v>
      </c>
      <c r="BY17">
        <v>46.48</v>
      </c>
      <c r="BZ17" s="88">
        <v>46132.666666666664</v>
      </c>
      <c r="CA17">
        <v>23.2</v>
      </c>
      <c r="CB17" s="88">
        <v>46132.666666666664</v>
      </c>
      <c r="CC17">
        <v>202.06</v>
      </c>
      <c r="CD17" s="88">
        <v>46132.666666666664</v>
      </c>
      <c r="CE17">
        <v>40.46</v>
      </c>
      <c r="CF17" s="88">
        <v>46132.666666666664</v>
      </c>
      <c r="CG17">
        <v>68.13</v>
      </c>
      <c r="CH17" s="88">
        <v>46132.666666666664</v>
      </c>
      <c r="CI17">
        <v>10.73</v>
      </c>
      <c r="CJ17" s="88">
        <v>46132.666666666664</v>
      </c>
      <c r="CK17">
        <v>177.58</v>
      </c>
      <c r="CL17" s="88">
        <v>46132.666666666664</v>
      </c>
      <c r="CM17">
        <v>54.48</v>
      </c>
      <c r="CN17" s="88">
        <v>46132.666666666664</v>
      </c>
      <c r="CO17">
        <v>10.56</v>
      </c>
      <c r="CP17" s="88">
        <v>46132.666666666664</v>
      </c>
      <c r="CQ17">
        <v>37.5</v>
      </c>
      <c r="CR17" s="88">
        <v>46132.666666666664</v>
      </c>
      <c r="CS17">
        <v>145.88999999999999</v>
      </c>
      <c r="CT17" s="88">
        <v>46132.666666666664</v>
      </c>
      <c r="CU17">
        <v>8.59</v>
      </c>
      <c r="CV17" s="88">
        <v>46132.666666666664</v>
      </c>
      <c r="CW17">
        <v>12.6</v>
      </c>
      <c r="CX17" s="88">
        <v>46132.666666666664</v>
      </c>
      <c r="CY17">
        <v>10.1</v>
      </c>
      <c r="CZ17" s="88">
        <v>46132.666666666664</v>
      </c>
      <c r="DA17">
        <v>16.920000000000002</v>
      </c>
      <c r="DB17" s="88">
        <v>46132.666666666664</v>
      </c>
      <c r="DC17">
        <v>89.46</v>
      </c>
      <c r="DD17" s="88">
        <v>46132.666666666664</v>
      </c>
      <c r="DE17">
        <v>28.81</v>
      </c>
      <c r="DF17" s="88">
        <v>46132.666666666664</v>
      </c>
      <c r="DG17">
        <v>6</v>
      </c>
      <c r="DH17" s="88">
        <v>46132.666666666664</v>
      </c>
      <c r="DI17">
        <v>19.5</v>
      </c>
      <c r="DJ17" s="88">
        <v>46132.666666666664</v>
      </c>
      <c r="DK17">
        <v>708.72</v>
      </c>
      <c r="DL17" s="88">
        <v>46132.666666666664</v>
      </c>
      <c r="DM17">
        <v>392.5</v>
      </c>
      <c r="DN17" s="88">
        <v>46132.666666666664</v>
      </c>
      <c r="DO17">
        <v>19.75</v>
      </c>
      <c r="DP17" s="88">
        <v>46132.666666666664</v>
      </c>
      <c r="DQ17">
        <v>98.91</v>
      </c>
      <c r="DR17" s="88">
        <v>46132.666666666664</v>
      </c>
      <c r="DS17">
        <v>10.64</v>
      </c>
      <c r="DT17" s="88">
        <v>46132.666666666664</v>
      </c>
      <c r="DU17">
        <v>77.489999999999995</v>
      </c>
      <c r="DV17" s="88">
        <v>46132.666666666664</v>
      </c>
      <c r="DW17">
        <v>15.44</v>
      </c>
      <c r="DX17" s="88">
        <v>46132.666666666664</v>
      </c>
      <c r="DY17">
        <v>121.32</v>
      </c>
      <c r="DZ17" s="88">
        <v>46132.666666666664</v>
      </c>
      <c r="EA17">
        <v>91.92</v>
      </c>
      <c r="EB17" s="88">
        <v>46132.666666666664</v>
      </c>
      <c r="EC17">
        <v>11.45</v>
      </c>
      <c r="ED17" s="88">
        <v>46132.666666666664</v>
      </c>
      <c r="EE17">
        <v>7.13</v>
      </c>
      <c r="EF17" s="88">
        <v>46132.666666666664</v>
      </c>
      <c r="EG17">
        <v>90.56</v>
      </c>
    </row>
    <row r="18" spans="1:137">
      <c r="B18" s="88">
        <v>46133.666666666664</v>
      </c>
      <c r="C18">
        <v>266.17</v>
      </c>
      <c r="D18" s="88">
        <v>46133.666666666664</v>
      </c>
      <c r="E18">
        <v>247.18</v>
      </c>
      <c r="F18" s="88">
        <v>46133.666666666664</v>
      </c>
      <c r="G18">
        <v>41.45</v>
      </c>
      <c r="H18" s="88">
        <v>46133.666666666664</v>
      </c>
      <c r="I18">
        <v>249.91</v>
      </c>
      <c r="J18" s="88">
        <v>46133.666666666664</v>
      </c>
      <c r="K18">
        <v>80.010000000000005</v>
      </c>
      <c r="L18" s="88">
        <v>46133.666666666664</v>
      </c>
      <c r="M18">
        <v>18.7</v>
      </c>
      <c r="N18" s="88">
        <v>46133.666666666664</v>
      </c>
      <c r="O18">
        <v>402.17</v>
      </c>
      <c r="P18" s="88">
        <v>46133.666666666664</v>
      </c>
      <c r="Q18">
        <v>135.38</v>
      </c>
      <c r="R18" s="88">
        <v>46133.666666666664</v>
      </c>
      <c r="S18">
        <v>21.71</v>
      </c>
      <c r="T18" s="88">
        <v>46133.666666666664</v>
      </c>
      <c r="U18">
        <v>27.04</v>
      </c>
      <c r="V18" s="88">
        <v>46133.666666666664</v>
      </c>
      <c r="W18">
        <v>1.04</v>
      </c>
      <c r="X18" s="88">
        <v>46133.666666666664</v>
      </c>
      <c r="Y18">
        <v>9.1300000000000008</v>
      </c>
      <c r="Z18" s="88">
        <v>46133.666666666664</v>
      </c>
      <c r="AA18">
        <v>104.29</v>
      </c>
      <c r="AB18" s="88">
        <v>46133.666666666664</v>
      </c>
      <c r="AC18">
        <v>228.81</v>
      </c>
      <c r="AD18" s="88">
        <v>46133.666666666664</v>
      </c>
      <c r="AE18">
        <v>103.83</v>
      </c>
      <c r="AF18" s="88">
        <v>46133.666666666664</v>
      </c>
      <c r="AG18">
        <v>26.9</v>
      </c>
      <c r="AH18" s="88">
        <v>46133.666666666664</v>
      </c>
      <c r="AI18">
        <v>865.48</v>
      </c>
      <c r="AJ18" s="88">
        <v>46133.666666666664</v>
      </c>
      <c r="AK18">
        <v>18.72</v>
      </c>
      <c r="AL18" s="88">
        <v>46133.666666666664</v>
      </c>
      <c r="AM18">
        <v>42.09</v>
      </c>
      <c r="AN18" s="88">
        <v>46133.666666666664</v>
      </c>
      <c r="AO18">
        <v>332.29</v>
      </c>
      <c r="AP18" s="88">
        <v>46133.666666666664</v>
      </c>
      <c r="AQ18">
        <v>926.55</v>
      </c>
      <c r="AR18" s="88">
        <v>46133.666666666664</v>
      </c>
      <c r="AS18">
        <v>343.92</v>
      </c>
      <c r="AT18" s="88">
        <v>46133.666666666664</v>
      </c>
      <c r="AU18">
        <v>86.43</v>
      </c>
      <c r="AV18" s="88">
        <v>46133.666666666664</v>
      </c>
      <c r="AW18">
        <v>29.7</v>
      </c>
      <c r="AX18" s="88">
        <v>46133.666666666664</v>
      </c>
      <c r="AY18">
        <v>45.17</v>
      </c>
      <c r="AZ18" s="88">
        <v>46133.666666666664</v>
      </c>
      <c r="BA18">
        <v>11.52</v>
      </c>
      <c r="BB18" s="88">
        <v>46133.666666666664</v>
      </c>
      <c r="BC18">
        <v>836.92</v>
      </c>
      <c r="BD18" s="88">
        <v>46133.666666666664</v>
      </c>
      <c r="BE18">
        <v>166.7</v>
      </c>
      <c r="BF18" s="88">
        <v>46133.666666666664</v>
      </c>
      <c r="BG18">
        <v>27.82</v>
      </c>
      <c r="BH18" s="88">
        <v>46133.666666666664</v>
      </c>
      <c r="BI18">
        <v>153.37</v>
      </c>
      <c r="BJ18" s="88">
        <v>46133.666666666664</v>
      </c>
      <c r="BK18">
        <v>9.08</v>
      </c>
      <c r="BL18" s="88">
        <v>46133.666666666664</v>
      </c>
      <c r="BM18">
        <v>668.84</v>
      </c>
      <c r="BN18" s="88">
        <v>46133.666666666664</v>
      </c>
      <c r="BO18">
        <v>24.2</v>
      </c>
      <c r="BP18" s="88">
        <v>46133.666666666664</v>
      </c>
      <c r="BQ18">
        <v>424.16</v>
      </c>
      <c r="BR18" s="88">
        <v>46133.666666666664</v>
      </c>
      <c r="BS18">
        <v>132.68</v>
      </c>
      <c r="BT18" s="88">
        <v>46133.666666666664</v>
      </c>
      <c r="BU18">
        <v>449.38</v>
      </c>
      <c r="BV18" s="88">
        <v>46133.666666666664</v>
      </c>
      <c r="BW18">
        <v>92.58</v>
      </c>
      <c r="BX18" s="88">
        <v>46133.666666666664</v>
      </c>
      <c r="BY18">
        <v>46.39</v>
      </c>
      <c r="BZ18" s="88">
        <v>46133.666666666664</v>
      </c>
      <c r="CA18">
        <v>22.57</v>
      </c>
      <c r="CB18" s="88">
        <v>46133.666666666664</v>
      </c>
      <c r="CC18">
        <v>199.88</v>
      </c>
      <c r="CD18" s="88">
        <v>46133.666666666664</v>
      </c>
      <c r="CE18">
        <v>39.42</v>
      </c>
      <c r="CF18" s="88">
        <v>46133.666666666664</v>
      </c>
      <c r="CG18">
        <v>62.61</v>
      </c>
      <c r="CH18" s="88">
        <v>46133.666666666664</v>
      </c>
      <c r="CI18">
        <v>10.87</v>
      </c>
      <c r="CJ18" s="88">
        <v>46133.666666666664</v>
      </c>
      <c r="CK18">
        <v>181.17</v>
      </c>
      <c r="CL18" s="88">
        <v>46133.666666666664</v>
      </c>
      <c r="CM18">
        <v>56.33</v>
      </c>
      <c r="CN18" s="88">
        <v>46133.666666666664</v>
      </c>
      <c r="CO18">
        <v>10.78</v>
      </c>
      <c r="CP18" s="88">
        <v>46133.666666666664</v>
      </c>
      <c r="CQ18">
        <v>38.03</v>
      </c>
      <c r="CR18" s="88">
        <v>46133.666666666664</v>
      </c>
      <c r="CS18">
        <v>145.97</v>
      </c>
      <c r="CT18" s="88">
        <v>46133.666666666664</v>
      </c>
      <c r="CU18">
        <v>10.25</v>
      </c>
      <c r="CV18" s="88">
        <v>46133.666666666664</v>
      </c>
      <c r="CW18">
        <v>12.57</v>
      </c>
      <c r="CX18" s="88">
        <v>46133.666666666664</v>
      </c>
      <c r="CY18">
        <v>10.17</v>
      </c>
      <c r="CZ18" s="88">
        <v>46133.666666666664</v>
      </c>
      <c r="DA18">
        <v>17.149999999999999</v>
      </c>
      <c r="DB18" s="88">
        <v>46133.666666666664</v>
      </c>
      <c r="DC18">
        <v>86.64</v>
      </c>
      <c r="DD18" s="88">
        <v>46133.666666666664</v>
      </c>
      <c r="DE18">
        <v>28.43</v>
      </c>
      <c r="DF18" s="88">
        <v>46133.666666666664</v>
      </c>
      <c r="DG18">
        <v>5.64</v>
      </c>
      <c r="DH18" s="88">
        <v>46133.666666666664</v>
      </c>
      <c r="DI18">
        <v>18.829999999999998</v>
      </c>
      <c r="DJ18" s="88">
        <v>46133.666666666664</v>
      </c>
      <c r="DK18">
        <v>704.08</v>
      </c>
      <c r="DL18" s="88">
        <v>46133.666666666664</v>
      </c>
      <c r="DM18">
        <v>386.42</v>
      </c>
      <c r="DN18" s="88">
        <v>46133.666666666664</v>
      </c>
      <c r="DO18">
        <v>20</v>
      </c>
      <c r="DP18" s="88">
        <v>46133.666666666664</v>
      </c>
      <c r="DQ18">
        <v>97.13</v>
      </c>
      <c r="DR18" s="88">
        <v>46133.666666666664</v>
      </c>
      <c r="DS18">
        <v>10.07</v>
      </c>
      <c r="DT18" s="88">
        <v>46133.666666666664</v>
      </c>
      <c r="DU18">
        <v>77.260000000000005</v>
      </c>
      <c r="DV18" s="88">
        <v>46133.666666666664</v>
      </c>
      <c r="DW18">
        <v>15.37</v>
      </c>
      <c r="DX18" s="88">
        <v>46133.666666666664</v>
      </c>
      <c r="DY18">
        <v>128.25</v>
      </c>
      <c r="DZ18" s="88">
        <v>46133.666666666664</v>
      </c>
      <c r="EA18">
        <v>89</v>
      </c>
      <c r="EB18" s="88">
        <v>46133.666666666664</v>
      </c>
      <c r="EC18">
        <v>12.09</v>
      </c>
      <c r="ED18" s="88">
        <v>46133.666666666664</v>
      </c>
      <c r="EE18">
        <v>7.11</v>
      </c>
      <c r="EF18" s="88">
        <v>46133.666666666664</v>
      </c>
      <c r="EG18">
        <v>90.96</v>
      </c>
    </row>
    <row r="19" spans="1:137">
      <c r="B19" s="88">
        <v>46134.666666666664</v>
      </c>
      <c r="C19">
        <v>273.17</v>
      </c>
      <c r="D19" s="88">
        <v>46134.666666666664</v>
      </c>
      <c r="E19">
        <v>255.94</v>
      </c>
      <c r="F19" s="88">
        <v>46134.666666666664</v>
      </c>
      <c r="G19">
        <v>40.78</v>
      </c>
      <c r="H19" s="88">
        <v>46134.666666666664</v>
      </c>
      <c r="I19">
        <v>255.36</v>
      </c>
      <c r="J19" s="88">
        <v>46134.666666666664</v>
      </c>
      <c r="K19">
        <v>84.66</v>
      </c>
      <c r="L19" s="88">
        <v>46134.666666666664</v>
      </c>
      <c r="M19">
        <v>18.7</v>
      </c>
      <c r="N19" s="88">
        <v>46134.666666666664</v>
      </c>
      <c r="O19">
        <v>422.65</v>
      </c>
      <c r="P19" s="88">
        <v>46134.666666666664</v>
      </c>
      <c r="Q19">
        <v>136.41999999999999</v>
      </c>
      <c r="R19" s="88">
        <v>46134.666666666664</v>
      </c>
      <c r="S19">
        <v>23.31</v>
      </c>
      <c r="T19" s="88">
        <v>46134.666666666664</v>
      </c>
      <c r="U19">
        <v>27.71</v>
      </c>
      <c r="V19" s="88">
        <v>46134.666666666664</v>
      </c>
      <c r="W19">
        <v>1.02</v>
      </c>
      <c r="X19" s="88">
        <v>46134.666666666664</v>
      </c>
      <c r="Y19">
        <v>9.5</v>
      </c>
      <c r="Z19" s="88">
        <v>46134.666666666664</v>
      </c>
      <c r="AA19">
        <v>104.82</v>
      </c>
      <c r="AB19" s="88">
        <v>46134.666666666664</v>
      </c>
      <c r="AC19">
        <v>228.21</v>
      </c>
      <c r="AD19" s="88">
        <v>46134.666666666664</v>
      </c>
      <c r="AE19">
        <v>101.97</v>
      </c>
      <c r="AF19" s="88">
        <v>46134.666666666664</v>
      </c>
      <c r="AG19">
        <v>27.12</v>
      </c>
      <c r="AH19" s="88">
        <v>46134.666666666664</v>
      </c>
      <c r="AI19">
        <v>860.97</v>
      </c>
      <c r="AJ19" s="88">
        <v>46134.666666666664</v>
      </c>
      <c r="AK19">
        <v>19.170000000000002</v>
      </c>
      <c r="AL19" s="88">
        <v>46134.666666666664</v>
      </c>
      <c r="AM19">
        <v>41.45</v>
      </c>
      <c r="AN19" s="88">
        <v>46134.666666666664</v>
      </c>
      <c r="AO19">
        <v>339.32</v>
      </c>
      <c r="AP19" s="88">
        <v>46134.666666666664</v>
      </c>
      <c r="AQ19">
        <v>934.84</v>
      </c>
      <c r="AR19" s="88">
        <v>46134.666666666664</v>
      </c>
      <c r="AS19">
        <v>339.5</v>
      </c>
      <c r="AT19" s="88">
        <v>46134.666666666664</v>
      </c>
      <c r="AU19">
        <v>88.43</v>
      </c>
      <c r="AV19" s="88">
        <v>46134.666666666664</v>
      </c>
      <c r="AW19">
        <v>31.64</v>
      </c>
      <c r="AX19" s="88">
        <v>46134.666666666664</v>
      </c>
      <c r="AY19">
        <v>48.39</v>
      </c>
      <c r="AZ19" s="88">
        <v>46134.666666666664</v>
      </c>
      <c r="BA19">
        <v>11.23</v>
      </c>
      <c r="BB19" s="88">
        <v>46134.666666666664</v>
      </c>
      <c r="BC19">
        <v>873.6</v>
      </c>
      <c r="BD19" s="88">
        <v>46134.666666666664</v>
      </c>
      <c r="BE19">
        <v>163.44999999999999</v>
      </c>
      <c r="BF19" s="88">
        <v>46134.666666666664</v>
      </c>
      <c r="BG19">
        <v>29.94</v>
      </c>
      <c r="BH19" s="88">
        <v>46134.666666666664</v>
      </c>
      <c r="BI19">
        <v>154.63</v>
      </c>
      <c r="BJ19" s="88">
        <v>46134.666666666664</v>
      </c>
      <c r="BK19">
        <v>10.3</v>
      </c>
      <c r="BL19" s="88">
        <v>46134.666666666664</v>
      </c>
      <c r="BM19">
        <v>674.72</v>
      </c>
      <c r="BN19" s="88">
        <v>46134.666666666664</v>
      </c>
      <c r="BO19">
        <v>24.52</v>
      </c>
      <c r="BP19" s="88">
        <v>46134.666666666664</v>
      </c>
      <c r="BQ19">
        <v>432.92</v>
      </c>
      <c r="BR19" s="88">
        <v>46134.666666666664</v>
      </c>
      <c r="BS19">
        <v>130.13999999999999</v>
      </c>
      <c r="BT19" s="88">
        <v>46134.666666666664</v>
      </c>
      <c r="BU19">
        <v>487.48</v>
      </c>
      <c r="BV19" s="88">
        <v>46134.666666666664</v>
      </c>
      <c r="BW19">
        <v>93.24</v>
      </c>
      <c r="BX19" s="88">
        <v>46134.666666666664</v>
      </c>
      <c r="BY19">
        <v>45.68</v>
      </c>
      <c r="BZ19" s="88">
        <v>46134.666666666664</v>
      </c>
      <c r="CA19">
        <v>17.57</v>
      </c>
      <c r="CB19" s="88">
        <v>46134.666666666664</v>
      </c>
      <c r="CC19">
        <v>202.5</v>
      </c>
      <c r="CD19" s="88">
        <v>46134.666666666664</v>
      </c>
      <c r="CE19">
        <v>39.15</v>
      </c>
      <c r="CF19" s="88">
        <v>46134.666666666664</v>
      </c>
      <c r="CG19">
        <v>72.41</v>
      </c>
      <c r="CH19" s="88">
        <v>46134.666666666664</v>
      </c>
      <c r="CI19">
        <v>11.06</v>
      </c>
      <c r="CJ19" s="88">
        <v>46134.666666666664</v>
      </c>
      <c r="CK19">
        <v>187.5</v>
      </c>
      <c r="CL19" s="88">
        <v>46134.666666666664</v>
      </c>
      <c r="CM19">
        <v>57.05</v>
      </c>
      <c r="CN19" s="88">
        <v>46134.666666666664</v>
      </c>
      <c r="CO19">
        <v>10.89</v>
      </c>
      <c r="CP19" s="88">
        <v>46134.666666666664</v>
      </c>
      <c r="CQ19">
        <v>39.47</v>
      </c>
      <c r="CR19" s="88">
        <v>46134.666666666664</v>
      </c>
      <c r="CS19">
        <v>152.62</v>
      </c>
      <c r="CT19" s="88">
        <v>46134.666666666664</v>
      </c>
      <c r="CU19">
        <v>12.77</v>
      </c>
      <c r="CV19" s="88">
        <v>46134.666666666664</v>
      </c>
      <c r="CW19">
        <v>13.55</v>
      </c>
      <c r="CX19" s="88">
        <v>46134.666666666664</v>
      </c>
      <c r="CY19">
        <v>10.18</v>
      </c>
      <c r="CZ19" s="88">
        <v>46134.666666666664</v>
      </c>
      <c r="DA19">
        <v>17.739999999999998</v>
      </c>
      <c r="DB19" s="88">
        <v>46134.666666666664</v>
      </c>
      <c r="DC19">
        <v>90.04</v>
      </c>
      <c r="DD19" s="88">
        <v>46134.666666666664</v>
      </c>
      <c r="DE19">
        <v>29.18</v>
      </c>
      <c r="DF19" s="88">
        <v>46134.666666666664</v>
      </c>
      <c r="DG19">
        <v>5.84</v>
      </c>
      <c r="DH19" s="88">
        <v>46134.666666666664</v>
      </c>
      <c r="DI19">
        <v>19.059999999999999</v>
      </c>
      <c r="DJ19" s="88">
        <v>46134.666666666664</v>
      </c>
      <c r="DK19">
        <v>711.21</v>
      </c>
      <c r="DL19" s="88">
        <v>46134.666666666664</v>
      </c>
      <c r="DM19">
        <v>387.51</v>
      </c>
      <c r="DN19" s="88">
        <v>46134.666666666664</v>
      </c>
      <c r="DO19">
        <v>20.12</v>
      </c>
      <c r="DP19" s="88">
        <v>46134.666666666664</v>
      </c>
      <c r="DQ19">
        <v>91.71</v>
      </c>
      <c r="DR19" s="88">
        <v>46134.666666666664</v>
      </c>
      <c r="DS19">
        <v>10.6</v>
      </c>
      <c r="DT19" s="88">
        <v>46134.666666666664</v>
      </c>
      <c r="DU19">
        <v>75.58</v>
      </c>
      <c r="DV19" s="88">
        <v>46134.666666666664</v>
      </c>
      <c r="DW19">
        <v>16.45</v>
      </c>
      <c r="DX19" s="88">
        <v>46134.666666666664</v>
      </c>
      <c r="DY19">
        <v>129.4</v>
      </c>
      <c r="DZ19" s="88">
        <v>46134.666666666664</v>
      </c>
      <c r="EA19">
        <v>92.91</v>
      </c>
      <c r="EB19" s="88">
        <v>46134.666666666664</v>
      </c>
      <c r="EC19">
        <v>12.34</v>
      </c>
      <c r="ED19" s="88">
        <v>46134.666666666664</v>
      </c>
      <c r="EE19">
        <v>7.1</v>
      </c>
      <c r="EF19" s="88">
        <v>46134.666666666664</v>
      </c>
      <c r="EG19">
        <v>91.92</v>
      </c>
    </row>
    <row r="20" spans="1:137">
      <c r="B20" s="88">
        <v>46135.666666666664</v>
      </c>
      <c r="C20">
        <v>273.43</v>
      </c>
      <c r="D20" s="88">
        <v>46135.666666666664</v>
      </c>
      <c r="E20">
        <v>238.98</v>
      </c>
      <c r="F20" s="88">
        <v>46135.666666666664</v>
      </c>
      <c r="G20">
        <v>41.16</v>
      </c>
      <c r="H20" s="88">
        <v>46135.666666666664</v>
      </c>
      <c r="I20">
        <v>255.08</v>
      </c>
      <c r="J20" s="88">
        <v>46135.666666666664</v>
      </c>
      <c r="K20">
        <v>78.75</v>
      </c>
      <c r="L20" s="88">
        <v>46135.666666666664</v>
      </c>
      <c r="M20">
        <v>18.37</v>
      </c>
      <c r="N20" s="88">
        <v>46135.666666666664</v>
      </c>
      <c r="O20">
        <v>419.94</v>
      </c>
      <c r="P20" s="88">
        <v>46135.666666666664</v>
      </c>
      <c r="Q20">
        <v>131.69999999999999</v>
      </c>
      <c r="R20" s="88">
        <v>46135.666666666664</v>
      </c>
      <c r="S20">
        <v>22</v>
      </c>
      <c r="T20" s="88">
        <v>46135.666666666664</v>
      </c>
      <c r="U20">
        <v>27.36</v>
      </c>
      <c r="V20" s="88">
        <v>46135.666666666664</v>
      </c>
      <c r="W20">
        <v>0.99</v>
      </c>
      <c r="X20" s="88">
        <v>46135.666666666664</v>
      </c>
      <c r="Y20">
        <v>9.09</v>
      </c>
      <c r="Z20" s="88">
        <v>46135.666666666664</v>
      </c>
      <c r="AA20">
        <v>103.65</v>
      </c>
      <c r="AB20" s="88">
        <v>46135.666666666664</v>
      </c>
      <c r="AC20">
        <v>224.46</v>
      </c>
      <c r="AD20" s="88">
        <v>46135.666666666664</v>
      </c>
      <c r="AE20">
        <v>102.25</v>
      </c>
      <c r="AF20" s="88">
        <v>46135.666666666664</v>
      </c>
      <c r="AG20">
        <v>27.35</v>
      </c>
      <c r="AH20" s="88">
        <v>46135.666666666664</v>
      </c>
      <c r="AI20">
        <v>852.34</v>
      </c>
      <c r="AJ20" s="88">
        <v>46135.666666666664</v>
      </c>
      <c r="AK20">
        <v>17.32</v>
      </c>
      <c r="AL20" s="88">
        <v>46135.666666666664</v>
      </c>
      <c r="AM20">
        <v>38.54</v>
      </c>
      <c r="AN20" s="88">
        <v>46135.666666666664</v>
      </c>
      <c r="AO20">
        <v>338.89</v>
      </c>
      <c r="AP20" s="88">
        <v>46135.666666666664</v>
      </c>
      <c r="AQ20">
        <v>931.3</v>
      </c>
      <c r="AR20" s="88">
        <v>46135.666666666664</v>
      </c>
      <c r="AS20">
        <v>340.16</v>
      </c>
      <c r="AT20" s="88">
        <v>46135.666666666664</v>
      </c>
      <c r="AU20">
        <v>83.54</v>
      </c>
      <c r="AV20" s="88">
        <v>46135.666666666664</v>
      </c>
      <c r="AW20">
        <v>29.72</v>
      </c>
      <c r="AX20" s="88">
        <v>46135.666666666664</v>
      </c>
      <c r="AY20">
        <v>52.02</v>
      </c>
      <c r="AZ20" s="88">
        <v>46135.666666666664</v>
      </c>
      <c r="BA20">
        <v>11.34</v>
      </c>
      <c r="BB20" s="88">
        <v>46135.666666666664</v>
      </c>
      <c r="BC20">
        <v>846.89</v>
      </c>
      <c r="BD20" s="88">
        <v>46135.666666666664</v>
      </c>
      <c r="BE20">
        <v>141.66</v>
      </c>
      <c r="BF20" s="88">
        <v>46135.666666666664</v>
      </c>
      <c r="BG20">
        <v>27.56</v>
      </c>
      <c r="BH20" s="88">
        <v>46135.666666666664</v>
      </c>
      <c r="BI20">
        <v>153.21</v>
      </c>
      <c r="BJ20" s="88">
        <v>46135.666666666664</v>
      </c>
      <c r="BK20">
        <v>9.11</v>
      </c>
      <c r="BL20" s="88">
        <v>46135.666666666664</v>
      </c>
      <c r="BM20">
        <v>659.15</v>
      </c>
      <c r="BN20" s="88">
        <v>46135.666666666664</v>
      </c>
      <c r="BO20">
        <v>24.28</v>
      </c>
      <c r="BP20" s="88">
        <v>46135.666666666664</v>
      </c>
      <c r="BQ20">
        <v>415.75</v>
      </c>
      <c r="BR20" s="88">
        <v>46135.666666666664</v>
      </c>
      <c r="BS20">
        <v>123.57</v>
      </c>
      <c r="BT20" s="88">
        <v>46135.666666666664</v>
      </c>
      <c r="BU20">
        <v>481.72</v>
      </c>
      <c r="BV20" s="88">
        <v>46135.666666666664</v>
      </c>
      <c r="BW20">
        <v>92.82</v>
      </c>
      <c r="BX20" s="88">
        <v>46135.666666666664</v>
      </c>
      <c r="BY20">
        <v>44.78</v>
      </c>
      <c r="BZ20" s="88">
        <v>46135.666666666664</v>
      </c>
      <c r="CA20">
        <v>17.920000000000002</v>
      </c>
      <c r="CB20" s="88">
        <v>46135.666666666664</v>
      </c>
      <c r="CC20">
        <v>199.64</v>
      </c>
      <c r="CD20" s="88">
        <v>46135.666666666664</v>
      </c>
      <c r="CE20">
        <v>38.520000000000003</v>
      </c>
      <c r="CF20" s="88">
        <v>46135.666666666664</v>
      </c>
      <c r="CG20">
        <v>76.459999999999994</v>
      </c>
      <c r="CH20" s="88">
        <v>46135.666666666664</v>
      </c>
      <c r="CI20">
        <v>10.54</v>
      </c>
      <c r="CJ20" s="88">
        <v>46135.666666666664</v>
      </c>
      <c r="CK20">
        <v>176.28</v>
      </c>
      <c r="CL20" s="88">
        <v>46135.666666666664</v>
      </c>
      <c r="CM20">
        <v>57.83</v>
      </c>
      <c r="CN20" s="88">
        <v>46135.666666666664</v>
      </c>
      <c r="CO20">
        <v>10.09</v>
      </c>
      <c r="CP20" s="88">
        <v>46135.666666666664</v>
      </c>
      <c r="CQ20">
        <v>38.29</v>
      </c>
      <c r="CR20" s="88">
        <v>46135.666666666664</v>
      </c>
      <c r="CS20">
        <v>141.57</v>
      </c>
      <c r="CT20" s="88">
        <v>46135.666666666664</v>
      </c>
      <c r="CU20">
        <v>11.72</v>
      </c>
      <c r="CV20" s="88">
        <v>46135.666666666664</v>
      </c>
      <c r="CW20">
        <v>12.54</v>
      </c>
      <c r="CX20" s="88">
        <v>46135.666666666664</v>
      </c>
      <c r="CY20">
        <v>10.119999999999999</v>
      </c>
      <c r="CZ20" s="88">
        <v>46135.666666666664</v>
      </c>
      <c r="DA20">
        <v>16.95</v>
      </c>
      <c r="DB20" s="88">
        <v>46135.666666666664</v>
      </c>
      <c r="DC20">
        <v>84.6</v>
      </c>
      <c r="DD20" s="88">
        <v>46135.666666666664</v>
      </c>
      <c r="DE20">
        <v>26.75</v>
      </c>
      <c r="DF20" s="88">
        <v>46135.666666666664</v>
      </c>
      <c r="DG20">
        <v>5.57</v>
      </c>
      <c r="DH20" s="88">
        <v>46135.666666666664</v>
      </c>
      <c r="DI20">
        <v>18.32</v>
      </c>
      <c r="DJ20" s="88">
        <v>46135.666666666664</v>
      </c>
      <c r="DK20">
        <v>708.45</v>
      </c>
      <c r="DL20" s="88">
        <v>46135.666666666664</v>
      </c>
      <c r="DM20">
        <v>373.72</v>
      </c>
      <c r="DN20" s="88">
        <v>46135.666666666664</v>
      </c>
      <c r="DO20">
        <v>19.97</v>
      </c>
      <c r="DP20" s="88">
        <v>46135.666666666664</v>
      </c>
      <c r="DQ20">
        <v>91.25</v>
      </c>
      <c r="DR20" s="88">
        <v>46135.666666666664</v>
      </c>
      <c r="DS20">
        <v>10.119999999999999</v>
      </c>
      <c r="DT20" s="88">
        <v>46135.666666666664</v>
      </c>
      <c r="DU20">
        <v>74.7</v>
      </c>
      <c r="DV20" s="88">
        <v>46135.666666666664</v>
      </c>
      <c r="DW20">
        <v>16.13</v>
      </c>
      <c r="DX20" s="88">
        <v>46135.666666666664</v>
      </c>
      <c r="DY20">
        <v>134.72</v>
      </c>
      <c r="DZ20" s="88">
        <v>46135.666666666664</v>
      </c>
      <c r="EA20">
        <v>89.74</v>
      </c>
      <c r="EB20" s="88">
        <v>46135.666666666664</v>
      </c>
      <c r="EC20">
        <v>12.95</v>
      </c>
      <c r="ED20" s="88">
        <v>46135.666666666664</v>
      </c>
      <c r="EE20">
        <v>6.93</v>
      </c>
      <c r="EF20" s="88">
        <v>46135.666666666664</v>
      </c>
      <c r="EG20">
        <v>90.01</v>
      </c>
    </row>
    <row r="21" spans="1:137">
      <c r="B21" s="88">
        <v>46136.666666666664</v>
      </c>
      <c r="C21">
        <v>271.06</v>
      </c>
      <c r="D21" s="88">
        <v>46136.666666666664</v>
      </c>
      <c r="E21">
        <v>245.44</v>
      </c>
      <c r="F21" s="88">
        <v>46136.666666666664</v>
      </c>
      <c r="G21">
        <v>41.59</v>
      </c>
      <c r="H21" s="88">
        <v>46136.666666666664</v>
      </c>
      <c r="I21">
        <v>263.99</v>
      </c>
      <c r="J21" s="88">
        <v>46136.666666666664</v>
      </c>
      <c r="K21">
        <v>76.400000000000006</v>
      </c>
      <c r="L21" s="88">
        <v>46136.666666666664</v>
      </c>
      <c r="M21">
        <v>18.5</v>
      </c>
      <c r="N21" s="88">
        <v>46136.666666666664</v>
      </c>
      <c r="O21">
        <v>422.76</v>
      </c>
      <c r="P21" s="88">
        <v>46136.666666666664</v>
      </c>
      <c r="Q21">
        <v>135.82</v>
      </c>
      <c r="R21" s="88">
        <v>46136.666666666664</v>
      </c>
      <c r="S21">
        <v>22.14</v>
      </c>
      <c r="T21" s="88">
        <v>46136.666666666664</v>
      </c>
      <c r="U21">
        <v>26.6</v>
      </c>
      <c r="V21" s="88">
        <v>46136.666666666664</v>
      </c>
      <c r="W21">
        <v>0.99</v>
      </c>
      <c r="X21" s="88">
        <v>46136.666666666664</v>
      </c>
      <c r="Y21">
        <v>9.76</v>
      </c>
      <c r="Z21" s="88">
        <v>46136.666666666664</v>
      </c>
      <c r="AA21">
        <v>102.6</v>
      </c>
      <c r="AB21" s="88">
        <v>46136.666666666664</v>
      </c>
      <c r="AC21">
        <v>225.91</v>
      </c>
      <c r="AD21" s="88">
        <v>46136.666666666664</v>
      </c>
      <c r="AE21">
        <v>103.75</v>
      </c>
      <c r="AF21" s="88">
        <v>46136.666666666664</v>
      </c>
      <c r="AG21">
        <v>27.37</v>
      </c>
      <c r="AH21" s="88">
        <v>46136.666666666664</v>
      </c>
      <c r="AI21">
        <v>821.96</v>
      </c>
      <c r="AJ21" s="88">
        <v>46136.666666666664</v>
      </c>
      <c r="AK21">
        <v>17.47</v>
      </c>
      <c r="AL21" s="88">
        <v>46136.666666666664</v>
      </c>
      <c r="AM21">
        <v>35.130000000000003</v>
      </c>
      <c r="AN21" s="88">
        <v>46136.666666666664</v>
      </c>
      <c r="AO21">
        <v>344.4</v>
      </c>
      <c r="AP21" s="88">
        <v>46136.666666666664</v>
      </c>
      <c r="AQ21">
        <v>926.91</v>
      </c>
      <c r="AR21" s="88">
        <v>46136.666666666664</v>
      </c>
      <c r="AS21">
        <v>335.89</v>
      </c>
      <c r="AT21" s="88">
        <v>46136.666666666664</v>
      </c>
      <c r="AU21">
        <v>84.71</v>
      </c>
      <c r="AV21" s="88">
        <v>46136.666666666664</v>
      </c>
      <c r="AW21">
        <v>29.43</v>
      </c>
      <c r="AX21" s="88">
        <v>46136.666666666664</v>
      </c>
      <c r="AY21">
        <v>50.64</v>
      </c>
      <c r="AZ21" s="88">
        <v>46136.666666666664</v>
      </c>
      <c r="BA21">
        <v>11.43</v>
      </c>
      <c r="BB21" s="88">
        <v>46136.666666666664</v>
      </c>
      <c r="BC21">
        <v>881.64</v>
      </c>
      <c r="BD21" s="88">
        <v>46136.666666666664</v>
      </c>
      <c r="BE21">
        <v>143.80000000000001</v>
      </c>
      <c r="BF21" s="88">
        <v>46136.666666666664</v>
      </c>
      <c r="BG21">
        <v>25.53</v>
      </c>
      <c r="BH21" s="88">
        <v>46136.666666666664</v>
      </c>
      <c r="BI21">
        <v>156.63999999999999</v>
      </c>
      <c r="BJ21" s="88">
        <v>46136.666666666664</v>
      </c>
      <c r="BK21">
        <v>9.1999999999999993</v>
      </c>
      <c r="BL21" s="88">
        <v>46136.666666666664</v>
      </c>
      <c r="BM21">
        <v>675.03</v>
      </c>
      <c r="BN21" s="88">
        <v>46136.666666666664</v>
      </c>
      <c r="BO21">
        <v>24</v>
      </c>
      <c r="BP21" s="88">
        <v>46136.666666666664</v>
      </c>
      <c r="BQ21">
        <v>424.62</v>
      </c>
      <c r="BR21" s="88">
        <v>46136.666666666664</v>
      </c>
      <c r="BS21">
        <v>119.02</v>
      </c>
      <c r="BT21" s="88">
        <v>46136.666666666664</v>
      </c>
      <c r="BU21">
        <v>496.72</v>
      </c>
      <c r="BV21" s="88">
        <v>46136.666666666664</v>
      </c>
      <c r="BW21">
        <v>92.44</v>
      </c>
      <c r="BX21" s="88">
        <v>46136.666666666664</v>
      </c>
      <c r="BY21">
        <v>44.69</v>
      </c>
      <c r="BZ21" s="88">
        <v>46136.666666666664</v>
      </c>
      <c r="CA21">
        <v>17.71</v>
      </c>
      <c r="CB21" s="88">
        <v>46136.666666666664</v>
      </c>
      <c r="CC21">
        <v>208.27</v>
      </c>
      <c r="CD21" s="88">
        <v>46136.666666666664</v>
      </c>
      <c r="CE21">
        <v>41.17</v>
      </c>
      <c r="CF21" s="88">
        <v>46136.666666666664</v>
      </c>
      <c r="CG21">
        <v>71</v>
      </c>
      <c r="CH21" s="88">
        <v>46136.666666666664</v>
      </c>
      <c r="CI21">
        <v>10.55</v>
      </c>
      <c r="CJ21" s="88">
        <v>46136.666666666664</v>
      </c>
      <c r="CK21">
        <v>173.28</v>
      </c>
      <c r="CL21" s="88">
        <v>46136.666666666664</v>
      </c>
      <c r="CM21">
        <v>57.12</v>
      </c>
      <c r="CN21" s="88">
        <v>46136.666666666664</v>
      </c>
      <c r="CO21">
        <v>10.37</v>
      </c>
      <c r="CP21" s="88">
        <v>46136.666666666664</v>
      </c>
      <c r="CQ21">
        <v>35.44</v>
      </c>
      <c r="CR21" s="88">
        <v>46136.666666666664</v>
      </c>
      <c r="CS21">
        <v>143.09</v>
      </c>
      <c r="CT21" s="88">
        <v>46136.666666666664</v>
      </c>
      <c r="CU21">
        <v>15.1</v>
      </c>
      <c r="CV21" s="88">
        <v>46136.666666666664</v>
      </c>
      <c r="CW21">
        <v>11.8</v>
      </c>
      <c r="CX21" s="88">
        <v>46136.666666666664</v>
      </c>
      <c r="CY21">
        <v>10.130000000000001</v>
      </c>
      <c r="CZ21" s="88">
        <v>46136.666666666664</v>
      </c>
      <c r="DA21">
        <v>16.52</v>
      </c>
      <c r="DB21" s="88">
        <v>46136.666666666664</v>
      </c>
      <c r="DC21">
        <v>79.680000000000007</v>
      </c>
      <c r="DD21" s="88">
        <v>46136.666666666664</v>
      </c>
      <c r="DE21">
        <v>29.08</v>
      </c>
      <c r="DF21" s="88">
        <v>46136.666666666664</v>
      </c>
      <c r="DG21">
        <v>5.65</v>
      </c>
      <c r="DH21" s="88">
        <v>46136.666666666664</v>
      </c>
      <c r="DI21">
        <v>18.440000000000001</v>
      </c>
      <c r="DJ21" s="88">
        <v>46136.666666666664</v>
      </c>
      <c r="DK21">
        <v>713.94</v>
      </c>
      <c r="DL21" s="88">
        <v>46136.666666666664</v>
      </c>
      <c r="DM21">
        <v>376.3</v>
      </c>
      <c r="DN21" s="88">
        <v>46136.666666666664</v>
      </c>
      <c r="DO21">
        <v>19.8</v>
      </c>
      <c r="DP21" s="88">
        <v>46136.666666666664</v>
      </c>
      <c r="DQ21">
        <v>93</v>
      </c>
      <c r="DR21" s="88">
        <v>46136.666666666664</v>
      </c>
      <c r="DS21">
        <v>9.74</v>
      </c>
      <c r="DT21" s="88">
        <v>46136.666666666664</v>
      </c>
      <c r="DU21">
        <v>74.64</v>
      </c>
      <c r="DV21" s="88">
        <v>46136.666666666664</v>
      </c>
      <c r="DW21">
        <v>14.65</v>
      </c>
      <c r="DX21" s="88">
        <v>46136.666666666664</v>
      </c>
      <c r="DY21">
        <v>132.4</v>
      </c>
      <c r="DZ21" s="88">
        <v>46136.666666666664</v>
      </c>
      <c r="EA21">
        <v>85.48</v>
      </c>
      <c r="EB21" s="88">
        <v>46136.666666666664</v>
      </c>
      <c r="EC21">
        <v>11.9</v>
      </c>
      <c r="ED21" s="88">
        <v>46136.666666666664</v>
      </c>
      <c r="EE21">
        <v>7.14</v>
      </c>
      <c r="EF21" s="88">
        <v>46136.666666666664</v>
      </c>
      <c r="EG21">
        <v>92.03</v>
      </c>
    </row>
    <row r="22" spans="1:137">
      <c r="B22" s="88">
        <v>46139.666666666664</v>
      </c>
      <c r="C22">
        <v>267.61</v>
      </c>
      <c r="D22" s="88">
        <v>46139.666666666664</v>
      </c>
      <c r="E22">
        <v>239.31</v>
      </c>
      <c r="F22" s="88">
        <v>46139.666666666664</v>
      </c>
      <c r="G22">
        <v>40.44</v>
      </c>
      <c r="H22" s="88">
        <v>46139.666666666664</v>
      </c>
      <c r="I22">
        <v>261.12</v>
      </c>
      <c r="J22" s="88">
        <v>46139.666666666664</v>
      </c>
      <c r="K22">
        <v>77.2</v>
      </c>
      <c r="L22" s="88">
        <v>46139.666666666664</v>
      </c>
      <c r="M22">
        <v>18.46</v>
      </c>
      <c r="N22" s="88">
        <v>46139.666666666664</v>
      </c>
      <c r="O22">
        <v>418.2</v>
      </c>
      <c r="P22" s="88">
        <v>46139.666666666664</v>
      </c>
      <c r="Q22">
        <v>132.52000000000001</v>
      </c>
      <c r="R22" s="88">
        <v>46139.666666666664</v>
      </c>
      <c r="S22">
        <v>21.55</v>
      </c>
      <c r="T22" s="88">
        <v>46139.666666666664</v>
      </c>
      <c r="U22">
        <v>27.07</v>
      </c>
      <c r="V22" s="88">
        <v>46139.666666666664</v>
      </c>
      <c r="W22">
        <v>1</v>
      </c>
      <c r="X22" s="88">
        <v>46139.666666666664</v>
      </c>
      <c r="Y22">
        <v>10.61</v>
      </c>
      <c r="Z22" s="88">
        <v>46139.666666666664</v>
      </c>
      <c r="AA22">
        <v>102.35</v>
      </c>
      <c r="AB22" s="88">
        <v>46139.666666666664</v>
      </c>
      <c r="AC22">
        <v>229.34</v>
      </c>
      <c r="AD22" s="88">
        <v>46139.666666666664</v>
      </c>
      <c r="AE22">
        <v>98</v>
      </c>
      <c r="AF22" s="88">
        <v>46139.666666666664</v>
      </c>
      <c r="AG22">
        <v>27.22</v>
      </c>
      <c r="AH22" s="88">
        <v>46139.666666666664</v>
      </c>
      <c r="AI22">
        <v>819.65</v>
      </c>
      <c r="AJ22" s="88">
        <v>46139.666666666664</v>
      </c>
      <c r="AK22">
        <v>17.309999999999999</v>
      </c>
      <c r="AL22" s="88">
        <v>46139.666666666664</v>
      </c>
      <c r="AM22">
        <v>34.51</v>
      </c>
      <c r="AN22" s="88">
        <v>46139.666666666664</v>
      </c>
      <c r="AO22">
        <v>350.34</v>
      </c>
      <c r="AP22" s="88">
        <v>46139.666666666664</v>
      </c>
      <c r="AQ22">
        <v>937.81</v>
      </c>
      <c r="AR22" s="88">
        <v>46139.666666666664</v>
      </c>
      <c r="AS22">
        <v>332.3</v>
      </c>
      <c r="AT22" s="88">
        <v>46139.666666666664</v>
      </c>
      <c r="AU22">
        <v>83.95</v>
      </c>
      <c r="AV22" s="88">
        <v>46139.666666666664</v>
      </c>
      <c r="AW22">
        <v>32.65</v>
      </c>
      <c r="AX22" s="88">
        <v>46139.666666666664</v>
      </c>
      <c r="AY22">
        <v>48.36</v>
      </c>
      <c r="AZ22" s="88">
        <v>46139.666666666664</v>
      </c>
      <c r="BA22">
        <v>12.24</v>
      </c>
      <c r="BB22" s="88">
        <v>46139.666666666664</v>
      </c>
      <c r="BC22">
        <v>859.68</v>
      </c>
      <c r="BD22" s="88">
        <v>46139.666666666664</v>
      </c>
      <c r="BE22">
        <v>146.94</v>
      </c>
      <c r="BF22" s="88">
        <v>46139.666666666664</v>
      </c>
      <c r="BG22">
        <v>26.2</v>
      </c>
      <c r="BH22" s="88">
        <v>46139.666666666664</v>
      </c>
      <c r="BI22">
        <v>156.49</v>
      </c>
      <c r="BJ22" s="88">
        <v>46139.666666666664</v>
      </c>
      <c r="BK22">
        <v>8.75</v>
      </c>
      <c r="BL22" s="88">
        <v>46139.666666666664</v>
      </c>
      <c r="BM22">
        <v>678.62</v>
      </c>
      <c r="BN22" s="88">
        <v>46139.666666666664</v>
      </c>
      <c r="BO22">
        <v>23.22</v>
      </c>
      <c r="BP22" s="88">
        <v>46139.666666666664</v>
      </c>
      <c r="BQ22">
        <v>424.82</v>
      </c>
      <c r="BR22" s="88">
        <v>46139.666666666664</v>
      </c>
      <c r="BS22">
        <v>120.51</v>
      </c>
      <c r="BT22" s="88">
        <v>46139.666666666664</v>
      </c>
      <c r="BU22">
        <v>524.55999999999995</v>
      </c>
      <c r="BV22" s="88">
        <v>46139.666666666664</v>
      </c>
      <c r="BW22">
        <v>91.37</v>
      </c>
      <c r="BX22" s="88">
        <v>46139.666666666664</v>
      </c>
      <c r="BY22">
        <v>45.14</v>
      </c>
      <c r="BZ22" s="88">
        <v>46139.666666666664</v>
      </c>
      <c r="CA22">
        <v>17.010000000000002</v>
      </c>
      <c r="CB22" s="88">
        <v>46139.666666666664</v>
      </c>
      <c r="CC22">
        <v>216.61</v>
      </c>
      <c r="CD22" s="88">
        <v>46139.666666666664</v>
      </c>
      <c r="CE22">
        <v>41.2</v>
      </c>
      <c r="CF22" s="88">
        <v>46139.666666666664</v>
      </c>
      <c r="CG22">
        <v>75.930000000000007</v>
      </c>
      <c r="CH22" s="88">
        <v>46139.666666666664</v>
      </c>
      <c r="CI22">
        <v>10.95</v>
      </c>
      <c r="CJ22" s="88">
        <v>46139.666666666664</v>
      </c>
      <c r="CK22">
        <v>172.96</v>
      </c>
      <c r="CL22" s="88">
        <v>46139.666666666664</v>
      </c>
      <c r="CM22">
        <v>57.27</v>
      </c>
      <c r="CN22" s="88">
        <v>46139.666666666664</v>
      </c>
      <c r="CO22">
        <v>10.46</v>
      </c>
      <c r="CP22" s="88">
        <v>46139.666666666664</v>
      </c>
      <c r="CQ22">
        <v>35.450000000000003</v>
      </c>
      <c r="CR22" s="88">
        <v>46139.666666666664</v>
      </c>
      <c r="CS22">
        <v>143.1</v>
      </c>
      <c r="CT22" s="88">
        <v>46139.666666666664</v>
      </c>
      <c r="CU22">
        <v>7.95</v>
      </c>
      <c r="CV22" s="88">
        <v>46139.666666666664</v>
      </c>
      <c r="CW22">
        <v>11.69</v>
      </c>
      <c r="CX22" s="88">
        <v>46139.666666666664</v>
      </c>
      <c r="CY22">
        <v>10.119999999999999</v>
      </c>
      <c r="CZ22" s="88">
        <v>46139.666666666664</v>
      </c>
      <c r="DA22">
        <v>16.72</v>
      </c>
      <c r="DB22" s="88">
        <v>46139.666666666664</v>
      </c>
      <c r="DC22">
        <v>82.29</v>
      </c>
      <c r="DD22" s="88">
        <v>46139.666666666664</v>
      </c>
      <c r="DE22">
        <v>27.85</v>
      </c>
      <c r="DF22" s="88">
        <v>46139.666666666664</v>
      </c>
      <c r="DG22">
        <v>6.06</v>
      </c>
      <c r="DH22" s="88">
        <v>46139.666666666664</v>
      </c>
      <c r="DI22">
        <v>18.760000000000002</v>
      </c>
      <c r="DJ22" s="88">
        <v>46139.666666666664</v>
      </c>
      <c r="DK22">
        <v>715.17</v>
      </c>
      <c r="DL22" s="88">
        <v>46139.666666666664</v>
      </c>
      <c r="DM22">
        <v>378.67</v>
      </c>
      <c r="DN22" s="88">
        <v>46139.666666666664</v>
      </c>
      <c r="DO22">
        <v>19.73</v>
      </c>
      <c r="DP22" s="88">
        <v>46139.666666666664</v>
      </c>
      <c r="DQ22">
        <v>91.9</v>
      </c>
      <c r="DR22" s="88">
        <v>46139.666666666664</v>
      </c>
      <c r="DS22">
        <v>11.18</v>
      </c>
      <c r="DT22" s="88">
        <v>46139.666666666664</v>
      </c>
      <c r="DU22">
        <v>76.27</v>
      </c>
      <c r="DV22" s="88">
        <v>46139.666666666664</v>
      </c>
      <c r="DW22">
        <v>14.82</v>
      </c>
      <c r="DX22" s="88">
        <v>46139.666666666664</v>
      </c>
      <c r="DY22">
        <v>134.72</v>
      </c>
      <c r="DZ22" s="88">
        <v>46139.666666666664</v>
      </c>
      <c r="EA22">
        <v>85</v>
      </c>
      <c r="EB22" s="88">
        <v>46139.666666666664</v>
      </c>
      <c r="EC22">
        <v>12.19</v>
      </c>
      <c r="ED22" s="88">
        <v>46139.666666666664</v>
      </c>
      <c r="EE22">
        <v>6.9</v>
      </c>
      <c r="EF22" s="88">
        <v>46139.666666666664</v>
      </c>
      <c r="EG22">
        <v>90.83</v>
      </c>
    </row>
    <row r="23" spans="1:137">
      <c r="B23" s="88">
        <v>46140.666666666664</v>
      </c>
      <c r="C23">
        <v>270.70999999999998</v>
      </c>
      <c r="D23" s="88">
        <v>46140.666666666664</v>
      </c>
      <c r="E23">
        <v>243.2</v>
      </c>
      <c r="F23" s="88">
        <v>46140.666666666664</v>
      </c>
      <c r="G23">
        <v>39.79</v>
      </c>
      <c r="H23" s="88">
        <v>46140.666666666664</v>
      </c>
      <c r="I23">
        <v>259.7</v>
      </c>
      <c r="J23" s="88">
        <v>46140.666666666664</v>
      </c>
      <c r="K23">
        <v>71.88</v>
      </c>
      <c r="L23" s="88">
        <v>46140.666666666664</v>
      </c>
      <c r="M23">
        <v>18.260000000000002</v>
      </c>
      <c r="N23" s="88">
        <v>46140.666666666664</v>
      </c>
      <c r="O23">
        <v>399.83</v>
      </c>
      <c r="P23" s="88">
        <v>46140.666666666664</v>
      </c>
      <c r="Q23">
        <v>130.85</v>
      </c>
      <c r="R23" s="88">
        <v>46140.666666666664</v>
      </c>
      <c r="S23">
        <v>21.48</v>
      </c>
      <c r="T23" s="88">
        <v>46140.666666666664</v>
      </c>
      <c r="U23">
        <v>26.9</v>
      </c>
      <c r="V23" s="88">
        <v>46140.666666666664</v>
      </c>
      <c r="W23">
        <v>0.98</v>
      </c>
      <c r="X23" s="88">
        <v>46140.666666666664</v>
      </c>
      <c r="Y23">
        <v>10.220000000000001</v>
      </c>
      <c r="Z23" s="88">
        <v>46140.666666666664</v>
      </c>
      <c r="AA23">
        <v>101.47</v>
      </c>
      <c r="AB23" s="88">
        <v>46140.666666666664</v>
      </c>
      <c r="AC23">
        <v>226.34</v>
      </c>
      <c r="AD23" s="88">
        <v>46140.666666666664</v>
      </c>
      <c r="AE23">
        <v>98.22</v>
      </c>
      <c r="AF23" s="88">
        <v>46140.666666666664</v>
      </c>
      <c r="AG23">
        <v>27.21</v>
      </c>
      <c r="AH23" s="88">
        <v>46140.666666666664</v>
      </c>
      <c r="AI23">
        <v>834.05</v>
      </c>
      <c r="AJ23" s="88">
        <v>46140.666666666664</v>
      </c>
      <c r="AK23">
        <v>17.18</v>
      </c>
      <c r="AL23" s="88">
        <v>46140.666666666664</v>
      </c>
      <c r="AM23">
        <v>34.22</v>
      </c>
      <c r="AN23" s="88">
        <v>46140.666666666664</v>
      </c>
      <c r="AO23">
        <v>349.78</v>
      </c>
      <c r="AP23" s="88">
        <v>46140.666666666664</v>
      </c>
      <c r="AQ23">
        <v>926.55</v>
      </c>
      <c r="AR23" s="88">
        <v>46140.666666666664</v>
      </c>
      <c r="AS23">
        <v>329.06</v>
      </c>
      <c r="AT23" s="88">
        <v>46140.666666666664</v>
      </c>
      <c r="AU23">
        <v>82.07</v>
      </c>
      <c r="AV23" s="88">
        <v>46140.666666666664</v>
      </c>
      <c r="AW23">
        <v>30.72</v>
      </c>
      <c r="AX23" s="88">
        <v>46140.666666666664</v>
      </c>
      <c r="AY23">
        <v>44.44</v>
      </c>
      <c r="AZ23" s="88">
        <v>46140.666666666664</v>
      </c>
      <c r="BA23">
        <v>12.22</v>
      </c>
      <c r="BB23" s="88">
        <v>46140.666666666664</v>
      </c>
      <c r="BC23">
        <v>791.37</v>
      </c>
      <c r="BD23" s="88">
        <v>46140.666666666664</v>
      </c>
      <c r="BE23">
        <v>142.38999999999999</v>
      </c>
      <c r="BF23" s="88">
        <v>46140.666666666664</v>
      </c>
      <c r="BG23">
        <v>24.58</v>
      </c>
      <c r="BH23" s="88">
        <v>46140.666666666664</v>
      </c>
      <c r="BI23">
        <v>154.75</v>
      </c>
      <c r="BJ23" s="88">
        <v>46140.666666666664</v>
      </c>
      <c r="BK23">
        <v>10.62</v>
      </c>
      <c r="BL23" s="88">
        <v>46140.666666666664</v>
      </c>
      <c r="BM23">
        <v>671.34</v>
      </c>
      <c r="BN23" s="88">
        <v>46140.666666666664</v>
      </c>
      <c r="BO23">
        <v>23.19</v>
      </c>
      <c r="BP23" s="88">
        <v>46140.666666666664</v>
      </c>
      <c r="BQ23">
        <v>429.25</v>
      </c>
      <c r="BR23" s="88">
        <v>46140.666666666664</v>
      </c>
      <c r="BS23">
        <v>126.65</v>
      </c>
      <c r="BT23" s="88">
        <v>46140.666666666664</v>
      </c>
      <c r="BU23">
        <v>504.29</v>
      </c>
      <c r="BV23" s="88">
        <v>46140.666666666664</v>
      </c>
      <c r="BW23">
        <v>92.27</v>
      </c>
      <c r="BX23" s="88">
        <v>46140.666666666664</v>
      </c>
      <c r="BY23">
        <v>45.03</v>
      </c>
      <c r="BZ23" s="88">
        <v>46140.666666666664</v>
      </c>
      <c r="CA23">
        <v>16.97</v>
      </c>
      <c r="CB23" s="88">
        <v>46140.666666666664</v>
      </c>
      <c r="CC23">
        <v>213.17</v>
      </c>
      <c r="CD23" s="88">
        <v>46140.666666666664</v>
      </c>
      <c r="CE23">
        <v>41.17</v>
      </c>
      <c r="CF23" s="88">
        <v>46140.666666666664</v>
      </c>
      <c r="CG23">
        <v>69.09</v>
      </c>
      <c r="CH23" s="88">
        <v>46140.666666666664</v>
      </c>
      <c r="CI23">
        <v>10.48</v>
      </c>
      <c r="CJ23" s="88">
        <v>46140.666666666664</v>
      </c>
      <c r="CK23">
        <v>165.96</v>
      </c>
      <c r="CL23" s="88">
        <v>46140.666666666664</v>
      </c>
      <c r="CM23">
        <v>58.61</v>
      </c>
      <c r="CN23" s="88">
        <v>46140.666666666664</v>
      </c>
      <c r="CO23">
        <v>10.56</v>
      </c>
      <c r="CP23" s="88">
        <v>46140.666666666664</v>
      </c>
      <c r="CQ23">
        <v>35.03</v>
      </c>
      <c r="CR23" s="88">
        <v>46140.666666666664</v>
      </c>
      <c r="CS23">
        <v>141.18</v>
      </c>
      <c r="CT23" s="88">
        <v>46140.666666666664</v>
      </c>
      <c r="CU23">
        <v>8.0299999999999994</v>
      </c>
      <c r="CV23" s="88">
        <v>46140.666666666664</v>
      </c>
      <c r="CW23">
        <v>11.34</v>
      </c>
      <c r="CX23" s="88">
        <v>46140.666666666664</v>
      </c>
      <c r="CY23">
        <v>9.85</v>
      </c>
      <c r="CZ23" s="88">
        <v>46140.666666666664</v>
      </c>
      <c r="DA23">
        <v>16.14</v>
      </c>
      <c r="DB23" s="88">
        <v>46140.666666666664</v>
      </c>
      <c r="DC23">
        <v>78.59</v>
      </c>
      <c r="DD23" s="88">
        <v>46140.666666666664</v>
      </c>
      <c r="DE23">
        <v>27.25</v>
      </c>
      <c r="DF23" s="88">
        <v>46140.666666666664</v>
      </c>
      <c r="DG23">
        <v>5.95</v>
      </c>
      <c r="DH23" s="88">
        <v>46140.666666666664</v>
      </c>
      <c r="DI23">
        <v>18.36</v>
      </c>
      <c r="DJ23" s="88">
        <v>46140.666666666664</v>
      </c>
      <c r="DK23">
        <v>711.69</v>
      </c>
      <c r="DL23" s="88">
        <v>46140.666666666664</v>
      </c>
      <c r="DM23">
        <v>376.02</v>
      </c>
      <c r="DN23" s="88">
        <v>46140.666666666664</v>
      </c>
      <c r="DO23">
        <v>19.899999999999999</v>
      </c>
      <c r="DP23" s="88">
        <v>46140.666666666664</v>
      </c>
      <c r="DQ23">
        <v>90.41</v>
      </c>
      <c r="DR23" s="88">
        <v>46140.666666666664</v>
      </c>
      <c r="DS23">
        <v>10.81</v>
      </c>
      <c r="DT23" s="88">
        <v>46140.666666666664</v>
      </c>
      <c r="DU23">
        <v>74.11</v>
      </c>
      <c r="DV23" s="88">
        <v>46140.666666666664</v>
      </c>
      <c r="DW23">
        <v>14.49</v>
      </c>
      <c r="DX23" s="88">
        <v>46140.666666666664</v>
      </c>
      <c r="DY23">
        <v>139.6</v>
      </c>
      <c r="DZ23" s="88">
        <v>46140.666666666664</v>
      </c>
      <c r="EA23">
        <v>78.650000000000006</v>
      </c>
      <c r="EB23" s="88">
        <v>46140.666666666664</v>
      </c>
      <c r="EC23">
        <v>12.16</v>
      </c>
      <c r="ED23" s="88">
        <v>46140.666666666664</v>
      </c>
      <c r="EE23">
        <v>6.81</v>
      </c>
      <c r="EF23" s="88">
        <v>46140.666666666664</v>
      </c>
      <c r="EG23">
        <v>91.14</v>
      </c>
    </row>
    <row r="24" spans="1:137">
      <c r="B24" s="88">
        <v>46141.666666666664</v>
      </c>
      <c r="C24">
        <v>270.17</v>
      </c>
      <c r="D24" s="88">
        <v>46141.666666666664</v>
      </c>
      <c r="E24">
        <v>243.57</v>
      </c>
      <c r="F24" s="88">
        <v>46141.666666666664</v>
      </c>
      <c r="G24">
        <v>38.31</v>
      </c>
      <c r="H24" s="88">
        <v>46141.666666666664</v>
      </c>
      <c r="I24">
        <v>263.04000000000002</v>
      </c>
      <c r="J24" s="88">
        <v>46141.666666666664</v>
      </c>
      <c r="K24">
        <v>69.849999999999994</v>
      </c>
      <c r="L24" s="88">
        <v>46141.666666666664</v>
      </c>
      <c r="M24">
        <v>18.21</v>
      </c>
      <c r="N24" s="88">
        <v>46141.666666666664</v>
      </c>
      <c r="O24">
        <v>405.45</v>
      </c>
      <c r="P24" s="88">
        <v>46141.666666666664</v>
      </c>
      <c r="Q24">
        <v>130.43</v>
      </c>
      <c r="R24" s="88">
        <v>46141.666666666664</v>
      </c>
      <c r="S24">
        <v>20.66</v>
      </c>
      <c r="T24" s="88">
        <v>46141.666666666664</v>
      </c>
      <c r="U24">
        <v>27.44</v>
      </c>
      <c r="V24" s="88">
        <v>46141.666666666664</v>
      </c>
      <c r="W24">
        <v>0.98</v>
      </c>
      <c r="X24" s="88">
        <v>46141.666666666664</v>
      </c>
      <c r="Y24">
        <v>10.25</v>
      </c>
      <c r="Z24" s="88">
        <v>46141.666666666664</v>
      </c>
      <c r="AA24">
        <v>101.3</v>
      </c>
      <c r="AB24" s="88">
        <v>46141.666666666664</v>
      </c>
      <c r="AC24">
        <v>220</v>
      </c>
      <c r="AD24" s="88">
        <v>46141.666666666664</v>
      </c>
      <c r="AE24">
        <v>95.7</v>
      </c>
      <c r="AF24" s="88">
        <v>46141.666666666664</v>
      </c>
      <c r="AG24">
        <v>26.95</v>
      </c>
      <c r="AH24" s="88">
        <v>46141.666666666664</v>
      </c>
      <c r="AI24">
        <v>819.5</v>
      </c>
      <c r="AJ24" s="88">
        <v>46141.666666666664</v>
      </c>
      <c r="AK24">
        <v>16.86</v>
      </c>
      <c r="AL24" s="88">
        <v>46141.666666666664</v>
      </c>
      <c r="AM24">
        <v>33.49</v>
      </c>
      <c r="AN24" s="88">
        <v>46141.666666666664</v>
      </c>
      <c r="AO24">
        <v>349.94</v>
      </c>
      <c r="AP24" s="88">
        <v>46141.666666666664</v>
      </c>
      <c r="AQ24">
        <v>905.6</v>
      </c>
      <c r="AR24" s="88">
        <v>46141.666666666664</v>
      </c>
      <c r="AS24">
        <v>322.81</v>
      </c>
      <c r="AT24" s="88">
        <v>46141.666666666664</v>
      </c>
      <c r="AU24">
        <v>71.2</v>
      </c>
      <c r="AV24" s="88">
        <v>46141.666666666664</v>
      </c>
      <c r="AW24">
        <v>29.05</v>
      </c>
      <c r="AX24" s="88">
        <v>46141.666666666664</v>
      </c>
      <c r="AY24">
        <v>42.86</v>
      </c>
      <c r="AZ24" s="88">
        <v>46141.666666666664</v>
      </c>
      <c r="BA24">
        <v>12.2</v>
      </c>
      <c r="BB24" s="88">
        <v>46141.666666666664</v>
      </c>
      <c r="BC24">
        <v>858.32</v>
      </c>
      <c r="BD24" s="88">
        <v>46141.666666666664</v>
      </c>
      <c r="BE24">
        <v>138.16</v>
      </c>
      <c r="BF24" s="88">
        <v>46141.666666666664</v>
      </c>
      <c r="BG24">
        <v>24.79</v>
      </c>
      <c r="BH24" s="88">
        <v>46141.666666666664</v>
      </c>
      <c r="BI24">
        <v>153.13</v>
      </c>
      <c r="BJ24" s="88">
        <v>46141.666666666664</v>
      </c>
      <c r="BK24">
        <v>10.24</v>
      </c>
      <c r="BL24" s="88">
        <v>46141.666666666664</v>
      </c>
      <c r="BM24">
        <v>669.12</v>
      </c>
      <c r="BN24" s="88">
        <v>46141.666666666664</v>
      </c>
      <c r="BO24">
        <v>23.03</v>
      </c>
      <c r="BP24" s="88">
        <v>46141.666666666664</v>
      </c>
      <c r="BQ24">
        <v>424.46</v>
      </c>
      <c r="BR24" s="88">
        <v>46141.666666666664</v>
      </c>
      <c r="BS24">
        <v>122.16</v>
      </c>
      <c r="BT24" s="88">
        <v>46141.666666666664</v>
      </c>
      <c r="BU24">
        <v>518.46</v>
      </c>
      <c r="BV24" s="88">
        <v>46141.666666666664</v>
      </c>
      <c r="BW24">
        <v>92.12</v>
      </c>
      <c r="BX24" s="88">
        <v>46141.666666666664</v>
      </c>
      <c r="BY24">
        <v>44.39</v>
      </c>
      <c r="BZ24" s="88">
        <v>46141.666666666664</v>
      </c>
      <c r="CA24">
        <v>17.93</v>
      </c>
      <c r="CB24" s="88">
        <v>46141.666666666664</v>
      </c>
      <c r="CC24">
        <v>209.25</v>
      </c>
      <c r="CD24" s="88">
        <v>46141.666666666664</v>
      </c>
      <c r="CE24">
        <v>40.29</v>
      </c>
      <c r="CF24" s="88">
        <v>46141.666666666664</v>
      </c>
      <c r="CG24">
        <v>64.98</v>
      </c>
      <c r="CH24" s="88">
        <v>46141.666666666664</v>
      </c>
      <c r="CI24">
        <v>9.49</v>
      </c>
      <c r="CJ24" s="88">
        <v>46141.666666666664</v>
      </c>
      <c r="CK24">
        <v>163.83000000000001</v>
      </c>
      <c r="CL24" s="88">
        <v>46141.666666666664</v>
      </c>
      <c r="CM24">
        <v>60.76</v>
      </c>
      <c r="CN24" s="88">
        <v>46141.666666666664</v>
      </c>
      <c r="CO24">
        <v>10.38</v>
      </c>
      <c r="CP24" s="88">
        <v>46141.666666666664</v>
      </c>
      <c r="CQ24">
        <v>34.08</v>
      </c>
      <c r="CR24" s="88">
        <v>46141.666666666664</v>
      </c>
      <c r="CS24">
        <v>137.97</v>
      </c>
      <c r="CT24" s="88">
        <v>46141.666666666664</v>
      </c>
      <c r="CU24">
        <v>6.6</v>
      </c>
      <c r="CV24" s="88">
        <v>46141.666666666664</v>
      </c>
      <c r="CW24">
        <v>11.07</v>
      </c>
      <c r="CX24" s="88">
        <v>46141.666666666664</v>
      </c>
      <c r="CY24">
        <v>9.66</v>
      </c>
      <c r="CZ24" s="88">
        <v>46141.666666666664</v>
      </c>
      <c r="DA24">
        <v>16.059999999999999</v>
      </c>
      <c r="DB24" s="88">
        <v>46141.666666666664</v>
      </c>
      <c r="DC24">
        <v>77.02</v>
      </c>
      <c r="DD24" s="88">
        <v>46141.666666666664</v>
      </c>
      <c r="DE24">
        <v>26.32</v>
      </c>
      <c r="DF24" s="88">
        <v>46141.666666666664</v>
      </c>
      <c r="DG24">
        <v>5.98</v>
      </c>
      <c r="DH24" s="88">
        <v>46141.666666666664</v>
      </c>
      <c r="DI24">
        <v>15.53</v>
      </c>
      <c r="DJ24" s="88">
        <v>46141.666666666664</v>
      </c>
      <c r="DK24">
        <v>711.58</v>
      </c>
      <c r="DL24" s="88">
        <v>46141.666666666664</v>
      </c>
      <c r="DM24">
        <v>372.8</v>
      </c>
      <c r="DN24" s="88">
        <v>46141.666666666664</v>
      </c>
      <c r="DO24">
        <v>18.899999999999999</v>
      </c>
      <c r="DP24" s="88">
        <v>46141.666666666664</v>
      </c>
      <c r="DQ24">
        <v>88.62</v>
      </c>
      <c r="DR24" s="88">
        <v>46141.666666666664</v>
      </c>
      <c r="DS24">
        <v>9.98</v>
      </c>
      <c r="DT24" s="88">
        <v>46141.666666666664</v>
      </c>
      <c r="DU24">
        <v>74.47</v>
      </c>
      <c r="DV24" s="88">
        <v>46141.666666666664</v>
      </c>
      <c r="DW24">
        <v>13.74</v>
      </c>
      <c r="DX24" s="88">
        <v>46141.666666666664</v>
      </c>
      <c r="DY24">
        <v>150.63</v>
      </c>
      <c r="DZ24" s="88">
        <v>46141.666666666664</v>
      </c>
      <c r="EA24">
        <v>85.01</v>
      </c>
      <c r="EB24" s="88">
        <v>46141.666666666664</v>
      </c>
      <c r="EC24">
        <v>13.16</v>
      </c>
      <c r="ED24" s="88">
        <v>46141.666666666664</v>
      </c>
      <c r="EE24">
        <v>6.76</v>
      </c>
      <c r="EF24" s="88">
        <v>46141.666666666664</v>
      </c>
      <c r="EG24">
        <v>95.76</v>
      </c>
    </row>
    <row r="25" spans="1:137">
      <c r="B25" s="88">
        <v>46142.666666666664</v>
      </c>
      <c r="C25">
        <v>271.35000000000002</v>
      </c>
      <c r="D25" s="88">
        <v>46142.666666666664</v>
      </c>
      <c r="E25">
        <v>246.1</v>
      </c>
      <c r="F25" s="88">
        <v>46142.666666666664</v>
      </c>
      <c r="G25">
        <v>39.11</v>
      </c>
      <c r="H25" s="88">
        <v>46142.666666666664</v>
      </c>
      <c r="I25">
        <v>265.06</v>
      </c>
      <c r="J25" s="88">
        <v>46142.666666666664</v>
      </c>
      <c r="K25">
        <v>73.900000000000006</v>
      </c>
      <c r="L25" s="88">
        <v>46142.666666666664</v>
      </c>
      <c r="M25">
        <v>18.63</v>
      </c>
      <c r="N25" s="88">
        <v>46142.666666666664</v>
      </c>
      <c r="O25">
        <v>417.43</v>
      </c>
      <c r="P25" s="88">
        <v>46142.666666666664</v>
      </c>
      <c r="Q25">
        <v>131.88</v>
      </c>
      <c r="R25" s="88">
        <v>46142.666666666664</v>
      </c>
      <c r="S25">
        <v>21.4</v>
      </c>
      <c r="T25" s="88">
        <v>46142.666666666664</v>
      </c>
      <c r="U25">
        <v>26.66</v>
      </c>
      <c r="V25" s="88">
        <v>46142.666666666664</v>
      </c>
      <c r="W25">
        <v>1.01</v>
      </c>
      <c r="X25" s="88">
        <v>46142.666666666664</v>
      </c>
      <c r="Y25">
        <v>10.199999999999999</v>
      </c>
      <c r="Z25" s="88">
        <v>46142.666666666664</v>
      </c>
      <c r="AA25">
        <v>103.75</v>
      </c>
      <c r="AB25" s="88">
        <v>46142.666666666664</v>
      </c>
      <c r="AC25">
        <v>226.92</v>
      </c>
      <c r="AD25" s="88">
        <v>46142.666666666664</v>
      </c>
      <c r="AE25">
        <v>97.11</v>
      </c>
      <c r="AF25" s="88">
        <v>46142.666666666664</v>
      </c>
      <c r="AG25">
        <v>27.06</v>
      </c>
      <c r="AH25" s="88">
        <v>46142.666666666664</v>
      </c>
      <c r="AI25">
        <v>839.34</v>
      </c>
      <c r="AJ25" s="88">
        <v>46142.666666666664</v>
      </c>
      <c r="AK25">
        <v>17.7</v>
      </c>
      <c r="AL25" s="88">
        <v>46142.666666666664</v>
      </c>
      <c r="AM25">
        <v>34.6</v>
      </c>
      <c r="AN25" s="88">
        <v>46142.666666666664</v>
      </c>
      <c r="AO25">
        <v>384.8</v>
      </c>
      <c r="AP25" s="88">
        <v>46142.666666666664</v>
      </c>
      <c r="AQ25">
        <v>923.77</v>
      </c>
      <c r="AR25" s="88">
        <v>46142.666666666664</v>
      </c>
      <c r="AS25">
        <v>328.8</v>
      </c>
      <c r="AT25" s="88">
        <v>46142.666666666664</v>
      </c>
      <c r="AU25">
        <v>72.89</v>
      </c>
      <c r="AV25" s="88">
        <v>46142.666666666664</v>
      </c>
      <c r="AW25">
        <v>33.479999999999997</v>
      </c>
      <c r="AX25" s="88">
        <v>46142.666666666664</v>
      </c>
      <c r="AY25">
        <v>45.51</v>
      </c>
      <c r="AZ25" s="88">
        <v>46142.666666666664</v>
      </c>
      <c r="BA25">
        <v>12.44</v>
      </c>
      <c r="BB25" s="88">
        <v>46142.666666666664</v>
      </c>
      <c r="BC25">
        <v>902.32</v>
      </c>
      <c r="BD25" s="88">
        <v>46142.666666666664</v>
      </c>
      <c r="BE25">
        <v>137.69999999999999</v>
      </c>
      <c r="BF25" s="88">
        <v>46142.666666666664</v>
      </c>
      <c r="BG25">
        <v>25.35</v>
      </c>
      <c r="BH25" s="88">
        <v>46142.666666666664</v>
      </c>
      <c r="BI25">
        <v>157.94</v>
      </c>
      <c r="BJ25" s="88">
        <v>46142.666666666664</v>
      </c>
      <c r="BK25">
        <v>9.6999999999999993</v>
      </c>
      <c r="BL25" s="88">
        <v>46142.666666666664</v>
      </c>
      <c r="BM25">
        <v>611.91</v>
      </c>
      <c r="BN25" s="88">
        <v>46142.666666666664</v>
      </c>
      <c r="BO25">
        <v>23.27</v>
      </c>
      <c r="BP25" s="88">
        <v>46142.666666666664</v>
      </c>
      <c r="BQ25">
        <v>407.78</v>
      </c>
      <c r="BR25" s="88">
        <v>46142.666666666664</v>
      </c>
      <c r="BS25">
        <v>127.18</v>
      </c>
      <c r="BT25" s="88">
        <v>46142.666666666664</v>
      </c>
      <c r="BU25">
        <v>517.16</v>
      </c>
      <c r="BV25" s="88">
        <v>46142.666666666664</v>
      </c>
      <c r="BW25">
        <v>93.61</v>
      </c>
      <c r="BX25" s="88">
        <v>46142.666666666664</v>
      </c>
      <c r="BY25">
        <v>44.36</v>
      </c>
      <c r="BZ25" s="88">
        <v>46142.666666666664</v>
      </c>
      <c r="CA25">
        <v>18.53</v>
      </c>
      <c r="CB25" s="88">
        <v>46142.666666666664</v>
      </c>
      <c r="CC25">
        <v>199.57</v>
      </c>
      <c r="CD25" s="88">
        <v>46142.666666666664</v>
      </c>
      <c r="CE25">
        <v>42.22</v>
      </c>
      <c r="CF25" s="88">
        <v>46142.666666666664</v>
      </c>
      <c r="CG25">
        <v>72.5</v>
      </c>
      <c r="CH25" s="88">
        <v>46142.666666666664</v>
      </c>
      <c r="CI25">
        <v>10.039999999999999</v>
      </c>
      <c r="CJ25" s="88">
        <v>46142.666666666664</v>
      </c>
      <c r="CK25">
        <v>161.38999999999999</v>
      </c>
      <c r="CL25" s="88">
        <v>46142.666666666664</v>
      </c>
      <c r="CM25">
        <v>60.58</v>
      </c>
      <c r="CN25" s="88">
        <v>46142.666666666664</v>
      </c>
      <c r="CO25">
        <v>10.3</v>
      </c>
      <c r="CP25" s="88">
        <v>46142.666666666664</v>
      </c>
      <c r="CQ25">
        <v>36.97</v>
      </c>
      <c r="CR25" s="88">
        <v>46142.666666666664</v>
      </c>
      <c r="CS25">
        <v>139.11000000000001</v>
      </c>
      <c r="CT25" s="88">
        <v>46142.666666666664</v>
      </c>
      <c r="CU25">
        <v>7.12</v>
      </c>
      <c r="CV25" s="88">
        <v>46142.666666666664</v>
      </c>
      <c r="CW25">
        <v>11.72</v>
      </c>
      <c r="CX25" s="88">
        <v>46142.666666666664</v>
      </c>
      <c r="CY25">
        <v>9.7799999999999994</v>
      </c>
      <c r="CZ25" s="88">
        <v>46142.666666666664</v>
      </c>
      <c r="DA25">
        <v>16.399999999999999</v>
      </c>
      <c r="DB25" s="88">
        <v>46142.666666666664</v>
      </c>
      <c r="DC25">
        <v>82.51</v>
      </c>
      <c r="DD25" s="88">
        <v>46142.666666666664</v>
      </c>
      <c r="DE25">
        <v>27.4</v>
      </c>
      <c r="DF25" s="88">
        <v>46142.666666666664</v>
      </c>
      <c r="DG25">
        <v>6.07</v>
      </c>
      <c r="DH25" s="88">
        <v>46142.666666666664</v>
      </c>
      <c r="DI25">
        <v>16.100000000000001</v>
      </c>
      <c r="DJ25" s="88">
        <v>46142.666666666664</v>
      </c>
      <c r="DK25">
        <v>718.66</v>
      </c>
      <c r="DL25" s="88">
        <v>46142.666666666664</v>
      </c>
      <c r="DM25">
        <v>381.63</v>
      </c>
      <c r="DN25" s="88">
        <v>46142.666666666664</v>
      </c>
      <c r="DO25">
        <v>18.579999999999998</v>
      </c>
      <c r="DP25" s="88">
        <v>46142.666666666664</v>
      </c>
      <c r="DQ25">
        <v>90</v>
      </c>
      <c r="DR25" s="88">
        <v>46142.666666666664</v>
      </c>
      <c r="DS25">
        <v>12.01</v>
      </c>
      <c r="DT25" s="88">
        <v>46142.666666666664</v>
      </c>
      <c r="DU25">
        <v>74.61</v>
      </c>
      <c r="DV25" s="88">
        <v>46142.666666666664</v>
      </c>
      <c r="DW25">
        <v>14.59</v>
      </c>
      <c r="DX25" s="88">
        <v>46142.666666666664</v>
      </c>
      <c r="DY25">
        <v>147.09</v>
      </c>
      <c r="DZ25" s="88">
        <v>46142.666666666664</v>
      </c>
      <c r="EA25">
        <v>94.79</v>
      </c>
      <c r="EB25" s="88">
        <v>46142.666666666664</v>
      </c>
      <c r="EC25">
        <v>13.27</v>
      </c>
      <c r="ED25" s="88">
        <v>46142.666666666664</v>
      </c>
      <c r="EE25">
        <v>6.96</v>
      </c>
      <c r="EF25" s="88">
        <v>46142.666666666664</v>
      </c>
      <c r="EG25">
        <v>97.15</v>
      </c>
    </row>
    <row r="26" spans="1:137">
      <c r="B26" s="88">
        <v>46143.666666666664</v>
      </c>
      <c r="C26">
        <v>280.14</v>
      </c>
      <c r="D26" s="88">
        <v>46143.666666666664</v>
      </c>
      <c r="E26">
        <v>250.71</v>
      </c>
      <c r="F26" s="88">
        <v>46143.666666666664</v>
      </c>
      <c r="G26">
        <v>38.549999999999997</v>
      </c>
      <c r="H26" s="88">
        <v>46143.666666666664</v>
      </c>
      <c r="I26">
        <v>268.26</v>
      </c>
      <c r="J26" s="88">
        <v>46143.666666666664</v>
      </c>
      <c r="K26">
        <v>70.89</v>
      </c>
      <c r="L26" s="88">
        <v>46143.666666666664</v>
      </c>
      <c r="M26">
        <v>18.600000000000001</v>
      </c>
      <c r="N26" s="88">
        <v>46143.666666666664</v>
      </c>
      <c r="O26">
        <v>421.28</v>
      </c>
      <c r="P26" s="88">
        <v>46143.666666666664</v>
      </c>
      <c r="Q26">
        <v>131.5</v>
      </c>
      <c r="R26" s="88">
        <v>46143.666666666664</v>
      </c>
      <c r="S26">
        <v>21.88</v>
      </c>
      <c r="T26" s="88">
        <v>46143.666666666664</v>
      </c>
      <c r="U26">
        <v>26.53</v>
      </c>
      <c r="V26" s="88">
        <v>46143.666666666664</v>
      </c>
      <c r="W26">
        <v>1.07</v>
      </c>
      <c r="X26" s="88">
        <v>46143.666666666664</v>
      </c>
      <c r="Y26">
        <v>10.51</v>
      </c>
      <c r="Z26" s="88">
        <v>46143.666666666664</v>
      </c>
      <c r="AA26">
        <v>103.08</v>
      </c>
      <c r="AB26" s="88">
        <v>46143.666666666664</v>
      </c>
      <c r="AC26">
        <v>224.62</v>
      </c>
      <c r="AD26" s="88">
        <v>46143.666666666664</v>
      </c>
      <c r="AE26">
        <v>94.67</v>
      </c>
      <c r="AF26" s="88">
        <v>46143.666666666664</v>
      </c>
      <c r="AG26">
        <v>27.54</v>
      </c>
      <c r="AH26" s="88">
        <v>46143.666666666664</v>
      </c>
      <c r="AI26">
        <v>831.22</v>
      </c>
      <c r="AJ26" s="88">
        <v>46143.666666666664</v>
      </c>
      <c r="AK26">
        <v>18.739999999999998</v>
      </c>
      <c r="AL26" s="88">
        <v>46143.666666666664</v>
      </c>
      <c r="AM26">
        <v>33.799999999999997</v>
      </c>
      <c r="AN26" s="88">
        <v>46143.666666666664</v>
      </c>
      <c r="AO26">
        <v>385.69</v>
      </c>
      <c r="AP26" s="88">
        <v>46143.666666666664</v>
      </c>
      <c r="AQ26">
        <v>923.71</v>
      </c>
      <c r="AR26" s="88">
        <v>46143.666666666664</v>
      </c>
      <c r="AS26">
        <v>323.88</v>
      </c>
      <c r="AT26" s="88">
        <v>46143.666666666664</v>
      </c>
      <c r="AU26">
        <v>73.66</v>
      </c>
      <c r="AV26" s="88">
        <v>46143.666666666664</v>
      </c>
      <c r="AW26">
        <v>33.46</v>
      </c>
      <c r="AX26" s="88">
        <v>46143.666666666664</v>
      </c>
      <c r="AY26">
        <v>45.66</v>
      </c>
      <c r="AZ26" s="88">
        <v>46143.666666666664</v>
      </c>
      <c r="BA26">
        <v>12.65</v>
      </c>
      <c r="BB26" s="88">
        <v>46143.666666666664</v>
      </c>
      <c r="BC26">
        <v>949.93</v>
      </c>
      <c r="BD26" s="88">
        <v>46143.666666666664</v>
      </c>
      <c r="BE26">
        <v>133.58000000000001</v>
      </c>
      <c r="BF26" s="88">
        <v>46143.666666666664</v>
      </c>
      <c r="BG26">
        <v>25.62</v>
      </c>
      <c r="BH26" s="88">
        <v>46143.666666666664</v>
      </c>
      <c r="BI26">
        <v>158.25</v>
      </c>
      <c r="BJ26" s="88">
        <v>46143.666666666664</v>
      </c>
      <c r="BK26">
        <v>9.64</v>
      </c>
      <c r="BL26" s="88">
        <v>46143.666666666664</v>
      </c>
      <c r="BM26">
        <v>608.75</v>
      </c>
      <c r="BN26" s="88">
        <v>46143.666666666664</v>
      </c>
      <c r="BO26">
        <v>23.15</v>
      </c>
      <c r="BP26" s="88">
        <v>46143.666666666664</v>
      </c>
      <c r="BQ26">
        <v>414.44</v>
      </c>
      <c r="BR26" s="88">
        <v>46143.666666666664</v>
      </c>
      <c r="BS26">
        <v>125.86</v>
      </c>
      <c r="BT26" s="88">
        <v>46143.666666666664</v>
      </c>
      <c r="BU26">
        <v>542.21</v>
      </c>
      <c r="BV26" s="88">
        <v>46143.666666666664</v>
      </c>
      <c r="BW26">
        <v>92.06</v>
      </c>
      <c r="BX26" s="88">
        <v>46143.666666666664</v>
      </c>
      <c r="BY26">
        <v>44.4</v>
      </c>
      <c r="BZ26" s="88">
        <v>46143.666666666664</v>
      </c>
      <c r="CA26">
        <v>19.38</v>
      </c>
      <c r="CB26" s="88">
        <v>46143.666666666664</v>
      </c>
      <c r="CC26">
        <v>198.45</v>
      </c>
      <c r="CD26" s="88">
        <v>46143.666666666664</v>
      </c>
      <c r="CE26">
        <v>43.88</v>
      </c>
      <c r="CF26" s="88">
        <v>46143.666666666664</v>
      </c>
      <c r="CG26">
        <v>70.400000000000006</v>
      </c>
      <c r="CH26" s="88">
        <v>46143.666666666664</v>
      </c>
      <c r="CI26">
        <v>10.32</v>
      </c>
      <c r="CJ26" s="88">
        <v>46143.666666666664</v>
      </c>
      <c r="CK26">
        <v>171.83</v>
      </c>
      <c r="CL26" s="88">
        <v>46143.666666666664</v>
      </c>
      <c r="CM26">
        <v>58.71</v>
      </c>
      <c r="CN26" s="88">
        <v>46143.666666666664</v>
      </c>
      <c r="CO26">
        <v>10.67</v>
      </c>
      <c r="CP26" s="88">
        <v>46143.666666666664</v>
      </c>
      <c r="CQ26">
        <v>36.9</v>
      </c>
      <c r="CR26" s="88">
        <v>46143.666666666664</v>
      </c>
      <c r="CS26">
        <v>144.07</v>
      </c>
      <c r="CT26" s="88">
        <v>46143.666666666664</v>
      </c>
      <c r="CU26">
        <v>7.31</v>
      </c>
      <c r="CV26" s="88">
        <v>46143.666666666664</v>
      </c>
      <c r="CW26">
        <v>11.23</v>
      </c>
      <c r="CX26" s="88">
        <v>46143.666666666664</v>
      </c>
      <c r="CY26">
        <v>9.7899999999999991</v>
      </c>
      <c r="CZ26" s="88">
        <v>46143.666666666664</v>
      </c>
      <c r="DA26">
        <v>15.02</v>
      </c>
      <c r="DB26" s="88">
        <v>46143.666666666664</v>
      </c>
      <c r="DC26">
        <v>78.81</v>
      </c>
      <c r="DD26" s="88">
        <v>46143.666666666664</v>
      </c>
      <c r="DE26">
        <v>27.09</v>
      </c>
      <c r="DF26" s="88">
        <v>46143.666666666664</v>
      </c>
      <c r="DG26">
        <v>6.29</v>
      </c>
      <c r="DH26" s="88">
        <v>46143.666666666664</v>
      </c>
      <c r="DI26">
        <v>16.43</v>
      </c>
      <c r="DJ26" s="88">
        <v>46143.666666666664</v>
      </c>
      <c r="DK26">
        <v>720.65</v>
      </c>
      <c r="DL26" s="88">
        <v>46143.666666666664</v>
      </c>
      <c r="DM26">
        <v>390.82</v>
      </c>
      <c r="DN26" s="88">
        <v>46143.666666666664</v>
      </c>
      <c r="DO26">
        <v>18.78</v>
      </c>
      <c r="DP26" s="88">
        <v>46143.666666666664</v>
      </c>
      <c r="DQ26">
        <v>92.52</v>
      </c>
      <c r="DR26" s="88">
        <v>46143.666666666664</v>
      </c>
      <c r="DS26">
        <v>12.15</v>
      </c>
      <c r="DT26" s="88">
        <v>46143.666666666664</v>
      </c>
      <c r="DU26">
        <v>75.12</v>
      </c>
      <c r="DV26" s="88">
        <v>46143.666666666664</v>
      </c>
      <c r="DW26">
        <v>14.19</v>
      </c>
      <c r="DX26" s="88">
        <v>46143.666666666664</v>
      </c>
      <c r="DY26">
        <v>142.80000000000001</v>
      </c>
      <c r="DZ26" s="88">
        <v>46143.666666666664</v>
      </c>
      <c r="EA26">
        <v>94.55</v>
      </c>
      <c r="EB26" s="88">
        <v>46143.666666666664</v>
      </c>
      <c r="EC26">
        <v>12.73</v>
      </c>
      <c r="ED26" s="88">
        <v>46143.666666666664</v>
      </c>
      <c r="EE26">
        <v>6.7</v>
      </c>
      <c r="EF26" s="88">
        <v>46143.666666666664</v>
      </c>
      <c r="EG26">
        <v>103.44</v>
      </c>
    </row>
    <row r="27" spans="1:137">
      <c r="B27" s="88">
        <v>46146.666666666664</v>
      </c>
      <c r="C27">
        <v>276.83</v>
      </c>
      <c r="D27" s="88">
        <v>46146.666666666664</v>
      </c>
      <c r="E27">
        <v>253.96</v>
      </c>
      <c r="F27" s="88">
        <v>46146.666666666664</v>
      </c>
      <c r="G27">
        <v>36.96</v>
      </c>
      <c r="H27" s="88">
        <v>46146.666666666664</v>
      </c>
      <c r="I27">
        <v>272.05</v>
      </c>
      <c r="J27" s="88">
        <v>46146.666666666664</v>
      </c>
      <c r="K27">
        <v>68.430000000000007</v>
      </c>
      <c r="L27" s="88">
        <v>46146.666666666664</v>
      </c>
      <c r="M27">
        <v>18.420000000000002</v>
      </c>
      <c r="N27" s="88">
        <v>46146.666666666664</v>
      </c>
      <c r="O27">
        <v>416.5</v>
      </c>
      <c r="P27" s="88">
        <v>46146.666666666664</v>
      </c>
      <c r="Q27">
        <v>133.27000000000001</v>
      </c>
      <c r="R27" s="88">
        <v>46146.666666666664</v>
      </c>
      <c r="S27">
        <v>22.79</v>
      </c>
      <c r="T27" s="88">
        <v>46146.666666666664</v>
      </c>
      <c r="U27">
        <v>26.52</v>
      </c>
      <c r="V27" s="88">
        <v>46146.666666666664</v>
      </c>
      <c r="W27">
        <v>1.4</v>
      </c>
      <c r="X27" s="88">
        <v>46146.666666666664</v>
      </c>
      <c r="Y27">
        <v>10.25</v>
      </c>
      <c r="Z27" s="88">
        <v>46146.666666666664</v>
      </c>
      <c r="AA27">
        <v>101.31</v>
      </c>
      <c r="AB27" s="88">
        <v>46146.666666666664</v>
      </c>
      <c r="AC27">
        <v>217.27</v>
      </c>
      <c r="AD27" s="88">
        <v>46146.666666666664</v>
      </c>
      <c r="AE27">
        <v>94.05</v>
      </c>
      <c r="AF27" s="88">
        <v>46146.666666666664</v>
      </c>
      <c r="AG27">
        <v>27.21</v>
      </c>
      <c r="AH27" s="88">
        <v>46146.666666666664</v>
      </c>
      <c r="AI27">
        <v>857.79</v>
      </c>
      <c r="AJ27" s="88">
        <v>46146.666666666664</v>
      </c>
      <c r="AK27">
        <v>19.96</v>
      </c>
      <c r="AL27" s="88">
        <v>46146.666666666664</v>
      </c>
      <c r="AM27">
        <v>33.369999999999997</v>
      </c>
      <c r="AN27" s="88">
        <v>46146.666666666664</v>
      </c>
      <c r="AO27">
        <v>383.25</v>
      </c>
      <c r="AP27" s="88">
        <v>46146.666666666664</v>
      </c>
      <c r="AQ27">
        <v>903.27</v>
      </c>
      <c r="AR27" s="88">
        <v>46146.666666666664</v>
      </c>
      <c r="AS27">
        <v>312.42</v>
      </c>
      <c r="AT27" s="88">
        <v>46146.666666666664</v>
      </c>
      <c r="AU27">
        <v>76.55</v>
      </c>
      <c r="AV27" s="88">
        <v>46146.666666666664</v>
      </c>
      <c r="AW27">
        <v>33.49</v>
      </c>
      <c r="AX27" s="88">
        <v>46146.666666666664</v>
      </c>
      <c r="AY27">
        <v>49.48</v>
      </c>
      <c r="AZ27" s="88">
        <v>46146.666666666664</v>
      </c>
      <c r="BA27">
        <v>12.62</v>
      </c>
      <c r="BB27" s="88">
        <v>46146.666666666664</v>
      </c>
      <c r="BC27">
        <v>976.18</v>
      </c>
      <c r="BD27" s="88">
        <v>46146.666666666664</v>
      </c>
      <c r="BE27">
        <v>128.97999999999999</v>
      </c>
      <c r="BF27" s="88">
        <v>46146.666666666664</v>
      </c>
      <c r="BG27">
        <v>25.35</v>
      </c>
      <c r="BH27" s="88">
        <v>46146.666666666664</v>
      </c>
      <c r="BI27">
        <v>157.58000000000001</v>
      </c>
      <c r="BJ27" s="88">
        <v>46146.666666666664</v>
      </c>
      <c r="BK27">
        <v>9.48</v>
      </c>
      <c r="BL27" s="88">
        <v>46146.666666666664</v>
      </c>
      <c r="BM27">
        <v>610.41</v>
      </c>
      <c r="BN27" s="88">
        <v>46146.666666666664</v>
      </c>
      <c r="BO27">
        <v>22.97</v>
      </c>
      <c r="BP27" s="88">
        <v>46146.666666666664</v>
      </c>
      <c r="BQ27">
        <v>413.62</v>
      </c>
      <c r="BR27" s="88">
        <v>46146.666666666664</v>
      </c>
      <c r="BS27">
        <v>123.3</v>
      </c>
      <c r="BT27" s="88">
        <v>46146.666666666664</v>
      </c>
      <c r="BU27">
        <v>576.45000000000005</v>
      </c>
      <c r="BV27" s="88">
        <v>46146.666666666664</v>
      </c>
      <c r="BW27">
        <v>91.02</v>
      </c>
      <c r="BX27" s="88">
        <v>46146.666666666664</v>
      </c>
      <c r="BY27">
        <v>43.09</v>
      </c>
      <c r="BZ27" s="88">
        <v>46146.666666666664</v>
      </c>
      <c r="CA27">
        <v>18.12</v>
      </c>
      <c r="CB27" s="88">
        <v>46146.666666666664</v>
      </c>
      <c r="CC27">
        <v>198.48</v>
      </c>
      <c r="CD27" s="88">
        <v>46146.666666666664</v>
      </c>
      <c r="CE27">
        <v>44.39</v>
      </c>
      <c r="CF27" s="88">
        <v>46146.666666666664</v>
      </c>
      <c r="CG27">
        <v>68.599999999999994</v>
      </c>
      <c r="CH27" s="88">
        <v>46146.666666666664</v>
      </c>
      <c r="CI27">
        <v>9.73</v>
      </c>
      <c r="CJ27" s="88">
        <v>46146.666666666664</v>
      </c>
      <c r="CK27">
        <v>180.29</v>
      </c>
      <c r="CL27" s="88">
        <v>46146.666666666664</v>
      </c>
      <c r="CM27">
        <v>60.27</v>
      </c>
      <c r="CN27" s="88">
        <v>46146.666666666664</v>
      </c>
      <c r="CO27">
        <v>10.83</v>
      </c>
      <c r="CP27" s="88">
        <v>46146.666666666664</v>
      </c>
      <c r="CQ27">
        <v>38.54</v>
      </c>
      <c r="CR27" s="88">
        <v>46146.666666666664</v>
      </c>
      <c r="CS27">
        <v>146.03</v>
      </c>
      <c r="CT27" s="88">
        <v>46146.666666666664</v>
      </c>
      <c r="CU27">
        <v>7.11</v>
      </c>
      <c r="CV27" s="88">
        <v>46146.666666666664</v>
      </c>
      <c r="CW27">
        <v>11</v>
      </c>
      <c r="CX27" s="88">
        <v>46146.666666666664</v>
      </c>
      <c r="CY27">
        <v>9.64</v>
      </c>
      <c r="CZ27" s="88">
        <v>46146.666666666664</v>
      </c>
      <c r="DA27">
        <v>14.51</v>
      </c>
      <c r="DB27" s="88">
        <v>46146.666666666664</v>
      </c>
      <c r="DC27">
        <v>80.31</v>
      </c>
      <c r="DD27" s="88">
        <v>46146.666666666664</v>
      </c>
      <c r="DE27">
        <v>27.92</v>
      </c>
      <c r="DF27" s="88">
        <v>46146.666666666664</v>
      </c>
      <c r="DG27">
        <v>6.17</v>
      </c>
      <c r="DH27" s="88">
        <v>46146.666666666664</v>
      </c>
      <c r="DI27">
        <v>16.2</v>
      </c>
      <c r="DJ27" s="88">
        <v>46146.666666666664</v>
      </c>
      <c r="DK27">
        <v>718.01</v>
      </c>
      <c r="DL27" s="88">
        <v>46146.666666666664</v>
      </c>
      <c r="DM27">
        <v>392.51</v>
      </c>
      <c r="DN27" s="88">
        <v>46146.666666666664</v>
      </c>
      <c r="DO27">
        <v>18.64</v>
      </c>
      <c r="DP27" s="88">
        <v>46146.666666666664</v>
      </c>
      <c r="DQ27">
        <v>90.07</v>
      </c>
      <c r="DR27" s="88">
        <v>46146.666666666664</v>
      </c>
      <c r="DS27">
        <v>11.75</v>
      </c>
      <c r="DT27" s="88">
        <v>46146.666666666664</v>
      </c>
      <c r="DU27">
        <v>73.930000000000007</v>
      </c>
      <c r="DV27" s="88">
        <v>46146.666666666664</v>
      </c>
      <c r="DW27">
        <v>13.81</v>
      </c>
      <c r="DX27" s="88">
        <v>46146.666666666664</v>
      </c>
      <c r="DY27">
        <v>147.61000000000001</v>
      </c>
      <c r="DZ27" s="88">
        <v>46146.666666666664</v>
      </c>
      <c r="EA27">
        <v>115</v>
      </c>
      <c r="EB27" s="88">
        <v>46146.666666666664</v>
      </c>
      <c r="EC27">
        <v>13.77</v>
      </c>
      <c r="ED27" s="88">
        <v>46146.666666666664</v>
      </c>
      <c r="EE27">
        <v>6.54</v>
      </c>
      <c r="EF27" s="88">
        <v>46146.666666666664</v>
      </c>
      <c r="EG27">
        <v>106.63</v>
      </c>
    </row>
    <row r="28" spans="1:137">
      <c r="B28" s="88">
        <v>46147.666666666664</v>
      </c>
      <c r="C28">
        <v>284.18</v>
      </c>
      <c r="D28" s="88">
        <v>46147.666666666664</v>
      </c>
      <c r="E28">
        <v>255.62</v>
      </c>
      <c r="F28" s="88">
        <v>46147.666666666664</v>
      </c>
      <c r="G28">
        <v>38.51</v>
      </c>
      <c r="H28" s="88">
        <v>46147.666666666664</v>
      </c>
      <c r="I28">
        <v>273.55</v>
      </c>
      <c r="J28" s="88">
        <v>46147.666666666664</v>
      </c>
      <c r="K28">
        <v>63.87</v>
      </c>
      <c r="L28" s="88">
        <v>46147.666666666664</v>
      </c>
      <c r="M28">
        <v>18.329999999999998</v>
      </c>
      <c r="N28" s="88">
        <v>46147.666666666664</v>
      </c>
      <c r="O28">
        <v>427.36</v>
      </c>
      <c r="P28" s="88">
        <v>46147.666666666664</v>
      </c>
      <c r="Q28">
        <v>132.26</v>
      </c>
      <c r="R28" s="88">
        <v>46147.666666666664</v>
      </c>
      <c r="S28">
        <v>23.1</v>
      </c>
      <c r="T28" s="88">
        <v>46147.666666666664</v>
      </c>
      <c r="U28">
        <v>25</v>
      </c>
      <c r="V28" s="88">
        <v>46147.666666666664</v>
      </c>
      <c r="W28">
        <v>1.51</v>
      </c>
      <c r="X28" s="88">
        <v>46147.666666666664</v>
      </c>
      <c r="Y28">
        <v>10.65</v>
      </c>
      <c r="Z28" s="88">
        <v>46147.666666666664</v>
      </c>
      <c r="AA28">
        <v>100.48</v>
      </c>
      <c r="AB28" s="88">
        <v>46147.666666666664</v>
      </c>
      <c r="AC28">
        <v>215.49</v>
      </c>
      <c r="AD28" s="88">
        <v>46147.666666666664</v>
      </c>
      <c r="AE28">
        <v>93.69</v>
      </c>
      <c r="AF28" s="88">
        <v>46147.666666666664</v>
      </c>
      <c r="AG28">
        <v>28.01</v>
      </c>
      <c r="AH28" s="88">
        <v>46147.666666666664</v>
      </c>
      <c r="AI28">
        <v>851.26</v>
      </c>
      <c r="AJ28" s="88">
        <v>46147.666666666664</v>
      </c>
      <c r="AK28">
        <v>19.420000000000002</v>
      </c>
      <c r="AL28" s="88">
        <v>46147.666666666664</v>
      </c>
      <c r="AM28">
        <v>31.52</v>
      </c>
      <c r="AN28" s="88">
        <v>46147.666666666664</v>
      </c>
      <c r="AO28">
        <v>388.43</v>
      </c>
      <c r="AP28" s="88">
        <v>46147.666666666664</v>
      </c>
      <c r="AQ28">
        <v>918.89</v>
      </c>
      <c r="AR28" s="88">
        <v>46147.666666666664</v>
      </c>
      <c r="AS28">
        <v>315.42</v>
      </c>
      <c r="AT28" s="88">
        <v>46147.666666666664</v>
      </c>
      <c r="AU28">
        <v>77.03</v>
      </c>
      <c r="AV28" s="88">
        <v>46147.666666666664</v>
      </c>
      <c r="AW28">
        <v>33.82</v>
      </c>
      <c r="AX28" s="88">
        <v>46147.666666666664</v>
      </c>
      <c r="AY28">
        <v>54.74</v>
      </c>
      <c r="AZ28" s="88">
        <v>46147.666666666664</v>
      </c>
      <c r="BA28">
        <v>12.6</v>
      </c>
      <c r="BB28" s="88">
        <v>46147.666666666664</v>
      </c>
      <c r="BC28">
        <v>994.56</v>
      </c>
      <c r="BD28" s="88">
        <v>46147.666666666664</v>
      </c>
      <c r="BE28">
        <v>130.21</v>
      </c>
      <c r="BF28" s="88">
        <v>46147.666666666664</v>
      </c>
      <c r="BG28">
        <v>24.8</v>
      </c>
      <c r="BH28" s="88">
        <v>46147.666666666664</v>
      </c>
      <c r="BI28">
        <v>157.26</v>
      </c>
      <c r="BJ28" s="88">
        <v>46147.666666666664</v>
      </c>
      <c r="BK28">
        <v>9.31</v>
      </c>
      <c r="BL28" s="88">
        <v>46147.666666666664</v>
      </c>
      <c r="BM28">
        <v>604.96</v>
      </c>
      <c r="BN28" s="88">
        <v>46147.666666666664</v>
      </c>
      <c r="BO28">
        <v>23.26</v>
      </c>
      <c r="BP28" s="88">
        <v>46147.666666666664</v>
      </c>
      <c r="BQ28">
        <v>411.38</v>
      </c>
      <c r="BR28" s="88">
        <v>46147.666666666664</v>
      </c>
      <c r="BS28">
        <v>122.9</v>
      </c>
      <c r="BT28" s="88">
        <v>46147.666666666664</v>
      </c>
      <c r="BU28">
        <v>640.20000000000005</v>
      </c>
      <c r="BV28" s="88">
        <v>46147.666666666664</v>
      </c>
      <c r="BW28">
        <v>87.89</v>
      </c>
      <c r="BX28" s="88">
        <v>46147.666666666664</v>
      </c>
      <c r="BY28">
        <v>43.06</v>
      </c>
      <c r="BZ28" s="88">
        <v>46147.666666666664</v>
      </c>
      <c r="CA28">
        <v>18.8</v>
      </c>
      <c r="CB28" s="88">
        <v>46147.666666666664</v>
      </c>
      <c r="CC28">
        <v>196.5</v>
      </c>
      <c r="CD28" s="88">
        <v>46147.666666666664</v>
      </c>
      <c r="CE28">
        <v>44.87</v>
      </c>
      <c r="CF28" s="88">
        <v>46147.666666666664</v>
      </c>
      <c r="CG28">
        <v>68.38</v>
      </c>
      <c r="CH28" s="88">
        <v>46147.666666666664</v>
      </c>
      <c r="CI28">
        <v>9.33</v>
      </c>
      <c r="CJ28" s="88">
        <v>46147.666666666664</v>
      </c>
      <c r="CK28">
        <v>185.35</v>
      </c>
      <c r="CL28" s="88">
        <v>46147.666666666664</v>
      </c>
      <c r="CM28">
        <v>59.34</v>
      </c>
      <c r="CN28" s="88">
        <v>46147.666666666664</v>
      </c>
      <c r="CO28">
        <v>10.7</v>
      </c>
      <c r="CP28" s="88">
        <v>46147.666666666664</v>
      </c>
      <c r="CQ28">
        <v>37.130000000000003</v>
      </c>
      <c r="CR28" s="88">
        <v>46147.666666666664</v>
      </c>
      <c r="CS28">
        <v>135.91</v>
      </c>
      <c r="CT28" s="88">
        <v>46147.666666666664</v>
      </c>
      <c r="CU28">
        <v>9.2100000000000009</v>
      </c>
      <c r="CV28" s="88">
        <v>46147.666666666664</v>
      </c>
      <c r="CW28">
        <v>10.43</v>
      </c>
      <c r="CX28" s="88">
        <v>46147.666666666664</v>
      </c>
      <c r="CY28">
        <v>9.6999999999999993</v>
      </c>
      <c r="CZ28" s="88">
        <v>46147.666666666664</v>
      </c>
      <c r="DA28">
        <v>14.6</v>
      </c>
      <c r="DB28" s="88">
        <v>46147.666666666664</v>
      </c>
      <c r="DC28">
        <v>78.760000000000005</v>
      </c>
      <c r="DD28" s="88">
        <v>46147.666666666664</v>
      </c>
      <c r="DE28">
        <v>27.83</v>
      </c>
      <c r="DF28" s="88">
        <v>46147.666666666664</v>
      </c>
      <c r="DG28">
        <v>6.11</v>
      </c>
      <c r="DH28" s="88">
        <v>46147.666666666664</v>
      </c>
      <c r="DI28">
        <v>16.02</v>
      </c>
      <c r="DJ28" s="88">
        <v>46147.666666666664</v>
      </c>
      <c r="DK28">
        <v>723.77</v>
      </c>
      <c r="DL28" s="88">
        <v>46147.666666666664</v>
      </c>
      <c r="DM28">
        <v>389.37</v>
      </c>
      <c r="DN28" s="88">
        <v>46147.666666666664</v>
      </c>
      <c r="DO28">
        <v>19.13</v>
      </c>
      <c r="DP28" s="88">
        <v>46147.666666666664</v>
      </c>
      <c r="DQ28">
        <v>93.67</v>
      </c>
      <c r="DR28" s="88">
        <v>46147.666666666664</v>
      </c>
      <c r="DS28">
        <v>11.15</v>
      </c>
      <c r="DT28" s="88">
        <v>46147.666666666664</v>
      </c>
      <c r="DU28">
        <v>72.95</v>
      </c>
      <c r="DV28" s="88">
        <v>46147.666666666664</v>
      </c>
      <c r="DW28">
        <v>13.59</v>
      </c>
      <c r="DX28" s="88">
        <v>46147.666666666664</v>
      </c>
      <c r="DY28">
        <v>144.16999999999999</v>
      </c>
      <c r="DZ28" s="88">
        <v>46147.666666666664</v>
      </c>
      <c r="EA28">
        <v>137.79</v>
      </c>
      <c r="EB28" s="88">
        <v>46147.666666666664</v>
      </c>
      <c r="EC28">
        <v>13.02</v>
      </c>
      <c r="ED28" s="88">
        <v>46147.666666666664</v>
      </c>
      <c r="EE28">
        <v>6.61</v>
      </c>
      <c r="EF28" s="88">
        <v>46147.666666666664</v>
      </c>
      <c r="EG28">
        <v>109.1</v>
      </c>
    </row>
    <row r="29" spans="1:137">
      <c r="A29" t="s">
        <v>1977</v>
      </c>
    </row>
    <row r="30" spans="1:137">
      <c r="A30" s="90">
        <v>46119.666666666664</v>
      </c>
      <c r="C30" s="91">
        <f>C8/C7-1</f>
        <v>-2.0706173221046176E-2</v>
      </c>
      <c r="E30" s="91">
        <f>E8/E7-1</f>
        <v>-1.7269602226223757E-2</v>
      </c>
      <c r="G30" s="91">
        <f>G8/G7-1</f>
        <v>-2.7646129541864073E-2</v>
      </c>
      <c r="I30" s="91">
        <f>I8/I7-1</f>
        <v>4.6054795808074811E-3</v>
      </c>
      <c r="K30" s="91">
        <f t="shared" ref="K30:K50" si="0">K8/K7-1</f>
        <v>-2.3626199767957101E-2</v>
      </c>
      <c r="M30" s="91">
        <f t="shared" ref="M30:M50" si="1">M8/M7-1</f>
        <v>1.7162471395881784E-3</v>
      </c>
      <c r="O30" s="91">
        <f t="shared" ref="O30:AM45" si="2">O8/O7-1</f>
        <v>6.2144197436631465E-2</v>
      </c>
      <c r="Q30" s="91">
        <f t="shared" ref="Q30:AO45" si="3">Q8/Q7-1</f>
        <v>-2.1175701087400856E-2</v>
      </c>
      <c r="S30" s="91">
        <f t="shared" ref="S30:S50" si="4">S8/S7-1</f>
        <v>-2.0873786407766937E-2</v>
      </c>
      <c r="U30" s="91">
        <f t="shared" ref="U30:U50" si="5">U8/U7-1</f>
        <v>-3.2394792612776224E-2</v>
      </c>
      <c r="W30" s="91">
        <f t="shared" ref="W30" si="6">W8/W7-1</f>
        <v>-7.3394495412844152E-2</v>
      </c>
      <c r="Y30" s="91">
        <f t="shared" ref="Y30" si="7">Y8/Y7-1</f>
        <v>2.110199296600257E-2</v>
      </c>
      <c r="AA30" s="91">
        <f t="shared" ref="AA30:AA50" si="8">AA8/AA7-1</f>
        <v>-5.1931865392604859E-3</v>
      </c>
      <c r="AC30" s="91">
        <f t="shared" ref="AC30:AC50" si="9">AC8/AC7-1</f>
        <v>3.4558749874786798E-3</v>
      </c>
      <c r="AE30" s="91">
        <f t="shared" ref="AE30" si="10">AE8/AE7-1</f>
        <v>-4.2037987217571349E-2</v>
      </c>
      <c r="AG30" s="91">
        <f t="shared" ref="AG30" si="11">AG8/AG7-1</f>
        <v>4.1556479032867077E-3</v>
      </c>
      <c r="AI30" s="91">
        <f t="shared" ref="AI30:AI50" si="12">AI8/AI7-1</f>
        <v>-1.0295773428027011E-2</v>
      </c>
      <c r="AK30" s="91">
        <f t="shared" ref="AK30:AK50" si="13">AK8/AK7-1</f>
        <v>-1.0737628384687281E-2</v>
      </c>
      <c r="AM30" s="91">
        <f t="shared" ref="AM30" si="14">AM8/AM7-1</f>
        <v>2.0659971305595271E-2</v>
      </c>
      <c r="AO30" s="91">
        <f t="shared" ref="AO30" si="15">AO8/AO7-1</f>
        <v>1.8233941131371001E-2</v>
      </c>
      <c r="AQ30" s="91">
        <f t="shared" ref="AQ30:AQ50" si="16">AQ8/AQ7-1</f>
        <v>-2.1938687142774027E-3</v>
      </c>
      <c r="AS30" s="91">
        <f t="shared" ref="AS30:AS50" si="17">AS8/AS7-1</f>
        <v>-2.4123679779580631E-2</v>
      </c>
      <c r="AU30" s="91">
        <f t="shared" ref="AU30:BS45" si="18">AU8/AU7-1</f>
        <v>-1.8629979936943819E-3</v>
      </c>
      <c r="AW30" s="91">
        <f t="shared" ref="AW30:BU45" si="19">AW8/AW7-1</f>
        <v>1.1900334696913317E-2</v>
      </c>
      <c r="AY30" s="91">
        <f t="shared" ref="AY30:AY50" si="20">AY8/AY7-1</f>
        <v>1.7364076288072905E-2</v>
      </c>
      <c r="BA30" s="91">
        <f t="shared" ref="BA30:BA50" si="21">BA8/BA7-1</f>
        <v>7.2016460905348634E-3</v>
      </c>
      <c r="BC30" s="91">
        <f t="shared" ref="BC30" si="22">BC8/BC7-1</f>
        <v>5.6287874864038967E-2</v>
      </c>
      <c r="BE30" s="91">
        <f t="shared" ref="BE30" si="23">BE8/BE7-1</f>
        <v>-1.6071199897554234E-2</v>
      </c>
      <c r="BG30" s="91">
        <f t="shared" ref="BG30:BG50" si="24">BG8/BG7-1</f>
        <v>-8.2897033158814137E-3</v>
      </c>
      <c r="BI30" s="91">
        <f t="shared" ref="BI30:BI50" si="25">BI8/BI7-1</f>
        <v>-1.142892830377229E-2</v>
      </c>
      <c r="BK30" s="91">
        <f t="shared" ref="BK30" si="26">BK8/BK7-1</f>
        <v>-3.8983050847457679E-2</v>
      </c>
      <c r="BM30" s="91">
        <f t="shared" ref="BM30" si="27">BM8/BM7-1</f>
        <v>3.5426337649644424E-3</v>
      </c>
      <c r="BO30" s="91">
        <f t="shared" ref="BO30:BO50" si="28">BO8/BO7-1</f>
        <v>-5.2810260279140264E-3</v>
      </c>
      <c r="BQ30" s="91">
        <f t="shared" ref="BQ30:BQ50" si="29">BQ8/BQ7-1</f>
        <v>-1.5822784810125556E-3</v>
      </c>
      <c r="BS30" s="91">
        <f t="shared" ref="BS30" si="30">BS8/BS7-1</f>
        <v>6.1714109388266714E-4</v>
      </c>
      <c r="BU30" s="91">
        <f t="shared" ref="BU30" si="31">BU8/BU7-1</f>
        <v>-4.7649301143581901E-4</v>
      </c>
      <c r="BW30" s="91">
        <f t="shared" ref="BW30:BW50" si="32">BW8/BW7-1</f>
        <v>-1.1118973011221556E-3</v>
      </c>
      <c r="BY30" s="91">
        <f t="shared" ref="BY30:BY50" si="33">BY8/BY7-1</f>
        <v>-3.0433795139677589E-2</v>
      </c>
      <c r="CA30" s="91">
        <f t="shared" ref="CA30:CY45" si="34">CA8/CA7-1</f>
        <v>-9.2715231788079389E-2</v>
      </c>
      <c r="CC30" s="91">
        <f t="shared" ref="CC30:DA45" si="35">CC8/CC7-1</f>
        <v>2.5895068678225552E-3</v>
      </c>
      <c r="CE30" s="91">
        <f t="shared" ref="CE30:CE50" si="36">CE8/CE7-1</f>
        <v>6.5448595582218161E-3</v>
      </c>
      <c r="CG30" s="91">
        <f t="shared" ref="CG30:CG50" si="37">CG8/CG7-1</f>
        <v>-4.4503691550451085E-2</v>
      </c>
      <c r="CI30" s="91">
        <f t="shared" ref="CI30" si="38">CI8/CI7-1</f>
        <v>1.0504201680672232E-3</v>
      </c>
      <c r="CK30" s="91">
        <f t="shared" ref="CK30" si="39">CK8/CK7-1</f>
        <v>-1.6284183042462597E-2</v>
      </c>
      <c r="CM30" s="91">
        <f t="shared" ref="CM30:CM50" si="40">CM8/CM7-1</f>
        <v>-3.1766200762395336E-4</v>
      </c>
      <c r="CO30" s="91">
        <f t="shared" ref="CO30:CO50" si="41">CO8/CO7-1</f>
        <v>-1.7937219730941756E-2</v>
      </c>
      <c r="CQ30" s="91">
        <f t="shared" ref="CQ30" si="42">CQ8/CQ7-1</f>
        <v>4.2832667047401074E-3</v>
      </c>
      <c r="CS30" s="91">
        <f t="shared" ref="CS30" si="43">CS8/CS7-1</f>
        <v>1.4466301629148859E-2</v>
      </c>
      <c r="CU30" s="91">
        <f t="shared" ref="CU30:CU50" si="44">CU8/CU7-1</f>
        <v>-1.9736842105263164E-2</v>
      </c>
      <c r="CW30" s="91">
        <f t="shared" ref="CW30:CW50" si="45">CW8/CW7-1</f>
        <v>-7.5038284839203717E-2</v>
      </c>
      <c r="CY30" s="91">
        <f t="shared" ref="CY30" si="46">CY8/CY7-1</f>
        <v>-1.4522821576763545E-2</v>
      </c>
      <c r="DA30" s="91">
        <f t="shared" ref="DA30" si="47">DA8/DA7-1</f>
        <v>-3.924133420536291E-2</v>
      </c>
      <c r="DC30" s="91">
        <f t="shared" ref="DC30:DC50" si="48">DC8/DC7-1</f>
        <v>-1.9949756169646893E-2</v>
      </c>
      <c r="DE30" s="91">
        <f t="shared" ref="DE30:DE50" si="49">DE8/DE7-1</f>
        <v>2.8117913832199637E-2</v>
      </c>
      <c r="DG30" s="91">
        <f t="shared" ref="DG30:EE45" si="50">DG8/DG7-1</f>
        <v>1.9108280254777066E-2</v>
      </c>
      <c r="DI30" s="91">
        <f t="shared" ref="DI30:EG45" si="51">DI8/DI7-1</f>
        <v>-9.8340503995083539E-3</v>
      </c>
      <c r="DK30" s="91">
        <f t="shared" ref="DK30:DK50" si="52">DK8/DK7-1</f>
        <v>4.4010744692157822E-4</v>
      </c>
      <c r="DM30" s="91">
        <f t="shared" ref="DM30:DM50" si="53">DM8/DM7-1</f>
        <v>-1.7487670766963337E-2</v>
      </c>
      <c r="DO30" s="91">
        <f t="shared" ref="DO30" si="54">DO8/DO7-1</f>
        <v>1.6120365394949099E-2</v>
      </c>
      <c r="DQ30" s="91">
        <f t="shared" ref="DQ30" si="55">DQ8/DQ7-1</f>
        <v>-1.8467626690117589E-2</v>
      </c>
      <c r="DS30" s="91">
        <f t="shared" ref="DS30:DS50" si="56">DS8/DS7-1</f>
        <v>-1.8115942028985366E-2</v>
      </c>
      <c r="DU30" s="91">
        <f t="shared" ref="DU30:DU50" si="57">DU8/DU7-1</f>
        <v>-6.0967160870167847E-3</v>
      </c>
      <c r="DW30" s="91">
        <f t="shared" ref="DW30" si="58">DW8/DW7-1</f>
        <v>-4.0846097738876819E-2</v>
      </c>
      <c r="DY30" s="91">
        <f t="shared" ref="DY30" si="59">DY8/DY7-1</f>
        <v>-6.1897221822367898E-3</v>
      </c>
      <c r="EA30" s="91">
        <f t="shared" ref="EA30:EA50" si="60">EA8/EA7-1</f>
        <v>-3.635593220338984E-2</v>
      </c>
      <c r="EC30" s="91">
        <f t="shared" ref="EC30:EC50" si="61">EC8/EC7-1</f>
        <v>3.1367628607277265E-3</v>
      </c>
      <c r="EE30" s="91">
        <f t="shared" ref="EE30" si="62">EE8/EE7-1</f>
        <v>-2.8208744710860434E-2</v>
      </c>
      <c r="EG30" s="91">
        <f t="shared" ref="EG30" si="63">EG8/EG7-1</f>
        <v>1.6207063376874498E-2</v>
      </c>
    </row>
    <row r="31" spans="1:137">
      <c r="A31" s="90">
        <v>46120.666666666664</v>
      </c>
      <c r="C31" s="91">
        <f t="shared" ref="C31:E46" si="64">C9/C8-1</f>
        <v>2.130177514792897E-2</v>
      </c>
      <c r="E31" s="91">
        <f t="shared" si="64"/>
        <v>-3.456317148330057E-3</v>
      </c>
      <c r="G31" s="91">
        <f t="shared" ref="G31:G50" si="65">G9/G8-1</f>
        <v>8.0693203357703691E-2</v>
      </c>
      <c r="I31" s="91">
        <f t="shared" ref="I31:I50" si="66">I9/I8-1</f>
        <v>3.4990878046498475E-2</v>
      </c>
      <c r="K31" s="91">
        <f t="shared" si="0"/>
        <v>4.2022253429836898E-2</v>
      </c>
      <c r="M31" s="91">
        <f t="shared" si="1"/>
        <v>3.4837235865219807E-2</v>
      </c>
      <c r="O31" s="91">
        <f t="shared" si="2"/>
        <v>4.9884720184447673E-2</v>
      </c>
      <c r="Q31" s="91">
        <f t="shared" si="3"/>
        <v>4.6775810223855574E-2</v>
      </c>
      <c r="S31" s="91">
        <f t="shared" si="4"/>
        <v>6.6931085770946863E-2</v>
      </c>
      <c r="U31" s="91">
        <f t="shared" si="5"/>
        <v>-5.5694618272841057E-2</v>
      </c>
      <c r="W31" s="91">
        <f t="shared" si="2"/>
        <v>6.9306930693069368E-2</v>
      </c>
      <c r="Y31" s="91">
        <f t="shared" si="3"/>
        <v>3.7887485648679498E-2</v>
      </c>
      <c r="AA31" s="91">
        <f t="shared" si="8"/>
        <v>3.5498016287325074E-2</v>
      </c>
      <c r="AC31" s="91">
        <f t="shared" si="9"/>
        <v>2.1961567257299697E-2</v>
      </c>
      <c r="AE31" s="91">
        <f t="shared" si="2"/>
        <v>-7.5173839503852591E-3</v>
      </c>
      <c r="AG31" s="91">
        <f t="shared" si="3"/>
        <v>3.0474040632054278E-2</v>
      </c>
      <c r="AI31" s="91">
        <f t="shared" si="12"/>
        <v>6.9461916273778623E-3</v>
      </c>
      <c r="AK31" s="91">
        <f t="shared" si="13"/>
        <v>-4.9079754601227155E-2</v>
      </c>
      <c r="AM31" s="91">
        <f t="shared" si="2"/>
        <v>7.1689626089401104E-2</v>
      </c>
      <c r="AO31" s="91">
        <f t="shared" si="3"/>
        <v>3.8826687618673583E-2</v>
      </c>
      <c r="AQ31" s="91">
        <f t="shared" si="16"/>
        <v>4.8139790545622896E-2</v>
      </c>
      <c r="AS31" s="91">
        <f t="shared" si="17"/>
        <v>5.4553439784170488E-2</v>
      </c>
      <c r="AU31" s="91">
        <f t="shared" si="18"/>
        <v>3.1299353912419114E-2</v>
      </c>
      <c r="AW31" s="91">
        <f t="shared" si="19"/>
        <v>0.13744946710768091</v>
      </c>
      <c r="AY31" s="91">
        <f t="shared" si="20"/>
        <v>3.0498041410184529E-2</v>
      </c>
      <c r="BA31" s="91">
        <f t="shared" si="21"/>
        <v>6.7415730337078594E-2</v>
      </c>
      <c r="BC31" s="91">
        <f t="shared" si="18"/>
        <v>9.84002451731536E-2</v>
      </c>
      <c r="BE31" s="91">
        <f t="shared" si="19"/>
        <v>3.3773670853127102E-2</v>
      </c>
      <c r="BG31" s="91">
        <f t="shared" si="24"/>
        <v>2.9036515618125813E-2</v>
      </c>
      <c r="BI31" s="91">
        <f t="shared" si="25"/>
        <v>3.3293322382968116E-2</v>
      </c>
      <c r="BK31" s="91">
        <f t="shared" si="18"/>
        <v>2.9982363315696592E-2</v>
      </c>
      <c r="BM31" s="91">
        <f t="shared" si="19"/>
        <v>6.4985653421441691E-2</v>
      </c>
      <c r="BO31" s="91">
        <f t="shared" si="28"/>
        <v>9.480470231323368E-3</v>
      </c>
      <c r="BQ31" s="91">
        <f t="shared" si="29"/>
        <v>5.4795992371536872E-3</v>
      </c>
      <c r="BS31" s="91">
        <f t="shared" si="18"/>
        <v>-1.6189962223421839E-3</v>
      </c>
      <c r="BU31" s="91">
        <f t="shared" si="19"/>
        <v>7.7202182318978796E-2</v>
      </c>
      <c r="BW31" s="91">
        <f t="shared" si="32"/>
        <v>5.7680631451124675E-3</v>
      </c>
      <c r="BY31" s="91">
        <f t="shared" si="33"/>
        <v>1.030686343405951E-2</v>
      </c>
      <c r="CA31" s="91">
        <f t="shared" si="34"/>
        <v>-3.1851360318513655E-2</v>
      </c>
      <c r="CC31" s="91">
        <f t="shared" si="35"/>
        <v>2.234699606962387E-2</v>
      </c>
      <c r="CE31" s="91">
        <f t="shared" si="36"/>
        <v>1.8965050121918292E-2</v>
      </c>
      <c r="CG31" s="91">
        <f t="shared" si="37"/>
        <v>7.7699077055161991E-2</v>
      </c>
      <c r="CI31" s="91">
        <f t="shared" si="34"/>
        <v>-8.3945435466946661E-3</v>
      </c>
      <c r="CK31" s="91">
        <f t="shared" si="35"/>
        <v>3.4225047146749787E-3</v>
      </c>
      <c r="CM31" s="91">
        <f t="shared" si="40"/>
        <v>-5.0365427391166118E-2</v>
      </c>
      <c r="CO31" s="91">
        <f t="shared" si="41"/>
        <v>-5.1141552511415389E-2</v>
      </c>
      <c r="CQ31" s="91">
        <f t="shared" si="34"/>
        <v>3.9237986920670931E-2</v>
      </c>
      <c r="CS31" s="91">
        <f t="shared" si="35"/>
        <v>-6.203771573265815E-2</v>
      </c>
      <c r="CU31" s="91">
        <f t="shared" si="44"/>
        <v>4.3624161073825496E-2</v>
      </c>
      <c r="CW31" s="91">
        <f t="shared" si="45"/>
        <v>7.9470198675496651E-2</v>
      </c>
      <c r="CY31" s="91">
        <f t="shared" si="34"/>
        <v>3.0526315789473513E-2</v>
      </c>
      <c r="DA31" s="91">
        <f t="shared" si="35"/>
        <v>3.0633083730428945E-2</v>
      </c>
      <c r="DC31" s="91">
        <f t="shared" si="48"/>
        <v>4.161640530759958E-2</v>
      </c>
      <c r="DE31" s="91">
        <f t="shared" si="49"/>
        <v>3.0877812086457901E-2</v>
      </c>
      <c r="DG31" s="91">
        <f t="shared" si="50"/>
        <v>-1.4583333333333171E-2</v>
      </c>
      <c r="DI31" s="91">
        <f t="shared" si="51"/>
        <v>2.358783364369943E-2</v>
      </c>
      <c r="DK31" s="91">
        <f t="shared" si="52"/>
        <v>2.5469494250781155E-2</v>
      </c>
      <c r="DM31" s="91">
        <f t="shared" si="53"/>
        <v>-9.808163854031382E-3</v>
      </c>
      <c r="DO31" s="91">
        <f t="shared" si="50"/>
        <v>2.5912215758857604E-2</v>
      </c>
      <c r="DQ31" s="91">
        <f t="shared" si="51"/>
        <v>7.850823160488285E-2</v>
      </c>
      <c r="DS31" s="91">
        <f t="shared" si="56"/>
        <v>8.7330873308733015E-2</v>
      </c>
      <c r="DU31" s="91">
        <f t="shared" si="57"/>
        <v>9.0617593754356296E-3</v>
      </c>
      <c r="DW31" s="91">
        <f t="shared" si="50"/>
        <v>-2.2813688212927841E-2</v>
      </c>
      <c r="DY31" s="91">
        <f t="shared" si="51"/>
        <v>-9.776940903823883E-2</v>
      </c>
      <c r="EA31" s="91">
        <f t="shared" si="60"/>
        <v>5.3029636795356661E-2</v>
      </c>
      <c r="EC31" s="91">
        <f t="shared" si="61"/>
        <v>-9.6935584740462821E-2</v>
      </c>
      <c r="EE31" s="91">
        <f t="shared" si="50"/>
        <v>2.467343976777947E-2</v>
      </c>
      <c r="EG31" s="91">
        <f t="shared" si="51"/>
        <v>-9.4025232087596722E-3</v>
      </c>
    </row>
    <row r="32" spans="1:137">
      <c r="A32" s="90">
        <v>46121.666666666664</v>
      </c>
      <c r="C32" s="91">
        <f t="shared" si="64"/>
        <v>6.1413673232910693E-3</v>
      </c>
      <c r="E32" s="91">
        <f t="shared" si="64"/>
        <v>-3.9154235092557776E-2</v>
      </c>
      <c r="G32" s="91">
        <f t="shared" si="65"/>
        <v>-2.5056376847898409E-4</v>
      </c>
      <c r="I32" s="91">
        <f t="shared" si="66"/>
        <v>5.6045197740113073E-2</v>
      </c>
      <c r="K32" s="91">
        <f t="shared" si="0"/>
        <v>-5.0279908770474724E-2</v>
      </c>
      <c r="M32" s="91">
        <f t="shared" si="1"/>
        <v>0</v>
      </c>
      <c r="O32" s="91">
        <f t="shared" si="2"/>
        <v>1.2206599549382524E-2</v>
      </c>
      <c r="Q32" s="91">
        <f t="shared" si="3"/>
        <v>1.8831790616023136E-2</v>
      </c>
      <c r="S32" s="91">
        <f t="shared" si="4"/>
        <v>-2.0446096654275103E-2</v>
      </c>
      <c r="U32" s="91">
        <f t="shared" si="5"/>
        <v>-8.1842279655400918E-2</v>
      </c>
      <c r="W32" s="91">
        <f t="shared" si="2"/>
        <v>-9.2592592592593004E-3</v>
      </c>
      <c r="Y32" s="91">
        <f t="shared" si="3"/>
        <v>2.1017699115044364E-2</v>
      </c>
      <c r="AA32" s="91">
        <f t="shared" si="8"/>
        <v>6.1504335551523237E-3</v>
      </c>
      <c r="AC32" s="91">
        <f t="shared" si="9"/>
        <v>3.8437118437118389E-2</v>
      </c>
      <c r="AE32" s="91">
        <f t="shared" si="2"/>
        <v>-2.8593069494413981E-2</v>
      </c>
      <c r="AG32" s="91">
        <f t="shared" si="3"/>
        <v>1.1317999269806478E-2</v>
      </c>
      <c r="AI32" s="91">
        <f t="shared" si="12"/>
        <v>8.6364228914093122E-3</v>
      </c>
      <c r="AK32" s="91">
        <f t="shared" si="13"/>
        <v>-5.3101736972704705E-2</v>
      </c>
      <c r="AM32" s="91">
        <f t="shared" si="2"/>
        <v>-1.4428121720881371E-2</v>
      </c>
      <c r="AO32" s="91">
        <f t="shared" si="3"/>
        <v>3.6871297113325596E-3</v>
      </c>
      <c r="AQ32" s="91">
        <f t="shared" si="16"/>
        <v>-2.2412365443003068E-3</v>
      </c>
      <c r="AS32" s="91">
        <f t="shared" si="17"/>
        <v>1.0173726796763427E-2</v>
      </c>
      <c r="AU32" s="91">
        <f t="shared" si="18"/>
        <v>-2.3806209104830778E-2</v>
      </c>
      <c r="AW32" s="91">
        <f t="shared" si="19"/>
        <v>5.4927302100162834E-3</v>
      </c>
      <c r="AY32" s="91">
        <f t="shared" si="20"/>
        <v>6.2449090415424013E-3</v>
      </c>
      <c r="BA32" s="91">
        <f t="shared" si="21"/>
        <v>1.8181818181818299E-2</v>
      </c>
      <c r="BC32" s="91">
        <f t="shared" si="18"/>
        <v>-2.109327916787529E-3</v>
      </c>
      <c r="BE32" s="91">
        <f t="shared" si="19"/>
        <v>4.8155608712073361E-2</v>
      </c>
      <c r="BG32" s="91">
        <f t="shared" si="24"/>
        <v>-6.0709705002137682E-2</v>
      </c>
      <c r="BI32" s="91">
        <f t="shared" si="25"/>
        <v>6.1139642944474382E-4</v>
      </c>
      <c r="BK32" s="91">
        <f t="shared" si="18"/>
        <v>5.1369863013699391E-3</v>
      </c>
      <c r="BM32" s="91">
        <f t="shared" si="19"/>
        <v>2.6076875346984218E-2</v>
      </c>
      <c r="BO32" s="91">
        <f t="shared" si="28"/>
        <v>-5.0713749060856572E-2</v>
      </c>
      <c r="BQ32" s="91">
        <f t="shared" si="29"/>
        <v>-3.3660139449148696E-3</v>
      </c>
      <c r="BS32" s="91">
        <f t="shared" si="18"/>
        <v>5.4054054054053502E-4</v>
      </c>
      <c r="BU32" s="91">
        <f t="shared" si="19"/>
        <v>3.6338603004450132E-2</v>
      </c>
      <c r="BW32" s="91">
        <f t="shared" si="32"/>
        <v>2.6763255860750457E-2</v>
      </c>
      <c r="BY32" s="91">
        <f t="shared" si="33"/>
        <v>2.0171574310224871E-2</v>
      </c>
      <c r="CA32" s="91">
        <f t="shared" si="34"/>
        <v>3.5640849897189852E-2</v>
      </c>
      <c r="CC32" s="91">
        <f t="shared" si="35"/>
        <v>1.0050527240773155E-2</v>
      </c>
      <c r="CE32" s="91">
        <f t="shared" si="36"/>
        <v>-4.5200744482850608E-3</v>
      </c>
      <c r="CG32" s="91">
        <f t="shared" si="37"/>
        <v>-4.8994224258115948E-2</v>
      </c>
      <c r="CI32" s="91">
        <f t="shared" si="34"/>
        <v>-3.2804232804232725E-2</v>
      </c>
      <c r="CK32" s="91">
        <f t="shared" si="35"/>
        <v>-4.0373103160239343E-2</v>
      </c>
      <c r="CM32" s="91">
        <f t="shared" si="40"/>
        <v>-2.0746193742680274E-2</v>
      </c>
      <c r="CO32" s="91">
        <f t="shared" si="41"/>
        <v>-4.3310875842155983E-2</v>
      </c>
      <c r="CQ32" s="91">
        <f t="shared" si="34"/>
        <v>-6.3474692202462379E-2</v>
      </c>
      <c r="CS32" s="91">
        <f t="shared" si="35"/>
        <v>-7.2961068485364988E-2</v>
      </c>
      <c r="CU32" s="91">
        <f t="shared" si="44"/>
        <v>-2.2508038585209E-2</v>
      </c>
      <c r="CW32" s="91">
        <f t="shared" si="45"/>
        <v>-8.5122699386503076E-2</v>
      </c>
      <c r="CY32" s="91">
        <f t="shared" si="34"/>
        <v>1.2257405515832653E-2</v>
      </c>
      <c r="DA32" s="91">
        <f t="shared" si="35"/>
        <v>6.6050198150593431E-3</v>
      </c>
      <c r="DC32" s="91">
        <f t="shared" si="48"/>
        <v>-3.3873769542559384E-2</v>
      </c>
      <c r="DE32" s="91">
        <f t="shared" si="49"/>
        <v>-6.4184852374840062E-3</v>
      </c>
      <c r="DG32" s="91">
        <f t="shared" si="50"/>
        <v>4.6511627906976605E-2</v>
      </c>
      <c r="DI32" s="91">
        <f t="shared" si="51"/>
        <v>-1.3341419041843494E-2</v>
      </c>
      <c r="DK32" s="91">
        <f t="shared" si="52"/>
        <v>5.7691454268427034E-3</v>
      </c>
      <c r="DM32" s="91">
        <f t="shared" si="53"/>
        <v>6.9045884923524259E-3</v>
      </c>
      <c r="DO32" s="91">
        <f t="shared" si="50"/>
        <v>-4.9484536082474051E-2</v>
      </c>
      <c r="DQ32" s="91">
        <f t="shared" si="51"/>
        <v>1.4226375908618971E-2</v>
      </c>
      <c r="DS32" s="91">
        <f t="shared" si="56"/>
        <v>-7.9185520361991779E-3</v>
      </c>
      <c r="DU32" s="91">
        <f t="shared" si="57"/>
        <v>-7.8751036197843849E-3</v>
      </c>
      <c r="DW32" s="91">
        <f t="shared" si="50"/>
        <v>-3.424124513618676E-2</v>
      </c>
      <c r="DY32" s="91">
        <f t="shared" si="51"/>
        <v>1.9104190078664374E-2</v>
      </c>
      <c r="EA32" s="91">
        <f t="shared" si="60"/>
        <v>-3.9585769166527451E-2</v>
      </c>
      <c r="EC32" s="91">
        <f t="shared" si="61"/>
        <v>-0.10041551246537395</v>
      </c>
      <c r="EE32" s="91">
        <f t="shared" si="50"/>
        <v>5.6657223796034994E-3</v>
      </c>
      <c r="EG32" s="91">
        <f t="shared" si="51"/>
        <v>9.6119187792862437E-3</v>
      </c>
    </row>
    <row r="33" spans="1:137">
      <c r="A33" s="90">
        <v>46122.666666666664</v>
      </c>
      <c r="C33" s="91">
        <f t="shared" si="64"/>
        <v>-3.8389189604193241E-5</v>
      </c>
      <c r="E33" s="91">
        <f t="shared" si="64"/>
        <v>-1.9961729146733997E-2</v>
      </c>
      <c r="G33" s="91">
        <f t="shared" si="65"/>
        <v>-1.0025062656641603E-2</v>
      </c>
      <c r="I33" s="91">
        <f t="shared" si="66"/>
        <v>2.0243954632997996E-2</v>
      </c>
      <c r="K33" s="91">
        <f t="shared" si="0"/>
        <v>3.5913109922497632E-2</v>
      </c>
      <c r="M33" s="91">
        <f t="shared" si="1"/>
        <v>-1.2141280353201056E-2</v>
      </c>
      <c r="O33" s="91">
        <f t="shared" si="2"/>
        <v>4.688512580654236E-2</v>
      </c>
      <c r="Q33" s="91">
        <f t="shared" si="3"/>
        <v>-2.7412280701755165E-3</v>
      </c>
      <c r="S33" s="91">
        <f t="shared" si="4"/>
        <v>9.4876660341556285E-3</v>
      </c>
      <c r="U33" s="91">
        <f t="shared" si="5"/>
        <v>2.093107181522913E-2</v>
      </c>
      <c r="W33" s="91">
        <f t="shared" si="2"/>
        <v>-9.3457943925233655E-3</v>
      </c>
      <c r="Y33" s="91">
        <f t="shared" si="3"/>
        <v>-2.0585048754062973E-2</v>
      </c>
      <c r="AA33" s="91">
        <f t="shared" si="8"/>
        <v>-6.2130473995390956E-3</v>
      </c>
      <c r="AC33" s="91">
        <f t="shared" si="9"/>
        <v>-7.5251622613115021E-4</v>
      </c>
      <c r="AE33" s="91">
        <f t="shared" si="2"/>
        <v>-2.9727095516569157E-2</v>
      </c>
      <c r="AG33" s="91">
        <f t="shared" si="3"/>
        <v>-1.2996389891696714E-2</v>
      </c>
      <c r="AI33" s="91">
        <f t="shared" si="12"/>
        <v>-3.4788415349984447E-3</v>
      </c>
      <c r="AK33" s="91">
        <f t="shared" si="13"/>
        <v>-4.8218029350104774E-2</v>
      </c>
      <c r="AM33" s="91">
        <f t="shared" si="2"/>
        <v>-7.9850944902848386E-4</v>
      </c>
      <c r="AO33" s="91">
        <f t="shared" si="3"/>
        <v>-3.9247700084774628E-3</v>
      </c>
      <c r="AQ33" s="91">
        <f t="shared" si="16"/>
        <v>4.5146726862301811E-3</v>
      </c>
      <c r="AS33" s="91">
        <f t="shared" si="17"/>
        <v>-6.5963837681842774E-3</v>
      </c>
      <c r="AU33" s="91">
        <f t="shared" si="18"/>
        <v>-1.3262977752424465E-2</v>
      </c>
      <c r="AW33" s="91">
        <f t="shared" si="19"/>
        <v>2.4742930591259649E-2</v>
      </c>
      <c r="AY33" s="91">
        <f t="shared" si="20"/>
        <v>6.0982191041554223E-2</v>
      </c>
      <c r="BA33" s="91">
        <f t="shared" si="21"/>
        <v>2.2556390977443552E-2</v>
      </c>
      <c r="BC33" s="91">
        <f t="shared" si="18"/>
        <v>3.5453457550915779E-3</v>
      </c>
      <c r="BE33" s="91">
        <f t="shared" si="19"/>
        <v>-1.5914960062458627E-2</v>
      </c>
      <c r="BG33" s="91">
        <f t="shared" si="24"/>
        <v>7.282658170232148E-2</v>
      </c>
      <c r="BI33" s="91">
        <f t="shared" si="25"/>
        <v>-1.8758401564218485E-2</v>
      </c>
      <c r="BK33" s="91">
        <f t="shared" si="18"/>
        <v>-8.8586030664395299E-2</v>
      </c>
      <c r="BM33" s="91">
        <f t="shared" si="19"/>
        <v>2.3393115740224513E-3</v>
      </c>
      <c r="BO33" s="91">
        <f t="shared" si="28"/>
        <v>-2.0182034032449447E-2</v>
      </c>
      <c r="BQ33" s="91">
        <f t="shared" si="29"/>
        <v>-5.8970166456696615E-3</v>
      </c>
      <c r="BS33" s="91">
        <f t="shared" si="18"/>
        <v>-1.3120321061974138E-2</v>
      </c>
      <c r="BU33" s="91">
        <f t="shared" si="19"/>
        <v>-2.1826291191193725E-3</v>
      </c>
      <c r="BW33" s="91">
        <f t="shared" si="32"/>
        <v>9.407153356198128E-3</v>
      </c>
      <c r="BY33" s="91">
        <f t="shared" si="33"/>
        <v>-3.1363636363636371E-2</v>
      </c>
      <c r="CA33" s="91">
        <f t="shared" si="34"/>
        <v>1.1250827266710672E-2</v>
      </c>
      <c r="CC33" s="91">
        <f t="shared" si="35"/>
        <v>2.5664727312272317E-2</v>
      </c>
      <c r="CE33" s="91">
        <f t="shared" si="36"/>
        <v>2.1367521367523512E-3</v>
      </c>
      <c r="CG33" s="91">
        <f t="shared" si="37"/>
        <v>5.2356020942408321E-2</v>
      </c>
      <c r="CI33" s="91">
        <f t="shared" si="34"/>
        <v>-1.094091903719896E-3</v>
      </c>
      <c r="CK33" s="91">
        <f t="shared" si="35"/>
        <v>1.6683592049904217E-3</v>
      </c>
      <c r="CM33" s="91">
        <f t="shared" si="40"/>
        <v>-9.5677430377584249E-3</v>
      </c>
      <c r="CO33" s="91">
        <f t="shared" si="41"/>
        <v>-5.6338028169014009E-2</v>
      </c>
      <c r="CQ33" s="91">
        <f t="shared" si="34"/>
        <v>1.2854221443178604E-2</v>
      </c>
      <c r="CS33" s="91">
        <f t="shared" si="35"/>
        <v>-1.8622116637290298E-2</v>
      </c>
      <c r="CU33" s="91">
        <f t="shared" si="44"/>
        <v>0.15789473684210531</v>
      </c>
      <c r="CW33" s="91">
        <f t="shared" si="45"/>
        <v>3.6881810561609329E-2</v>
      </c>
      <c r="CY33" s="91">
        <f t="shared" si="34"/>
        <v>3.0272452068615952E-3</v>
      </c>
      <c r="DA33" s="91">
        <f t="shared" si="35"/>
        <v>1.2467191601049921E-2</v>
      </c>
      <c r="DC33" s="91">
        <f t="shared" si="48"/>
        <v>1.9628408750374637E-2</v>
      </c>
      <c r="DE33" s="91">
        <f t="shared" si="49"/>
        <v>8.7855297157622969E-2</v>
      </c>
      <c r="DG33" s="91">
        <f t="shared" si="50"/>
        <v>-2.626262626262621E-2</v>
      </c>
      <c r="DI33" s="91">
        <f t="shared" si="51"/>
        <v>-3.0731407498464369E-3</v>
      </c>
      <c r="DK33" s="91">
        <f t="shared" si="52"/>
        <v>-6.618523039813029E-4</v>
      </c>
      <c r="DM33" s="91">
        <f t="shared" si="53"/>
        <v>9.6348590938024614E-3</v>
      </c>
      <c r="DO33" s="91">
        <f t="shared" si="50"/>
        <v>-2.8199566160520551E-2</v>
      </c>
      <c r="DQ33" s="91">
        <f t="shared" si="51"/>
        <v>-1.3002969181939106E-2</v>
      </c>
      <c r="DS33" s="91">
        <f t="shared" si="56"/>
        <v>-4.6750285062713837E-2</v>
      </c>
      <c r="DU33" s="91">
        <f t="shared" si="57"/>
        <v>-1.8521097340203241E-2</v>
      </c>
      <c r="DW33" s="91">
        <f t="shared" si="50"/>
        <v>0.10394842868654308</v>
      </c>
      <c r="DY33" s="91">
        <f t="shared" si="51"/>
        <v>-1.6855702583490895E-2</v>
      </c>
      <c r="EA33" s="91">
        <f t="shared" si="60"/>
        <v>-1.7478260869565276E-2</v>
      </c>
      <c r="EC33" s="91">
        <f t="shared" si="61"/>
        <v>-1.5396458814472824E-3</v>
      </c>
      <c r="EE33" s="91">
        <f t="shared" si="50"/>
        <v>-2.9577464788732355E-2</v>
      </c>
      <c r="EG33" s="91">
        <f t="shared" si="51"/>
        <v>-5.7003451148399442E-2</v>
      </c>
    </row>
    <row r="34" spans="1:137">
      <c r="A34" s="90">
        <v>46125.666666666664</v>
      </c>
      <c r="C34" s="91">
        <f t="shared" si="64"/>
        <v>-4.9140049140050657E-3</v>
      </c>
      <c r="E34" s="91">
        <f t="shared" si="64"/>
        <v>6.54981140448192E-2</v>
      </c>
      <c r="G34" s="91">
        <f t="shared" si="65"/>
        <v>1.1898734177215209E-2</v>
      </c>
      <c r="I34" s="91">
        <f t="shared" si="66"/>
        <v>6.3344240288614184E-3</v>
      </c>
      <c r="K34" s="91">
        <f t="shared" si="0"/>
        <v>4.2887249736564659E-2</v>
      </c>
      <c r="M34" s="91">
        <f t="shared" si="1"/>
        <v>-2.7932960893852776E-3</v>
      </c>
      <c r="O34" s="91">
        <f t="shared" si="2"/>
        <v>2.2069707980083342E-2</v>
      </c>
      <c r="Q34" s="91">
        <f t="shared" si="3"/>
        <v>5.3404539385846217E-3</v>
      </c>
      <c r="S34" s="91">
        <f t="shared" si="4"/>
        <v>1.0808270676691656E-2</v>
      </c>
      <c r="U34" s="91">
        <f t="shared" si="5"/>
        <v>6.7161541180629225E-3</v>
      </c>
      <c r="W34" s="91">
        <f t="shared" si="2"/>
        <v>1.8867924528301883E-2</v>
      </c>
      <c r="Y34" s="91">
        <f t="shared" si="3"/>
        <v>3.3185840707964598E-2</v>
      </c>
      <c r="AA34" s="91">
        <f t="shared" si="8"/>
        <v>2.0268226278108425E-2</v>
      </c>
      <c r="AC34" s="91">
        <f t="shared" si="9"/>
        <v>-8.8957921491105152E-3</v>
      </c>
      <c r="AE34" s="91">
        <f t="shared" si="2"/>
        <v>2.5916624811652467E-2</v>
      </c>
      <c r="AG34" s="91">
        <f t="shared" si="3"/>
        <v>9.8756400877835215E-3</v>
      </c>
      <c r="AI34" s="91">
        <f t="shared" si="12"/>
        <v>1.060265444641395E-2</v>
      </c>
      <c r="AK34" s="91">
        <f t="shared" si="13"/>
        <v>5.6167400881057317E-2</v>
      </c>
      <c r="AM34" s="91">
        <f t="shared" si="2"/>
        <v>3.3564198188598793E-2</v>
      </c>
      <c r="AO34" s="91">
        <f t="shared" si="3"/>
        <v>1.2829403606102519E-2</v>
      </c>
      <c r="AQ34" s="91">
        <f t="shared" si="16"/>
        <v>-1.8737607402511514E-2</v>
      </c>
      <c r="AS34" s="91">
        <f t="shared" si="17"/>
        <v>1.1323886879706091E-2</v>
      </c>
      <c r="AU34" s="91">
        <f t="shared" si="18"/>
        <v>3.5843329960977055E-2</v>
      </c>
      <c r="AW34" s="91">
        <f t="shared" si="19"/>
        <v>4.7663844465349436E-2</v>
      </c>
      <c r="AY34" s="91">
        <f t="shared" si="20"/>
        <v>9.5371312309257439E-2</v>
      </c>
      <c r="BA34" s="91">
        <f t="shared" si="21"/>
        <v>1.746323529411753E-2</v>
      </c>
      <c r="BC34" s="91">
        <f t="shared" si="18"/>
        <v>-2.910955087484679E-2</v>
      </c>
      <c r="BE34" s="91">
        <f t="shared" si="19"/>
        <v>-7.9336018552423893E-3</v>
      </c>
      <c r="BG34" s="91">
        <f t="shared" si="24"/>
        <v>3.5638523546881684E-2</v>
      </c>
      <c r="BI34" s="91">
        <f t="shared" si="25"/>
        <v>3.1944703904352778E-2</v>
      </c>
      <c r="BK34" s="91">
        <f t="shared" si="18"/>
        <v>0.14205607476635529</v>
      </c>
      <c r="BM34" s="91">
        <f t="shared" si="19"/>
        <v>7.4143460451527865E-3</v>
      </c>
      <c r="BO34" s="91">
        <f t="shared" si="28"/>
        <v>-8.8852988691439094E-3</v>
      </c>
      <c r="BQ34" s="91">
        <f t="shared" si="29"/>
        <v>3.6400895192385541E-2</v>
      </c>
      <c r="BS34" s="91">
        <f t="shared" si="18"/>
        <v>1.8065222491593147E-2</v>
      </c>
      <c r="BU34" s="91">
        <f t="shared" si="19"/>
        <v>1.4194346037708971E-2</v>
      </c>
      <c r="BW34" s="91">
        <f t="shared" si="32"/>
        <v>1.4561693039509827E-3</v>
      </c>
      <c r="BY34" s="91">
        <f t="shared" si="33"/>
        <v>6.8043172219613979E-3</v>
      </c>
      <c r="CA34" s="91">
        <f t="shared" si="34"/>
        <v>1.8979057591623105E-2</v>
      </c>
      <c r="CC34" s="91">
        <f t="shared" si="35"/>
        <v>3.6049408895721946E-3</v>
      </c>
      <c r="CE34" s="91">
        <f t="shared" si="36"/>
        <v>1.226012793176956E-2</v>
      </c>
      <c r="CG34" s="91">
        <f t="shared" si="37"/>
        <v>7.3432835820895548E-2</v>
      </c>
      <c r="CI34" s="91">
        <f t="shared" si="34"/>
        <v>3.7239868565169809E-2</v>
      </c>
      <c r="CK34" s="91">
        <f t="shared" si="35"/>
        <v>0.12694619451082634</v>
      </c>
      <c r="CM34" s="91">
        <f t="shared" si="40"/>
        <v>1.5525271692256037E-3</v>
      </c>
      <c r="CO34" s="91">
        <f t="shared" si="41"/>
        <v>7.8891257995735486E-2</v>
      </c>
      <c r="CQ34" s="91">
        <f t="shared" si="34"/>
        <v>-1.009518315546587E-2</v>
      </c>
      <c r="CS34" s="91">
        <f t="shared" si="35"/>
        <v>3.3656098703732651E-2</v>
      </c>
      <c r="CU34" s="91">
        <f t="shared" si="44"/>
        <v>3.6931818181818121E-2</v>
      </c>
      <c r="CW34" s="91">
        <f t="shared" si="45"/>
        <v>4.284559417946654E-2</v>
      </c>
      <c r="CY34" s="91">
        <f t="shared" si="34"/>
        <v>1.5090543259557387E-2</v>
      </c>
      <c r="DA34" s="91">
        <f t="shared" si="35"/>
        <v>3.0460142579390892E-2</v>
      </c>
      <c r="DC34" s="91">
        <f t="shared" si="48"/>
        <v>3.7766348273328587E-2</v>
      </c>
      <c r="DE34" s="91">
        <f t="shared" si="49"/>
        <v>2.8107680126682411E-2</v>
      </c>
      <c r="DG34" s="91">
        <f t="shared" si="50"/>
        <v>6.846473029045641E-2</v>
      </c>
      <c r="DI34" s="91">
        <f t="shared" si="51"/>
        <v>5.117139334155385E-2</v>
      </c>
      <c r="DK34" s="91">
        <f t="shared" si="52"/>
        <v>9.7724663703528947E-3</v>
      </c>
      <c r="DM34" s="91">
        <f t="shared" si="53"/>
        <v>9.944118068491159E-3</v>
      </c>
      <c r="DO34" s="91">
        <f t="shared" si="50"/>
        <v>2.2879464285714191E-2</v>
      </c>
      <c r="DQ34" s="91">
        <f t="shared" si="51"/>
        <v>-1.2448132780083054E-2</v>
      </c>
      <c r="DS34" s="91">
        <f t="shared" si="56"/>
        <v>0.11124401913875603</v>
      </c>
      <c r="DU34" s="91">
        <f t="shared" si="57"/>
        <v>2.6390465380249806E-2</v>
      </c>
      <c r="DW34" s="91">
        <f t="shared" si="50"/>
        <v>2.1897810218978186E-2</v>
      </c>
      <c r="DY34" s="91">
        <f t="shared" si="51"/>
        <v>2.9242108636436503E-2</v>
      </c>
      <c r="EA34" s="91">
        <f t="shared" si="60"/>
        <v>9.3813611824056231E-3</v>
      </c>
      <c r="EC34" s="91">
        <f t="shared" si="61"/>
        <v>-1.6962220508866643E-2</v>
      </c>
      <c r="EE34" s="91">
        <f t="shared" si="50"/>
        <v>-2.7576197387518042E-2</v>
      </c>
      <c r="EG34" s="91">
        <f t="shared" si="51"/>
        <v>4.4926804644119134E-2</v>
      </c>
    </row>
    <row r="35" spans="1:137">
      <c r="A35" s="90">
        <v>46126.666666666664</v>
      </c>
      <c r="C35" s="91">
        <f t="shared" si="64"/>
        <v>-1.4274691358024949E-3</v>
      </c>
      <c r="E35" s="91">
        <f t="shared" si="64"/>
        <v>-1.8283286826871081E-2</v>
      </c>
      <c r="G35" s="91">
        <f t="shared" si="65"/>
        <v>6.6299724793595249E-2</v>
      </c>
      <c r="I35" s="91">
        <f t="shared" si="66"/>
        <v>3.8059110425611831E-2</v>
      </c>
      <c r="K35" s="91">
        <f t="shared" si="0"/>
        <v>-0.10508234818631912</v>
      </c>
      <c r="M35" s="91">
        <f t="shared" si="1"/>
        <v>1.5686274509803866E-2</v>
      </c>
      <c r="O35" s="91">
        <f t="shared" si="2"/>
        <v>2.7123107307438499E-3</v>
      </c>
      <c r="Q35" s="91">
        <f t="shared" si="3"/>
        <v>2.609171158503254E-2</v>
      </c>
      <c r="S35" s="91">
        <f t="shared" si="4"/>
        <v>-1.3947001394700731E-3</v>
      </c>
      <c r="U35" s="91">
        <f t="shared" si="5"/>
        <v>-2.7738764044943798E-2</v>
      </c>
      <c r="W35" s="91">
        <f t="shared" si="2"/>
        <v>2.7777777777777901E-2</v>
      </c>
      <c r="Y35" s="91">
        <f t="shared" si="3"/>
        <v>1.1777301927194728E-2</v>
      </c>
      <c r="AA35" s="91">
        <f t="shared" si="8"/>
        <v>1.393556038742827E-2</v>
      </c>
      <c r="AC35" s="91">
        <f t="shared" si="9"/>
        <v>2.6926912665621971E-2</v>
      </c>
      <c r="AE35" s="91">
        <f t="shared" si="2"/>
        <v>-1.4295505727993651E-2</v>
      </c>
      <c r="AG35" s="91">
        <f t="shared" si="3"/>
        <v>-1.5574067366896038E-2</v>
      </c>
      <c r="AI35" s="91">
        <f t="shared" si="12"/>
        <v>-1.5250521362493941E-2</v>
      </c>
      <c r="AK35" s="91">
        <f t="shared" si="13"/>
        <v>-3.9624608967674613E-2</v>
      </c>
      <c r="AM35" s="91">
        <f t="shared" si="2"/>
        <v>-5.6443298969072075E-2</v>
      </c>
      <c r="AO35" s="91">
        <f t="shared" si="3"/>
        <v>3.6102206591765107E-2</v>
      </c>
      <c r="AQ35" s="91">
        <f t="shared" si="16"/>
        <v>2.1149765938099918E-2</v>
      </c>
      <c r="AS35" s="91">
        <f t="shared" si="17"/>
        <v>4.5433227810995902E-3</v>
      </c>
      <c r="AU35" s="91">
        <f t="shared" si="18"/>
        <v>0.1035300683689131</v>
      </c>
      <c r="AW35" s="91">
        <f t="shared" si="19"/>
        <v>4.1903621670158486E-3</v>
      </c>
      <c r="AY35" s="91">
        <f t="shared" si="20"/>
        <v>9.9837473879730521E-2</v>
      </c>
      <c r="BA35" s="91">
        <f t="shared" si="21"/>
        <v>1.8066847335138636E-3</v>
      </c>
      <c r="BC35" s="91">
        <f t="shared" si="18"/>
        <v>-2.1109300029844569E-2</v>
      </c>
      <c r="BE35" s="91">
        <f t="shared" si="19"/>
        <v>-1.2057086614173262E-2</v>
      </c>
      <c r="BG35" s="91">
        <f t="shared" si="24"/>
        <v>-3.0315444489963039E-2</v>
      </c>
      <c r="BI35" s="91">
        <f t="shared" si="25"/>
        <v>3.3791938209026817E-3</v>
      </c>
      <c r="BK35" s="91">
        <f t="shared" si="18"/>
        <v>9.8199672667757643E-2</v>
      </c>
      <c r="BM35" s="91">
        <f t="shared" si="19"/>
        <v>4.4064110443950755E-2</v>
      </c>
      <c r="BO35" s="91">
        <f t="shared" si="28"/>
        <v>-2.4449877750611138E-2</v>
      </c>
      <c r="BQ35" s="91">
        <f t="shared" si="29"/>
        <v>2.2738507167572974E-2</v>
      </c>
      <c r="BS35" s="91">
        <f t="shared" si="18"/>
        <v>-8.1425718236288747E-3</v>
      </c>
      <c r="BU35" s="91">
        <f t="shared" si="19"/>
        <v>9.1663540885221328E-2</v>
      </c>
      <c r="BW35" s="91">
        <f t="shared" si="32"/>
        <v>3.0244280728964679E-2</v>
      </c>
      <c r="BY35" s="91">
        <f t="shared" si="33"/>
        <v>3.0062922395712066E-2</v>
      </c>
      <c r="CA35" s="91">
        <f t="shared" si="34"/>
        <v>3.5324341682723137E-2</v>
      </c>
      <c r="CC35" s="91">
        <f t="shared" si="35"/>
        <v>3.8032856161850814E-2</v>
      </c>
      <c r="CE35" s="91">
        <f t="shared" si="36"/>
        <v>3.5281727224855342E-2</v>
      </c>
      <c r="CG35" s="91">
        <f t="shared" si="37"/>
        <v>8.602150537634401E-2</v>
      </c>
      <c r="CI35" s="91">
        <f t="shared" si="34"/>
        <v>-7.3917634635691787E-3</v>
      </c>
      <c r="CK35" s="91">
        <f t="shared" si="35"/>
        <v>4.7423210384269332E-2</v>
      </c>
      <c r="CM35" s="91">
        <f t="shared" si="40"/>
        <v>-4.6159145711333061E-2</v>
      </c>
      <c r="CO35" s="91">
        <f t="shared" si="41"/>
        <v>-9.8814229249011287E-3</v>
      </c>
      <c r="CQ35" s="91">
        <f t="shared" si="34"/>
        <v>-1.1363636363636354E-2</v>
      </c>
      <c r="CS35" s="91">
        <f t="shared" si="35"/>
        <v>2.5156757573468136E-2</v>
      </c>
      <c r="CU35" s="91">
        <f t="shared" si="44"/>
        <v>-8.0821917808219124E-2</v>
      </c>
      <c r="CW35" s="91">
        <f t="shared" si="45"/>
        <v>-2.0155038759689936E-2</v>
      </c>
      <c r="CY35" s="91">
        <f t="shared" si="34"/>
        <v>2.9732408325073845E-3</v>
      </c>
      <c r="DA35" s="91">
        <f t="shared" si="35"/>
        <v>5.6603773584904538E-3</v>
      </c>
      <c r="DC35" s="91">
        <f t="shared" si="48"/>
        <v>2.2656471254602017E-2</v>
      </c>
      <c r="DE35" s="91">
        <f t="shared" si="49"/>
        <v>4.7362341162880295E-2</v>
      </c>
      <c r="DG35" s="91">
        <f t="shared" si="50"/>
        <v>8.737864077669899E-2</v>
      </c>
      <c r="DI35" s="91">
        <f t="shared" si="51"/>
        <v>5.043988269794708E-2</v>
      </c>
      <c r="DK35" s="91">
        <f t="shared" si="52"/>
        <v>1.2184812709517656E-2</v>
      </c>
      <c r="DM35" s="91">
        <f t="shared" si="53"/>
        <v>3.3426025764712541E-2</v>
      </c>
      <c r="DO35" s="91">
        <f t="shared" si="50"/>
        <v>-1.4184397163120477E-2</v>
      </c>
      <c r="DQ35" s="91">
        <f t="shared" si="51"/>
        <v>2.1008403361344463E-2</v>
      </c>
      <c r="DS35" s="91">
        <f t="shared" si="56"/>
        <v>8.6114101184069369E-3</v>
      </c>
      <c r="DU35" s="91">
        <f t="shared" si="57"/>
        <v>7.8794581144594478E-3</v>
      </c>
      <c r="DW35" s="91">
        <f t="shared" si="50"/>
        <v>-7.1428571428566734E-4</v>
      </c>
      <c r="DY35" s="91">
        <f t="shared" si="51"/>
        <v>-3.5961703121351274E-2</v>
      </c>
      <c r="EA35" s="91">
        <f t="shared" si="60"/>
        <v>-0.15817623849188944</v>
      </c>
      <c r="EC35" s="91">
        <f t="shared" si="61"/>
        <v>-1.8823529411764683E-2</v>
      </c>
      <c r="EE35" s="91">
        <f t="shared" si="50"/>
        <v>1.1940298507462588E-2</v>
      </c>
      <c r="EG35" s="91">
        <f t="shared" si="51"/>
        <v>-4.8309178743960457E-3</v>
      </c>
    </row>
    <row r="36" spans="1:137">
      <c r="A36" s="90">
        <v>46127.666666666664</v>
      </c>
      <c r="C36" s="91">
        <f t="shared" si="64"/>
        <v>2.9362902291079074E-2</v>
      </c>
      <c r="E36" s="91">
        <f t="shared" si="64"/>
        <v>3.7926353300526072E-2</v>
      </c>
      <c r="G36" s="91">
        <f t="shared" si="65"/>
        <v>-1.8770530267480101E-3</v>
      </c>
      <c r="I36" s="91">
        <f t="shared" si="66"/>
        <v>-2.0881856878965932E-3</v>
      </c>
      <c r="K36" s="91">
        <f t="shared" si="0"/>
        <v>-1.8742237778028636E-2</v>
      </c>
      <c r="M36" s="91">
        <f t="shared" si="1"/>
        <v>1.2134583563155221E-2</v>
      </c>
      <c r="O36" s="91">
        <f t="shared" si="2"/>
        <v>4.1861442302641994E-2</v>
      </c>
      <c r="Q36" s="91">
        <f t="shared" si="3"/>
        <v>1.4693566806242897E-2</v>
      </c>
      <c r="S36" s="91">
        <f t="shared" si="4"/>
        <v>4.0037243947858459E-2</v>
      </c>
      <c r="U36" s="91">
        <f t="shared" si="5"/>
        <v>1.2278801011195384E-2</v>
      </c>
      <c r="W36" s="91">
        <f t="shared" si="2"/>
        <v>-3.6036036036036112E-2</v>
      </c>
      <c r="Y36" s="91">
        <f t="shared" si="3"/>
        <v>2.2222222222222365E-2</v>
      </c>
      <c r="AA36" s="91">
        <f t="shared" si="8"/>
        <v>4.3863924359099915E-3</v>
      </c>
      <c r="AC36" s="91">
        <f t="shared" si="9"/>
        <v>3.4221235664075866E-3</v>
      </c>
      <c r="AE36" s="91">
        <f t="shared" si="2"/>
        <v>6.5560743021753076E-3</v>
      </c>
      <c r="AG36" s="91">
        <f t="shared" si="3"/>
        <v>-1.5820456217807255E-2</v>
      </c>
      <c r="AI36" s="91">
        <f t="shared" si="12"/>
        <v>-2.3664462038032519E-2</v>
      </c>
      <c r="AK36" s="91">
        <f t="shared" si="13"/>
        <v>0.10423452768729624</v>
      </c>
      <c r="AM36" s="91">
        <f t="shared" si="2"/>
        <v>2.7588090685604971E-2</v>
      </c>
      <c r="AO36" s="91">
        <f t="shared" si="3"/>
        <v>1.2646060496830813E-2</v>
      </c>
      <c r="AQ36" s="91">
        <f t="shared" si="16"/>
        <v>-1.1147389597968349E-2</v>
      </c>
      <c r="AS36" s="91">
        <f t="shared" si="17"/>
        <v>-1.1088091972804914E-2</v>
      </c>
      <c r="AU36" s="91">
        <f t="shared" si="18"/>
        <v>0.10405866734100377</v>
      </c>
      <c r="AW36" s="91">
        <f t="shared" si="19"/>
        <v>5.0670640834575842E-3</v>
      </c>
      <c r="AY36" s="91">
        <f t="shared" si="20"/>
        <v>3.0610090774751963E-2</v>
      </c>
      <c r="BA36" s="91">
        <f t="shared" si="21"/>
        <v>-3.8773669972948621E-2</v>
      </c>
      <c r="BC36" s="91">
        <f t="shared" si="18"/>
        <v>-3.374805051653984E-2</v>
      </c>
      <c r="BE36" s="91">
        <f t="shared" si="19"/>
        <v>1.3325031133250453E-2</v>
      </c>
      <c r="BG36" s="91">
        <f t="shared" si="24"/>
        <v>8.8719898605829073E-3</v>
      </c>
      <c r="BI36" s="91">
        <f t="shared" si="25"/>
        <v>-6.2905941784941133E-2</v>
      </c>
      <c r="BK36" s="91">
        <f t="shared" si="18"/>
        <v>0.1743666169895679</v>
      </c>
      <c r="BM36" s="91">
        <f t="shared" si="19"/>
        <v>1.3720961825838929E-2</v>
      </c>
      <c r="BO36" s="91">
        <f t="shared" si="28"/>
        <v>-8.7719298245614308E-3</v>
      </c>
      <c r="BQ36" s="91">
        <f t="shared" si="29"/>
        <v>4.6068530436773392E-2</v>
      </c>
      <c r="BS36" s="91">
        <f t="shared" si="18"/>
        <v>-6.8928128872367544E-3</v>
      </c>
      <c r="BU36" s="91">
        <f t="shared" si="19"/>
        <v>-2.0250826783490106E-2</v>
      </c>
      <c r="BW36" s="91">
        <f t="shared" si="32"/>
        <v>1.3455024463680854E-2</v>
      </c>
      <c r="BY36" s="91">
        <f t="shared" si="33"/>
        <v>2.8054298642533837E-2</v>
      </c>
      <c r="CA36" s="91">
        <f t="shared" si="34"/>
        <v>5.2729528535980119E-2</v>
      </c>
      <c r="CC36" s="91">
        <f t="shared" si="35"/>
        <v>1.2009566943158134E-2</v>
      </c>
      <c r="CE36" s="91">
        <f t="shared" si="36"/>
        <v>3.7894201424211627E-2</v>
      </c>
      <c r="CG36" s="91">
        <f t="shared" si="37"/>
        <v>8.1427108228064204E-2</v>
      </c>
      <c r="CI36" s="91">
        <f t="shared" si="34"/>
        <v>6.7021276595744528E-2</v>
      </c>
      <c r="CK36" s="91">
        <f t="shared" si="35"/>
        <v>4.1779141104294482E-2</v>
      </c>
      <c r="CM36" s="91">
        <f t="shared" si="40"/>
        <v>8.1256771397615335E-3</v>
      </c>
      <c r="CO36" s="91">
        <f t="shared" si="41"/>
        <v>5.8882235528942006E-2</v>
      </c>
      <c r="CQ36" s="91">
        <f t="shared" si="34"/>
        <v>1.4146772767462235E-2</v>
      </c>
      <c r="CS36" s="91">
        <f t="shared" si="35"/>
        <v>4.7531319086219659E-2</v>
      </c>
      <c r="CU36" s="91">
        <f t="shared" si="44"/>
        <v>3.8748137108792768E-2</v>
      </c>
      <c r="CW36" s="91">
        <f t="shared" si="45"/>
        <v>3.0854430379746667E-2</v>
      </c>
      <c r="CY36" s="91">
        <f t="shared" si="34"/>
        <v>5.9288537549406772E-3</v>
      </c>
      <c r="DA36" s="91">
        <f t="shared" si="35"/>
        <v>2.6266416510319024E-2</v>
      </c>
      <c r="DC36" s="91">
        <f t="shared" si="48"/>
        <v>1.9108280254777066E-2</v>
      </c>
      <c r="DE36" s="91">
        <f t="shared" si="49"/>
        <v>3.308823529411864E-3</v>
      </c>
      <c r="DG36" s="91">
        <f t="shared" si="50"/>
        <v>7.8571428571428736E-2</v>
      </c>
      <c r="DI36" s="91">
        <f t="shared" si="51"/>
        <v>4.9134561697375734E-2</v>
      </c>
      <c r="DK36" s="91">
        <f t="shared" si="52"/>
        <v>7.8910232410793757E-3</v>
      </c>
      <c r="DM36" s="91">
        <f t="shared" si="53"/>
        <v>7.6194398682042808E-2</v>
      </c>
      <c r="DO36" s="91">
        <f t="shared" si="50"/>
        <v>2.3242944106253383E-2</v>
      </c>
      <c r="DQ36" s="91">
        <f t="shared" si="51"/>
        <v>-3.0144032921810782E-2</v>
      </c>
      <c r="DS36" s="91">
        <f t="shared" si="56"/>
        <v>0.14194236926360726</v>
      </c>
      <c r="DU36" s="91">
        <f t="shared" si="57"/>
        <v>5.9936908517350229E-2</v>
      </c>
      <c r="DW36" s="91">
        <f t="shared" si="50"/>
        <v>0.10221586847748387</v>
      </c>
      <c r="DY36" s="91">
        <f t="shared" si="51"/>
        <v>-1.0173597093257936E-2</v>
      </c>
      <c r="EA36" s="91">
        <f t="shared" si="60"/>
        <v>-4.7078429330278171E-2</v>
      </c>
      <c r="EC36" s="91">
        <f t="shared" si="61"/>
        <v>-2.6378896882494063E-2</v>
      </c>
      <c r="EE36" s="91">
        <f t="shared" si="50"/>
        <v>1.7699115044247815E-2</v>
      </c>
      <c r="EG36" s="91">
        <f t="shared" si="51"/>
        <v>8.0461165048543615E-2</v>
      </c>
    </row>
    <row r="37" spans="1:137">
      <c r="A37" s="90">
        <v>46128.666666666664</v>
      </c>
      <c r="C37" s="91">
        <f t="shared" si="64"/>
        <v>-1.1372593176444235E-2</v>
      </c>
      <c r="E37" s="91">
        <f t="shared" si="64"/>
        <v>1.4305566909180056E-2</v>
      </c>
      <c r="G37" s="91">
        <f t="shared" si="65"/>
        <v>-3.2675129290079985E-2</v>
      </c>
      <c r="I37" s="91">
        <f t="shared" si="66"/>
        <v>4.8289738430582485E-3</v>
      </c>
      <c r="K37" s="91">
        <f t="shared" si="0"/>
        <v>4.6369807847198352E-2</v>
      </c>
      <c r="M37" s="91">
        <f t="shared" si="1"/>
        <v>1.9073569482288777E-2</v>
      </c>
      <c r="O37" s="91">
        <f t="shared" si="2"/>
        <v>4.4111716071788543E-3</v>
      </c>
      <c r="Q37" s="91">
        <f t="shared" si="3"/>
        <v>3.9840936374549774E-2</v>
      </c>
      <c r="S37" s="91">
        <f t="shared" si="4"/>
        <v>4.4762757385856666E-3</v>
      </c>
      <c r="U37" s="91">
        <f t="shared" si="5"/>
        <v>-3.9243667499108126E-2</v>
      </c>
      <c r="W37" s="91">
        <f t="shared" si="2"/>
        <v>-9.3457943925233655E-3</v>
      </c>
      <c r="Y37" s="91">
        <f t="shared" si="3"/>
        <v>6.2111801242237252E-3</v>
      </c>
      <c r="AA37" s="91">
        <f t="shared" si="8"/>
        <v>8.3462732919254989E-3</v>
      </c>
      <c r="AC37" s="91">
        <f t="shared" si="9"/>
        <v>4.0556733339478512E-3</v>
      </c>
      <c r="AE37" s="91">
        <f t="shared" si="2"/>
        <v>-1.3816243955393159E-2</v>
      </c>
      <c r="AG37" s="91">
        <f t="shared" si="3"/>
        <v>4.4859813084112687E-3</v>
      </c>
      <c r="AI37" s="91">
        <f t="shared" si="12"/>
        <v>-3.2491657397107909E-2</v>
      </c>
      <c r="AK37" s="91">
        <f t="shared" si="13"/>
        <v>-9.8328416912485395E-4</v>
      </c>
      <c r="AM37" s="91">
        <f t="shared" si="2"/>
        <v>0.17410951621477944</v>
      </c>
      <c r="AO37" s="91">
        <f t="shared" si="3"/>
        <v>-3.262933080208863E-3</v>
      </c>
      <c r="AQ37" s="91">
        <f t="shared" si="16"/>
        <v>5.6698795984400086E-4</v>
      </c>
      <c r="AS37" s="91">
        <f t="shared" si="17"/>
        <v>-5.1931191171699087E-3</v>
      </c>
      <c r="AU37" s="91">
        <f t="shared" si="18"/>
        <v>-5.3825011452129923E-3</v>
      </c>
      <c r="AW37" s="91">
        <f t="shared" si="19"/>
        <v>-9.1933570581258506E-3</v>
      </c>
      <c r="AY37" s="91">
        <f t="shared" si="20"/>
        <v>-2.2941417451863955E-2</v>
      </c>
      <c r="BA37" s="91">
        <f t="shared" si="21"/>
        <v>3.8461538461538547E-2</v>
      </c>
      <c r="BC37" s="91">
        <f t="shared" si="18"/>
        <v>8.1564544119610227E-2</v>
      </c>
      <c r="BE37" s="91">
        <f t="shared" si="19"/>
        <v>1.1060587440088199E-3</v>
      </c>
      <c r="BG37" s="91">
        <f t="shared" si="24"/>
        <v>0.14237855946398659</v>
      </c>
      <c r="BI37" s="91">
        <f t="shared" si="25"/>
        <v>3.0612244897959329E-2</v>
      </c>
      <c r="BK37" s="91">
        <f t="shared" si="18"/>
        <v>-5.0761421319796884E-2</v>
      </c>
      <c r="BM37" s="91">
        <f t="shared" si="19"/>
        <v>7.8769469013371118E-3</v>
      </c>
      <c r="BO37" s="91">
        <f t="shared" si="28"/>
        <v>4.2140750105351898E-2</v>
      </c>
      <c r="BQ37" s="91">
        <f t="shared" si="29"/>
        <v>2.1983366567773777E-2</v>
      </c>
      <c r="BS37" s="91">
        <f t="shared" si="18"/>
        <v>8.4223660609843432E-3</v>
      </c>
      <c r="BU37" s="91">
        <f t="shared" si="19"/>
        <v>2.1918769041930908E-3</v>
      </c>
      <c r="BW37" s="91">
        <f t="shared" si="32"/>
        <v>7.4273512208722359E-4</v>
      </c>
      <c r="BY37" s="91">
        <f t="shared" si="33"/>
        <v>5.7218309859154992E-3</v>
      </c>
      <c r="CA37" s="91">
        <f t="shared" si="34"/>
        <v>0.26635238656452564</v>
      </c>
      <c r="CC37" s="91">
        <f t="shared" si="35"/>
        <v>-2.6147734701061909E-3</v>
      </c>
      <c r="CE37" s="91">
        <f t="shared" si="36"/>
        <v>2.9404557706442791E-3</v>
      </c>
      <c r="CG37" s="91">
        <f t="shared" si="37"/>
        <v>1.3575374901341641E-2</v>
      </c>
      <c r="CI37" s="91">
        <f t="shared" si="34"/>
        <v>1.6949152542372836E-2</v>
      </c>
      <c r="CK37" s="91">
        <f t="shared" si="35"/>
        <v>5.0232612920322772E-2</v>
      </c>
      <c r="CM37" s="91">
        <f t="shared" si="40"/>
        <v>1.8627977789718697E-2</v>
      </c>
      <c r="CO37" s="91">
        <f t="shared" si="41"/>
        <v>0</v>
      </c>
      <c r="CQ37" s="91">
        <f t="shared" si="34"/>
        <v>0.15925603022377222</v>
      </c>
      <c r="CS37" s="91">
        <f t="shared" si="35"/>
        <v>4.2912416461482472E-3</v>
      </c>
      <c r="CU37" s="91">
        <f t="shared" si="44"/>
        <v>5.3084648493543884E-2</v>
      </c>
      <c r="CW37" s="91">
        <f t="shared" si="45"/>
        <v>5.2187260168841343E-2</v>
      </c>
      <c r="CY37" s="91">
        <f t="shared" si="34"/>
        <v>-2.1611001964636389E-2</v>
      </c>
      <c r="DA37" s="91">
        <f t="shared" si="35"/>
        <v>2.9250457038391353E-2</v>
      </c>
      <c r="DC37" s="91">
        <f t="shared" si="48"/>
        <v>0.12676630434782621</v>
      </c>
      <c r="DE37" s="91">
        <f t="shared" si="49"/>
        <v>4.0674239648222699E-2</v>
      </c>
      <c r="DG37" s="91">
        <f t="shared" si="50"/>
        <v>-3.3112582781458233E-3</v>
      </c>
      <c r="DI37" s="91">
        <f t="shared" si="51"/>
        <v>1.2772751463544507E-2</v>
      </c>
      <c r="DK37" s="91">
        <f t="shared" si="52"/>
        <v>2.4573534874416936E-3</v>
      </c>
      <c r="DM37" s="91">
        <f t="shared" si="53"/>
        <v>-7.7816047965302282E-3</v>
      </c>
      <c r="DO37" s="91">
        <f t="shared" si="50"/>
        <v>2.0551649540292205E-2</v>
      </c>
      <c r="DQ37" s="91">
        <f t="shared" si="51"/>
        <v>8.0619497188925138E-3</v>
      </c>
      <c r="DS37" s="91">
        <f t="shared" si="56"/>
        <v>-2.6168224299065401E-2</v>
      </c>
      <c r="DU37" s="91">
        <f t="shared" si="57"/>
        <v>-1.0351966873705987E-2</v>
      </c>
      <c r="DW37" s="91">
        <f t="shared" si="50"/>
        <v>3.1776913099870407E-2</v>
      </c>
      <c r="DY37" s="91">
        <f t="shared" si="51"/>
        <v>2.6511134676564074E-2</v>
      </c>
      <c r="EA37" s="91">
        <f t="shared" si="60"/>
        <v>-0.1596895835610449</v>
      </c>
      <c r="EC37" s="91">
        <f t="shared" si="61"/>
        <v>4.1050903119868698E-2</v>
      </c>
      <c r="EE37" s="91">
        <f t="shared" si="50"/>
        <v>-7.2463768115943461E-3</v>
      </c>
      <c r="EG37" s="91">
        <f t="shared" si="51"/>
        <v>-2.6395596989778669E-2</v>
      </c>
    </row>
    <row r="38" spans="1:137">
      <c r="A38" s="90">
        <v>46129.666666666664</v>
      </c>
      <c r="C38" s="91">
        <f t="shared" si="64"/>
        <v>2.5930144267274358E-2</v>
      </c>
      <c r="E38" s="91">
        <f t="shared" si="64"/>
        <v>-1.495003223726632E-2</v>
      </c>
      <c r="G38" s="91">
        <f t="shared" si="65"/>
        <v>0.103280680437424</v>
      </c>
      <c r="I38" s="91">
        <f t="shared" si="66"/>
        <v>3.4441329595515935E-3</v>
      </c>
      <c r="K38" s="91">
        <f t="shared" si="0"/>
        <v>-5.9489773477017782E-2</v>
      </c>
      <c r="M38" s="91">
        <f t="shared" si="1"/>
        <v>1.0695187165774556E-3</v>
      </c>
      <c r="O38" s="91">
        <f t="shared" si="2"/>
        <v>2.0252465681230625E-2</v>
      </c>
      <c r="Q38" s="91">
        <f t="shared" si="3"/>
        <v>1.7461577314380472E-2</v>
      </c>
      <c r="S38" s="91">
        <f t="shared" si="4"/>
        <v>2.2727272727272707E-2</v>
      </c>
      <c r="U38" s="91">
        <f t="shared" si="5"/>
        <v>-4.7530634979576769E-2</v>
      </c>
      <c r="W38" s="91">
        <f t="shared" si="2"/>
        <v>1.8867924528301883E-2</v>
      </c>
      <c r="Y38" s="91">
        <f t="shared" si="3"/>
        <v>2.2633744855967031E-2</v>
      </c>
      <c r="AA38" s="91">
        <f t="shared" si="8"/>
        <v>2.3002887391722737E-2</v>
      </c>
      <c r="AC38" s="91">
        <f t="shared" si="9"/>
        <v>2.98356742862389E-2</v>
      </c>
      <c r="AE38" s="91">
        <f t="shared" si="2"/>
        <v>6.0042029420594334E-2</v>
      </c>
      <c r="AG38" s="91">
        <f t="shared" si="3"/>
        <v>1.8608113137327909E-2</v>
      </c>
      <c r="AI38" s="91">
        <f t="shared" si="12"/>
        <v>3.2076708170938328E-3</v>
      </c>
      <c r="AK38" s="91">
        <f t="shared" si="13"/>
        <v>-6.8897637795275468E-2</v>
      </c>
      <c r="AM38" s="91">
        <f t="shared" si="2"/>
        <v>-1.0187910346388995E-2</v>
      </c>
      <c r="AO38" s="91">
        <f t="shared" si="3"/>
        <v>1.684423546217495E-2</v>
      </c>
      <c r="AQ38" s="91">
        <f t="shared" si="16"/>
        <v>2.8833333333333488E-2</v>
      </c>
      <c r="AS38" s="91">
        <f t="shared" si="17"/>
        <v>3.6333975975085364E-2</v>
      </c>
      <c r="AU38" s="91">
        <f t="shared" si="18"/>
        <v>4.4905008635578669E-2</v>
      </c>
      <c r="AW38" s="91">
        <f t="shared" si="19"/>
        <v>-1.5863513917988459E-2</v>
      </c>
      <c r="AY38" s="91">
        <f t="shared" si="20"/>
        <v>8.8050314465406565E-3</v>
      </c>
      <c r="BA38" s="91">
        <f t="shared" si="21"/>
        <v>0.12466124661246614</v>
      </c>
      <c r="BC38" s="91">
        <f t="shared" si="18"/>
        <v>3.1978636027019114E-3</v>
      </c>
      <c r="BE38" s="91">
        <f t="shared" si="19"/>
        <v>2.6761600785661699E-2</v>
      </c>
      <c r="BG38" s="91">
        <f t="shared" si="24"/>
        <v>1.0997067448680342E-2</v>
      </c>
      <c r="BI38" s="91">
        <f t="shared" si="25"/>
        <v>-2.5094962326421277E-2</v>
      </c>
      <c r="BK38" s="91">
        <f t="shared" si="18"/>
        <v>0.31550802139037426</v>
      </c>
      <c r="BM38" s="91">
        <f t="shared" si="19"/>
        <v>1.7255898473857556E-2</v>
      </c>
      <c r="BO38" s="91">
        <f t="shared" si="28"/>
        <v>-6.4698746461787637E-3</v>
      </c>
      <c r="BQ38" s="91">
        <f t="shared" si="29"/>
        <v>6.0200828058820655E-3</v>
      </c>
      <c r="BS38" s="91">
        <f t="shared" si="18"/>
        <v>3.0237413966437199E-2</v>
      </c>
      <c r="BU38" s="91">
        <f t="shared" si="19"/>
        <v>-4.7240994685389115E-3</v>
      </c>
      <c r="BW38" s="91">
        <f t="shared" si="32"/>
        <v>-9.7226087763243374E-2</v>
      </c>
      <c r="BY38" s="91">
        <f t="shared" si="33"/>
        <v>7.2210065645514909E-3</v>
      </c>
      <c r="CA38" s="91">
        <f t="shared" si="34"/>
        <v>6.2354583527221896E-2</v>
      </c>
      <c r="CC38" s="91">
        <f t="shared" si="35"/>
        <v>1.6788505167633083E-2</v>
      </c>
      <c r="CE38" s="91">
        <f t="shared" si="36"/>
        <v>-1.0017102369899722E-2</v>
      </c>
      <c r="CG38" s="91">
        <f t="shared" si="37"/>
        <v>4.0492135181436018E-2</v>
      </c>
      <c r="CI38" s="91">
        <f t="shared" si="34"/>
        <v>-1.9607843137254832E-2</v>
      </c>
      <c r="CK38" s="91">
        <f t="shared" si="35"/>
        <v>-1.8391835819221769E-2</v>
      </c>
      <c r="CM38" s="91">
        <f t="shared" si="40"/>
        <v>-5.4158607350096699E-2</v>
      </c>
      <c r="CO38" s="91">
        <f t="shared" si="41"/>
        <v>-1.8850141376060225E-2</v>
      </c>
      <c r="CQ38" s="91">
        <f t="shared" si="34"/>
        <v>-3.5347204813236499E-2</v>
      </c>
      <c r="CS38" s="91">
        <f t="shared" si="35"/>
        <v>2.5427290557579196E-2</v>
      </c>
      <c r="CU38" s="91">
        <f t="shared" si="44"/>
        <v>-1.0899182561307952E-2</v>
      </c>
      <c r="CW38" s="91">
        <f t="shared" si="45"/>
        <v>-7.2210065645514243E-2</v>
      </c>
      <c r="CY38" s="91">
        <f t="shared" si="34"/>
        <v>2.008032128514059E-2</v>
      </c>
      <c r="DA38" s="91">
        <f t="shared" si="35"/>
        <v>2.0130254588513807E-2</v>
      </c>
      <c r="DC38" s="91">
        <f t="shared" si="48"/>
        <v>2.254913782708301E-2</v>
      </c>
      <c r="DE38" s="91">
        <f t="shared" si="49"/>
        <v>5.6338028169014009E-3</v>
      </c>
      <c r="DG38" s="91">
        <f t="shared" si="50"/>
        <v>1.6611295681063787E-3</v>
      </c>
      <c r="DI38" s="91">
        <f t="shared" si="51"/>
        <v>2.1019442984760772E-2</v>
      </c>
      <c r="DK38" s="91">
        <f t="shared" si="52"/>
        <v>1.2085625516631948E-2</v>
      </c>
      <c r="DM38" s="91">
        <f t="shared" si="53"/>
        <v>3.0136281820519528E-2</v>
      </c>
      <c r="DO38" s="91">
        <f t="shared" si="50"/>
        <v>-4.7694753577106619E-3</v>
      </c>
      <c r="DQ38" s="91">
        <f t="shared" si="51"/>
        <v>7.1240660843943981E-2</v>
      </c>
      <c r="DS38" s="91">
        <f t="shared" si="56"/>
        <v>1.4395393474088358E-2</v>
      </c>
      <c r="DU38" s="91">
        <f t="shared" si="57"/>
        <v>8.3682008368199945E-3</v>
      </c>
      <c r="DW38" s="91">
        <f t="shared" si="50"/>
        <v>-0.11439346323067257</v>
      </c>
      <c r="DY38" s="91">
        <f t="shared" si="51"/>
        <v>-7.7876668785759717E-2</v>
      </c>
      <c r="EA38" s="91">
        <f t="shared" si="60"/>
        <v>9.8725286160249892E-2</v>
      </c>
      <c r="EC38" s="91">
        <f t="shared" si="61"/>
        <v>-9.6214511041009421E-2</v>
      </c>
      <c r="EE38" s="91">
        <f t="shared" si="50"/>
        <v>1.4598540145985384E-2</v>
      </c>
      <c r="EG38" s="91">
        <f t="shared" si="51"/>
        <v>1.545916012921067E-2</v>
      </c>
    </row>
    <row r="39" spans="1:137">
      <c r="A39" s="90">
        <v>46132.666666666664</v>
      </c>
      <c r="C39" s="91">
        <f t="shared" si="64"/>
        <v>1.0435554897679777E-2</v>
      </c>
      <c r="E39" s="91">
        <f t="shared" si="64"/>
        <v>1.7099611372468848E-2</v>
      </c>
      <c r="G39" s="91">
        <f t="shared" si="65"/>
        <v>-4.0969162995594721E-2</v>
      </c>
      <c r="I39" s="91">
        <f t="shared" si="66"/>
        <v>-9.0996168582375692E-3</v>
      </c>
      <c r="K39" s="91">
        <f t="shared" si="0"/>
        <v>-5.2963872325499817E-2</v>
      </c>
      <c r="M39" s="91">
        <f t="shared" si="1"/>
        <v>9.081196581196771E-3</v>
      </c>
      <c r="O39" s="91">
        <f t="shared" si="2"/>
        <v>-1.6997097456584953E-2</v>
      </c>
      <c r="Q39" s="91">
        <f t="shared" si="3"/>
        <v>-5.9570243245160581E-3</v>
      </c>
      <c r="S39" s="91">
        <f t="shared" si="4"/>
        <v>-1.8300653594771177E-2</v>
      </c>
      <c r="U39" s="91">
        <f t="shared" si="5"/>
        <v>2.7290448343080254E-3</v>
      </c>
      <c r="W39" s="91">
        <f t="shared" si="2"/>
        <v>0</v>
      </c>
      <c r="Y39" s="91">
        <f t="shared" si="3"/>
        <v>-2.1126760563380143E-2</v>
      </c>
      <c r="AA39" s="91">
        <f t="shared" si="8"/>
        <v>9.408222786699838E-5</v>
      </c>
      <c r="AC39" s="91">
        <f t="shared" si="9"/>
        <v>2.790158673560339E-2</v>
      </c>
      <c r="AE39" s="91">
        <f t="shared" si="2"/>
        <v>1.2461059190031154E-2</v>
      </c>
      <c r="AG39" s="91">
        <f t="shared" si="3"/>
        <v>7.3072707343802001E-4</v>
      </c>
      <c r="AI39" s="91">
        <f t="shared" si="12"/>
        <v>1.0772651218226459E-2</v>
      </c>
      <c r="AK39" s="91">
        <f t="shared" si="13"/>
        <v>4.7568710359406907E-3</v>
      </c>
      <c r="AM39" s="91">
        <f t="shared" si="2"/>
        <v>-2.1271729185727395E-2</v>
      </c>
      <c r="AO39" s="91">
        <f t="shared" si="3"/>
        <v>-1.2467806134394688E-2</v>
      </c>
      <c r="AQ39" s="91">
        <f t="shared" si="16"/>
        <v>1.7052756628327614E-2</v>
      </c>
      <c r="AS39" s="91">
        <f t="shared" si="17"/>
        <v>4.5506582713223942E-3</v>
      </c>
      <c r="AU39" s="91">
        <f t="shared" si="18"/>
        <v>5.840220385674888E-3</v>
      </c>
      <c r="AW39" s="91">
        <f t="shared" si="19"/>
        <v>-4.470802919708039E-2</v>
      </c>
      <c r="AY39" s="91">
        <f t="shared" si="20"/>
        <v>1.2468827930174564E-2</v>
      </c>
      <c r="BA39" s="91">
        <f t="shared" si="21"/>
        <v>0</v>
      </c>
      <c r="BC39" s="91">
        <f t="shared" si="18"/>
        <v>1.1632198821120987E-3</v>
      </c>
      <c r="BE39" s="91">
        <f t="shared" si="19"/>
        <v>-2.8096604495456701E-3</v>
      </c>
      <c r="BG39" s="91">
        <f t="shared" si="24"/>
        <v>-2.17548948513413E-3</v>
      </c>
      <c r="BI39" s="91">
        <f t="shared" si="25"/>
        <v>-3.002043944813515E-3</v>
      </c>
      <c r="BK39" s="91">
        <f t="shared" si="18"/>
        <v>5.0813008130081272E-2</v>
      </c>
      <c r="BM39" s="91">
        <f t="shared" si="19"/>
        <v>-2.5619054534892105E-2</v>
      </c>
      <c r="BO39" s="91">
        <f t="shared" si="28"/>
        <v>-1.872201872201873E-2</v>
      </c>
      <c r="BQ39" s="91">
        <f t="shared" si="29"/>
        <v>-1.116393481397393E-2</v>
      </c>
      <c r="BS39" s="91">
        <f t="shared" si="18"/>
        <v>-1.276084671971045E-3</v>
      </c>
      <c r="BU39" s="91">
        <f t="shared" si="19"/>
        <v>-1.4613136440547514E-2</v>
      </c>
      <c r="BW39" s="91">
        <f t="shared" si="32"/>
        <v>-2.5485561607234697E-2</v>
      </c>
      <c r="BY39" s="91">
        <f t="shared" si="33"/>
        <v>9.7762328915922403E-3</v>
      </c>
      <c r="CA39" s="91">
        <f t="shared" si="34"/>
        <v>1.6206745510293441E-2</v>
      </c>
      <c r="CC39" s="91">
        <f t="shared" si="35"/>
        <v>1.8841729472431901E-3</v>
      </c>
      <c r="CE39" s="91">
        <f t="shared" si="36"/>
        <v>-1.4807502467917288E-3</v>
      </c>
      <c r="CG39" s="91">
        <f t="shared" si="37"/>
        <v>1.9757521329142325E-2</v>
      </c>
      <c r="CI39" s="91">
        <f t="shared" si="34"/>
        <v>7.2999999999999954E-2</v>
      </c>
      <c r="CK39" s="91">
        <f t="shared" si="35"/>
        <v>1.4395064549297398E-2</v>
      </c>
      <c r="CM39" s="91">
        <f t="shared" si="40"/>
        <v>1.2827663134411527E-2</v>
      </c>
      <c r="CO39" s="91">
        <f t="shared" si="41"/>
        <v>1.4409221902017322E-2</v>
      </c>
      <c r="CQ39" s="91">
        <f t="shared" si="34"/>
        <v>-2.5467775467775344E-2</v>
      </c>
      <c r="CS39" s="91">
        <f t="shared" si="35"/>
        <v>-3.4155338479404662E-3</v>
      </c>
      <c r="CU39" s="91">
        <f t="shared" si="44"/>
        <v>0.1831955922865014</v>
      </c>
      <c r="CW39" s="91">
        <f t="shared" si="45"/>
        <v>-9.4339622641510523E-3</v>
      </c>
      <c r="CY39" s="91">
        <f t="shared" si="34"/>
        <v>-5.9055118110237226E-3</v>
      </c>
      <c r="DA39" s="91">
        <f t="shared" si="35"/>
        <v>-1.7991874637260485E-2</v>
      </c>
      <c r="DC39" s="91">
        <f t="shared" si="48"/>
        <v>5.4952830188679247E-2</v>
      </c>
      <c r="DE39" s="91">
        <f t="shared" si="49"/>
        <v>8.753501400560193E-3</v>
      </c>
      <c r="DG39" s="91">
        <f t="shared" si="50"/>
        <v>-4.9751243781095411E-3</v>
      </c>
      <c r="DI39" s="91">
        <f t="shared" si="51"/>
        <v>3.6026762738035067E-3</v>
      </c>
      <c r="DK39" s="91">
        <f t="shared" si="52"/>
        <v>-1.999605711549779E-3</v>
      </c>
      <c r="DM39" s="91">
        <f t="shared" si="53"/>
        <v>-2.0268583695272291E-2</v>
      </c>
      <c r="DO39" s="91">
        <f t="shared" si="50"/>
        <v>5.165069222577201E-2</v>
      </c>
      <c r="DQ39" s="91">
        <f t="shared" si="51"/>
        <v>-2.8388998035363433E-2</v>
      </c>
      <c r="DS39" s="91">
        <f t="shared" si="56"/>
        <v>6.6225165562914245E-3</v>
      </c>
      <c r="DU39" s="91">
        <f t="shared" si="57"/>
        <v>4.7977178423235234E-3</v>
      </c>
      <c r="DW39" s="91">
        <f t="shared" si="50"/>
        <v>9.5812633073101505E-2</v>
      </c>
      <c r="DY39" s="91">
        <f t="shared" si="51"/>
        <v>4.5501551189244926E-2</v>
      </c>
      <c r="EA39" s="91">
        <f t="shared" si="60"/>
        <v>8.819699301527173E-2</v>
      </c>
      <c r="EC39" s="91">
        <f t="shared" si="61"/>
        <v>-8.7260034904024231E-4</v>
      </c>
      <c r="EE39" s="91">
        <f t="shared" si="50"/>
        <v>2.5899280575539585E-2</v>
      </c>
      <c r="EG39" s="91">
        <f t="shared" si="51"/>
        <v>2.8857077936832676E-2</v>
      </c>
    </row>
    <row r="40" spans="1:137">
      <c r="A40" s="90">
        <v>46133.666666666664</v>
      </c>
      <c r="C40" s="91">
        <f t="shared" si="64"/>
        <v>-2.5196850393700787E-2</v>
      </c>
      <c r="E40" s="91">
        <f t="shared" si="64"/>
        <v>-5.8319591360656009E-3</v>
      </c>
      <c r="G40" s="91">
        <f t="shared" si="65"/>
        <v>-4.80018373909048E-2</v>
      </c>
      <c r="I40" s="91">
        <f t="shared" si="66"/>
        <v>6.5651683583052289E-3</v>
      </c>
      <c r="K40" s="91">
        <f t="shared" si="0"/>
        <v>-1.2222222222222134E-2</v>
      </c>
      <c r="M40" s="91">
        <f t="shared" si="1"/>
        <v>-1.0058231868713685E-2</v>
      </c>
      <c r="O40" s="91">
        <f t="shared" si="2"/>
        <v>6.3558791882492027E-3</v>
      </c>
      <c r="Q40" s="91">
        <f t="shared" si="3"/>
        <v>-3.4172790183348734E-2</v>
      </c>
      <c r="S40" s="91">
        <f t="shared" si="4"/>
        <v>-3.6395916555703511E-2</v>
      </c>
      <c r="U40" s="91">
        <f t="shared" si="5"/>
        <v>5.1321928460342114E-2</v>
      </c>
      <c r="W40" s="91">
        <f t="shared" si="2"/>
        <v>-3.703703703703709E-2</v>
      </c>
      <c r="Y40" s="91">
        <f t="shared" si="3"/>
        <v>-6.1664953751284668E-2</v>
      </c>
      <c r="AA40" s="91">
        <f t="shared" si="8"/>
        <v>-1.8908748824082666E-2</v>
      </c>
      <c r="AC40" s="91">
        <f t="shared" si="9"/>
        <v>-7.8484086375856243E-3</v>
      </c>
      <c r="AE40" s="91">
        <f t="shared" si="2"/>
        <v>-3.1888111888111914E-2</v>
      </c>
      <c r="AG40" s="91">
        <f t="shared" si="3"/>
        <v>-1.7889740781307117E-2</v>
      </c>
      <c r="AI40" s="91">
        <f t="shared" si="12"/>
        <v>-1.8707907208780239E-2</v>
      </c>
      <c r="AK40" s="91">
        <f t="shared" si="13"/>
        <v>-1.5255128879537172E-2</v>
      </c>
      <c r="AM40" s="91">
        <f t="shared" si="2"/>
        <v>-1.6358962374386388E-2</v>
      </c>
      <c r="AO40" s="91">
        <f t="shared" si="3"/>
        <v>-1.5203603817201095E-2</v>
      </c>
      <c r="AQ40" s="91">
        <f t="shared" si="16"/>
        <v>-1.6129717331747728E-2</v>
      </c>
      <c r="AS40" s="91">
        <f t="shared" si="17"/>
        <v>-2.0143024017778233E-2</v>
      </c>
      <c r="AU40" s="91">
        <f t="shared" si="18"/>
        <v>-5.3133216476774714E-2</v>
      </c>
      <c r="AW40" s="91">
        <f t="shared" si="19"/>
        <v>-5.4441260744985676E-2</v>
      </c>
      <c r="AY40" s="91">
        <f t="shared" si="20"/>
        <v>-7.2865353037766756E-2</v>
      </c>
      <c r="BA40" s="91">
        <f t="shared" si="21"/>
        <v>-7.4698795180722866E-2</v>
      </c>
      <c r="BC40" s="91">
        <f t="shared" si="18"/>
        <v>-6.500876987185944E-2</v>
      </c>
      <c r="BE40" s="91">
        <f t="shared" si="19"/>
        <v>-6.5943288771663777E-4</v>
      </c>
      <c r="BG40" s="91">
        <f t="shared" si="24"/>
        <v>1.0901162790697638E-2</v>
      </c>
      <c r="BI40" s="91">
        <f t="shared" si="25"/>
        <v>-1.7425844064321905E-2</v>
      </c>
      <c r="BK40" s="91">
        <f t="shared" si="18"/>
        <v>-0.12185686653771755</v>
      </c>
      <c r="BM40" s="91">
        <f t="shared" si="19"/>
        <v>-3.085361672951592E-3</v>
      </c>
      <c r="BO40" s="91">
        <f t="shared" si="28"/>
        <v>3.7328909166320923E-3</v>
      </c>
      <c r="BQ40" s="91">
        <f t="shared" si="29"/>
        <v>1.4566938550960362E-2</v>
      </c>
      <c r="BS40" s="91">
        <f t="shared" si="18"/>
        <v>-2.7809094325441652E-3</v>
      </c>
      <c r="BU40" s="91">
        <f t="shared" si="19"/>
        <v>2.140850095892155E-3</v>
      </c>
      <c r="BW40" s="91">
        <f t="shared" si="32"/>
        <v>-2.3726668775703841E-2</v>
      </c>
      <c r="BY40" s="91">
        <f t="shared" si="33"/>
        <v>-1.9363166953527688E-3</v>
      </c>
      <c r="CA40" s="91">
        <f t="shared" si="34"/>
        <v>-2.7155172413793061E-2</v>
      </c>
      <c r="CC40" s="91">
        <f t="shared" si="35"/>
        <v>-1.0788874591705522E-2</v>
      </c>
      <c r="CE40" s="91">
        <f t="shared" si="36"/>
        <v>-2.5704399406821565E-2</v>
      </c>
      <c r="CG40" s="91">
        <f t="shared" si="37"/>
        <v>-8.1021576398062511E-2</v>
      </c>
      <c r="CI40" s="91">
        <f t="shared" si="34"/>
        <v>1.3047530288909481E-2</v>
      </c>
      <c r="CK40" s="91">
        <f t="shared" si="35"/>
        <v>2.0216240567631383E-2</v>
      </c>
      <c r="CM40" s="91">
        <f t="shared" si="40"/>
        <v>3.3957415565345039E-2</v>
      </c>
      <c r="CO40" s="91">
        <f t="shared" si="41"/>
        <v>2.0833333333333259E-2</v>
      </c>
      <c r="CQ40" s="91">
        <f t="shared" si="34"/>
        <v>1.4133333333333331E-2</v>
      </c>
      <c r="CS40" s="91">
        <f t="shared" si="35"/>
        <v>5.4835835218325357E-4</v>
      </c>
      <c r="CU40" s="91">
        <f t="shared" si="44"/>
        <v>0.19324796274738065</v>
      </c>
      <c r="CW40" s="91">
        <f t="shared" si="45"/>
        <v>-2.3809523809523725E-3</v>
      </c>
      <c r="CY40" s="91">
        <f t="shared" si="34"/>
        <v>6.9306930693069368E-3</v>
      </c>
      <c r="DA40" s="91">
        <f t="shared" si="35"/>
        <v>1.3593380614657091E-2</v>
      </c>
      <c r="DC40" s="91">
        <f t="shared" si="48"/>
        <v>-3.1522468142186399E-2</v>
      </c>
      <c r="DE40" s="91">
        <f t="shared" si="49"/>
        <v>-1.3189864630336667E-2</v>
      </c>
      <c r="DG40" s="91">
        <f t="shared" si="50"/>
        <v>-6.0000000000000053E-2</v>
      </c>
      <c r="DI40" s="91">
        <f t="shared" si="51"/>
        <v>-3.4358974358974392E-2</v>
      </c>
      <c r="DK40" s="91">
        <f t="shared" si="52"/>
        <v>-6.5470143357038157E-3</v>
      </c>
      <c r="DM40" s="91">
        <f t="shared" si="53"/>
        <v>-1.5490445859872581E-2</v>
      </c>
      <c r="DO40" s="91">
        <f t="shared" si="50"/>
        <v>1.2658227848101333E-2</v>
      </c>
      <c r="DQ40" s="91">
        <f t="shared" si="51"/>
        <v>-1.7996158123546713E-2</v>
      </c>
      <c r="DS40" s="91">
        <f t="shared" si="56"/>
        <v>-5.3571428571428603E-2</v>
      </c>
      <c r="DU40" s="91">
        <f t="shared" si="57"/>
        <v>-2.9681249193442838E-3</v>
      </c>
      <c r="DW40" s="91">
        <f t="shared" si="50"/>
        <v>-4.5336787564767E-3</v>
      </c>
      <c r="DY40" s="91">
        <f t="shared" si="51"/>
        <v>5.7121661721068362E-2</v>
      </c>
      <c r="EA40" s="91">
        <f t="shared" si="60"/>
        <v>-3.1766753698868611E-2</v>
      </c>
      <c r="EC40" s="91">
        <f t="shared" si="61"/>
        <v>5.5895196506550171E-2</v>
      </c>
      <c r="EE40" s="91">
        <f t="shared" si="50"/>
        <v>-2.8050490883589907E-3</v>
      </c>
      <c r="EG40" s="91">
        <f t="shared" si="51"/>
        <v>4.4169611307418588E-3</v>
      </c>
    </row>
    <row r="41" spans="1:137">
      <c r="A41" s="90">
        <v>46134.666666666664</v>
      </c>
      <c r="C41" s="91">
        <f t="shared" si="64"/>
        <v>2.6298981853702497E-2</v>
      </c>
      <c r="E41" s="91">
        <f t="shared" si="64"/>
        <v>3.5439760498422235E-2</v>
      </c>
      <c r="G41" s="91">
        <f t="shared" si="65"/>
        <v>-1.6164053075995222E-2</v>
      </c>
      <c r="I41" s="91">
        <f t="shared" si="66"/>
        <v>2.1807850826297548E-2</v>
      </c>
      <c r="K41" s="91">
        <f t="shared" si="0"/>
        <v>5.81177352830895E-2</v>
      </c>
      <c r="M41" s="91">
        <f t="shared" si="1"/>
        <v>0</v>
      </c>
      <c r="O41" s="91">
        <f t="shared" si="2"/>
        <v>5.0923738717457701E-2</v>
      </c>
      <c r="Q41" s="91">
        <f t="shared" si="3"/>
        <v>7.6820800709114234E-3</v>
      </c>
      <c r="S41" s="91">
        <f t="shared" si="4"/>
        <v>7.369875633348677E-2</v>
      </c>
      <c r="U41" s="91">
        <f t="shared" si="5"/>
        <v>2.4778106508875908E-2</v>
      </c>
      <c r="W41" s="91">
        <f t="shared" si="2"/>
        <v>-1.9230769230769273E-2</v>
      </c>
      <c r="Y41" s="91">
        <f t="shared" si="3"/>
        <v>4.0525739320919962E-2</v>
      </c>
      <c r="AA41" s="91">
        <f t="shared" si="8"/>
        <v>5.0819829322081844E-3</v>
      </c>
      <c r="AC41" s="91">
        <f t="shared" si="9"/>
        <v>-2.622263012980186E-3</v>
      </c>
      <c r="AE41" s="91">
        <f t="shared" si="2"/>
        <v>-1.7913897717422689E-2</v>
      </c>
      <c r="AG41" s="91">
        <f t="shared" si="3"/>
        <v>8.1784386617100857E-3</v>
      </c>
      <c r="AI41" s="91">
        <f t="shared" si="12"/>
        <v>-5.2109811896288161E-3</v>
      </c>
      <c r="AK41" s="91">
        <f t="shared" si="13"/>
        <v>2.4038461538461675E-2</v>
      </c>
      <c r="AM41" s="91">
        <f t="shared" si="2"/>
        <v>-1.5205511998099275E-2</v>
      </c>
      <c r="AO41" s="91">
        <f t="shared" si="3"/>
        <v>2.1156218965361573E-2</v>
      </c>
      <c r="AQ41" s="91">
        <f t="shared" si="16"/>
        <v>8.9471696076846019E-3</v>
      </c>
      <c r="AS41" s="91">
        <f t="shared" si="17"/>
        <v>-1.2851826006047951E-2</v>
      </c>
      <c r="AU41" s="91">
        <f t="shared" si="18"/>
        <v>2.3140113386555639E-2</v>
      </c>
      <c r="AW41" s="91">
        <f t="shared" si="19"/>
        <v>6.5319865319865444E-2</v>
      </c>
      <c r="AY41" s="91">
        <f t="shared" si="20"/>
        <v>7.1286251937126455E-2</v>
      </c>
      <c r="BA41" s="91">
        <f t="shared" si="21"/>
        <v>-2.5173611111111049E-2</v>
      </c>
      <c r="BC41" s="91">
        <f t="shared" si="18"/>
        <v>4.3827367012378771E-2</v>
      </c>
      <c r="BE41" s="91">
        <f t="shared" si="19"/>
        <v>-1.9496100779843983E-2</v>
      </c>
      <c r="BG41" s="91">
        <f t="shared" si="24"/>
        <v>7.620416966211363E-2</v>
      </c>
      <c r="BI41" s="91">
        <f t="shared" si="25"/>
        <v>8.2154267457781316E-3</v>
      </c>
      <c r="BK41" s="91">
        <f t="shared" si="18"/>
        <v>0.13436123348017626</v>
      </c>
      <c r="BM41" s="91">
        <f t="shared" si="19"/>
        <v>8.7913402308474886E-3</v>
      </c>
      <c r="BO41" s="91">
        <f t="shared" si="28"/>
        <v>1.3223140495867813E-2</v>
      </c>
      <c r="BQ41" s="91">
        <f t="shared" si="29"/>
        <v>2.0652583930592217E-2</v>
      </c>
      <c r="BS41" s="91">
        <f t="shared" si="18"/>
        <v>-1.9143804642749673E-2</v>
      </c>
      <c r="BU41" s="91">
        <f t="shared" si="19"/>
        <v>8.4783479460590172E-2</v>
      </c>
      <c r="BW41" s="91">
        <f t="shared" si="32"/>
        <v>7.1289695398573105E-3</v>
      </c>
      <c r="BY41" s="91">
        <f t="shared" si="33"/>
        <v>-1.5305022634188425E-2</v>
      </c>
      <c r="CA41" s="91">
        <f t="shared" si="34"/>
        <v>-0.2215330084182543</v>
      </c>
      <c r="CC41" s="91">
        <f t="shared" si="35"/>
        <v>1.3107864718831408E-2</v>
      </c>
      <c r="CE41" s="91">
        <f t="shared" si="36"/>
        <v>-6.8493150684931781E-3</v>
      </c>
      <c r="CG41" s="91">
        <f t="shared" si="37"/>
        <v>0.1565245168503433</v>
      </c>
      <c r="CI41" s="91">
        <f t="shared" si="34"/>
        <v>1.7479300827967004E-2</v>
      </c>
      <c r="CK41" s="91">
        <f t="shared" si="35"/>
        <v>3.4939559529723496E-2</v>
      </c>
      <c r="CM41" s="91">
        <f t="shared" si="40"/>
        <v>1.2781821409550753E-2</v>
      </c>
      <c r="CO41" s="91">
        <f t="shared" si="41"/>
        <v>1.0204081632653184E-2</v>
      </c>
      <c r="CQ41" s="91">
        <f t="shared" si="34"/>
        <v>3.7864843544570093E-2</v>
      </c>
      <c r="CS41" s="91">
        <f t="shared" si="35"/>
        <v>4.5557306295814337E-2</v>
      </c>
      <c r="CU41" s="91">
        <f t="shared" si="44"/>
        <v>0.24585365853658536</v>
      </c>
      <c r="CW41" s="91">
        <f t="shared" si="45"/>
        <v>7.7963404932378744E-2</v>
      </c>
      <c r="CY41" s="91">
        <f t="shared" si="34"/>
        <v>9.8328416912485395E-4</v>
      </c>
      <c r="DA41" s="91">
        <f t="shared" si="35"/>
        <v>3.440233236151613E-2</v>
      </c>
      <c r="DC41" s="91">
        <f t="shared" si="48"/>
        <v>3.9242843951985185E-2</v>
      </c>
      <c r="DE41" s="91">
        <f t="shared" si="49"/>
        <v>2.6380583890256881E-2</v>
      </c>
      <c r="DG41" s="91">
        <f t="shared" si="50"/>
        <v>3.5460992907801359E-2</v>
      </c>
      <c r="DI41" s="91">
        <f t="shared" si="51"/>
        <v>1.2214551248008521E-2</v>
      </c>
      <c r="DK41" s="91">
        <f t="shared" si="52"/>
        <v>1.0126690148846818E-2</v>
      </c>
      <c r="DM41" s="91">
        <f t="shared" si="53"/>
        <v>2.820764970757228E-3</v>
      </c>
      <c r="DO41" s="91">
        <f t="shared" si="50"/>
        <v>6.0000000000000053E-3</v>
      </c>
      <c r="DQ41" s="91">
        <f t="shared" si="51"/>
        <v>-5.5801503140121556E-2</v>
      </c>
      <c r="DS41" s="91">
        <f t="shared" si="56"/>
        <v>5.2631578947368363E-2</v>
      </c>
      <c r="DU41" s="91">
        <f t="shared" si="57"/>
        <v>-2.1744757960134642E-2</v>
      </c>
      <c r="DW41" s="91">
        <f t="shared" si="50"/>
        <v>7.0266753415745065E-2</v>
      </c>
      <c r="DY41" s="91">
        <f t="shared" si="51"/>
        <v>8.966861598440623E-3</v>
      </c>
      <c r="EA41" s="91">
        <f t="shared" si="60"/>
        <v>4.3932584269662955E-2</v>
      </c>
      <c r="EC41" s="91">
        <f t="shared" si="61"/>
        <v>2.0678246484698182E-2</v>
      </c>
      <c r="EE41" s="91">
        <f t="shared" si="50"/>
        <v>-1.4064697609001975E-3</v>
      </c>
      <c r="EG41" s="91">
        <f t="shared" si="51"/>
        <v>1.0554089709762682E-2</v>
      </c>
    </row>
    <row r="42" spans="1:137">
      <c r="A42" s="90">
        <v>46135.666666666664</v>
      </c>
      <c r="C42" s="91">
        <f t="shared" si="64"/>
        <v>9.5178826371844494E-4</v>
      </c>
      <c r="E42" s="91">
        <f t="shared" si="64"/>
        <v>-6.6265530983824372E-2</v>
      </c>
      <c r="G42" s="91">
        <f t="shared" si="65"/>
        <v>9.3182932810200736E-3</v>
      </c>
      <c r="I42" s="91">
        <f t="shared" si="66"/>
        <v>-1.0964912280702066E-3</v>
      </c>
      <c r="K42" s="91">
        <f t="shared" si="0"/>
        <v>-6.9808646350106307E-2</v>
      </c>
      <c r="M42" s="91">
        <f t="shared" si="1"/>
        <v>-1.7647058823529349E-2</v>
      </c>
      <c r="O42" s="91">
        <f t="shared" si="2"/>
        <v>-6.4119247604400575E-3</v>
      </c>
      <c r="Q42" s="91">
        <f t="shared" si="3"/>
        <v>-3.4599032399941332E-2</v>
      </c>
      <c r="S42" s="91">
        <f t="shared" si="4"/>
        <v>-5.6199056199056185E-2</v>
      </c>
      <c r="U42" s="91">
        <f t="shared" si="5"/>
        <v>-1.2630819198845233E-2</v>
      </c>
      <c r="W42" s="91">
        <f t="shared" si="2"/>
        <v>-2.9411764705882359E-2</v>
      </c>
      <c r="Y42" s="91">
        <f t="shared" si="3"/>
        <v>-4.3157894736842173E-2</v>
      </c>
      <c r="AA42" s="91">
        <f t="shared" si="8"/>
        <v>-1.1161991986261999E-2</v>
      </c>
      <c r="AC42" s="91">
        <f t="shared" si="9"/>
        <v>-1.6432233469173108E-2</v>
      </c>
      <c r="AE42" s="91">
        <f t="shared" si="2"/>
        <v>2.7459056585270591E-3</v>
      </c>
      <c r="AG42" s="91">
        <f t="shared" si="3"/>
        <v>8.4808259587021428E-3</v>
      </c>
      <c r="AI42" s="91">
        <f t="shared" si="12"/>
        <v>-1.002357805730747E-2</v>
      </c>
      <c r="AK42" s="91">
        <f t="shared" si="13"/>
        <v>-9.6504955659885261E-2</v>
      </c>
      <c r="AM42" s="91">
        <f t="shared" si="2"/>
        <v>-7.0205066344994016E-2</v>
      </c>
      <c r="AO42" s="91">
        <f t="shared" si="3"/>
        <v>-1.2672403630791251E-3</v>
      </c>
      <c r="AQ42" s="91">
        <f t="shared" si="16"/>
        <v>-3.7867442557015796E-3</v>
      </c>
      <c r="AS42" s="91">
        <f t="shared" si="17"/>
        <v>1.9440353460973281E-3</v>
      </c>
      <c r="AU42" s="91">
        <f t="shared" si="18"/>
        <v>-5.52979758000679E-2</v>
      </c>
      <c r="AW42" s="91">
        <f t="shared" si="19"/>
        <v>-6.0682680151706747E-2</v>
      </c>
      <c r="AY42" s="91">
        <f t="shared" si="20"/>
        <v>7.501549907005578E-2</v>
      </c>
      <c r="BA42" s="91">
        <f t="shared" si="21"/>
        <v>9.7951914514691207E-3</v>
      </c>
      <c r="BC42" s="91">
        <f t="shared" si="18"/>
        <v>-3.0574633699633758E-2</v>
      </c>
      <c r="BE42" s="91">
        <f t="shared" si="19"/>
        <v>-0.1333129397369226</v>
      </c>
      <c r="BG42" s="91">
        <f t="shared" si="24"/>
        <v>-7.949231796927192E-2</v>
      </c>
      <c r="BI42" s="91">
        <f t="shared" si="25"/>
        <v>-9.1832115372177947E-3</v>
      </c>
      <c r="BK42" s="91">
        <f t="shared" si="18"/>
        <v>-0.1155339805825244</v>
      </c>
      <c r="BM42" s="91">
        <f t="shared" si="19"/>
        <v>-2.3076239032487678E-2</v>
      </c>
      <c r="BO42" s="91">
        <f t="shared" si="28"/>
        <v>-9.7879282218595876E-3</v>
      </c>
      <c r="BQ42" s="91">
        <f t="shared" si="29"/>
        <v>-3.9660907326988903E-2</v>
      </c>
      <c r="BS42" s="91">
        <f t="shared" si="18"/>
        <v>-5.0484094052558715E-2</v>
      </c>
      <c r="BU42" s="91">
        <f t="shared" si="19"/>
        <v>-1.1815869368999699E-2</v>
      </c>
      <c r="BW42" s="91">
        <f t="shared" si="32"/>
        <v>-4.5045045045045695E-3</v>
      </c>
      <c r="BY42" s="91">
        <f t="shared" si="33"/>
        <v>-1.9702276707530664E-2</v>
      </c>
      <c r="CA42" s="91">
        <f t="shared" si="34"/>
        <v>1.9920318725099584E-2</v>
      </c>
      <c r="CC42" s="91">
        <f t="shared" si="35"/>
        <v>-1.4123456790123501E-2</v>
      </c>
      <c r="CE42" s="91">
        <f t="shared" si="36"/>
        <v>-1.6091954022988353E-2</v>
      </c>
      <c r="CG42" s="91">
        <f t="shared" si="37"/>
        <v>5.5931501173871023E-2</v>
      </c>
      <c r="CI42" s="91">
        <f t="shared" si="34"/>
        <v>-4.7016274864376206E-2</v>
      </c>
      <c r="CK42" s="91">
        <f t="shared" si="35"/>
        <v>-5.9840000000000004E-2</v>
      </c>
      <c r="CM42" s="91">
        <f t="shared" si="40"/>
        <v>1.3672217353198901E-2</v>
      </c>
      <c r="CO42" s="91">
        <f t="shared" si="41"/>
        <v>-7.3461891643709865E-2</v>
      </c>
      <c r="CQ42" s="91">
        <f t="shared" si="34"/>
        <v>-2.9896123638206262E-2</v>
      </c>
      <c r="CS42" s="91">
        <f t="shared" si="35"/>
        <v>-7.2402044293015444E-2</v>
      </c>
      <c r="CU42" s="91">
        <f t="shared" si="44"/>
        <v>-8.2223962411902773E-2</v>
      </c>
      <c r="CW42" s="91">
        <f t="shared" si="45"/>
        <v>-7.4538745387453975E-2</v>
      </c>
      <c r="CY42" s="91">
        <f t="shared" si="34"/>
        <v>-5.893909626719096E-3</v>
      </c>
      <c r="DA42" s="91">
        <f t="shared" si="35"/>
        <v>-4.4532130777902967E-2</v>
      </c>
      <c r="DC42" s="91">
        <f t="shared" si="48"/>
        <v>-6.0417592181252866E-2</v>
      </c>
      <c r="DE42" s="91">
        <f t="shared" si="49"/>
        <v>-8.3276216586703256E-2</v>
      </c>
      <c r="DG42" s="91">
        <f t="shared" si="50"/>
        <v>-4.6232876712328674E-2</v>
      </c>
      <c r="DI42" s="91">
        <f t="shared" si="51"/>
        <v>-3.8824763903462678E-2</v>
      </c>
      <c r="DK42" s="91">
        <f t="shared" si="52"/>
        <v>-3.8807103387185071E-3</v>
      </c>
      <c r="DM42" s="91">
        <f t="shared" si="53"/>
        <v>-3.5586178421201931E-2</v>
      </c>
      <c r="DO42" s="91">
        <f t="shared" si="50"/>
        <v>-7.4552683896621508E-3</v>
      </c>
      <c r="DQ42" s="91">
        <f t="shared" si="51"/>
        <v>-5.0158107076654357E-3</v>
      </c>
      <c r="DS42" s="91">
        <f t="shared" si="56"/>
        <v>-4.5283018867924518E-2</v>
      </c>
      <c r="DU42" s="91">
        <f t="shared" si="57"/>
        <v>-1.1643291876157646E-2</v>
      </c>
      <c r="DW42" s="91">
        <f t="shared" si="50"/>
        <v>-1.9452887537993901E-2</v>
      </c>
      <c r="DY42" s="91">
        <f t="shared" si="51"/>
        <v>4.1112828438949034E-2</v>
      </c>
      <c r="EA42" s="91">
        <f t="shared" si="60"/>
        <v>-3.4119039931116202E-2</v>
      </c>
      <c r="EC42" s="91">
        <f t="shared" si="61"/>
        <v>4.943273905996759E-2</v>
      </c>
      <c r="EE42" s="91">
        <f t="shared" si="50"/>
        <v>-2.3943661971830954E-2</v>
      </c>
      <c r="EG42" s="91">
        <f t="shared" si="51"/>
        <v>-2.077893820713661E-2</v>
      </c>
    </row>
    <row r="43" spans="1:137">
      <c r="A43" s="90">
        <v>46136.666666666664</v>
      </c>
      <c r="C43" s="91">
        <f t="shared" si="64"/>
        <v>-8.6676663131332043E-3</v>
      </c>
      <c r="E43" s="91">
        <f t="shared" si="64"/>
        <v>2.7031550757385503E-2</v>
      </c>
      <c r="G43" s="91">
        <f t="shared" si="65"/>
        <v>1.0447035957240169E-2</v>
      </c>
      <c r="I43" s="91">
        <f t="shared" si="66"/>
        <v>3.4930217970832622E-2</v>
      </c>
      <c r="K43" s="91">
        <f t="shared" si="0"/>
        <v>-2.984126984126978E-2</v>
      </c>
      <c r="M43" s="91">
        <f t="shared" si="1"/>
        <v>7.0767555797495163E-3</v>
      </c>
      <c r="O43" s="91">
        <f t="shared" si="2"/>
        <v>6.7152450350049797E-3</v>
      </c>
      <c r="Q43" s="91">
        <f t="shared" si="3"/>
        <v>3.128321943811696E-2</v>
      </c>
      <c r="S43" s="91">
        <f t="shared" si="4"/>
        <v>6.3636363636363491E-3</v>
      </c>
      <c r="U43" s="91">
        <f t="shared" si="5"/>
        <v>-2.7777777777777679E-2</v>
      </c>
      <c r="W43" s="91">
        <f t="shared" si="2"/>
        <v>0</v>
      </c>
      <c r="Y43" s="91">
        <f t="shared" si="3"/>
        <v>7.3707370737073674E-2</v>
      </c>
      <c r="AA43" s="91">
        <f t="shared" si="8"/>
        <v>-1.013024602026058E-2</v>
      </c>
      <c r="AC43" s="91">
        <f t="shared" si="9"/>
        <v>6.4599483204133001E-3</v>
      </c>
      <c r="AE43" s="91">
        <f t="shared" si="2"/>
        <v>1.4669926650366705E-2</v>
      </c>
      <c r="AG43" s="91">
        <f t="shared" si="3"/>
        <v>7.3126142595980603E-4</v>
      </c>
      <c r="AI43" s="91">
        <f t="shared" si="12"/>
        <v>-3.5643053241664169E-2</v>
      </c>
      <c r="AK43" s="91">
        <f t="shared" si="13"/>
        <v>8.6605080831407832E-3</v>
      </c>
      <c r="AM43" s="91">
        <f t="shared" si="2"/>
        <v>-8.8479501816294714E-2</v>
      </c>
      <c r="AO43" s="91">
        <f t="shared" si="3"/>
        <v>1.6258963085366895E-2</v>
      </c>
      <c r="AQ43" s="91">
        <f t="shared" si="16"/>
        <v>-4.7138408676044019E-3</v>
      </c>
      <c r="AS43" s="91">
        <f t="shared" si="17"/>
        <v>-1.2552916274694348E-2</v>
      </c>
      <c r="AU43" s="91">
        <f t="shared" si="18"/>
        <v>1.4005266937993532E-2</v>
      </c>
      <c r="AW43" s="91">
        <f t="shared" si="19"/>
        <v>-9.7577388963661082E-3</v>
      </c>
      <c r="AY43" s="91">
        <f t="shared" si="20"/>
        <v>-2.6528258362168433E-2</v>
      </c>
      <c r="BA43" s="91">
        <f t="shared" si="21"/>
        <v>7.9365079365079083E-3</v>
      </c>
      <c r="BC43" s="91">
        <f t="shared" si="18"/>
        <v>4.1032483557486898E-2</v>
      </c>
      <c r="BE43" s="91">
        <f t="shared" si="19"/>
        <v>1.5106593251447142E-2</v>
      </c>
      <c r="BG43" s="91">
        <f t="shared" si="24"/>
        <v>-7.3657474600870798E-2</v>
      </c>
      <c r="BI43" s="91">
        <f t="shared" si="25"/>
        <v>2.2387572612753592E-2</v>
      </c>
      <c r="BK43" s="91">
        <f t="shared" si="18"/>
        <v>9.8792535675082949E-3</v>
      </c>
      <c r="BM43" s="91">
        <f t="shared" si="19"/>
        <v>2.4091633163923154E-2</v>
      </c>
      <c r="BO43" s="91">
        <f t="shared" si="28"/>
        <v>-1.1532125205930832E-2</v>
      </c>
      <c r="BQ43" s="91">
        <f t="shared" si="29"/>
        <v>2.1334936861094445E-2</v>
      </c>
      <c r="BS43" s="91">
        <f t="shared" si="18"/>
        <v>-3.6821234927571389E-2</v>
      </c>
      <c r="BU43" s="91">
        <f t="shared" si="19"/>
        <v>3.1138420659304167E-2</v>
      </c>
      <c r="BW43" s="91">
        <f t="shared" si="32"/>
        <v>-4.0939452704158441E-3</v>
      </c>
      <c r="BY43" s="91">
        <f t="shared" si="33"/>
        <v>-2.0098258150961223E-3</v>
      </c>
      <c r="CA43" s="91">
        <f t="shared" si="34"/>
        <v>-1.171875E-2</v>
      </c>
      <c r="CC43" s="91">
        <f t="shared" si="35"/>
        <v>4.3227810058104721E-2</v>
      </c>
      <c r="CE43" s="91">
        <f t="shared" si="36"/>
        <v>6.8795430944963654E-2</v>
      </c>
      <c r="CG43" s="91">
        <f t="shared" si="37"/>
        <v>-7.1409887522887683E-2</v>
      </c>
      <c r="CI43" s="91">
        <f t="shared" si="34"/>
        <v>9.487666034158071E-4</v>
      </c>
      <c r="CK43" s="91">
        <f t="shared" si="35"/>
        <v>-1.7018379850238241E-2</v>
      </c>
      <c r="CM43" s="91">
        <f t="shared" si="40"/>
        <v>-1.2277364689607495E-2</v>
      </c>
      <c r="CO43" s="91">
        <f t="shared" si="41"/>
        <v>2.7750247770069292E-2</v>
      </c>
      <c r="CQ43" s="91">
        <f t="shared" si="34"/>
        <v>-7.4431966570906227E-2</v>
      </c>
      <c r="CS43" s="91">
        <f t="shared" si="35"/>
        <v>1.0736738009465396E-2</v>
      </c>
      <c r="CU43" s="91">
        <f t="shared" si="44"/>
        <v>0.28839590443686003</v>
      </c>
      <c r="CW43" s="91">
        <f t="shared" si="45"/>
        <v>-5.901116427432207E-2</v>
      </c>
      <c r="CY43" s="91">
        <f t="shared" si="34"/>
        <v>9.8814229249022389E-4</v>
      </c>
      <c r="DA43" s="91">
        <f t="shared" si="35"/>
        <v>-2.5368731563421787E-2</v>
      </c>
      <c r="DC43" s="91">
        <f t="shared" si="48"/>
        <v>-5.8156028368794188E-2</v>
      </c>
      <c r="DE43" s="91">
        <f t="shared" si="49"/>
        <v>8.7102803738317691E-2</v>
      </c>
      <c r="DG43" s="91">
        <f t="shared" si="50"/>
        <v>1.4362657091562037E-2</v>
      </c>
      <c r="DI43" s="91">
        <f t="shared" si="51"/>
        <v>6.5502183406114245E-3</v>
      </c>
      <c r="DK43" s="91">
        <f t="shared" si="52"/>
        <v>7.7493118780436188E-3</v>
      </c>
      <c r="DM43" s="91">
        <f t="shared" si="53"/>
        <v>6.903564165685605E-3</v>
      </c>
      <c r="DO43" s="91">
        <f t="shared" si="50"/>
        <v>-8.5127691537304484E-3</v>
      </c>
      <c r="DQ43" s="91">
        <f t="shared" si="51"/>
        <v>1.9178082191780854E-2</v>
      </c>
      <c r="DS43" s="91">
        <f t="shared" si="56"/>
        <v>-3.75494071146244E-2</v>
      </c>
      <c r="DU43" s="91">
        <f t="shared" si="57"/>
        <v>-8.0321285140561027E-4</v>
      </c>
      <c r="DW43" s="91">
        <f t="shared" si="50"/>
        <v>-9.175449473031605E-2</v>
      </c>
      <c r="DY43" s="91">
        <f t="shared" si="51"/>
        <v>-1.7220902612826605E-2</v>
      </c>
      <c r="EA43" s="91">
        <f t="shared" si="60"/>
        <v>-4.7470470247381269E-2</v>
      </c>
      <c r="EC43" s="91">
        <f t="shared" si="61"/>
        <v>-8.108108108108103E-2</v>
      </c>
      <c r="EE43" s="91">
        <f t="shared" si="50"/>
        <v>3.0303030303030276E-2</v>
      </c>
      <c r="EG43" s="91">
        <f t="shared" si="51"/>
        <v>2.2441950894344975E-2</v>
      </c>
    </row>
    <row r="44" spans="1:137">
      <c r="A44" s="90">
        <v>46139.666666666664</v>
      </c>
      <c r="C44" s="91">
        <f t="shared" si="64"/>
        <v>-1.2727809341105289E-2</v>
      </c>
      <c r="E44" s="91">
        <f t="shared" si="64"/>
        <v>-2.4975554106909992E-2</v>
      </c>
      <c r="G44" s="91">
        <f t="shared" si="65"/>
        <v>-2.7650877614811442E-2</v>
      </c>
      <c r="I44" s="91">
        <f t="shared" si="66"/>
        <v>-1.0871623925148732E-2</v>
      </c>
      <c r="K44" s="91">
        <f t="shared" si="0"/>
        <v>1.0471204188481575E-2</v>
      </c>
      <c r="M44" s="91">
        <f t="shared" si="1"/>
        <v>-2.1621621621621401E-3</v>
      </c>
      <c r="O44" s="91">
        <f t="shared" si="2"/>
        <v>-1.078626170877095E-2</v>
      </c>
      <c r="Q44" s="91">
        <f t="shared" si="3"/>
        <v>-2.4296863495803178E-2</v>
      </c>
      <c r="S44" s="91">
        <f t="shared" si="4"/>
        <v>-2.6648599819331542E-2</v>
      </c>
      <c r="U44" s="91">
        <f t="shared" si="5"/>
        <v>1.7669172932330834E-2</v>
      </c>
      <c r="W44" s="91">
        <f t="shared" si="2"/>
        <v>1.0101010101010166E-2</v>
      </c>
      <c r="Y44" s="91">
        <f t="shared" si="3"/>
        <v>8.7090163934426146E-2</v>
      </c>
      <c r="AA44" s="91">
        <f t="shared" si="8"/>
        <v>-2.436647173489237E-3</v>
      </c>
      <c r="AC44" s="91">
        <f t="shared" si="9"/>
        <v>1.5183037492806806E-2</v>
      </c>
      <c r="AE44" s="91">
        <f t="shared" si="2"/>
        <v>-5.5421686746987997E-2</v>
      </c>
      <c r="AG44" s="91">
        <f t="shared" si="3"/>
        <v>-5.4804530507855942E-3</v>
      </c>
      <c r="AI44" s="91">
        <f t="shared" si="12"/>
        <v>-2.8103557350723785E-3</v>
      </c>
      <c r="AK44" s="91">
        <f t="shared" si="13"/>
        <v>-9.1585575271895259E-3</v>
      </c>
      <c r="AM44" s="91">
        <f t="shared" si="2"/>
        <v>-1.764873327640204E-2</v>
      </c>
      <c r="AO44" s="91">
        <f t="shared" si="3"/>
        <v>1.7247386759581929E-2</v>
      </c>
      <c r="AQ44" s="91">
        <f t="shared" si="16"/>
        <v>1.175950200127307E-2</v>
      </c>
      <c r="AS44" s="91">
        <f t="shared" si="17"/>
        <v>-1.0688022864628222E-2</v>
      </c>
      <c r="AU44" s="91">
        <f t="shared" si="18"/>
        <v>-8.9717860937313931E-3</v>
      </c>
      <c r="AW44" s="91">
        <f t="shared" si="19"/>
        <v>0.10941216445803592</v>
      </c>
      <c r="AY44" s="91">
        <f t="shared" si="20"/>
        <v>-4.5023696682464531E-2</v>
      </c>
      <c r="BA44" s="91">
        <f t="shared" si="21"/>
        <v>7.0866141732283561E-2</v>
      </c>
      <c r="BC44" s="91">
        <f t="shared" si="18"/>
        <v>-2.4908125765618627E-2</v>
      </c>
      <c r="BE44" s="91">
        <f t="shared" si="19"/>
        <v>2.1835883171070769E-2</v>
      </c>
      <c r="BG44" s="91">
        <f t="shared" si="24"/>
        <v>2.6243634939286942E-2</v>
      </c>
      <c r="BI44" s="91">
        <f t="shared" si="25"/>
        <v>-9.5760980592429767E-4</v>
      </c>
      <c r="BK44" s="91">
        <f t="shared" si="18"/>
        <v>-4.8913043478260754E-2</v>
      </c>
      <c r="BM44" s="91">
        <f t="shared" si="19"/>
        <v>5.3182821504229594E-3</v>
      </c>
      <c r="BO44" s="91">
        <f t="shared" si="28"/>
        <v>-3.2500000000000084E-2</v>
      </c>
      <c r="BQ44" s="91">
        <f t="shared" si="29"/>
        <v>4.7100937308641733E-4</v>
      </c>
      <c r="BS44" s="91">
        <f t="shared" si="18"/>
        <v>1.2518904385817597E-2</v>
      </c>
      <c r="BU44" s="91">
        <f t="shared" si="19"/>
        <v>5.6047672733129161E-2</v>
      </c>
      <c r="BW44" s="91">
        <f t="shared" si="32"/>
        <v>-1.1575075724794437E-2</v>
      </c>
      <c r="BY44" s="91">
        <f t="shared" si="33"/>
        <v>1.0069366748713504E-2</v>
      </c>
      <c r="CA44" s="91">
        <f t="shared" si="34"/>
        <v>-3.9525691699604737E-2</v>
      </c>
      <c r="CC44" s="91">
        <f t="shared" si="35"/>
        <v>4.0044173428722241E-2</v>
      </c>
      <c r="CE44" s="91">
        <f t="shared" si="36"/>
        <v>7.2868593636155055E-4</v>
      </c>
      <c r="CG44" s="91">
        <f t="shared" si="37"/>
        <v>6.9436619718310055E-2</v>
      </c>
      <c r="CI44" s="91">
        <f t="shared" si="34"/>
        <v>3.7914691943127909E-2</v>
      </c>
      <c r="CK44" s="91">
        <f t="shared" si="35"/>
        <v>-1.8467220683286989E-3</v>
      </c>
      <c r="CM44" s="91">
        <f t="shared" si="40"/>
        <v>2.6260504201680579E-3</v>
      </c>
      <c r="CO44" s="91">
        <f t="shared" si="41"/>
        <v>8.6788813886211624E-3</v>
      </c>
      <c r="CQ44" s="91">
        <f t="shared" si="34"/>
        <v>2.8216704288963612E-4</v>
      </c>
      <c r="CS44" s="91">
        <f t="shared" si="35"/>
        <v>6.9886085680259669E-5</v>
      </c>
      <c r="CU44" s="91">
        <f t="shared" si="44"/>
        <v>-0.47350993377483441</v>
      </c>
      <c r="CW44" s="91">
        <f t="shared" si="45"/>
        <v>-9.3220338983052153E-3</v>
      </c>
      <c r="CY44" s="91">
        <f t="shared" si="34"/>
        <v>-9.8716683119459692E-4</v>
      </c>
      <c r="DA44" s="91">
        <f t="shared" si="35"/>
        <v>1.2106537530266248E-2</v>
      </c>
      <c r="DC44" s="91">
        <f t="shared" si="48"/>
        <v>3.2756024096385561E-2</v>
      </c>
      <c r="DE44" s="91">
        <f t="shared" si="49"/>
        <v>-4.2297111416781163E-2</v>
      </c>
      <c r="DG44" s="91">
        <f t="shared" si="50"/>
        <v>7.2566371681415776E-2</v>
      </c>
      <c r="DI44" s="91">
        <f t="shared" si="51"/>
        <v>1.7353579175704903E-2</v>
      </c>
      <c r="DK44" s="91">
        <f t="shared" si="52"/>
        <v>1.7228338515840047E-3</v>
      </c>
      <c r="DM44" s="91">
        <f t="shared" si="53"/>
        <v>6.2981663566303858E-3</v>
      </c>
      <c r="DO44" s="91">
        <f t="shared" si="50"/>
        <v>-3.5353535353535026E-3</v>
      </c>
      <c r="DQ44" s="91">
        <f t="shared" si="51"/>
        <v>-1.1827956989247213E-2</v>
      </c>
      <c r="DS44" s="91">
        <f t="shared" si="56"/>
        <v>0.14784394250513344</v>
      </c>
      <c r="DU44" s="91">
        <f t="shared" si="57"/>
        <v>2.1838156484458748E-2</v>
      </c>
      <c r="DW44" s="91">
        <f t="shared" si="50"/>
        <v>1.1604095563140016E-2</v>
      </c>
      <c r="DY44" s="91">
        <f t="shared" si="51"/>
        <v>1.7522658610271913E-2</v>
      </c>
      <c r="EA44" s="91">
        <f t="shared" si="60"/>
        <v>-5.6153486195601454E-3</v>
      </c>
      <c r="EC44" s="91">
        <f t="shared" si="61"/>
        <v>2.4369747899159577E-2</v>
      </c>
      <c r="EE44" s="91">
        <f t="shared" si="50"/>
        <v>-3.3613445378151141E-2</v>
      </c>
      <c r="EG44" s="91">
        <f t="shared" si="51"/>
        <v>-1.3039226339237264E-2</v>
      </c>
    </row>
    <row r="45" spans="1:137">
      <c r="A45" s="90">
        <v>46140.666666666664</v>
      </c>
      <c r="C45" s="91">
        <f t="shared" si="64"/>
        <v>1.1584021523859178E-2</v>
      </c>
      <c r="E45" s="91">
        <f t="shared" si="64"/>
        <v>1.625506664995191E-2</v>
      </c>
      <c r="G45" s="91">
        <f t="shared" si="65"/>
        <v>-1.6073194856577655E-2</v>
      </c>
      <c r="I45" s="91">
        <f t="shared" si="66"/>
        <v>-5.4381127450980893E-3</v>
      </c>
      <c r="K45" s="91">
        <f t="shared" si="0"/>
        <v>-6.8911917098445685E-2</v>
      </c>
      <c r="M45" s="91">
        <f t="shared" si="1"/>
        <v>-1.0834236186348822E-2</v>
      </c>
      <c r="O45" s="91">
        <f t="shared" si="2"/>
        <v>-4.3926351028216182E-2</v>
      </c>
      <c r="Q45" s="91">
        <f t="shared" si="3"/>
        <v>-1.2601871415635513E-2</v>
      </c>
      <c r="S45" s="91">
        <f t="shared" si="4"/>
        <v>-3.2482598607889157E-3</v>
      </c>
      <c r="U45" s="91">
        <f t="shared" si="5"/>
        <v>-6.280014776505416E-3</v>
      </c>
      <c r="W45" s="91">
        <f t="shared" si="2"/>
        <v>-2.0000000000000018E-2</v>
      </c>
      <c r="Y45" s="91">
        <f t="shared" si="3"/>
        <v>-3.6757775683317506E-2</v>
      </c>
      <c r="AA45" s="91">
        <f t="shared" si="8"/>
        <v>-8.5979482169027399E-3</v>
      </c>
      <c r="AC45" s="91">
        <f t="shared" si="9"/>
        <v>-1.3081015086770731E-2</v>
      </c>
      <c r="AE45" s="91">
        <f t="shared" si="2"/>
        <v>2.2448979591835894E-3</v>
      </c>
      <c r="AG45" s="91">
        <f t="shared" si="3"/>
        <v>-3.6737692872879091E-4</v>
      </c>
      <c r="AI45" s="91">
        <f t="shared" si="12"/>
        <v>1.7568474348807372E-2</v>
      </c>
      <c r="AK45" s="91">
        <f t="shared" si="13"/>
        <v>-7.5101097631425917E-3</v>
      </c>
      <c r="AM45" s="91">
        <f t="shared" si="2"/>
        <v>-8.4033613445377853E-3</v>
      </c>
      <c r="AO45" s="91">
        <f t="shared" si="3"/>
        <v>-1.598447222697974E-3</v>
      </c>
      <c r="AQ45" s="91">
        <f t="shared" si="16"/>
        <v>-1.2006696452373067E-2</v>
      </c>
      <c r="AS45" s="91">
        <f t="shared" si="17"/>
        <v>-9.7502256996689907E-3</v>
      </c>
      <c r="AU45" s="91">
        <f t="shared" si="18"/>
        <v>-2.239428231089946E-2</v>
      </c>
      <c r="AW45" s="91">
        <f t="shared" si="19"/>
        <v>-5.9111791730474761E-2</v>
      </c>
      <c r="AY45" s="91">
        <f t="shared" si="20"/>
        <v>-8.105872622001653E-2</v>
      </c>
      <c r="BA45" s="91">
        <f t="shared" si="21"/>
        <v>-1.6339869281045694E-3</v>
      </c>
      <c r="BC45" s="91">
        <f t="shared" si="18"/>
        <v>-7.9459798994974795E-2</v>
      </c>
      <c r="BE45" s="91">
        <f t="shared" si="19"/>
        <v>-3.0965019735946675E-2</v>
      </c>
      <c r="BG45" s="91">
        <f t="shared" si="24"/>
        <v>-6.1832061068702315E-2</v>
      </c>
      <c r="BI45" s="91">
        <f t="shared" si="25"/>
        <v>-1.1118921336826681E-2</v>
      </c>
      <c r="BK45" s="91">
        <f t="shared" si="18"/>
        <v>0.21371428571428552</v>
      </c>
      <c r="BM45" s="91">
        <f t="shared" si="19"/>
        <v>-1.0727653178509322E-2</v>
      </c>
      <c r="BO45" s="91">
        <f t="shared" si="28"/>
        <v>-1.2919896640826156E-3</v>
      </c>
      <c r="BQ45" s="91">
        <f t="shared" si="29"/>
        <v>1.042794595358032E-2</v>
      </c>
      <c r="BS45" s="91">
        <f t="shared" si="18"/>
        <v>5.0950128620031565E-2</v>
      </c>
      <c r="BU45" s="91">
        <f t="shared" si="19"/>
        <v>-3.8641909409790953E-2</v>
      </c>
      <c r="BW45" s="91">
        <f t="shared" si="32"/>
        <v>9.8500601948121602E-3</v>
      </c>
      <c r="BY45" s="91">
        <f t="shared" si="33"/>
        <v>-2.4368630926008272E-3</v>
      </c>
      <c r="CA45" s="91">
        <f t="shared" si="34"/>
        <v>-2.3515579071136106E-3</v>
      </c>
      <c r="CC45" s="91">
        <f t="shared" si="35"/>
        <v>-1.5881076589261967E-2</v>
      </c>
      <c r="CE45" s="91">
        <f t="shared" si="36"/>
        <v>-7.2815533980585823E-4</v>
      </c>
      <c r="CG45" s="91">
        <f t="shared" si="37"/>
        <v>-9.0082971157645186E-2</v>
      </c>
      <c r="CI45" s="91">
        <f t="shared" si="34"/>
        <v>-4.2922374429223642E-2</v>
      </c>
      <c r="CK45" s="91">
        <f t="shared" si="35"/>
        <v>-4.0471785383903836E-2</v>
      </c>
      <c r="CM45" s="91">
        <f t="shared" si="40"/>
        <v>2.3397939584424599E-2</v>
      </c>
      <c r="CO45" s="91">
        <f t="shared" si="41"/>
        <v>9.5602294455066072E-3</v>
      </c>
      <c r="CQ45" s="91">
        <f t="shared" si="34"/>
        <v>-1.1847672778561358E-2</v>
      </c>
      <c r="CS45" s="91">
        <f t="shared" si="35"/>
        <v>-1.3417190775681265E-2</v>
      </c>
      <c r="CU45" s="91">
        <f t="shared" si="44"/>
        <v>1.0062893081761004E-2</v>
      </c>
      <c r="CW45" s="91">
        <f t="shared" si="45"/>
        <v>-2.9940119760479056E-2</v>
      </c>
      <c r="CY45" s="91">
        <f t="shared" si="34"/>
        <v>-2.6679841897233159E-2</v>
      </c>
      <c r="DA45" s="91">
        <f t="shared" si="35"/>
        <v>-3.468899521531088E-2</v>
      </c>
      <c r="DC45" s="91">
        <f t="shared" si="48"/>
        <v>-4.496293595819667E-2</v>
      </c>
      <c r="DE45" s="91">
        <f t="shared" si="49"/>
        <v>-2.1543985637342944E-2</v>
      </c>
      <c r="DG45" s="91">
        <f t="shared" si="50"/>
        <v>-1.8151815181518094E-2</v>
      </c>
      <c r="DI45" s="91">
        <f t="shared" si="51"/>
        <v>-2.1321961620469176E-2</v>
      </c>
      <c r="DK45" s="91">
        <f t="shared" si="52"/>
        <v>-4.8659759218087073E-3</v>
      </c>
      <c r="DM45" s="91">
        <f t="shared" si="53"/>
        <v>-6.9981778329416544E-3</v>
      </c>
      <c r="DO45" s="91">
        <f t="shared" si="50"/>
        <v>8.6163203243789788E-3</v>
      </c>
      <c r="DQ45" s="91">
        <f t="shared" si="51"/>
        <v>-1.6213275299238439E-2</v>
      </c>
      <c r="DS45" s="91">
        <f t="shared" si="56"/>
        <v>-3.3094812164579546E-2</v>
      </c>
      <c r="DU45" s="91">
        <f t="shared" si="57"/>
        <v>-2.832044054018612E-2</v>
      </c>
      <c r="DW45" s="91">
        <f t="shared" si="50"/>
        <v>-2.2267206477732837E-2</v>
      </c>
      <c r="DY45" s="91">
        <f t="shared" si="51"/>
        <v>3.6223277909738671E-2</v>
      </c>
      <c r="EA45" s="91">
        <f t="shared" si="60"/>
        <v>-7.4705882352941066E-2</v>
      </c>
      <c r="EC45" s="91">
        <f t="shared" si="61"/>
        <v>-2.4610336341263084E-3</v>
      </c>
      <c r="EE45" s="91">
        <f t="shared" si="50"/>
        <v>-1.3043478260869712E-2</v>
      </c>
      <c r="EG45" s="91">
        <f t="shared" si="51"/>
        <v>3.4129692832765013E-3</v>
      </c>
    </row>
    <row r="46" spans="1:137">
      <c r="A46" s="90">
        <v>46141.666666666664</v>
      </c>
      <c r="C46" s="91">
        <f t="shared" si="64"/>
        <v>-1.9947545343724782E-3</v>
      </c>
      <c r="E46" s="91">
        <f t="shared" si="64"/>
        <v>1.5213815789474339E-3</v>
      </c>
      <c r="G46" s="91">
        <f t="shared" si="65"/>
        <v>-3.7195275194772504E-2</v>
      </c>
      <c r="I46" s="91">
        <f t="shared" si="66"/>
        <v>1.2860993453985392E-2</v>
      </c>
      <c r="K46" s="91">
        <f t="shared" si="0"/>
        <v>-2.8241513633834203E-2</v>
      </c>
      <c r="M46" s="91">
        <f t="shared" si="1"/>
        <v>-2.7382256297919794E-3</v>
      </c>
      <c r="O46" s="91">
        <f t="shared" ref="O46:BS50" si="67">O24/O23-1</f>
        <v>1.4055973788860365E-2</v>
      </c>
      <c r="Q46" s="91">
        <f t="shared" ref="Q46:BU50" si="68">Q24/Q23-1</f>
        <v>-3.2097821933511073E-3</v>
      </c>
      <c r="S46" s="91">
        <f t="shared" si="4"/>
        <v>-3.8175046554934866E-2</v>
      </c>
      <c r="U46" s="91">
        <f t="shared" si="5"/>
        <v>2.007434944237918E-2</v>
      </c>
      <c r="W46" s="91">
        <f t="shared" si="67"/>
        <v>0</v>
      </c>
      <c r="Y46" s="91">
        <f t="shared" si="68"/>
        <v>2.9354207436398383E-3</v>
      </c>
      <c r="AA46" s="91">
        <f t="shared" si="8"/>
        <v>-1.6753720311422082E-3</v>
      </c>
      <c r="AC46" s="91">
        <f t="shared" si="9"/>
        <v>-2.8010956967394196E-2</v>
      </c>
      <c r="AE46" s="91">
        <f t="shared" si="67"/>
        <v>-2.5656689065363447E-2</v>
      </c>
      <c r="AG46" s="91">
        <f t="shared" si="68"/>
        <v>-9.5553105475928435E-3</v>
      </c>
      <c r="AI46" s="91">
        <f t="shared" si="12"/>
        <v>-1.7444997302319964E-2</v>
      </c>
      <c r="AK46" s="91">
        <f t="shared" si="13"/>
        <v>-1.8626309662398199E-2</v>
      </c>
      <c r="AM46" s="91">
        <f t="shared" si="67"/>
        <v>-2.1332554061952003E-2</v>
      </c>
      <c r="AO46" s="91">
        <f t="shared" si="68"/>
        <v>4.5743038481327325E-4</v>
      </c>
      <c r="AQ46" s="91">
        <f t="shared" si="16"/>
        <v>-2.2610760347525738E-2</v>
      </c>
      <c r="AS46" s="91">
        <f t="shared" si="17"/>
        <v>-1.899349662675498E-2</v>
      </c>
      <c r="AU46" s="91">
        <f t="shared" si="67"/>
        <v>-0.132447910320458</v>
      </c>
      <c r="AW46" s="91">
        <f t="shared" si="68"/>
        <v>-5.436197916666663E-2</v>
      </c>
      <c r="AY46" s="91">
        <f t="shared" si="20"/>
        <v>-3.5553555355535504E-2</v>
      </c>
      <c r="BA46" s="91">
        <f t="shared" si="21"/>
        <v>-1.6366612111293755E-3</v>
      </c>
      <c r="BC46" s="91">
        <f t="shared" si="67"/>
        <v>8.4600123835879559E-2</v>
      </c>
      <c r="BE46" s="91">
        <f t="shared" si="68"/>
        <v>-2.9707142355502425E-2</v>
      </c>
      <c r="BG46" s="91">
        <f t="shared" si="24"/>
        <v>8.5435313262816059E-3</v>
      </c>
      <c r="BI46" s="91">
        <f t="shared" si="25"/>
        <v>-1.0468497576736735E-2</v>
      </c>
      <c r="BK46" s="91">
        <f t="shared" si="67"/>
        <v>-3.5781544256120457E-2</v>
      </c>
      <c r="BM46" s="91">
        <f t="shared" si="68"/>
        <v>-3.3068191974260364E-3</v>
      </c>
      <c r="BO46" s="91">
        <f t="shared" si="28"/>
        <v>-6.8995256576110942E-3</v>
      </c>
      <c r="BQ46" s="91">
        <f t="shared" si="29"/>
        <v>-1.115899825276645E-2</v>
      </c>
      <c r="BS46" s="91">
        <f t="shared" si="67"/>
        <v>-3.5452033162258312E-2</v>
      </c>
      <c r="BU46" s="91">
        <f t="shared" si="68"/>
        <v>2.8098911340696864E-2</v>
      </c>
      <c r="BW46" s="91">
        <f t="shared" si="32"/>
        <v>-1.6256638127234435E-3</v>
      </c>
      <c r="BY46" s="91">
        <f t="shared" si="33"/>
        <v>-1.4212747057517183E-2</v>
      </c>
      <c r="CA46" s="91">
        <f t="shared" ref="CA46:EE50" si="69">CA24/CA23-1</f>
        <v>5.6570418385386123E-2</v>
      </c>
      <c r="CC46" s="91">
        <f t="shared" ref="CC46:EG50" si="70">CC24/CC23-1</f>
        <v>-1.8389079138715569E-2</v>
      </c>
      <c r="CE46" s="91">
        <f t="shared" si="36"/>
        <v>-2.137478746660193E-2</v>
      </c>
      <c r="CG46" s="91">
        <f t="shared" si="37"/>
        <v>-5.9487624837168851E-2</v>
      </c>
      <c r="CI46" s="91">
        <f t="shared" si="69"/>
        <v>-9.4465648854961892E-2</v>
      </c>
      <c r="CK46" s="91">
        <f t="shared" si="70"/>
        <v>-1.2834417932031772E-2</v>
      </c>
      <c r="CM46" s="91">
        <f t="shared" si="40"/>
        <v>3.6683159870329218E-2</v>
      </c>
      <c r="CO46" s="91">
        <f t="shared" si="41"/>
        <v>-1.7045454545454475E-2</v>
      </c>
      <c r="CQ46" s="91">
        <f t="shared" si="69"/>
        <v>-2.7119611761347473E-2</v>
      </c>
      <c r="CS46" s="91">
        <f t="shared" si="70"/>
        <v>-2.2736931576710639E-2</v>
      </c>
      <c r="CU46" s="91">
        <f t="shared" si="44"/>
        <v>-0.17808219178082185</v>
      </c>
      <c r="CW46" s="91">
        <f t="shared" si="45"/>
        <v>-2.3809523809523725E-2</v>
      </c>
      <c r="CY46" s="91">
        <f t="shared" si="69"/>
        <v>-1.9289340101522834E-2</v>
      </c>
      <c r="DA46" s="91">
        <f t="shared" si="70"/>
        <v>-4.9566294919456411E-3</v>
      </c>
      <c r="DC46" s="91">
        <f t="shared" si="48"/>
        <v>-1.9977096322687404E-2</v>
      </c>
      <c r="DE46" s="91">
        <f t="shared" si="49"/>
        <v>-3.412844036697249E-2</v>
      </c>
      <c r="DG46" s="91">
        <f t="shared" si="69"/>
        <v>5.0420168067226712E-3</v>
      </c>
      <c r="DI46" s="91">
        <f t="shared" si="70"/>
        <v>-0.1541394335511983</v>
      </c>
      <c r="DK46" s="91">
        <f t="shared" si="52"/>
        <v>-1.5456167713467917E-4</v>
      </c>
      <c r="DM46" s="91">
        <f t="shared" si="53"/>
        <v>-8.563374288601544E-3</v>
      </c>
      <c r="DO46" s="91">
        <f t="shared" si="69"/>
        <v>-5.0251256281407031E-2</v>
      </c>
      <c r="DQ46" s="91">
        <f t="shared" si="70"/>
        <v>-1.9798694834642139E-2</v>
      </c>
      <c r="DS46" s="91">
        <f t="shared" si="56"/>
        <v>-7.6780758556891815E-2</v>
      </c>
      <c r="DU46" s="91">
        <f t="shared" si="57"/>
        <v>4.8576440426393308E-3</v>
      </c>
      <c r="DW46" s="91">
        <f t="shared" si="69"/>
        <v>-5.1759834368530044E-2</v>
      </c>
      <c r="DY46" s="91">
        <f t="shared" si="70"/>
        <v>7.9011461318051479E-2</v>
      </c>
      <c r="EA46" s="91">
        <f t="shared" si="60"/>
        <v>8.0864589955498944E-2</v>
      </c>
      <c r="EC46" s="91">
        <f t="shared" si="61"/>
        <v>8.2236842105263053E-2</v>
      </c>
      <c r="EE46" s="91">
        <f t="shared" si="69"/>
        <v>-7.342143906020504E-3</v>
      </c>
      <c r="EG46" s="91">
        <f t="shared" si="70"/>
        <v>5.069124423963145E-2</v>
      </c>
    </row>
    <row r="47" spans="1:137">
      <c r="A47" s="90">
        <v>46142.666666666664</v>
      </c>
      <c r="C47" s="91">
        <f t="shared" ref="C47:E50" si="71">C25/C24-1</f>
        <v>4.367620387163651E-3</v>
      </c>
      <c r="E47" s="91">
        <f t="shared" si="71"/>
        <v>1.0387157695939564E-2</v>
      </c>
      <c r="G47" s="91">
        <f t="shared" si="65"/>
        <v>2.0882276168102232E-2</v>
      </c>
      <c r="I47" s="91">
        <f t="shared" si="66"/>
        <v>7.6794403892943564E-3</v>
      </c>
      <c r="K47" s="91">
        <f t="shared" si="0"/>
        <v>5.7981388690050206E-2</v>
      </c>
      <c r="M47" s="91">
        <f t="shared" si="1"/>
        <v>2.3064250411861442E-2</v>
      </c>
      <c r="O47" s="91">
        <f t="shared" si="67"/>
        <v>2.9547416450857122E-2</v>
      </c>
      <c r="Q47" s="91">
        <f t="shared" si="68"/>
        <v>1.1117074292724016E-2</v>
      </c>
      <c r="S47" s="91">
        <f t="shared" si="4"/>
        <v>3.5818005808325282E-2</v>
      </c>
      <c r="U47" s="91">
        <f t="shared" si="5"/>
        <v>-2.8425655976676456E-2</v>
      </c>
      <c r="W47" s="91">
        <f t="shared" si="67"/>
        <v>3.0612244897959107E-2</v>
      </c>
      <c r="Y47" s="91">
        <f t="shared" si="68"/>
        <v>-4.8780487804879202E-3</v>
      </c>
      <c r="AA47" s="91">
        <f t="shared" si="8"/>
        <v>2.4185587364264682E-2</v>
      </c>
      <c r="AC47" s="91">
        <f t="shared" si="9"/>
        <v>3.1454545454545402E-2</v>
      </c>
      <c r="AE47" s="91">
        <f t="shared" si="67"/>
        <v>1.4733542319749215E-2</v>
      </c>
      <c r="AG47" s="91">
        <f t="shared" si="68"/>
        <v>4.0816326530612734E-3</v>
      </c>
      <c r="AI47" s="91">
        <f t="shared" si="12"/>
        <v>2.4209884075655941E-2</v>
      </c>
      <c r="AK47" s="91">
        <f t="shared" si="13"/>
        <v>4.9822064056939563E-2</v>
      </c>
      <c r="AM47" s="91">
        <f t="shared" si="67"/>
        <v>3.314422215586732E-2</v>
      </c>
      <c r="AO47" s="91">
        <f t="shared" si="68"/>
        <v>9.9617077213236538E-2</v>
      </c>
      <c r="AQ47" s="91">
        <f t="shared" si="16"/>
        <v>2.0064045936395658E-2</v>
      </c>
      <c r="AS47" s="91">
        <f t="shared" si="17"/>
        <v>1.8555806821350052E-2</v>
      </c>
      <c r="AU47" s="91">
        <f t="shared" si="67"/>
        <v>2.3735955056179758E-2</v>
      </c>
      <c r="AW47" s="91">
        <f t="shared" si="68"/>
        <v>0.15249569707401012</v>
      </c>
      <c r="AY47" s="91">
        <f t="shared" si="20"/>
        <v>6.1829211385907579E-2</v>
      </c>
      <c r="BA47" s="91">
        <f t="shared" si="21"/>
        <v>1.9672131147540961E-2</v>
      </c>
      <c r="BC47" s="91">
        <f t="shared" si="67"/>
        <v>5.1262932239724002E-2</v>
      </c>
      <c r="BE47" s="91">
        <f t="shared" si="68"/>
        <v>-3.3294730746961099E-3</v>
      </c>
      <c r="BG47" s="91">
        <f t="shared" si="24"/>
        <v>2.2589753933037526E-2</v>
      </c>
      <c r="BI47" s="91">
        <f t="shared" si="25"/>
        <v>3.1411219225494724E-2</v>
      </c>
      <c r="BK47" s="91">
        <f t="shared" si="67"/>
        <v>-5.2734375000000111E-2</v>
      </c>
      <c r="BM47" s="91">
        <f t="shared" si="68"/>
        <v>-8.5500358680057453E-2</v>
      </c>
      <c r="BO47" s="91">
        <f t="shared" si="28"/>
        <v>1.0421189752496618E-2</v>
      </c>
      <c r="BQ47" s="91">
        <f t="shared" si="29"/>
        <v>-3.9296989115582215E-2</v>
      </c>
      <c r="BS47" s="91">
        <f t="shared" si="67"/>
        <v>4.10936476751802E-2</v>
      </c>
      <c r="BU47" s="91">
        <f t="shared" si="68"/>
        <v>-2.5074258380589631E-3</v>
      </c>
      <c r="BW47" s="91">
        <f t="shared" si="32"/>
        <v>1.617455492835429E-2</v>
      </c>
      <c r="BY47" s="91">
        <f t="shared" si="33"/>
        <v>-6.7582788916420444E-4</v>
      </c>
      <c r="CA47" s="91">
        <f t="shared" si="69"/>
        <v>3.3463469046291161E-2</v>
      </c>
      <c r="CC47" s="91">
        <f t="shared" si="70"/>
        <v>-4.6260454002389539E-2</v>
      </c>
      <c r="CE47" s="91">
        <f t="shared" si="36"/>
        <v>4.790270538595176E-2</v>
      </c>
      <c r="CG47" s="91">
        <f t="shared" si="37"/>
        <v>0.11572791628193291</v>
      </c>
      <c r="CI47" s="91">
        <f t="shared" si="69"/>
        <v>5.7955742887249695E-2</v>
      </c>
      <c r="CK47" s="91">
        <f t="shared" si="70"/>
        <v>-1.4893487151315554E-2</v>
      </c>
      <c r="CM47" s="91">
        <f t="shared" si="40"/>
        <v>-2.9624753127057701E-3</v>
      </c>
      <c r="CO47" s="91">
        <f t="shared" si="41"/>
        <v>-7.7071290944122905E-3</v>
      </c>
      <c r="CQ47" s="91">
        <f t="shared" si="69"/>
        <v>8.4800469483568008E-2</v>
      </c>
      <c r="CS47" s="91">
        <f t="shared" si="70"/>
        <v>8.2626657969124828E-3</v>
      </c>
      <c r="CU47" s="91">
        <f t="shared" si="44"/>
        <v>7.8787878787878851E-2</v>
      </c>
      <c r="CW47" s="91">
        <f t="shared" si="45"/>
        <v>5.8717253839205119E-2</v>
      </c>
      <c r="CY47" s="91">
        <f t="shared" si="69"/>
        <v>1.2422360248447228E-2</v>
      </c>
      <c r="DA47" s="91">
        <f t="shared" si="70"/>
        <v>2.1170610211706187E-2</v>
      </c>
      <c r="DC47" s="91">
        <f t="shared" si="48"/>
        <v>7.1280186964424841E-2</v>
      </c>
      <c r="DE47" s="91">
        <f t="shared" si="49"/>
        <v>4.1033434650455947E-2</v>
      </c>
      <c r="DG47" s="91">
        <f t="shared" si="69"/>
        <v>1.5050167224080147E-2</v>
      </c>
      <c r="DI47" s="91">
        <f t="shared" si="70"/>
        <v>3.6703155183515968E-2</v>
      </c>
      <c r="DK47" s="91">
        <f t="shared" si="52"/>
        <v>9.9496894235362454E-3</v>
      </c>
      <c r="DM47" s="91">
        <f t="shared" si="53"/>
        <v>2.3685622317596522E-2</v>
      </c>
      <c r="DO47" s="91">
        <f t="shared" si="69"/>
        <v>-1.6931216931216908E-2</v>
      </c>
      <c r="DQ47" s="91">
        <f t="shared" si="70"/>
        <v>1.5572105619498844E-2</v>
      </c>
      <c r="DS47" s="91">
        <f t="shared" si="56"/>
        <v>0.20340681362725443</v>
      </c>
      <c r="DU47" s="91">
        <f t="shared" si="57"/>
        <v>1.8799516583858367E-3</v>
      </c>
      <c r="DW47" s="91">
        <f t="shared" si="69"/>
        <v>6.1863173216885059E-2</v>
      </c>
      <c r="DY47" s="91">
        <f t="shared" si="70"/>
        <v>-2.3501294562836006E-2</v>
      </c>
      <c r="EA47" s="91">
        <f t="shared" si="60"/>
        <v>0.11504528878955411</v>
      </c>
      <c r="EC47" s="91">
        <f t="shared" si="61"/>
        <v>8.358662613981771E-3</v>
      </c>
      <c r="EE47" s="91">
        <f t="shared" si="69"/>
        <v>2.9585798816567976E-2</v>
      </c>
      <c r="EG47" s="91">
        <f t="shared" si="70"/>
        <v>1.4515455304928926E-2</v>
      </c>
    </row>
    <row r="48" spans="1:137">
      <c r="A48" s="90">
        <v>46143.666666666664</v>
      </c>
      <c r="C48" s="91">
        <f t="shared" si="71"/>
        <v>3.2393587617468134E-2</v>
      </c>
      <c r="E48" s="91">
        <f t="shared" si="71"/>
        <v>1.8732222673709886E-2</v>
      </c>
      <c r="G48" s="91">
        <f t="shared" si="65"/>
        <v>-1.4318588596267001E-2</v>
      </c>
      <c r="I48" s="91">
        <f t="shared" si="66"/>
        <v>1.2072738247943748E-2</v>
      </c>
      <c r="K48" s="91">
        <f t="shared" si="0"/>
        <v>-4.0730717185385679E-2</v>
      </c>
      <c r="M48" s="91">
        <f t="shared" si="1"/>
        <v>-1.6103059581319412E-3</v>
      </c>
      <c r="O48" s="91">
        <f t="shared" si="67"/>
        <v>9.2231032748004704E-3</v>
      </c>
      <c r="Q48" s="91">
        <f t="shared" si="68"/>
        <v>-2.8814073400060813E-3</v>
      </c>
      <c r="S48" s="91">
        <f t="shared" si="4"/>
        <v>2.2429906542056122E-2</v>
      </c>
      <c r="U48" s="91">
        <f t="shared" si="5"/>
        <v>-4.876219054763653E-3</v>
      </c>
      <c r="W48" s="91">
        <f t="shared" si="67"/>
        <v>5.9405940594059459E-2</v>
      </c>
      <c r="Y48" s="91">
        <f t="shared" si="68"/>
        <v>3.0392156862745212E-2</v>
      </c>
      <c r="AA48" s="91">
        <f t="shared" si="8"/>
        <v>-6.4578313253011999E-3</v>
      </c>
      <c r="AC48" s="91">
        <f t="shared" si="9"/>
        <v>-1.0135730653974884E-2</v>
      </c>
      <c r="AE48" s="91">
        <f t="shared" si="67"/>
        <v>-2.5126145608073247E-2</v>
      </c>
      <c r="AG48" s="91">
        <f t="shared" si="68"/>
        <v>1.7738359201773912E-2</v>
      </c>
      <c r="AI48" s="91">
        <f t="shared" si="12"/>
        <v>-9.6742678771415402E-3</v>
      </c>
      <c r="AK48" s="91">
        <f t="shared" si="13"/>
        <v>5.8757062146892691E-2</v>
      </c>
      <c r="AM48" s="91">
        <f t="shared" si="67"/>
        <v>-2.3121387283237094E-2</v>
      </c>
      <c r="AO48" s="91">
        <f t="shared" si="68"/>
        <v>2.3128898128896846E-3</v>
      </c>
      <c r="AQ48" s="91">
        <f t="shared" si="16"/>
        <v>-6.4951232449539376E-5</v>
      </c>
      <c r="AS48" s="91">
        <f t="shared" si="17"/>
        <v>-1.4963503649635057E-2</v>
      </c>
      <c r="AU48" s="91">
        <f t="shared" si="67"/>
        <v>1.0563863355741443E-2</v>
      </c>
      <c r="AW48" s="91">
        <f t="shared" si="68"/>
        <v>-5.9737156511341372E-4</v>
      </c>
      <c r="AY48" s="91">
        <f t="shared" si="20"/>
        <v>3.2959789057349642E-3</v>
      </c>
      <c r="BA48" s="91">
        <f t="shared" si="21"/>
        <v>1.688102893890675E-2</v>
      </c>
      <c r="BC48" s="91">
        <f t="shared" si="67"/>
        <v>5.2763986168986587E-2</v>
      </c>
      <c r="BE48" s="91">
        <f t="shared" si="68"/>
        <v>-2.9920116194625868E-2</v>
      </c>
      <c r="BG48" s="91">
        <f t="shared" si="24"/>
        <v>1.0650887573964374E-2</v>
      </c>
      <c r="BI48" s="91">
        <f t="shared" si="25"/>
        <v>1.9627706724072436E-3</v>
      </c>
      <c r="BK48" s="91">
        <f t="shared" si="67"/>
        <v>-6.1855670103091454E-3</v>
      </c>
      <c r="BM48" s="91">
        <f t="shared" si="68"/>
        <v>-5.1641581278292215E-3</v>
      </c>
      <c r="BO48" s="91">
        <f t="shared" si="28"/>
        <v>-5.1568543188655891E-3</v>
      </c>
      <c r="BQ48" s="91">
        <f t="shared" si="29"/>
        <v>1.6332336063563657E-2</v>
      </c>
      <c r="BS48" s="91">
        <f t="shared" si="67"/>
        <v>-1.037899040729684E-2</v>
      </c>
      <c r="BU48" s="91">
        <f t="shared" si="68"/>
        <v>4.8437620852347596E-2</v>
      </c>
      <c r="BW48" s="91">
        <f t="shared" si="32"/>
        <v>-1.6558060036320876E-2</v>
      </c>
      <c r="BY48" s="91">
        <f t="shared" si="33"/>
        <v>9.0171325518473289E-4</v>
      </c>
      <c r="CA48" s="91">
        <f t="shared" si="69"/>
        <v>4.587155963302747E-2</v>
      </c>
      <c r="CC48" s="91">
        <f t="shared" si="70"/>
        <v>-5.6120659417748797E-3</v>
      </c>
      <c r="CE48" s="91">
        <f t="shared" si="36"/>
        <v>3.9317858834675645E-2</v>
      </c>
      <c r="CG48" s="91">
        <f t="shared" si="37"/>
        <v>-2.8965517241379191E-2</v>
      </c>
      <c r="CI48" s="91">
        <f t="shared" si="69"/>
        <v>2.788844621513964E-2</v>
      </c>
      <c r="CK48" s="91">
        <f t="shared" si="70"/>
        <v>6.4688022801908662E-2</v>
      </c>
      <c r="CM48" s="91">
        <f t="shared" si="40"/>
        <v>-3.0868273357543718E-2</v>
      </c>
      <c r="CO48" s="91">
        <f t="shared" si="41"/>
        <v>3.5922330097087229E-2</v>
      </c>
      <c r="CQ48" s="91">
        <f t="shared" si="69"/>
        <v>-1.8934271030565109E-3</v>
      </c>
      <c r="CS48" s="91">
        <f t="shared" si="70"/>
        <v>3.5655236862914164E-2</v>
      </c>
      <c r="CU48" s="91">
        <f t="shared" si="44"/>
        <v>2.6685393258427004E-2</v>
      </c>
      <c r="CW48" s="91">
        <f t="shared" si="45"/>
        <v>-4.180887372013653E-2</v>
      </c>
      <c r="CY48" s="91">
        <f t="shared" si="69"/>
        <v>1.0224948875254825E-3</v>
      </c>
      <c r="DA48" s="91">
        <f t="shared" si="70"/>
        <v>-8.4146341463414598E-2</v>
      </c>
      <c r="DC48" s="91">
        <f t="shared" si="48"/>
        <v>-4.4843049327354279E-2</v>
      </c>
      <c r="DE48" s="91">
        <f t="shared" si="49"/>
        <v>-1.1313868613138656E-2</v>
      </c>
      <c r="DG48" s="91">
        <f t="shared" si="69"/>
        <v>3.6243822075782584E-2</v>
      </c>
      <c r="DI48" s="91">
        <f t="shared" si="70"/>
        <v>2.0496894409937738E-2</v>
      </c>
      <c r="DK48" s="91">
        <f t="shared" si="52"/>
        <v>2.7690423844377587E-3</v>
      </c>
      <c r="DM48" s="91">
        <f t="shared" si="53"/>
        <v>2.4080916070539526E-2</v>
      </c>
      <c r="DO48" s="91">
        <f t="shared" si="69"/>
        <v>1.0764262648008671E-2</v>
      </c>
      <c r="DQ48" s="91">
        <f t="shared" si="70"/>
        <v>2.8000000000000025E-2</v>
      </c>
      <c r="DS48" s="91">
        <f t="shared" si="56"/>
        <v>1.1656952539550458E-2</v>
      </c>
      <c r="DU48" s="91">
        <f t="shared" si="57"/>
        <v>6.8355448331323121E-3</v>
      </c>
      <c r="DW48" s="91">
        <f t="shared" si="69"/>
        <v>-2.7416038382453767E-2</v>
      </c>
      <c r="DY48" s="91">
        <f t="shared" si="70"/>
        <v>-2.9165816846828396E-2</v>
      </c>
      <c r="EA48" s="91">
        <f t="shared" si="60"/>
        <v>-2.5319126490137567E-3</v>
      </c>
      <c r="EC48" s="91">
        <f t="shared" si="61"/>
        <v>-4.0693293142426423E-2</v>
      </c>
      <c r="EE48" s="91">
        <f t="shared" si="69"/>
        <v>-3.7356321839080442E-2</v>
      </c>
      <c r="EG48" s="91">
        <f t="shared" si="70"/>
        <v>6.4745239320638026E-2</v>
      </c>
    </row>
    <row r="49" spans="1:137">
      <c r="A49" s="90">
        <v>46146.666666666664</v>
      </c>
      <c r="C49" s="91">
        <f t="shared" si="71"/>
        <v>-1.1815520811023106E-2</v>
      </c>
      <c r="E49" s="91">
        <f t="shared" si="71"/>
        <v>1.2963184555861318E-2</v>
      </c>
      <c r="G49" s="91">
        <f t="shared" si="65"/>
        <v>-4.1245136186770281E-2</v>
      </c>
      <c r="I49" s="91">
        <f t="shared" si="66"/>
        <v>1.4128084693953769E-2</v>
      </c>
      <c r="K49" s="91">
        <f t="shared" si="0"/>
        <v>-3.4701650444350363E-2</v>
      </c>
      <c r="M49" s="91">
        <f t="shared" si="1"/>
        <v>-9.6774193548386789E-3</v>
      </c>
      <c r="O49" s="91">
        <f t="shared" si="67"/>
        <v>-1.1346372958602302E-2</v>
      </c>
      <c r="Q49" s="91">
        <f t="shared" si="68"/>
        <v>1.3460076045627378E-2</v>
      </c>
      <c r="S49" s="91">
        <f t="shared" si="4"/>
        <v>4.1590493601462608E-2</v>
      </c>
      <c r="U49" s="91">
        <f t="shared" si="5"/>
        <v>-3.7693177534869893E-4</v>
      </c>
      <c r="W49" s="91">
        <f t="shared" si="67"/>
        <v>0.30841121495327095</v>
      </c>
      <c r="Y49" s="91">
        <f t="shared" si="68"/>
        <v>-2.4738344433872461E-2</v>
      </c>
      <c r="AA49" s="91">
        <f t="shared" si="8"/>
        <v>-1.7171129220023285E-2</v>
      </c>
      <c r="AC49" s="91">
        <f t="shared" si="9"/>
        <v>-3.2721930371293673E-2</v>
      </c>
      <c r="AE49" s="91">
        <f t="shared" si="67"/>
        <v>-6.5490651737615257E-3</v>
      </c>
      <c r="AG49" s="91">
        <f t="shared" si="68"/>
        <v>-1.1982570806100101E-2</v>
      </c>
      <c r="AI49" s="91">
        <f t="shared" si="12"/>
        <v>3.1965063400784421E-2</v>
      </c>
      <c r="AK49" s="91">
        <f t="shared" si="13"/>
        <v>6.5101387406617084E-2</v>
      </c>
      <c r="AM49" s="91">
        <f t="shared" si="67"/>
        <v>-1.2721893491124292E-2</v>
      </c>
      <c r="AO49" s="91">
        <f t="shared" si="68"/>
        <v>-6.3263242500453121E-3</v>
      </c>
      <c r="AQ49" s="91">
        <f t="shared" si="16"/>
        <v>-2.2128157105585133E-2</v>
      </c>
      <c r="AS49" s="91">
        <f t="shared" si="17"/>
        <v>-3.5383475361244865E-2</v>
      </c>
      <c r="AU49" s="91">
        <f t="shared" si="67"/>
        <v>3.9234319847950117E-2</v>
      </c>
      <c r="AW49" s="91">
        <f t="shared" si="68"/>
        <v>8.9659294680211055E-4</v>
      </c>
      <c r="AY49" s="91">
        <f t="shared" si="20"/>
        <v>8.3661848445028442E-2</v>
      </c>
      <c r="BA49" s="91">
        <f t="shared" si="21"/>
        <v>-2.3715415019763819E-3</v>
      </c>
      <c r="BC49" s="91">
        <f t="shared" si="67"/>
        <v>2.7633615108481724E-2</v>
      </c>
      <c r="BE49" s="91">
        <f t="shared" si="68"/>
        <v>-3.4436292858212481E-2</v>
      </c>
      <c r="BG49" s="91">
        <f t="shared" si="24"/>
        <v>-1.0538641686182681E-2</v>
      </c>
      <c r="BI49" s="91">
        <f t="shared" si="25"/>
        <v>-4.2338072669825255E-3</v>
      </c>
      <c r="BK49" s="91">
        <f t="shared" si="67"/>
        <v>-1.6597510373444035E-2</v>
      </c>
      <c r="BM49" s="91">
        <f t="shared" si="68"/>
        <v>2.7268993839835165E-3</v>
      </c>
      <c r="BO49" s="91">
        <f t="shared" si="28"/>
        <v>-7.7753779697623537E-3</v>
      </c>
      <c r="BQ49" s="91">
        <f t="shared" si="29"/>
        <v>-1.9785734967666668E-3</v>
      </c>
      <c r="BS49" s="91">
        <f t="shared" si="67"/>
        <v>-2.034006038455427E-2</v>
      </c>
      <c r="BU49" s="91">
        <f t="shared" si="68"/>
        <v>6.3148964423378473E-2</v>
      </c>
      <c r="BW49" s="91">
        <f t="shared" si="32"/>
        <v>-1.1296980230284692E-2</v>
      </c>
      <c r="BY49" s="91">
        <f t="shared" si="33"/>
        <v>-2.950450450450437E-2</v>
      </c>
      <c r="CA49" s="91">
        <f t="shared" si="69"/>
        <v>-6.5015479876160853E-2</v>
      </c>
      <c r="CC49" s="91">
        <f t="shared" si="70"/>
        <v>1.5117157974309237E-4</v>
      </c>
      <c r="CE49" s="91">
        <f t="shared" si="36"/>
        <v>1.162260711030072E-2</v>
      </c>
      <c r="CG49" s="91">
        <f t="shared" si="37"/>
        <v>-2.556818181818199E-2</v>
      </c>
      <c r="CI49" s="91">
        <f t="shared" si="69"/>
        <v>-5.7170542635658905E-2</v>
      </c>
      <c r="CK49" s="91">
        <f t="shared" si="70"/>
        <v>4.9234708723738363E-2</v>
      </c>
      <c r="CM49" s="91">
        <f t="shared" si="40"/>
        <v>2.6571282575370558E-2</v>
      </c>
      <c r="CO49" s="91">
        <f t="shared" si="41"/>
        <v>1.4995313964386137E-2</v>
      </c>
      <c r="CQ49" s="91">
        <f t="shared" si="69"/>
        <v>4.4444444444444509E-2</v>
      </c>
      <c r="CS49" s="91">
        <f t="shared" si="70"/>
        <v>1.3604497813562988E-2</v>
      </c>
      <c r="CU49" s="91">
        <f t="shared" si="44"/>
        <v>-2.735978112175097E-2</v>
      </c>
      <c r="CW49" s="91">
        <f t="shared" si="45"/>
        <v>-2.0480854853072161E-2</v>
      </c>
      <c r="CY49" s="91">
        <f t="shared" si="69"/>
        <v>-1.5321756894790428E-2</v>
      </c>
      <c r="DA49" s="91">
        <f t="shared" si="70"/>
        <v>-3.3954727030625853E-2</v>
      </c>
      <c r="DC49" s="91">
        <f t="shared" si="48"/>
        <v>1.9033117624666973E-2</v>
      </c>
      <c r="DE49" s="91">
        <f t="shared" si="49"/>
        <v>3.063861203396101E-2</v>
      </c>
      <c r="DG49" s="91">
        <f t="shared" si="69"/>
        <v>-1.9077901430842648E-2</v>
      </c>
      <c r="DI49" s="91">
        <f t="shared" si="70"/>
        <v>-1.3998782714546576E-2</v>
      </c>
      <c r="DK49" s="91">
        <f t="shared" si="52"/>
        <v>-3.6633594671476866E-3</v>
      </c>
      <c r="DM49" s="91">
        <f t="shared" si="53"/>
        <v>4.3242413387236667E-3</v>
      </c>
      <c r="DO49" s="91">
        <f t="shared" si="69"/>
        <v>-7.4547390841320782E-3</v>
      </c>
      <c r="DQ49" s="91">
        <f t="shared" si="70"/>
        <v>-2.6480760916558599E-2</v>
      </c>
      <c r="DS49" s="91">
        <f t="shared" si="56"/>
        <v>-3.292181069958855E-2</v>
      </c>
      <c r="DU49" s="91">
        <f t="shared" si="57"/>
        <v>-1.5841320553780625E-2</v>
      </c>
      <c r="DW49" s="91">
        <f t="shared" si="69"/>
        <v>-2.6779422128259234E-2</v>
      </c>
      <c r="DY49" s="91">
        <f t="shared" si="70"/>
        <v>3.3683473389355845E-2</v>
      </c>
      <c r="EA49" s="91">
        <f t="shared" si="60"/>
        <v>0.21628767847699626</v>
      </c>
      <c r="EC49" s="91">
        <f t="shared" si="61"/>
        <v>8.1696779261586805E-2</v>
      </c>
      <c r="EE49" s="91">
        <f t="shared" si="69"/>
        <v>-2.3880597014925398E-2</v>
      </c>
      <c r="EG49" s="91">
        <f t="shared" si="70"/>
        <v>3.0839133797370355E-2</v>
      </c>
    </row>
    <row r="50" spans="1:137">
      <c r="A50" s="90">
        <v>46147.666666666664</v>
      </c>
      <c r="C50" s="91">
        <f t="shared" si="71"/>
        <v>2.6550590615179059E-2</v>
      </c>
      <c r="E50" s="91">
        <f t="shared" si="71"/>
        <v>6.5364624350290335E-3</v>
      </c>
      <c r="G50" s="91">
        <f t="shared" si="65"/>
        <v>4.1937229437229329E-2</v>
      </c>
      <c r="I50" s="91">
        <f t="shared" si="66"/>
        <v>5.513692335967546E-3</v>
      </c>
      <c r="K50" s="91">
        <f t="shared" si="0"/>
        <v>-6.6637439719421487E-2</v>
      </c>
      <c r="M50" s="91">
        <f t="shared" si="1"/>
        <v>-4.8859934853422438E-3</v>
      </c>
      <c r="O50" s="91">
        <f t="shared" si="67"/>
        <v>2.607442977190888E-2</v>
      </c>
      <c r="Q50" s="91">
        <f t="shared" si="68"/>
        <v>-7.5785998349217065E-3</v>
      </c>
      <c r="S50" s="91">
        <f t="shared" si="4"/>
        <v>1.3602457218078179E-2</v>
      </c>
      <c r="U50" s="91">
        <f t="shared" si="5"/>
        <v>-5.731523378582204E-2</v>
      </c>
      <c r="W50" s="91">
        <f t="shared" si="67"/>
        <v>7.8571428571428736E-2</v>
      </c>
      <c r="Y50" s="91">
        <f t="shared" si="68"/>
        <v>3.9024390243902474E-2</v>
      </c>
      <c r="AA50" s="91">
        <f t="shared" si="8"/>
        <v>-8.1926759451189657E-3</v>
      </c>
      <c r="AC50" s="91">
        <f t="shared" si="9"/>
        <v>-8.1925714548718442E-3</v>
      </c>
      <c r="AE50" s="91">
        <f t="shared" si="67"/>
        <v>-3.827751196172291E-3</v>
      </c>
      <c r="AG50" s="91">
        <f t="shared" si="68"/>
        <v>2.9400955531054818E-2</v>
      </c>
      <c r="AI50" s="91">
        <f t="shared" si="12"/>
        <v>-7.6125858310308603E-3</v>
      </c>
      <c r="AK50" s="91">
        <f t="shared" si="13"/>
        <v>-2.7054108216432837E-2</v>
      </c>
      <c r="AM50" s="91">
        <f t="shared" si="67"/>
        <v>-5.5439017081210573E-2</v>
      </c>
      <c r="AO50" s="91">
        <f t="shared" si="68"/>
        <v>1.3515981735159777E-2</v>
      </c>
      <c r="AQ50" s="91">
        <f t="shared" si="16"/>
        <v>1.72927253202253E-2</v>
      </c>
      <c r="AS50" s="91">
        <f t="shared" si="17"/>
        <v>9.6024582293066096E-3</v>
      </c>
      <c r="AU50" s="91">
        <f t="shared" si="67"/>
        <v>6.2704114957543577E-3</v>
      </c>
      <c r="AW50" s="91">
        <f t="shared" si="68"/>
        <v>9.8536876679604646E-3</v>
      </c>
      <c r="AY50" s="91">
        <f t="shared" si="20"/>
        <v>0.10630557801131779</v>
      </c>
      <c r="BA50" s="91">
        <f t="shared" si="21"/>
        <v>-1.5847860538826808E-3</v>
      </c>
      <c r="BC50" s="91">
        <f t="shared" si="67"/>
        <v>1.8828494744821622E-2</v>
      </c>
      <c r="BE50" s="91">
        <f t="shared" si="68"/>
        <v>9.5363622267019554E-3</v>
      </c>
      <c r="BG50" s="91">
        <f t="shared" si="24"/>
        <v>-2.1696252465483234E-2</v>
      </c>
      <c r="BI50" s="91">
        <f t="shared" si="25"/>
        <v>-2.0307145576851093E-3</v>
      </c>
      <c r="BK50" s="91">
        <f t="shared" si="67"/>
        <v>-1.7932489451476741E-2</v>
      </c>
      <c r="BM50" s="91">
        <f t="shared" si="68"/>
        <v>-8.9284251568616524E-3</v>
      </c>
      <c r="BO50" s="91">
        <f t="shared" si="28"/>
        <v>1.2625163256421601E-2</v>
      </c>
      <c r="BQ50" s="91">
        <f t="shared" si="29"/>
        <v>-5.4155988588560078E-3</v>
      </c>
      <c r="BS50" s="91">
        <f t="shared" si="67"/>
        <v>-3.2441200324411223E-3</v>
      </c>
      <c r="BU50" s="91">
        <f t="shared" si="68"/>
        <v>0.11059068436117614</v>
      </c>
      <c r="BW50" s="91">
        <f t="shared" si="32"/>
        <v>-3.4388046583168519E-2</v>
      </c>
      <c r="BY50" s="91">
        <f t="shared" si="33"/>
        <v>-6.962172197726435E-4</v>
      </c>
      <c r="CA50" s="91">
        <f t="shared" si="69"/>
        <v>3.7527593818984517E-2</v>
      </c>
      <c r="CC50" s="91">
        <f t="shared" si="70"/>
        <v>-9.9758162031438058E-3</v>
      </c>
      <c r="CE50" s="91">
        <f t="shared" si="36"/>
        <v>1.0813246226627493E-2</v>
      </c>
      <c r="CG50" s="91">
        <f t="shared" si="37"/>
        <v>-3.20699708454808E-3</v>
      </c>
      <c r="CI50" s="91">
        <f t="shared" si="69"/>
        <v>-4.1109969167523186E-2</v>
      </c>
      <c r="CK50" s="91">
        <f t="shared" si="70"/>
        <v>2.8065893837705858E-2</v>
      </c>
      <c r="CM50" s="91">
        <f t="shared" si="40"/>
        <v>-1.5430562468889963E-2</v>
      </c>
      <c r="CO50" s="91">
        <f t="shared" si="41"/>
        <v>-1.2003693444136765E-2</v>
      </c>
      <c r="CQ50" s="91">
        <f t="shared" si="69"/>
        <v>-3.6585365853658458E-2</v>
      </c>
      <c r="CS50" s="91">
        <f t="shared" si="70"/>
        <v>-6.9300828596863706E-2</v>
      </c>
      <c r="CU50" s="91">
        <f t="shared" si="44"/>
        <v>0.2953586497890297</v>
      </c>
      <c r="CW50" s="91">
        <f t="shared" si="45"/>
        <v>-5.1818181818181874E-2</v>
      </c>
      <c r="CY50" s="91">
        <f t="shared" si="69"/>
        <v>6.2240663900414717E-3</v>
      </c>
      <c r="DA50" s="91">
        <f t="shared" si="70"/>
        <v>6.2026188835286877E-3</v>
      </c>
      <c r="DC50" s="91">
        <f t="shared" si="48"/>
        <v>-1.9300211679740942E-2</v>
      </c>
      <c r="DE50" s="91">
        <f t="shared" si="49"/>
        <v>-3.223495702005863E-3</v>
      </c>
      <c r="DG50" s="91">
        <f t="shared" si="69"/>
        <v>-9.7244732576984294E-3</v>
      </c>
      <c r="DI50" s="91">
        <f t="shared" si="70"/>
        <v>-1.1111111111111072E-2</v>
      </c>
      <c r="DK50" s="91">
        <f t="shared" si="52"/>
        <v>8.0221723931421796E-3</v>
      </c>
      <c r="DM50" s="91">
        <f t="shared" si="53"/>
        <v>-7.9997961835367448E-3</v>
      </c>
      <c r="DO50" s="91">
        <f t="shared" si="69"/>
        <v>2.6287553648068673E-2</v>
      </c>
      <c r="DQ50" s="91">
        <f t="shared" si="70"/>
        <v>3.9968913067614187E-2</v>
      </c>
      <c r="DS50" s="91">
        <f t="shared" si="56"/>
        <v>-5.1063829787234005E-2</v>
      </c>
      <c r="DU50" s="91">
        <f t="shared" si="57"/>
        <v>-1.3255782496956581E-2</v>
      </c>
      <c r="DW50" s="91">
        <f t="shared" si="69"/>
        <v>-1.5930485155684293E-2</v>
      </c>
      <c r="DY50" s="91">
        <f t="shared" si="70"/>
        <v>-2.3304654156222626E-2</v>
      </c>
      <c r="EA50" s="91">
        <f t="shared" si="60"/>
        <v>0.19817391304347809</v>
      </c>
      <c r="EC50" s="91">
        <f t="shared" si="61"/>
        <v>-5.4466230936819127E-2</v>
      </c>
      <c r="EE50" s="91">
        <f t="shared" si="69"/>
        <v>1.070336391437321E-2</v>
      </c>
      <c r="EG50" s="91">
        <f t="shared" si="70"/>
        <v>2.3164212698114861E-2</v>
      </c>
    </row>
    <row r="52" spans="1:137">
      <c r="A52" t="s">
        <v>1798</v>
      </c>
      <c r="B52" t="s">
        <v>1777</v>
      </c>
      <c r="C52" t="s">
        <v>1777</v>
      </c>
      <c r="D52" t="s">
        <v>1964</v>
      </c>
      <c r="E52" t="s">
        <v>1964</v>
      </c>
      <c r="F52" t="s">
        <v>1970</v>
      </c>
      <c r="G52" t="s">
        <v>1970</v>
      </c>
      <c r="H52" t="s">
        <v>1778</v>
      </c>
      <c r="I52" t="s">
        <v>1778</v>
      </c>
      <c r="J52" t="s">
        <v>1953</v>
      </c>
      <c r="K52" t="s">
        <v>1953</v>
      </c>
      <c r="L52" t="s">
        <v>1938</v>
      </c>
      <c r="M52" t="s">
        <v>1938</v>
      </c>
      <c r="N52" t="s">
        <v>1973</v>
      </c>
      <c r="O52" t="s">
        <v>1973</v>
      </c>
      <c r="P52" t="s">
        <v>1783</v>
      </c>
      <c r="Q52" t="s">
        <v>1783</v>
      </c>
      <c r="R52" t="s">
        <v>1956</v>
      </c>
      <c r="S52" t="s">
        <v>1956</v>
      </c>
      <c r="T52" t="s">
        <v>1934</v>
      </c>
      <c r="U52" t="s">
        <v>1934</v>
      </c>
      <c r="V52" t="s">
        <v>1942</v>
      </c>
      <c r="W52" t="s">
        <v>1942</v>
      </c>
      <c r="X52" t="s">
        <v>1937</v>
      </c>
      <c r="Y52" t="s">
        <v>1937</v>
      </c>
      <c r="Z52" t="s">
        <v>1787</v>
      </c>
      <c r="AA52" t="s">
        <v>1787</v>
      </c>
      <c r="AB52" t="s">
        <v>1967</v>
      </c>
      <c r="AC52" t="s">
        <v>1967</v>
      </c>
      <c r="AD52" t="s">
        <v>1960</v>
      </c>
      <c r="AE52" t="s">
        <v>1960</v>
      </c>
      <c r="AF52" t="s">
        <v>1965</v>
      </c>
      <c r="AG52" t="s">
        <v>1965</v>
      </c>
      <c r="AH52" t="s">
        <v>1961</v>
      </c>
      <c r="AI52" t="s">
        <v>1961</v>
      </c>
      <c r="AJ52" t="s">
        <v>1931</v>
      </c>
      <c r="AK52" t="s">
        <v>1931</v>
      </c>
      <c r="AL52" t="s">
        <v>1924</v>
      </c>
      <c r="AM52" t="s">
        <v>1924</v>
      </c>
      <c r="AN52" t="s">
        <v>1780</v>
      </c>
      <c r="AO52" t="s">
        <v>1780</v>
      </c>
      <c r="AP52" t="s">
        <v>1969</v>
      </c>
      <c r="AQ52" t="s">
        <v>1969</v>
      </c>
      <c r="AR52" t="s">
        <v>1929</v>
      </c>
      <c r="AS52" t="s">
        <v>1929</v>
      </c>
      <c r="AT52" t="s">
        <v>1921</v>
      </c>
      <c r="AU52" t="s">
        <v>1921</v>
      </c>
      <c r="AV52" t="s">
        <v>1959</v>
      </c>
      <c r="AW52" t="s">
        <v>1959</v>
      </c>
      <c r="AX52" t="s">
        <v>1933</v>
      </c>
      <c r="AY52" t="s">
        <v>1933</v>
      </c>
      <c r="AZ52" t="s">
        <v>1939</v>
      </c>
      <c r="BA52" t="s">
        <v>1939</v>
      </c>
      <c r="BB52" t="s">
        <v>1927</v>
      </c>
      <c r="BC52" t="s">
        <v>1927</v>
      </c>
      <c r="BD52" t="s">
        <v>1958</v>
      </c>
      <c r="BE52" t="s">
        <v>1958</v>
      </c>
      <c r="BF52" t="s">
        <v>1955</v>
      </c>
      <c r="BG52" t="s">
        <v>1955</v>
      </c>
      <c r="BH52" t="s">
        <v>1935</v>
      </c>
      <c r="BI52" t="s">
        <v>1935</v>
      </c>
      <c r="BJ52" t="s">
        <v>1932</v>
      </c>
      <c r="BK52" t="s">
        <v>1932</v>
      </c>
      <c r="BL52" t="s">
        <v>1811</v>
      </c>
      <c r="BM52" t="s">
        <v>1811</v>
      </c>
      <c r="BN52" t="s">
        <v>1949</v>
      </c>
      <c r="BO52" t="s">
        <v>1949</v>
      </c>
      <c r="BP52" t="s">
        <v>1779</v>
      </c>
      <c r="BQ52" t="s">
        <v>1779</v>
      </c>
      <c r="BR52" t="s">
        <v>1928</v>
      </c>
      <c r="BS52" t="s">
        <v>1928</v>
      </c>
      <c r="BT52" t="s">
        <v>1782</v>
      </c>
      <c r="BU52" t="s">
        <v>1782</v>
      </c>
      <c r="BV52" t="s">
        <v>1797</v>
      </c>
      <c r="BW52" t="s">
        <v>1797</v>
      </c>
      <c r="BX52" t="s">
        <v>1950</v>
      </c>
      <c r="BY52" t="s">
        <v>1950</v>
      </c>
      <c r="BZ52" t="s">
        <v>1971</v>
      </c>
      <c r="CA52" t="s">
        <v>1971</v>
      </c>
      <c r="CB52" t="s">
        <v>1774</v>
      </c>
      <c r="CC52" t="s">
        <v>1774</v>
      </c>
      <c r="CD52" t="s">
        <v>1789</v>
      </c>
      <c r="CE52" t="s">
        <v>1789</v>
      </c>
      <c r="CF52" t="s">
        <v>1786</v>
      </c>
      <c r="CG52" t="s">
        <v>1786</v>
      </c>
      <c r="CH52" t="s">
        <v>1952</v>
      </c>
      <c r="CI52" t="s">
        <v>1952</v>
      </c>
      <c r="CJ52" t="s">
        <v>1972</v>
      </c>
      <c r="CK52" t="s">
        <v>1972</v>
      </c>
      <c r="CL52" t="s">
        <v>1968</v>
      </c>
      <c r="CM52" t="s">
        <v>1968</v>
      </c>
      <c r="CN52" t="s">
        <v>1951</v>
      </c>
      <c r="CO52" t="s">
        <v>1951</v>
      </c>
      <c r="CP52" t="s">
        <v>1925</v>
      </c>
      <c r="CQ52" t="s">
        <v>1925</v>
      </c>
      <c r="CR52" t="s">
        <v>1781</v>
      </c>
      <c r="CS52" t="s">
        <v>1781</v>
      </c>
      <c r="CT52" t="s">
        <v>1945</v>
      </c>
      <c r="CU52" t="s">
        <v>1945</v>
      </c>
      <c r="CV52" t="s">
        <v>1930</v>
      </c>
      <c r="CW52" t="s">
        <v>1930</v>
      </c>
      <c r="CX52" t="s">
        <v>1963</v>
      </c>
      <c r="CY52" t="s">
        <v>1963</v>
      </c>
      <c r="CZ52" t="s">
        <v>1923</v>
      </c>
      <c r="DA52" t="s">
        <v>1923</v>
      </c>
      <c r="DB52" t="s">
        <v>1785</v>
      </c>
      <c r="DC52" t="s">
        <v>1785</v>
      </c>
      <c r="DD52" t="s">
        <v>1944</v>
      </c>
      <c r="DE52" t="s">
        <v>1944</v>
      </c>
      <c r="DF52" t="s">
        <v>1796</v>
      </c>
      <c r="DG52" t="s">
        <v>1796</v>
      </c>
      <c r="DH52" t="s">
        <v>1790</v>
      </c>
      <c r="DI52" t="s">
        <v>1790</v>
      </c>
      <c r="DJ52" t="s">
        <v>1775</v>
      </c>
      <c r="DK52" t="s">
        <v>1775</v>
      </c>
      <c r="DL52" t="s">
        <v>1776</v>
      </c>
      <c r="DM52" t="s">
        <v>1776</v>
      </c>
      <c r="DN52" t="s">
        <v>1936</v>
      </c>
      <c r="DO52" t="s">
        <v>1936</v>
      </c>
      <c r="DP52" t="s">
        <v>1791</v>
      </c>
      <c r="DQ52" t="s">
        <v>1791</v>
      </c>
      <c r="DR52" t="s">
        <v>1957</v>
      </c>
      <c r="DS52" t="s">
        <v>1957</v>
      </c>
      <c r="DT52" t="s">
        <v>1784</v>
      </c>
      <c r="DU52" t="s">
        <v>1784</v>
      </c>
      <c r="DV52" t="s">
        <v>1962</v>
      </c>
      <c r="DW52" t="s">
        <v>1962</v>
      </c>
      <c r="DX52" t="s">
        <v>1795</v>
      </c>
      <c r="DY52" t="s">
        <v>1795</v>
      </c>
      <c r="DZ52" t="s">
        <v>1954</v>
      </c>
      <c r="EA52" t="s">
        <v>1954</v>
      </c>
      <c r="EB52" t="s">
        <v>1946</v>
      </c>
      <c r="EC52" t="s">
        <v>1946</v>
      </c>
      <c r="ED52" t="s">
        <v>1966</v>
      </c>
      <c r="EE52" t="s">
        <v>1966</v>
      </c>
      <c r="EF52" t="s">
        <v>1926</v>
      </c>
      <c r="EG52" t="s">
        <v>1926</v>
      </c>
    </row>
    <row r="53" spans="1:137">
      <c r="A53" t="s">
        <v>1917</v>
      </c>
      <c r="B53">
        <v>0</v>
      </c>
      <c r="D53">
        <v>0</v>
      </c>
      <c r="F53">
        <v>-1</v>
      </c>
      <c r="H53">
        <v>0.1</v>
      </c>
      <c r="J53">
        <v>0.33333333300000001</v>
      </c>
      <c r="L53">
        <v>1</v>
      </c>
      <c r="N53">
        <v>-1</v>
      </c>
      <c r="P53">
        <v>0</v>
      </c>
      <c r="R53">
        <v>0</v>
      </c>
      <c r="T53">
        <v>1</v>
      </c>
      <c r="V53">
        <v>1</v>
      </c>
      <c r="X53">
        <v>1</v>
      </c>
      <c r="Z53">
        <v>-1</v>
      </c>
      <c r="AB53">
        <v>0</v>
      </c>
      <c r="AD53">
        <v>0</v>
      </c>
      <c r="AF53">
        <v>0</v>
      </c>
      <c r="AH53">
        <v>0</v>
      </c>
      <c r="AJ53">
        <v>1</v>
      </c>
      <c r="AL53">
        <v>1</v>
      </c>
      <c r="AN53">
        <v>7.6923077000000006E-2</v>
      </c>
      <c r="AP53">
        <v>-0.5</v>
      </c>
      <c r="AR53">
        <v>1</v>
      </c>
      <c r="AT53">
        <v>1</v>
      </c>
      <c r="AV53">
        <v>0</v>
      </c>
      <c r="AX53">
        <v>1</v>
      </c>
      <c r="AZ53">
        <v>1</v>
      </c>
      <c r="BB53">
        <v>1</v>
      </c>
      <c r="BD53">
        <v>0</v>
      </c>
      <c r="BF53">
        <v>0</v>
      </c>
      <c r="BH53">
        <v>1</v>
      </c>
      <c r="BJ53">
        <v>1</v>
      </c>
      <c r="BL53">
        <v>0.66666666699999999</v>
      </c>
      <c r="BN53">
        <v>0.33333333300000001</v>
      </c>
      <c r="BP53">
        <v>0.21739130400000001</v>
      </c>
      <c r="BR53">
        <v>1</v>
      </c>
      <c r="BT53">
        <v>0.31818181800000001</v>
      </c>
      <c r="BV53">
        <v>0</v>
      </c>
      <c r="BX53">
        <v>0.14285714299999999</v>
      </c>
      <c r="BZ53">
        <v>-1</v>
      </c>
      <c r="CB53">
        <v>0.111111111</v>
      </c>
      <c r="CD53">
        <v>-0.5</v>
      </c>
      <c r="CF53">
        <v>0.5</v>
      </c>
      <c r="CH53">
        <v>0.2</v>
      </c>
      <c r="CJ53">
        <v>-1</v>
      </c>
      <c r="CL53">
        <v>-0.5</v>
      </c>
      <c r="CN53">
        <v>0.5</v>
      </c>
      <c r="CP53">
        <v>1</v>
      </c>
      <c r="CR53">
        <v>0.5</v>
      </c>
      <c r="CT53">
        <v>0.5</v>
      </c>
      <c r="CV53">
        <v>1</v>
      </c>
      <c r="CX53">
        <v>0</v>
      </c>
      <c r="CZ53">
        <v>1</v>
      </c>
      <c r="DB53">
        <v>0.33333333300000001</v>
      </c>
      <c r="DD53">
        <v>0.33333333300000001</v>
      </c>
      <c r="DF53">
        <v>-0.25</v>
      </c>
      <c r="DH53">
        <v>0</v>
      </c>
      <c r="DJ53">
        <v>-0.30769230800000003</v>
      </c>
      <c r="DL53">
        <v>-0.77777777800000003</v>
      </c>
      <c r="DN53">
        <v>1</v>
      </c>
      <c r="DP53">
        <v>-1</v>
      </c>
      <c r="DR53">
        <v>0</v>
      </c>
      <c r="DT53">
        <v>-1</v>
      </c>
      <c r="DV53">
        <v>0</v>
      </c>
      <c r="DX53">
        <v>0.428571429</v>
      </c>
      <c r="DZ53">
        <v>-9.0909090999999997E-2</v>
      </c>
      <c r="EB53">
        <v>0.5</v>
      </c>
      <c r="ED53">
        <v>-0.33333333300000001</v>
      </c>
      <c r="EF53">
        <v>1</v>
      </c>
    </row>
    <row r="54" spans="1:137">
      <c r="A54" t="s">
        <v>1918</v>
      </c>
      <c r="B54">
        <v>168</v>
      </c>
      <c r="D54">
        <v>2</v>
      </c>
      <c r="F54">
        <v>276</v>
      </c>
      <c r="H54">
        <v>1777</v>
      </c>
      <c r="J54">
        <v>23</v>
      </c>
      <c r="L54">
        <v>2</v>
      </c>
      <c r="N54">
        <v>19</v>
      </c>
      <c r="P54">
        <v>520</v>
      </c>
      <c r="R54">
        <v>61</v>
      </c>
      <c r="T54">
        <v>9</v>
      </c>
      <c r="V54">
        <v>1</v>
      </c>
      <c r="X54">
        <v>3</v>
      </c>
      <c r="Z54">
        <v>11686</v>
      </c>
      <c r="AB54">
        <v>0</v>
      </c>
      <c r="AD54">
        <v>4</v>
      </c>
      <c r="AF54">
        <v>1</v>
      </c>
      <c r="AH54">
        <v>4</v>
      </c>
      <c r="AJ54">
        <v>37</v>
      </c>
      <c r="AL54">
        <v>196</v>
      </c>
      <c r="AN54">
        <v>3076</v>
      </c>
      <c r="AP54">
        <v>11</v>
      </c>
      <c r="AR54">
        <v>41</v>
      </c>
      <c r="AT54">
        <v>2589</v>
      </c>
      <c r="AV54">
        <v>7</v>
      </c>
      <c r="AX54">
        <v>11</v>
      </c>
      <c r="AZ54">
        <v>2</v>
      </c>
      <c r="BB54">
        <v>68</v>
      </c>
      <c r="BD54">
        <v>8</v>
      </c>
      <c r="BF54">
        <v>74</v>
      </c>
      <c r="BH54">
        <v>5</v>
      </c>
      <c r="BJ54">
        <v>15</v>
      </c>
      <c r="BL54">
        <v>120</v>
      </c>
      <c r="BN54">
        <v>90</v>
      </c>
      <c r="BP54">
        <v>15358</v>
      </c>
      <c r="BR54">
        <v>65</v>
      </c>
      <c r="BT54">
        <v>10002</v>
      </c>
      <c r="BV54">
        <v>4979</v>
      </c>
      <c r="BX54">
        <v>600</v>
      </c>
      <c r="BZ54">
        <v>49</v>
      </c>
      <c r="CB54">
        <v>1062</v>
      </c>
      <c r="CD54">
        <v>1023</v>
      </c>
      <c r="CF54">
        <v>48</v>
      </c>
      <c r="CH54">
        <v>123</v>
      </c>
      <c r="CJ54">
        <v>37</v>
      </c>
      <c r="CL54">
        <v>18</v>
      </c>
      <c r="CN54">
        <v>7</v>
      </c>
      <c r="CP54">
        <v>150</v>
      </c>
      <c r="CR54">
        <v>2370</v>
      </c>
      <c r="CT54">
        <v>76</v>
      </c>
      <c r="CV54">
        <v>39</v>
      </c>
      <c r="CX54">
        <v>3</v>
      </c>
      <c r="CZ54">
        <v>209</v>
      </c>
      <c r="DB54">
        <v>117</v>
      </c>
      <c r="DD54">
        <v>1232</v>
      </c>
      <c r="DF54">
        <v>44</v>
      </c>
      <c r="DH54">
        <v>561</v>
      </c>
      <c r="DJ54">
        <v>5961</v>
      </c>
      <c r="DL54">
        <v>1258</v>
      </c>
      <c r="DN54">
        <v>5</v>
      </c>
      <c r="DP54">
        <v>7206</v>
      </c>
      <c r="DR54">
        <v>10</v>
      </c>
      <c r="DT54">
        <v>47</v>
      </c>
      <c r="DV54">
        <v>3</v>
      </c>
      <c r="DX54">
        <v>267</v>
      </c>
      <c r="DZ54">
        <v>469</v>
      </c>
      <c r="EB54">
        <v>31</v>
      </c>
      <c r="ED54">
        <v>64</v>
      </c>
      <c r="EF54">
        <v>133</v>
      </c>
    </row>
    <row r="55" spans="1:137">
      <c r="A55" t="s">
        <v>1919</v>
      </c>
      <c r="B55">
        <v>2.2278867000000001E-2</v>
      </c>
      <c r="D55">
        <v>4.7712129999999998E-3</v>
      </c>
      <c r="F55">
        <v>-2.5575201999999998E-2</v>
      </c>
      <c r="H55">
        <v>3.7499317999999997E-2</v>
      </c>
      <c r="J55">
        <v>3.0468779000000001E-2</v>
      </c>
      <c r="L55">
        <v>5.4771212999999999E-2</v>
      </c>
      <c r="N55">
        <v>-3.69897E-2</v>
      </c>
      <c r="P55">
        <v>2.7168377E-2</v>
      </c>
      <c r="R55">
        <v>1.7923917000000001E-2</v>
      </c>
      <c r="T55">
        <v>0.06</v>
      </c>
      <c r="V55">
        <v>5.3010300000000003E-2</v>
      </c>
      <c r="X55">
        <v>5.6020599999999997E-2</v>
      </c>
      <c r="Z55">
        <v>-9.3229699999999999E-3</v>
      </c>
      <c r="AB55">
        <v>0</v>
      </c>
      <c r="AD55">
        <v>6.9896999999999997E-3</v>
      </c>
      <c r="AF55">
        <v>3.0103E-3</v>
      </c>
      <c r="AH55">
        <v>6.9896999999999997E-3</v>
      </c>
      <c r="AJ55">
        <v>6.5797835999999998E-2</v>
      </c>
      <c r="AL55">
        <v>7.2944661999999993E-2</v>
      </c>
      <c r="AN55">
        <v>3.8727429000000001E-2</v>
      </c>
      <c r="AP55">
        <v>-1.4208188E-2</v>
      </c>
      <c r="AR55">
        <v>6.6232493000000003E-2</v>
      </c>
      <c r="AT55">
        <v>8.4132998000000001E-2</v>
      </c>
      <c r="AV55">
        <v>9.0308999999999997E-3</v>
      </c>
      <c r="AX55">
        <v>6.0791812000000001E-2</v>
      </c>
      <c r="AZ55">
        <v>5.4771212999999999E-2</v>
      </c>
      <c r="BB55">
        <v>6.8388490999999996E-2</v>
      </c>
      <c r="BD55">
        <v>9.5424250000000002E-3</v>
      </c>
      <c r="BF55">
        <v>1.8750612999999999E-2</v>
      </c>
      <c r="BH55">
        <v>5.7781513E-2</v>
      </c>
      <c r="BJ55">
        <v>6.2041199999999998E-2</v>
      </c>
      <c r="BL55">
        <v>5.4161187E-2</v>
      </c>
      <c r="BN55">
        <v>3.6257080999999997E-2</v>
      </c>
      <c r="BP55">
        <v>5.2733194999999997E-2</v>
      </c>
      <c r="BR55">
        <v>6.8195438999999997E-2</v>
      </c>
      <c r="BT55">
        <v>5.5910394000000002E-2</v>
      </c>
      <c r="BV55">
        <v>3.6972293000000003E-2</v>
      </c>
      <c r="BX55">
        <v>3.4931601999999999E-2</v>
      </c>
      <c r="BZ55">
        <v>-3.3010299999999999E-2</v>
      </c>
      <c r="CB55">
        <v>3.5820888000000002E-2</v>
      </c>
      <c r="CD55">
        <v>5.1029999999999999E-3</v>
      </c>
      <c r="CF55">
        <v>4.1901961000000001E-2</v>
      </c>
      <c r="CH55">
        <v>3.0934217E-2</v>
      </c>
      <c r="CJ55">
        <v>-3.4202164E-2</v>
      </c>
      <c r="CL55">
        <v>-1.2212463999999999E-2</v>
      </c>
      <c r="CN55">
        <v>3.4030900000000003E-2</v>
      </c>
      <c r="CP55">
        <v>7.1789769000000003E-2</v>
      </c>
      <c r="CR55">
        <v>5.8749316000000003E-2</v>
      </c>
      <c r="CT55">
        <v>4.3864907000000002E-2</v>
      </c>
      <c r="CV55">
        <v>6.6020599999999999E-2</v>
      </c>
      <c r="CX55">
        <v>6.0206000000000001E-3</v>
      </c>
      <c r="CZ55">
        <v>7.3222193000000005E-2</v>
      </c>
      <c r="DB55">
        <v>3.7385487000000002E-2</v>
      </c>
      <c r="DD55">
        <v>4.7576296999999997E-2</v>
      </c>
      <c r="DF55">
        <v>4.0321250000000001E-3</v>
      </c>
      <c r="DH55">
        <v>2.7497363E-2</v>
      </c>
      <c r="DJ55">
        <v>2.2369304E-2</v>
      </c>
      <c r="DL55">
        <v>-7.8886319999999996E-3</v>
      </c>
      <c r="DN55">
        <v>5.7781513E-2</v>
      </c>
      <c r="DP55">
        <v>-1.1422455E-2</v>
      </c>
      <c r="DR55">
        <v>1.0413927E-2</v>
      </c>
      <c r="DT55">
        <v>-3.3187587999999997E-2</v>
      </c>
      <c r="DV55">
        <v>6.0206000000000001E-3</v>
      </c>
      <c r="DX55">
        <v>4.5709919000000002E-2</v>
      </c>
      <c r="DZ55">
        <v>2.2175523999999999E-2</v>
      </c>
      <c r="EB55">
        <v>4.0051499999999997E-2</v>
      </c>
      <c r="ED55">
        <v>1.4624670000000001E-3</v>
      </c>
      <c r="EF55">
        <v>7.1271048000000004E-2</v>
      </c>
    </row>
    <row r="56" spans="1:137">
      <c r="A56" s="93" t="s">
        <v>1978</v>
      </c>
      <c r="B56">
        <f>RANK(B55,B55:EG55)</f>
        <v>42</v>
      </c>
      <c r="D56">
        <f>RANK(D55,D55:EI55)</f>
        <v>53</v>
      </c>
      <c r="F56">
        <f t="shared" ref="F56" si="72">RANK(F55,F55:EK55)</f>
        <v>62</v>
      </c>
      <c r="H56">
        <f t="shared" ref="H56" si="73">RANK(H55,H55:EM55)</f>
        <v>30</v>
      </c>
      <c r="J56">
        <f t="shared" ref="J56" si="74">RANK(J55,J55:EO55)</f>
        <v>37</v>
      </c>
      <c r="L56">
        <f t="shared" ref="L56" si="75">RANK(L55,L55:EQ55)</f>
        <v>19</v>
      </c>
      <c r="N56">
        <f t="shared" ref="N56" si="76">RANK(N55,N55:ES55)</f>
        <v>62</v>
      </c>
      <c r="P56">
        <f t="shared" ref="P56" si="77">RANK(P55,P55:EU55)</f>
        <v>37</v>
      </c>
      <c r="R56">
        <f t="shared" ref="R56" si="78">RANK(R55,R55:EW55)</f>
        <v>40</v>
      </c>
      <c r="T56">
        <f t="shared" ref="T56" si="79">RANK(T55,T55:EY55)</f>
        <v>13</v>
      </c>
      <c r="V56">
        <f t="shared" ref="V56" si="80">RANK(V55,V55:FA55)</f>
        <v>20</v>
      </c>
      <c r="X56">
        <f t="shared" ref="X56" si="81">RANK(X55,X55:FC55)</f>
        <v>16</v>
      </c>
      <c r="Z56">
        <f t="shared" ref="Z56" si="82">RANK(Z55,Z55:FE55)</f>
        <v>50</v>
      </c>
      <c r="AB56">
        <f t="shared" ref="AB56" si="83">RANK(AB55,AB55:FG55)</f>
        <v>48</v>
      </c>
      <c r="AD56">
        <f t="shared" ref="AD56" si="84">RANK(AD55,AD55:FI55)</f>
        <v>40</v>
      </c>
      <c r="AF56">
        <f t="shared" ref="AF56" si="85">RANK(AF55,AF55:FK55)</f>
        <v>45</v>
      </c>
      <c r="AH56">
        <f t="shared" ref="AH56" si="86">RANK(AH55,AH55:FM55)</f>
        <v>40</v>
      </c>
      <c r="AJ56">
        <f t="shared" ref="AJ56" si="87">RANK(AJ55,AJ55:FO55)</f>
        <v>10</v>
      </c>
      <c r="AL56">
        <f t="shared" ref="AL56" si="88">RANK(AL55,AL55:FQ55)</f>
        <v>3</v>
      </c>
      <c r="AN56">
        <f t="shared" ref="AN56" si="89">RANK(AN55,AN55:FS55)</f>
        <v>23</v>
      </c>
      <c r="AP56">
        <f t="shared" ref="AP56" si="90">RANK(AP55,AP55:FU55)</f>
        <v>45</v>
      </c>
      <c r="AR56">
        <f t="shared" ref="AR56" si="91">RANK(AR55,AR55:FW55)</f>
        <v>7</v>
      </c>
      <c r="AT56">
        <f t="shared" ref="AT56" si="92">RANK(AT55,AT55:FY55)</f>
        <v>1</v>
      </c>
      <c r="AV56">
        <f t="shared" ref="AV56" si="93">RANK(AV55,AV55:GA55)</f>
        <v>34</v>
      </c>
      <c r="AX56">
        <f t="shared" ref="AX56" si="94">RANK(AX55,AX55:GC55)</f>
        <v>8</v>
      </c>
      <c r="AZ56">
        <f t="shared" ref="AZ56" si="95">RANK(AZ55,AZ55:GE55)</f>
        <v>12</v>
      </c>
      <c r="BB56">
        <f t="shared" ref="BB56" si="96">RANK(BB55,BB55:GG55)</f>
        <v>4</v>
      </c>
      <c r="BD56">
        <f t="shared" ref="BD56" si="97">RANK(BD55,BD55:GI55)</f>
        <v>30</v>
      </c>
      <c r="BF56">
        <f t="shared" ref="BF56" si="98">RANK(BF55,BF55:GK55)</f>
        <v>28</v>
      </c>
      <c r="BH56">
        <f t="shared" ref="BH56" si="99">RANK(BH55,BH55:GM55)</f>
        <v>8</v>
      </c>
      <c r="BJ56">
        <f t="shared" ref="BJ56" si="100">RANK(BJ55,BJ55:GO55)</f>
        <v>6</v>
      </c>
      <c r="BL56">
        <f t="shared" ref="BL56" si="101">RANK(BL55,BL55:GQ55)</f>
        <v>9</v>
      </c>
      <c r="BN56">
        <f t="shared" ref="BN56" si="102">RANK(BN55,BN55:GS55)</f>
        <v>17</v>
      </c>
      <c r="BP56">
        <f t="shared" ref="BP56" si="103">RANK(BP55,BP55:GU55)</f>
        <v>9</v>
      </c>
      <c r="BR56">
        <f t="shared" ref="BR56" si="104">RANK(BR55,BR55:GW55)</f>
        <v>4</v>
      </c>
      <c r="BT56">
        <f t="shared" ref="BT56" si="105">RANK(BT55,BT55:GY55)</f>
        <v>7</v>
      </c>
      <c r="BV56">
        <f t="shared" ref="BV56" si="106">RANK(BV55,BV55:HA55)</f>
        <v>13</v>
      </c>
      <c r="BX56">
        <f t="shared" ref="BX56" si="107">RANK(BX55,BX55:HC55)</f>
        <v>14</v>
      </c>
      <c r="BZ56">
        <f t="shared" ref="BZ56" si="108">RANK(BZ55,BZ55:HE55)</f>
        <v>28</v>
      </c>
      <c r="CB56">
        <f t="shared" ref="CB56" si="109">RANK(CB55,CB55:HG55)</f>
        <v>13</v>
      </c>
      <c r="CD56">
        <f t="shared" ref="CD56" si="110">RANK(CD55,CD55:HI55)</f>
        <v>21</v>
      </c>
      <c r="CF56">
        <f t="shared" ref="CF56" si="111">RANK(CF55,CF55:HK55)</f>
        <v>10</v>
      </c>
      <c r="CH56">
        <f t="shared" ref="CH56" si="112">RANK(CH55,CH55:HM55)</f>
        <v>13</v>
      </c>
      <c r="CJ56">
        <f t="shared" ref="CJ56" si="113">RANK(CJ55,CJ55:HO55)</f>
        <v>25</v>
      </c>
      <c r="CL56">
        <f t="shared" ref="CL56" si="114">RANK(CL55,CL55:HQ55)</f>
        <v>23</v>
      </c>
      <c r="CN56">
        <f t="shared" ref="CN56" si="115">RANK(CN55,CN55:HS55)</f>
        <v>12</v>
      </c>
      <c r="CP56">
        <f t="shared" ref="CP56" si="116">RANK(CP55,CP55:HU55)</f>
        <v>2</v>
      </c>
      <c r="CR56">
        <f t="shared" ref="CR56" si="117">RANK(CR55,CR55:HW55)</f>
        <v>4</v>
      </c>
      <c r="CT56">
        <f t="shared" ref="CT56" si="118">RANK(CT55,CT55:HY55)</f>
        <v>7</v>
      </c>
      <c r="CV56">
        <f t="shared" ref="CV56" si="119">RANK(CV55,CV55:IA55)</f>
        <v>3</v>
      </c>
      <c r="CX56">
        <f t="shared" ref="CX56" si="120">RANK(CX55,CX55:IC55)</f>
        <v>12</v>
      </c>
      <c r="CZ56">
        <f t="shared" ref="CZ56" si="121">RANK(CZ55,CZ55:IE55)</f>
        <v>1</v>
      </c>
      <c r="DB56">
        <f>RANK(DB55,DB55:IG55)</f>
        <v>6</v>
      </c>
      <c r="DD56">
        <f t="shared" ref="DD56" si="122">RANK(DD55,DD55:II55)</f>
        <v>3</v>
      </c>
      <c r="DF56">
        <f t="shared" ref="DF56" si="123">RANK(DF55,DF55:IK55)</f>
        <v>10</v>
      </c>
      <c r="DH56">
        <f>RANK(DH55,DH55:IM55)</f>
        <v>5</v>
      </c>
      <c r="DJ56">
        <f t="shared" ref="DJ56" si="124">RANK(DJ55,DJ55:IO55)</f>
        <v>5</v>
      </c>
      <c r="DL56">
        <f t="shared" ref="DL56" si="125">RANK(DL55,DL55:IQ55)</f>
        <v>9</v>
      </c>
      <c r="DN56">
        <f t="shared" ref="DN56" si="126">RANK(DN55,DN55:IS55)</f>
        <v>2</v>
      </c>
      <c r="DP56">
        <f t="shared" ref="DP56" si="127">RANK(DP55,DP55:IU55)</f>
        <v>8</v>
      </c>
      <c r="DR56">
        <f t="shared" ref="DR56" si="128">RANK(DR55,DR55:IW55)</f>
        <v>5</v>
      </c>
      <c r="DT56">
        <f t="shared" ref="DT56" si="129">RANK(DT55,DT55:IY55)</f>
        <v>7</v>
      </c>
      <c r="DV56">
        <f t="shared" ref="DV56" si="130">RANK(DV55,DV55:JA55)</f>
        <v>5</v>
      </c>
      <c r="DX56">
        <f t="shared" ref="DX56" si="131">RANK(DX55,DX55:JC55)</f>
        <v>2</v>
      </c>
      <c r="DZ56">
        <f t="shared" ref="DZ56" si="132">RANK(DZ55,DZ55:JE55)</f>
        <v>3</v>
      </c>
      <c r="EB56">
        <f t="shared" ref="EB56" si="133">RANK(EB55,EB55:JG55)</f>
        <v>2</v>
      </c>
      <c r="ED56">
        <f t="shared" ref="ED56" si="134">RANK(ED55,ED55:JI55)</f>
        <v>2</v>
      </c>
      <c r="EF56">
        <f t="shared" ref="EF56" si="135">RANK(EF55,EF55:JK55)</f>
        <v>1</v>
      </c>
    </row>
    <row r="57" spans="1:137">
      <c r="A57" s="93" t="s">
        <v>1986</v>
      </c>
      <c r="C57">
        <f>IF(B56&lt;=5,1/5,0)</f>
        <v>0</v>
      </c>
      <c r="E57">
        <f t="shared" ref="E57" si="136">IF(D56&lt;=5,1/5,0)</f>
        <v>0</v>
      </c>
      <c r="G57">
        <f t="shared" ref="G57" si="137">IF(F56&lt;=5,1/5,0)</f>
        <v>0</v>
      </c>
      <c r="I57">
        <f t="shared" ref="I57" si="138">IF(H56&lt;=5,1/5,0)</f>
        <v>0</v>
      </c>
      <c r="K57">
        <f t="shared" ref="K57" si="139">IF(J56&lt;=5,1/5,0)</f>
        <v>0</v>
      </c>
      <c r="M57">
        <f t="shared" ref="M57" si="140">IF(L56&lt;=5,1/5,0)</f>
        <v>0</v>
      </c>
      <c r="O57">
        <f>IF(N56&lt;=5,1/5,0)</f>
        <v>0</v>
      </c>
      <c r="Q57">
        <f t="shared" ref="Q57" si="141">IF(P56&lt;=5,1/5,0)</f>
        <v>0</v>
      </c>
      <c r="S57">
        <f t="shared" ref="S57" si="142">IF(R56&lt;=5,1/5,0)</f>
        <v>0</v>
      </c>
      <c r="U57">
        <f t="shared" ref="U57" si="143">IF(T56&lt;=5,1/5,0)</f>
        <v>0</v>
      </c>
      <c r="W57">
        <f t="shared" ref="W57" si="144">IF(V56&lt;=5,1/5,0)</f>
        <v>0</v>
      </c>
      <c r="Y57">
        <f t="shared" ref="Y57" si="145">IF(X56&lt;=5,1/5,0)</f>
        <v>0</v>
      </c>
      <c r="AA57">
        <f t="shared" ref="AA57" si="146">IF(Z56&lt;=5,1/5,0)</f>
        <v>0</v>
      </c>
      <c r="AC57">
        <f t="shared" ref="AC57" si="147">IF(AB56&lt;=5,1/5,0)</f>
        <v>0</v>
      </c>
      <c r="AE57">
        <f t="shared" ref="AE57" si="148">IF(AD56&lt;=5,1/5,0)</f>
        <v>0</v>
      </c>
      <c r="AG57">
        <f t="shared" ref="AG57" si="149">IF(AF56&lt;=5,1/5,0)</f>
        <v>0</v>
      </c>
      <c r="AI57">
        <f t="shared" ref="AI57" si="150">IF(AH56&lt;=5,1/5,0)</f>
        <v>0</v>
      </c>
      <c r="AK57">
        <f t="shared" ref="AK57" si="151">IF(AJ56&lt;=5,1/5,0)</f>
        <v>0</v>
      </c>
      <c r="AM57">
        <f t="shared" ref="AM57" si="152">IF(AL56&lt;=5,1/5,0)</f>
        <v>0.2</v>
      </c>
      <c r="AO57">
        <f t="shared" ref="AO57" si="153">IF(AN56&lt;=5,1/5,0)</f>
        <v>0</v>
      </c>
      <c r="AQ57">
        <f t="shared" ref="AQ57" si="154">IF(AP56&lt;=5,1/5,0)</f>
        <v>0</v>
      </c>
      <c r="AS57">
        <f t="shared" ref="AS57" si="155">IF(AR56&lt;=5,1/5,0)</f>
        <v>0</v>
      </c>
      <c r="AU57">
        <f t="shared" ref="AU57" si="156">IF(AT56&lt;=5,1/5,0)</f>
        <v>0.2</v>
      </c>
      <c r="AW57">
        <f t="shared" ref="AW57" si="157">IF(AV56&lt;=5,1/5,0)</f>
        <v>0</v>
      </c>
      <c r="AY57">
        <f t="shared" ref="AY57" si="158">IF(AX56&lt;=5,1/5,0)</f>
        <v>0</v>
      </c>
      <c r="BA57">
        <f t="shared" ref="BA57" si="159">IF(AZ56&lt;=5,1/5,0)</f>
        <v>0</v>
      </c>
      <c r="BC57">
        <f t="shared" ref="BC57" si="160">IF(BB56&lt;=5,1/5,0)</f>
        <v>0.2</v>
      </c>
      <c r="BE57">
        <f t="shared" ref="BE57" si="161">IF(BD56&lt;=5,1/5,0)</f>
        <v>0</v>
      </c>
      <c r="BG57">
        <f t="shared" ref="BG57" si="162">IF(BF56&lt;=5,1/5,0)</f>
        <v>0</v>
      </c>
      <c r="BI57">
        <f t="shared" ref="BI57" si="163">IF(BH56&lt;=5,1/5,0)</f>
        <v>0</v>
      </c>
      <c r="BK57">
        <f t="shared" ref="BK57" si="164">IF(BJ56&lt;=5,1/5,0)</f>
        <v>0</v>
      </c>
      <c r="BM57">
        <f t="shared" ref="BM57" si="165">IF(BL56&lt;=5,1/5,0)</f>
        <v>0</v>
      </c>
      <c r="BO57">
        <f t="shared" ref="BO57" si="166">IF(BN56&lt;=5,1/5,0)</f>
        <v>0</v>
      </c>
      <c r="BQ57">
        <f t="shared" ref="BQ57" si="167">IF(BP56&lt;=5,1/5,0)</f>
        <v>0</v>
      </c>
      <c r="BS57">
        <f t="shared" ref="BS57" si="168">IF(BR56&lt;=5,1/5,0)</f>
        <v>0.2</v>
      </c>
      <c r="BU57">
        <f t="shared" ref="BU57" si="169">IF(BT56&lt;=5,1/5,0)</f>
        <v>0</v>
      </c>
      <c r="BW57">
        <f t="shared" ref="BW57" si="170">IF(BV56&lt;=5,1/5,0)</f>
        <v>0</v>
      </c>
      <c r="BY57">
        <f t="shared" ref="BY57" si="171">IF(BX56&lt;=5,1/5,0)</f>
        <v>0</v>
      </c>
      <c r="CA57">
        <f t="shared" ref="CA57" si="172">IF(BZ56&lt;=5,1/5,0)</f>
        <v>0</v>
      </c>
      <c r="CC57">
        <f t="shared" ref="CC57" si="173">IF(CB56&lt;=5,1/5,0)</f>
        <v>0</v>
      </c>
      <c r="CE57">
        <f t="shared" ref="CE57" si="174">IF(CD56&lt;=5,1/5,0)</f>
        <v>0</v>
      </c>
      <c r="CG57">
        <f t="shared" ref="CG57" si="175">IF(CF56&lt;=5,1/5,0)</f>
        <v>0</v>
      </c>
      <c r="CI57">
        <f t="shared" ref="CI57" si="176">IF(CH56&lt;=5,1/5,0)</f>
        <v>0</v>
      </c>
      <c r="CK57">
        <f t="shared" ref="CK57" si="177">IF(CJ56&lt;=5,1/5,0)</f>
        <v>0</v>
      </c>
      <c r="CM57">
        <f t="shared" ref="CM57" si="178">IF(CL56&lt;=5,1/5,0)</f>
        <v>0</v>
      </c>
      <c r="CO57">
        <f t="shared" ref="CO57" si="179">IF(CN56&lt;=5,1/5,0)</f>
        <v>0</v>
      </c>
      <c r="CQ57">
        <f t="shared" ref="CQ57" si="180">IF(CP56&lt;=5,1/5,0)</f>
        <v>0.2</v>
      </c>
      <c r="CS57">
        <f t="shared" ref="CS57" si="181">IF(CR56&lt;=5,1/5,0)</f>
        <v>0.2</v>
      </c>
      <c r="CU57">
        <f t="shared" ref="CU57" si="182">IF(CT56&lt;=5,1/5,0)</f>
        <v>0</v>
      </c>
      <c r="CW57">
        <f t="shared" ref="CW57" si="183">IF(CV56&lt;=5,1/5,0)</f>
        <v>0.2</v>
      </c>
      <c r="CY57">
        <f t="shared" ref="CY57" si="184">IF(CX56&lt;=5,1/5,0)</f>
        <v>0</v>
      </c>
      <c r="DA57">
        <f t="shared" ref="DA57" si="185">IF(CZ56&lt;=5,1/5,0)</f>
        <v>0.2</v>
      </c>
      <c r="DC57">
        <f t="shared" ref="DC57" si="186">IF(DB56&lt;=5,1/5,0)</f>
        <v>0</v>
      </c>
      <c r="DE57">
        <f t="shared" ref="DE57" si="187">IF(DD56&lt;=5,1/5,0)</f>
        <v>0.2</v>
      </c>
      <c r="DG57">
        <f t="shared" ref="DG57" si="188">IF(DF56&lt;=5,1/5,0)</f>
        <v>0</v>
      </c>
      <c r="DI57">
        <f t="shared" ref="DI57" si="189">IF(DH56&lt;=5,1/5,0)</f>
        <v>0.2</v>
      </c>
      <c r="DK57">
        <f t="shared" ref="DK57" si="190">IF(DJ56&lt;=5,1/5,0)</f>
        <v>0.2</v>
      </c>
      <c r="DM57">
        <f t="shared" ref="DM57" si="191">IF(DL56&lt;=5,1/5,0)</f>
        <v>0</v>
      </c>
      <c r="DO57">
        <f t="shared" ref="DO57" si="192">IF(DN56&lt;=5,1/5,0)</f>
        <v>0.2</v>
      </c>
      <c r="DQ57">
        <f t="shared" ref="DQ57" si="193">IF(DP56&lt;=5,1/5,0)</f>
        <v>0</v>
      </c>
      <c r="DS57">
        <f t="shared" ref="DS57" si="194">IF(DR56&lt;=5,1/5,0)</f>
        <v>0.2</v>
      </c>
      <c r="DU57">
        <f t="shared" ref="DU57" si="195">IF(DT56&lt;=5,1/5,0)</f>
        <v>0</v>
      </c>
      <c r="DW57">
        <f t="shared" ref="DW57" si="196">IF(DV56&lt;=5,1/5,0)</f>
        <v>0.2</v>
      </c>
      <c r="DY57">
        <f t="shared" ref="DY57" si="197">IF(DX56&lt;=5,1/5,0)</f>
        <v>0.2</v>
      </c>
      <c r="EA57">
        <f t="shared" ref="EA57" si="198">IF(DZ56&lt;=5,1/5,0)</f>
        <v>0.2</v>
      </c>
      <c r="EC57">
        <f t="shared" ref="EC57" si="199">IF(EB56&lt;=5,1/5,0)</f>
        <v>0.2</v>
      </c>
      <c r="EE57">
        <f t="shared" ref="EE57:EG57" si="200">IF(ED56&lt;=5,1/5,0)</f>
        <v>0.2</v>
      </c>
      <c r="EG57">
        <f t="shared" si="200"/>
        <v>0.2</v>
      </c>
    </row>
    <row r="58" spans="1:137">
      <c r="A58" s="93" t="s">
        <v>1987</v>
      </c>
      <c r="C58">
        <f>IF(B56&gt;=62,1/5,0)</f>
        <v>0</v>
      </c>
      <c r="E58">
        <f t="shared" ref="E58" si="201">IF(D56&gt;=62,1/5,0)</f>
        <v>0</v>
      </c>
      <c r="G58">
        <f t="shared" ref="G58" si="202">IF(F56&gt;=62,1/5,0)</f>
        <v>0.2</v>
      </c>
      <c r="I58">
        <f t="shared" ref="I58" si="203">IF(H56&gt;=62,1/5,0)</f>
        <v>0</v>
      </c>
      <c r="K58">
        <f t="shared" ref="K58" si="204">IF(J56&gt;=62,1/5,0)</f>
        <v>0</v>
      </c>
      <c r="M58">
        <f t="shared" ref="M58" si="205">IF(L56&gt;=62,1/5,0)</f>
        <v>0</v>
      </c>
      <c r="O58">
        <f t="shared" ref="O58" si="206">IF(N56&gt;=62,1/5,0)</f>
        <v>0.2</v>
      </c>
      <c r="Q58">
        <f t="shared" ref="Q58" si="207">IF(P56&gt;=62,1/5,0)</f>
        <v>0</v>
      </c>
      <c r="S58">
        <f t="shared" ref="S58" si="208">IF(R56&gt;=62,1/5,0)</f>
        <v>0</v>
      </c>
      <c r="U58">
        <f t="shared" ref="U58" si="209">IF(T56&gt;=62,1/5,0)</f>
        <v>0</v>
      </c>
      <c r="W58">
        <f t="shared" ref="W58" si="210">IF(V56&gt;=62,1/5,0)</f>
        <v>0</v>
      </c>
      <c r="Y58">
        <f t="shared" ref="Y58" si="211">IF(X56&gt;=62,1/5,0)</f>
        <v>0</v>
      </c>
      <c r="AA58">
        <f t="shared" ref="AA58" si="212">IF(Z56&gt;=62,1/5,0)</f>
        <v>0</v>
      </c>
      <c r="AC58">
        <f t="shared" ref="AC58" si="213">IF(AB56&gt;=62,1/5,0)</f>
        <v>0</v>
      </c>
      <c r="AE58">
        <f t="shared" ref="AE58" si="214">IF(AD56&gt;=62,1/5,0)</f>
        <v>0</v>
      </c>
      <c r="AG58">
        <f t="shared" ref="AG58" si="215">IF(AF56&gt;=62,1/5,0)</f>
        <v>0</v>
      </c>
      <c r="AI58">
        <f t="shared" ref="AI58" si="216">IF(AH56&gt;=62,1/5,0)</f>
        <v>0</v>
      </c>
      <c r="AK58">
        <f t="shared" ref="AK58" si="217">IF(AJ56&gt;=62,1/5,0)</f>
        <v>0</v>
      </c>
      <c r="AM58">
        <f t="shared" ref="AM58" si="218">IF(AL56&gt;=62,1/5,0)</f>
        <v>0</v>
      </c>
      <c r="AO58">
        <f t="shared" ref="AO58" si="219">IF(AN56&gt;=62,1/5,0)</f>
        <v>0</v>
      </c>
      <c r="AQ58">
        <f t="shared" ref="AQ58" si="220">IF(AP56&gt;=62,1/5,0)</f>
        <v>0</v>
      </c>
      <c r="AS58">
        <f t="shared" ref="AS58" si="221">IF(AR56&gt;=62,1/5,0)</f>
        <v>0</v>
      </c>
      <c r="AU58">
        <f t="shared" ref="AU58" si="222">IF(AT56&gt;=62,1/5,0)</f>
        <v>0</v>
      </c>
      <c r="AW58">
        <f t="shared" ref="AW58" si="223">IF(AV56&gt;=62,1/5,0)</f>
        <v>0</v>
      </c>
      <c r="AY58">
        <f t="shared" ref="AY58" si="224">IF(AX56&gt;=62,1/5,0)</f>
        <v>0</v>
      </c>
      <c r="BA58">
        <f t="shared" ref="BA58" si="225">IF(AZ56&gt;=62,1/5,0)</f>
        <v>0</v>
      </c>
      <c r="BC58">
        <f t="shared" ref="BC58" si="226">IF(BB56&gt;=62,1/5,0)</f>
        <v>0</v>
      </c>
      <c r="BE58">
        <f t="shared" ref="BE58" si="227">IF(BD56&gt;=62,1/5,0)</f>
        <v>0</v>
      </c>
      <c r="BG58">
        <f t="shared" ref="BG58" si="228">IF(BF56&gt;=62,1/5,0)</f>
        <v>0</v>
      </c>
      <c r="BI58">
        <f t="shared" ref="BI58" si="229">IF(BH56&gt;=62,1/5,0)</f>
        <v>0</v>
      </c>
      <c r="BK58">
        <f t="shared" ref="BK58" si="230">IF(BJ56&gt;=62,1/5,0)</f>
        <v>0</v>
      </c>
      <c r="BM58">
        <f t="shared" ref="BM58" si="231">IF(BL56&gt;=62,1/5,0)</f>
        <v>0</v>
      </c>
      <c r="BO58">
        <f t="shared" ref="BO58" si="232">IF(BN56&gt;=62,1/5,0)</f>
        <v>0</v>
      </c>
      <c r="BQ58">
        <f t="shared" ref="BQ58" si="233">IF(BP56&gt;=62,1/5,0)</f>
        <v>0</v>
      </c>
      <c r="BS58">
        <f t="shared" ref="BS58" si="234">IF(BR56&gt;=62,1/5,0)</f>
        <v>0</v>
      </c>
      <c r="BU58">
        <f t="shared" ref="BU58" si="235">IF(BT56&gt;=62,1/5,0)</f>
        <v>0</v>
      </c>
      <c r="BW58">
        <f t="shared" ref="BW58" si="236">IF(BV56&gt;=62,1/5,0)</f>
        <v>0</v>
      </c>
      <c r="BY58">
        <f t="shared" ref="BY58" si="237">IF(BX56&gt;=62,1/5,0)</f>
        <v>0</v>
      </c>
      <c r="CA58">
        <f t="shared" ref="CA58" si="238">IF(BZ56&gt;=62,1/5,0)</f>
        <v>0</v>
      </c>
      <c r="CC58">
        <f t="shared" ref="CC58" si="239">IF(CB56&gt;=62,1/5,0)</f>
        <v>0</v>
      </c>
      <c r="CE58">
        <f t="shared" ref="CE58" si="240">IF(CD56&gt;=62,1/5,0)</f>
        <v>0</v>
      </c>
      <c r="CG58">
        <f t="shared" ref="CG58" si="241">IF(CF56&gt;=62,1/5,0)</f>
        <v>0</v>
      </c>
      <c r="CI58">
        <f t="shared" ref="CI58" si="242">IF(CH56&gt;=62,1/5,0)</f>
        <v>0</v>
      </c>
      <c r="CK58">
        <f t="shared" ref="CK58" si="243">IF(CJ56&gt;=62,1/5,0)</f>
        <v>0</v>
      </c>
      <c r="CM58">
        <f t="shared" ref="CM58" si="244">IF(CL56&gt;=62,1/5,0)</f>
        <v>0</v>
      </c>
      <c r="CO58">
        <f t="shared" ref="CO58" si="245">IF(CN56&gt;=62,1/5,0)</f>
        <v>0</v>
      </c>
      <c r="CQ58">
        <f t="shared" ref="CQ58" si="246">IF(CP56&gt;=62,1/5,0)</f>
        <v>0</v>
      </c>
      <c r="CS58">
        <f t="shared" ref="CS58" si="247">IF(CR56&gt;=62,1/5,0)</f>
        <v>0</v>
      </c>
      <c r="CU58">
        <f t="shared" ref="CU58" si="248">IF(CT56&gt;=62,1/5,0)</f>
        <v>0</v>
      </c>
      <c r="CW58">
        <f t="shared" ref="CW58" si="249">IF(CV56&gt;=62,1/5,0)</f>
        <v>0</v>
      </c>
      <c r="CY58">
        <f t="shared" ref="CY58" si="250">IF(CX56&gt;=62,1/5,0)</f>
        <v>0</v>
      </c>
      <c r="DA58">
        <f t="shared" ref="DA58" si="251">IF(CZ56&gt;=62,1/5,0)</f>
        <v>0</v>
      </c>
      <c r="DC58">
        <f t="shared" ref="DC58" si="252">IF(DB56&gt;=62,1/5,0)</f>
        <v>0</v>
      </c>
      <c r="DE58">
        <f t="shared" ref="DE58" si="253">IF(DD56&gt;=62,1/5,0)</f>
        <v>0</v>
      </c>
      <c r="DG58">
        <f t="shared" ref="DG58" si="254">IF(DF56&gt;=62,1/5,0)</f>
        <v>0</v>
      </c>
      <c r="DI58">
        <f t="shared" ref="DI58" si="255">IF(DH56&gt;=62,1/5,0)</f>
        <v>0</v>
      </c>
      <c r="DK58">
        <f t="shared" ref="DK58" si="256">IF(DJ56&gt;=62,1/5,0)</f>
        <v>0</v>
      </c>
      <c r="DM58">
        <f t="shared" ref="DM58" si="257">IF(DL56&gt;=62,1/5,0)</f>
        <v>0</v>
      </c>
      <c r="DO58">
        <f t="shared" ref="DO58" si="258">IF(DN56&gt;=62,1/5,0)</f>
        <v>0</v>
      </c>
      <c r="DQ58">
        <f t="shared" ref="DQ58" si="259">IF(DP56&gt;=62,1/5,0)</f>
        <v>0</v>
      </c>
      <c r="DS58">
        <f t="shared" ref="DS58" si="260">IF(DR56&gt;=62,1/5,0)</f>
        <v>0</v>
      </c>
      <c r="DU58">
        <f t="shared" ref="DU58" si="261">IF(DT56&gt;=62,1/5,0)</f>
        <v>0</v>
      </c>
      <c r="DW58">
        <f t="shared" ref="DW58" si="262">IF(DV56&gt;=62,1/5,0)</f>
        <v>0</v>
      </c>
      <c r="DY58">
        <f t="shared" ref="DY58" si="263">IF(DX56&gt;=62,1/5,0)</f>
        <v>0</v>
      </c>
      <c r="EA58">
        <f t="shared" ref="EA58" si="264">IF(DZ56&gt;=62,1/5,0)</f>
        <v>0</v>
      </c>
      <c r="EC58">
        <f t="shared" ref="EC58" si="265">IF(EB56&gt;=62,1/5,0)</f>
        <v>0</v>
      </c>
      <c r="EE58">
        <f t="shared" ref="EE58" si="266">IF(ED56&gt;=62,1/5,0)</f>
        <v>0</v>
      </c>
      <c r="EG58">
        <f t="shared" ref="EG58" si="267">IF(EF56&gt;=62,1/5,0)</f>
        <v>0</v>
      </c>
    </row>
    <row r="59" spans="1:137">
      <c r="A59" s="93"/>
    </row>
    <row r="60" spans="1:137">
      <c r="B60" s="95" t="s">
        <v>1981</v>
      </c>
      <c r="C60" s="95"/>
      <c r="D60" s="95" t="s">
        <v>1988</v>
      </c>
      <c r="E60" s="95"/>
      <c r="F60" t="s">
        <v>1775</v>
      </c>
    </row>
    <row r="61" spans="1:137">
      <c r="A61" s="93" t="s">
        <v>1822</v>
      </c>
      <c r="B61" s="93" t="s">
        <v>1983</v>
      </c>
      <c r="C61" s="93" t="s">
        <v>1984</v>
      </c>
      <c r="D61" s="93" t="s">
        <v>1983</v>
      </c>
      <c r="E61" s="93" t="s">
        <v>1984</v>
      </c>
      <c r="F61">
        <v>1</v>
      </c>
    </row>
    <row r="62" spans="1:137">
      <c r="A62" s="90">
        <v>46119.666666666664</v>
      </c>
      <c r="B62" s="91">
        <f>SUMPRODUCT(C30:EG30,C57:EG57)</f>
        <v>-1.9071267558608045E-2</v>
      </c>
      <c r="C62" s="91">
        <f>1+B62</f>
        <v>0.980928732441392</v>
      </c>
      <c r="D62" s="91">
        <f>SUMPRODUCT(C30:EG30,$C$58:$EG$58)</f>
        <v>6.8996135789534795E-3</v>
      </c>
      <c r="E62" s="91">
        <f>1+D62</f>
        <v>1.0068996135789534</v>
      </c>
      <c r="F62" s="91">
        <f>F61*(1+DK30)</f>
        <v>1.0004401074469216</v>
      </c>
    </row>
    <row r="63" spans="1:137">
      <c r="A63" s="90">
        <v>46120.666666666664</v>
      </c>
      <c r="B63" s="91">
        <f t="shared" ref="B63:B82" si="268">SUMPRODUCT(C31:EG31,$C$57:$EG$57)</f>
        <v>6.6206776591569233E-2</v>
      </c>
      <c r="C63" s="91">
        <f>C62*(1+B63)</f>
        <v>1.0458728618823905</v>
      </c>
      <c r="D63" s="91">
        <f t="shared" ref="D63:D82" si="269">SUMPRODUCT(C31:EG31,$C$58:$EG$58)</f>
        <v>2.6115584708430273E-2</v>
      </c>
      <c r="E63" s="91">
        <f>E62*(1+D63)</f>
        <v>1.0331953857302603</v>
      </c>
      <c r="F63" s="91">
        <f t="shared" ref="F63:F82" si="270">F62*(1+DK31)</f>
        <v>1.0259208110117919</v>
      </c>
    </row>
    <row r="64" spans="1:137">
      <c r="A64" s="90">
        <v>46121.666666666664</v>
      </c>
      <c r="B64" s="91">
        <f t="shared" si="268"/>
        <v>-9.3202220192584465E-2</v>
      </c>
      <c r="C64" s="91">
        <f t="shared" ref="C64:C82" si="271">C63*(1+B64)</f>
        <v>0.94839518911577936</v>
      </c>
      <c r="D64" s="91">
        <f t="shared" si="269"/>
        <v>2.3912071561807079E-3</v>
      </c>
      <c r="E64" s="91">
        <f>E63*(1+D64)</f>
        <v>1.0356659699303514</v>
      </c>
      <c r="F64" s="91">
        <f t="shared" si="270"/>
        <v>1.0318394973669434</v>
      </c>
    </row>
    <row r="65" spans="1:6">
      <c r="A65" s="90">
        <v>46122.666666666664</v>
      </c>
      <c r="B65" s="91">
        <f t="shared" si="268"/>
        <v>2.1218001511361436E-3</v>
      </c>
      <c r="C65" s="91">
        <f t="shared" si="271"/>
        <v>0.95040749417138193</v>
      </c>
      <c r="D65" s="91">
        <f t="shared" si="269"/>
        <v>7.3720126299801521E-3</v>
      </c>
      <c r="E65" s="91">
        <f t="shared" ref="E65:E82" si="272">E64*(1+D65)</f>
        <v>1.0433009125411186</v>
      </c>
      <c r="F65" s="91">
        <f t="shared" si="270"/>
        <v>1.031156572018272</v>
      </c>
    </row>
    <row r="66" spans="1:6">
      <c r="A66" s="90">
        <v>46125.666666666664</v>
      </c>
      <c r="B66" s="91">
        <f t="shared" si="268"/>
        <v>8.7862908424412106E-2</v>
      </c>
      <c r="C66" s="91">
        <f t="shared" si="271"/>
        <v>1.033913060797637</v>
      </c>
      <c r="D66" s="91">
        <f t="shared" si="269"/>
        <v>6.7936884314597108E-3</v>
      </c>
      <c r="E66" s="91">
        <f t="shared" si="272"/>
        <v>1.0503887738811806</v>
      </c>
      <c r="F66" s="91">
        <f t="shared" si="270"/>
        <v>1.0412335149408889</v>
      </c>
    </row>
    <row r="67" spans="1:6">
      <c r="A67" s="90">
        <v>46126.666666666664</v>
      </c>
      <c r="B67" s="91">
        <f t="shared" si="268"/>
        <v>-1.7003793845118628E-2</v>
      </c>
      <c r="C67" s="91">
        <f t="shared" si="271"/>
        <v>1.0163326162580584</v>
      </c>
      <c r="D67" s="91">
        <f t="shared" si="269"/>
        <v>1.3802407104867822E-2</v>
      </c>
      <c r="E67" s="91">
        <f t="shared" si="272"/>
        <v>1.0648866673566717</v>
      </c>
      <c r="F67" s="91">
        <f t="shared" si="270"/>
        <v>1.0539207503073165</v>
      </c>
    </row>
    <row r="68" spans="1:6">
      <c r="A68" s="90">
        <v>46127.666666666664</v>
      </c>
      <c r="B68" s="91">
        <f t="shared" si="268"/>
        <v>0.11041395609371049</v>
      </c>
      <c r="C68" s="91">
        <f t="shared" si="271"/>
        <v>1.1285499211261816</v>
      </c>
      <c r="D68" s="91">
        <f t="shared" si="269"/>
        <v>7.996877855178797E-3</v>
      </c>
      <c r="E68" s="91">
        <f t="shared" si="272"/>
        <v>1.0734024359651315</v>
      </c>
      <c r="F68" s="91">
        <f t="shared" si="270"/>
        <v>1.0622372634422472</v>
      </c>
    </row>
    <row r="69" spans="1:6">
      <c r="A69" s="90">
        <v>46128.666666666664</v>
      </c>
      <c r="B69" s="91">
        <f t="shared" si="268"/>
        <v>9.1998815540327045E-2</v>
      </c>
      <c r="C69" s="91">
        <f t="shared" si="271"/>
        <v>1.2323751771479199</v>
      </c>
      <c r="D69" s="91">
        <f t="shared" si="269"/>
        <v>-5.6527915365802263E-3</v>
      </c>
      <c r="E69" s="91">
        <f t="shared" si="272"/>
        <v>1.0673347157597632</v>
      </c>
      <c r="F69" s="91">
        <f t="shared" si="270"/>
        <v>1.0648475558860575</v>
      </c>
    </row>
    <row r="70" spans="1:6">
      <c r="A70" s="90">
        <v>46129.666666666664</v>
      </c>
      <c r="B70" s="91">
        <f t="shared" si="268"/>
        <v>-2.1036843328330581E-2</v>
      </c>
      <c r="C70" s="91">
        <f t="shared" si="271"/>
        <v>1.2064498936245356</v>
      </c>
      <c r="D70" s="91">
        <f t="shared" si="269"/>
        <v>2.4706629223730927E-2</v>
      </c>
      <c r="E70" s="91">
        <f t="shared" si="272"/>
        <v>1.0937049588396561</v>
      </c>
      <c r="F70" s="91">
        <f t="shared" si="270"/>
        <v>1.0777169046787971</v>
      </c>
    </row>
    <row r="71" spans="1:6">
      <c r="A71" s="90">
        <v>46132.666666666664</v>
      </c>
      <c r="B71" s="91">
        <f t="shared" si="268"/>
        <v>5.603423927575775E-2</v>
      </c>
      <c r="C71" s="91">
        <f t="shared" si="271"/>
        <v>1.2740523956381054</v>
      </c>
      <c r="D71" s="91">
        <f t="shared" si="269"/>
        <v>-1.1593252090435937E-2</v>
      </c>
      <c r="E71" s="91">
        <f t="shared" si="272"/>
        <v>1.0810253615392682</v>
      </c>
      <c r="F71" s="91">
        <f t="shared" si="270"/>
        <v>1.0755618958007676</v>
      </c>
    </row>
    <row r="72" spans="1:6">
      <c r="A72" s="90">
        <v>46133.666666666664</v>
      </c>
      <c r="B72" s="91">
        <f t="shared" si="268"/>
        <v>-2.5613690894005895E-2</v>
      </c>
      <c r="C72" s="91">
        <f t="shared" si="271"/>
        <v>1.2414192113934632</v>
      </c>
      <c r="D72" s="91">
        <f t="shared" si="269"/>
        <v>-8.3291916405311191E-3</v>
      </c>
      <c r="E72" s="91">
        <f t="shared" si="272"/>
        <v>1.0720212941347331</v>
      </c>
      <c r="F72" s="91">
        <f t="shared" si="270"/>
        <v>1.0685201766500232</v>
      </c>
    </row>
    <row r="73" spans="1:6">
      <c r="A73" s="90">
        <v>46134.666666666664</v>
      </c>
      <c r="B73" s="91">
        <f t="shared" si="268"/>
        <v>9.7750304168850916E-2</v>
      </c>
      <c r="C73" s="91">
        <f t="shared" si="271"/>
        <v>1.3627683169082294</v>
      </c>
      <c r="D73" s="91">
        <f t="shared" si="269"/>
        <v>6.9519371282924956E-3</v>
      </c>
      <c r="E73" s="91">
        <f t="shared" si="272"/>
        <v>1.0794739187717486</v>
      </c>
      <c r="F73" s="91">
        <f t="shared" si="270"/>
        <v>1.0793407493967491</v>
      </c>
    </row>
    <row r="74" spans="1:6">
      <c r="A74" s="90">
        <v>46135.666666666664</v>
      </c>
      <c r="B74" s="91">
        <f t="shared" si="268"/>
        <v>-0.12287995044589305</v>
      </c>
      <c r="C74" s="91">
        <f t="shared" si="271"/>
        <v>1.1953114136573131</v>
      </c>
      <c r="D74" s="91">
        <f t="shared" si="269"/>
        <v>5.8127370411600312E-4</v>
      </c>
      <c r="E74" s="91">
        <f t="shared" si="272"/>
        <v>1.0801013885750097</v>
      </c>
      <c r="F74" s="91">
        <f t="shared" si="270"/>
        <v>1.0751521405915649</v>
      </c>
    </row>
    <row r="75" spans="1:6">
      <c r="A75" s="90">
        <v>46136.666666666664</v>
      </c>
      <c r="B75" s="91">
        <f t="shared" si="268"/>
        <v>-6.9555984086636422E-2</v>
      </c>
      <c r="C75" s="91">
        <f t="shared" si="271"/>
        <v>1.11217035199039</v>
      </c>
      <c r="D75" s="91">
        <f t="shared" si="269"/>
        <v>3.4324561984490297E-3</v>
      </c>
      <c r="E75" s="91">
        <f t="shared" si="272"/>
        <v>1.0838087892811774</v>
      </c>
      <c r="F75" s="91">
        <f t="shared" si="270"/>
        <v>1.0834838298453551</v>
      </c>
    </row>
    <row r="76" spans="1:6">
      <c r="A76" s="90">
        <v>46139.666666666664</v>
      </c>
      <c r="B76" s="91">
        <f t="shared" si="268"/>
        <v>1.7288637665301424E-2</v>
      </c>
      <c r="C76" s="91">
        <f t="shared" si="271"/>
        <v>1.1313982622280427</v>
      </c>
      <c r="D76" s="91">
        <f t="shared" si="269"/>
        <v>-7.6874278647164791E-3</v>
      </c>
      <c r="E76" s="91">
        <f t="shared" si="272"/>
        <v>1.0754770873944326</v>
      </c>
      <c r="F76" s="91">
        <f t="shared" si="270"/>
        <v>1.0853504924650565</v>
      </c>
    </row>
    <row r="77" spans="1:6">
      <c r="A77" s="90">
        <v>46140.666666666664</v>
      </c>
      <c r="B77" s="91">
        <f t="shared" si="268"/>
        <v>-5.8850612222577849E-2</v>
      </c>
      <c r="C77" s="91">
        <f t="shared" si="271"/>
        <v>1.0648147818283618</v>
      </c>
      <c r="D77" s="91">
        <f t="shared" si="269"/>
        <v>-1.1999909176958767E-2</v>
      </c>
      <c r="E77" s="91">
        <f t="shared" si="272"/>
        <v>1.0625714600237992</v>
      </c>
      <c r="F77" s="91">
        <f t="shared" si="270"/>
        <v>1.0800692031019983</v>
      </c>
    </row>
    <row r="78" spans="1:6">
      <c r="A78" s="90">
        <v>46141.666666666664</v>
      </c>
      <c r="B78" s="91">
        <f t="shared" si="268"/>
        <v>-5.3001472287605239E-2</v>
      </c>
      <c r="C78" s="91">
        <f t="shared" si="271"/>
        <v>1.0083780306778534</v>
      </c>
      <c r="D78" s="91">
        <f t="shared" si="269"/>
        <v>-4.6278602811824273E-3</v>
      </c>
      <c r="E78" s="91">
        <f t="shared" si="272"/>
        <v>1.0576540277680371</v>
      </c>
      <c r="F78" s="91">
        <f t="shared" si="270"/>
        <v>1.0799022657945454</v>
      </c>
    </row>
    <row r="79" spans="1:6">
      <c r="A79" s="90">
        <v>46142.666666666664</v>
      </c>
      <c r="B79" s="91">
        <f t="shared" si="268"/>
        <v>0.16044334331819413</v>
      </c>
      <c r="C79" s="91">
        <f t="shared" si="271"/>
        <v>1.1701655732484249</v>
      </c>
      <c r="D79" s="91">
        <f t="shared" si="269"/>
        <v>1.0085938523791872E-2</v>
      </c>
      <c r="E79" s="91">
        <f t="shared" si="272"/>
        <v>1.0683214612715464</v>
      </c>
      <c r="F79" s="91">
        <f t="shared" si="270"/>
        <v>1.0906469579469742</v>
      </c>
    </row>
    <row r="80" spans="1:6">
      <c r="A80" s="90">
        <v>46143.666666666664</v>
      </c>
      <c r="B80" s="91">
        <f t="shared" si="268"/>
        <v>-2.0082158751973632E-2</v>
      </c>
      <c r="C80" s="91">
        <f t="shared" si="271"/>
        <v>1.1466661224403558</v>
      </c>
      <c r="D80" s="91">
        <f t="shared" si="269"/>
        <v>-1.0190970642933062E-3</v>
      </c>
      <c r="E80" s="91">
        <f t="shared" si="272"/>
        <v>1.0672327380066431</v>
      </c>
      <c r="F80" s="91">
        <f t="shared" si="270"/>
        <v>1.0936670055999875</v>
      </c>
    </row>
    <row r="81" spans="1:6">
      <c r="A81" s="90">
        <v>46146.666666666664</v>
      </c>
      <c r="B81" s="91">
        <f t="shared" si="268"/>
        <v>6.4373261461146719E-2</v>
      </c>
      <c r="C81" s="91">
        <f t="shared" si="271"/>
        <v>1.2204807605488481</v>
      </c>
      <c r="D81" s="91">
        <f t="shared" si="269"/>
        <v>-1.0518301829074518E-2</v>
      </c>
      <c r="E81" s="91">
        <f t="shared" si="272"/>
        <v>1.0560072619464196</v>
      </c>
      <c r="F81" s="91">
        <f t="shared" si="270"/>
        <v>1.0896605102211157</v>
      </c>
    </row>
    <row r="82" spans="1:6">
      <c r="A82" s="90">
        <v>46147.666666666664</v>
      </c>
      <c r="B82" s="91">
        <f t="shared" si="268"/>
        <v>-1.5566915882030203E-2</v>
      </c>
      <c r="C82" s="91">
        <f t="shared" si="271"/>
        <v>1.201481639213748</v>
      </c>
      <c r="D82" s="91">
        <f t="shared" si="269"/>
        <v>1.3602331841827641E-2</v>
      </c>
      <c r="E82" s="91">
        <f t="shared" si="272"/>
        <v>1.0703714231507946</v>
      </c>
      <c r="F82" s="91">
        <f t="shared" si="270"/>
        <v>1.0984019546841086</v>
      </c>
    </row>
    <row r="85" spans="1:6">
      <c r="B85" s="95"/>
      <c r="C85" s="95"/>
      <c r="D85" s="95"/>
      <c r="E85" s="95"/>
    </row>
    <row r="86" spans="1:6">
      <c r="A86" s="93"/>
      <c r="B86" s="96" t="s">
        <v>1989</v>
      </c>
      <c r="C86" s="96" t="s">
        <v>1990</v>
      </c>
      <c r="D86" s="96" t="s">
        <v>1991</v>
      </c>
      <c r="E86" s="96" t="s">
        <v>1992</v>
      </c>
    </row>
    <row r="87" spans="1:6">
      <c r="A87" s="90"/>
      <c r="B87" s="96" t="s">
        <v>1993</v>
      </c>
      <c r="C87" s="97" t="s">
        <v>1994</v>
      </c>
      <c r="D87" s="97" t="s">
        <v>1995</v>
      </c>
      <c r="E87" s="98">
        <v>1.2015</v>
      </c>
      <c r="F87" s="91"/>
    </row>
    <row r="88" spans="1:6">
      <c r="A88" s="90"/>
      <c r="B88" s="96" t="s">
        <v>1996</v>
      </c>
      <c r="C88" s="97" t="s">
        <v>1997</v>
      </c>
      <c r="D88" s="97" t="s">
        <v>1998</v>
      </c>
      <c r="E88" s="98">
        <v>1.0704</v>
      </c>
      <c r="F88" s="91"/>
    </row>
    <row r="89" spans="1:6">
      <c r="A89" s="90"/>
      <c r="B89" s="96" t="s">
        <v>1999</v>
      </c>
      <c r="C89" s="97" t="s">
        <v>2000</v>
      </c>
      <c r="D89" s="97" t="s">
        <v>2001</v>
      </c>
      <c r="E89" s="98">
        <v>1.0984</v>
      </c>
      <c r="F89" s="91"/>
    </row>
    <row r="90" spans="1:6">
      <c r="A90" s="90"/>
      <c r="B90" s="91"/>
      <c r="C90" s="91"/>
      <c r="D90" s="91"/>
      <c r="E90" s="91"/>
      <c r="F90" s="91"/>
    </row>
    <row r="91" spans="1:6">
      <c r="A91" s="90"/>
      <c r="B91" s="91"/>
      <c r="C91" s="91"/>
      <c r="D91" s="91"/>
      <c r="E91" s="91"/>
      <c r="F91" s="91"/>
    </row>
    <row r="92" spans="1:6">
      <c r="A92" s="90"/>
      <c r="B92" s="99" t="s">
        <v>2002</v>
      </c>
      <c r="C92" s="99" t="s">
        <v>2003</v>
      </c>
      <c r="D92" s="99" t="s">
        <v>2004</v>
      </c>
      <c r="E92" s="99" t="s">
        <v>1999</v>
      </c>
      <c r="F92" s="91"/>
    </row>
    <row r="93" spans="1:6">
      <c r="A93" s="90"/>
      <c r="B93" s="99" t="s">
        <v>2005</v>
      </c>
      <c r="C93" s="100">
        <v>0.20150000000000001</v>
      </c>
      <c r="D93" s="100">
        <v>7.0400000000000004E-2</v>
      </c>
      <c r="E93" s="100">
        <v>9.8400000000000001E-2</v>
      </c>
      <c r="F93" s="91"/>
    </row>
    <row r="94" spans="1:6">
      <c r="A94" s="90"/>
      <c r="B94" s="99" t="s">
        <v>2006</v>
      </c>
      <c r="C94" s="100">
        <v>1.3628</v>
      </c>
      <c r="D94" s="100">
        <v>1.0838000000000001</v>
      </c>
      <c r="E94" s="100">
        <v>1.0984</v>
      </c>
      <c r="F94" s="91"/>
    </row>
    <row r="95" spans="1:6">
      <c r="A95" s="90"/>
      <c r="B95" s="99" t="s">
        <v>2007</v>
      </c>
      <c r="C95" s="100">
        <v>-0.1183</v>
      </c>
      <c r="D95" s="100">
        <v>-2.5600000000000001E-2</v>
      </c>
      <c r="E95" s="100">
        <v>-8.5000000000000006E-3</v>
      </c>
      <c r="F95" s="91"/>
    </row>
    <row r="96" spans="1:6">
      <c r="A96" s="90"/>
      <c r="B96" s="99" t="s">
        <v>2008</v>
      </c>
      <c r="C96" s="101">
        <v>1.19</v>
      </c>
      <c r="D96" s="100">
        <v>0.17499999999999999</v>
      </c>
      <c r="E96" s="101">
        <v>0.12</v>
      </c>
      <c r="F96" s="91"/>
    </row>
    <row r="97" spans="1:6">
      <c r="A97" s="90"/>
      <c r="B97" s="99" t="s">
        <v>2009</v>
      </c>
      <c r="C97" s="100">
        <v>0.16039999999999999</v>
      </c>
      <c r="D97" s="100">
        <v>2.6100000000000002E-2</v>
      </c>
      <c r="E97" s="100">
        <v>2.5499999999999998E-2</v>
      </c>
      <c r="F97" s="91"/>
    </row>
    <row r="98" spans="1:6">
      <c r="A98" s="90"/>
      <c r="B98" s="99" t="s">
        <v>2010</v>
      </c>
      <c r="C98" s="100">
        <v>-0.1229</v>
      </c>
      <c r="D98" s="100">
        <v>-1.2E-2</v>
      </c>
      <c r="E98" s="100">
        <v>-1.0500000000000001E-2</v>
      </c>
      <c r="F98" s="91"/>
    </row>
    <row r="99" spans="1:6">
      <c r="A99" s="90"/>
      <c r="B99" s="91"/>
      <c r="C99" s="91"/>
      <c r="D99" s="91"/>
      <c r="E99" s="91"/>
      <c r="F99" s="91"/>
    </row>
    <row r="100" spans="1:6">
      <c r="A100" s="90"/>
      <c r="B100" s="91"/>
      <c r="C100" s="91"/>
      <c r="D100" s="91"/>
      <c r="E100" s="91"/>
      <c r="F100" s="91"/>
    </row>
    <row r="101" spans="1:6">
      <c r="A101" s="90"/>
      <c r="B101" s="89"/>
      <c r="C101" s="91"/>
      <c r="D101" s="91"/>
      <c r="E101" s="91"/>
      <c r="F101" s="91"/>
    </row>
    <row r="102" spans="1:6">
      <c r="A102" s="90"/>
      <c r="B102" s="102"/>
      <c r="C102" s="91"/>
      <c r="D102" s="91"/>
      <c r="E102" s="91"/>
      <c r="F102" s="91"/>
    </row>
    <row r="103" spans="1:6">
      <c r="A103" s="90"/>
      <c r="B103" s="103"/>
      <c r="C103" s="91"/>
      <c r="D103" s="91"/>
      <c r="E103" s="91"/>
      <c r="F103" s="91"/>
    </row>
    <row r="104" spans="1:6">
      <c r="A104" s="90"/>
      <c r="B104" s="102"/>
      <c r="C104" s="91"/>
      <c r="D104" s="91"/>
      <c r="E104" s="91"/>
      <c r="F104" s="91"/>
    </row>
    <row r="105" spans="1:6">
      <c r="A105" s="90"/>
      <c r="B105" s="103"/>
      <c r="C105" s="91"/>
      <c r="D105" s="91"/>
      <c r="E105" s="91"/>
      <c r="F105" s="91"/>
    </row>
    <row r="106" spans="1:6">
      <c r="A106" s="90"/>
      <c r="B106" s="91"/>
      <c r="C106" s="91"/>
      <c r="D106" s="91"/>
      <c r="E106" s="91"/>
      <c r="F106" s="91"/>
    </row>
    <row r="107" spans="1:6">
      <c r="A107" s="90"/>
      <c r="B107" s="91"/>
      <c r="C107" s="91"/>
      <c r="D107" s="91"/>
      <c r="E107" s="91"/>
      <c r="F107" s="91"/>
    </row>
    <row r="108" spans="1:6">
      <c r="A108" s="90"/>
      <c r="B108" s="91"/>
    </row>
  </sheetData>
  <mergeCells count="4">
    <mergeCell ref="B60:C60"/>
    <mergeCell ref="D60:E60"/>
    <mergeCell ref="B85:C85"/>
    <mergeCell ref="D85:E8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82D56-6D79-45F6-8A71-512A0AB3A2E9}">
  <dimension ref="A3:D15"/>
  <sheetViews>
    <sheetView topLeftCell="A15" workbookViewId="0">
      <selection activeCell="B18" sqref="B18"/>
    </sheetView>
  </sheetViews>
  <sheetFormatPr defaultRowHeight="14.4"/>
  <cols>
    <col min="2" max="2" width="95.21875" customWidth="1"/>
  </cols>
  <sheetData>
    <row r="3" spans="1:4">
      <c r="A3" s="71" t="s">
        <v>2011</v>
      </c>
      <c r="B3" s="64"/>
    </row>
    <row r="5" spans="1:4" ht="253.95" customHeight="1">
      <c r="A5" s="72" t="s">
        <v>2012</v>
      </c>
      <c r="B5" s="64"/>
      <c r="C5" s="72"/>
      <c r="D5" s="64"/>
    </row>
    <row r="6" spans="1:4">
      <c r="A6" s="71" t="s">
        <v>2013</v>
      </c>
      <c r="B6" s="64"/>
    </row>
    <row r="8" spans="1:4" ht="194.55" customHeight="1">
      <c r="A8" s="72" t="s">
        <v>2014</v>
      </c>
      <c r="B8" s="64"/>
    </row>
    <row r="9" spans="1:4">
      <c r="A9" s="71" t="s">
        <v>2015</v>
      </c>
      <c r="B9" s="64"/>
    </row>
    <row r="11" spans="1:4" ht="321.45" customHeight="1">
      <c r="A11" s="72" t="s">
        <v>2016</v>
      </c>
      <c r="B11" s="64"/>
    </row>
    <row r="13" spans="1:4">
      <c r="A13" s="71" t="s">
        <v>2017</v>
      </c>
      <c r="B13" s="64"/>
    </row>
    <row r="15" spans="1:4" ht="349.05" customHeight="1">
      <c r="A15" s="72" t="s">
        <v>2018</v>
      </c>
      <c r="B15" s="64"/>
    </row>
  </sheetData>
  <mergeCells count="9">
    <mergeCell ref="A11:B11"/>
    <mergeCell ref="A13:B13"/>
    <mergeCell ref="A15:B15"/>
    <mergeCell ref="A3:B3"/>
    <mergeCell ref="A5:B5"/>
    <mergeCell ref="C5:D5"/>
    <mergeCell ref="A6:B6"/>
    <mergeCell ref="A8:B8"/>
    <mergeCell ref="A9:B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22C24914F26E74086432556DC0466D1" ma:contentTypeVersion="8" ma:contentTypeDescription="Create a new document." ma:contentTypeScope="" ma:versionID="5a2e739ea7a049a635753b5037d89693">
  <xsd:schema xmlns:xsd="http://www.w3.org/2001/XMLSchema" xmlns:xs="http://www.w3.org/2001/XMLSchema" xmlns:p="http://schemas.microsoft.com/office/2006/metadata/properties" xmlns:ns3="4275bf5f-d934-44d0-8bbf-6f53da2bba6e" targetNamespace="http://schemas.microsoft.com/office/2006/metadata/properties" ma:root="true" ma:fieldsID="9c3632424f6779de571cfc7915e3147b" ns3:_="">
    <xsd:import namespace="4275bf5f-d934-44d0-8bbf-6f53da2bba6e"/>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element ref="ns3:MediaServiceSystemTag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75bf5f-d934-44d0-8bbf-6f53da2bba6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4275bf5f-d934-44d0-8bbf-6f53da2bba6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3F59AC-8CD8-4F83-8AEB-79DCB8BB0C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275bf5f-d934-44d0-8bbf-6f53da2bba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DBCA91-14E9-42F6-BE09-4CDA37D8AD63}">
  <ds:schemaRefs>
    <ds:schemaRef ds:uri="http://schemas.microsoft.com/office/2006/documentManagement/types"/>
    <ds:schemaRef ds:uri="http://purl.org/dc/elements/1.1/"/>
    <ds:schemaRef ds:uri="http://purl.org/dc/dcmitype/"/>
    <ds:schemaRef ds:uri="http://www.w3.org/XML/1998/namespace"/>
    <ds:schemaRef ds:uri="4275bf5f-d934-44d0-8bbf-6f53da2bba6e"/>
    <ds:schemaRef ds:uri="http://schemas.microsoft.com/office/infopath/2007/PartnerControls"/>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1EBD930A-E857-4532-9BC2-FCA21871972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Part 1</vt:lpstr>
      <vt:lpstr>SentimentsWithTicker</vt:lpstr>
      <vt:lpstr>Ticker Summary Table</vt:lpstr>
      <vt:lpstr>Sentiment Distribution</vt:lpstr>
      <vt:lpstr>Sentiment by scrape date</vt:lpstr>
      <vt:lpstr>SentimentByTicker </vt:lpstr>
      <vt:lpstr>P2_Ticker comparison</vt:lpstr>
      <vt:lpstr>P2_Analysis</vt:lpstr>
      <vt:lpstr>P2_key stats</vt:lpstr>
      <vt:lpstr>Part 3 - Sentiment Score</vt:lpstr>
      <vt:lpstr>Part 4 - Step 1-3</vt:lpstr>
      <vt:lpstr>Part 4 - Step 4-7</vt:lpstr>
      <vt:lpstr>P5 Reflection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Madhushri Iyengar</dc:creator>
  <cp:keywords/>
  <dc:description/>
  <cp:lastModifiedBy>Madhushri Iyengar</cp:lastModifiedBy>
  <cp:revision/>
  <dcterms:created xsi:type="dcterms:W3CDTF">2026-04-20T19:38:30Z</dcterms:created>
  <dcterms:modified xsi:type="dcterms:W3CDTF">2026-05-07T00:40:11Z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3fd474-4f3c-44ed-88fb-5cc4bd2471bf_Enabled">
    <vt:lpwstr>true</vt:lpwstr>
  </property>
  <property fmtid="{D5CDD505-2E9C-101B-9397-08002B2CF9AE}" pid="3" name="MSIP_Label_a73fd474-4f3c-44ed-88fb-5cc4bd2471bf_SetDate">
    <vt:lpwstr>2026-04-27T02:09:53Z</vt:lpwstr>
  </property>
  <property fmtid="{D5CDD505-2E9C-101B-9397-08002B2CF9AE}" pid="4" name="MSIP_Label_a73fd474-4f3c-44ed-88fb-5cc4bd2471bf_Method">
    <vt:lpwstr>Standard</vt:lpwstr>
  </property>
  <property fmtid="{D5CDD505-2E9C-101B-9397-08002B2CF9AE}" pid="5" name="MSIP_Label_a73fd474-4f3c-44ed-88fb-5cc4bd2471bf_Name">
    <vt:lpwstr>defa4170-0d19-0005-0004-bc88714345d2</vt:lpwstr>
  </property>
  <property fmtid="{D5CDD505-2E9C-101B-9397-08002B2CF9AE}" pid="6" name="MSIP_Label_a73fd474-4f3c-44ed-88fb-5cc4bd2471bf_SiteId">
    <vt:lpwstr>8d1a69ec-03b5-4345-ae21-dad112f5fb4f</vt:lpwstr>
  </property>
  <property fmtid="{D5CDD505-2E9C-101B-9397-08002B2CF9AE}" pid="7" name="MSIP_Label_a73fd474-4f3c-44ed-88fb-5cc4bd2471bf_ActionId">
    <vt:lpwstr>97545533-cf9f-4971-994a-0425a54da910</vt:lpwstr>
  </property>
  <property fmtid="{D5CDD505-2E9C-101B-9397-08002B2CF9AE}" pid="8" name="MSIP_Label_a73fd474-4f3c-44ed-88fb-5cc4bd2471bf_ContentBits">
    <vt:lpwstr>0</vt:lpwstr>
  </property>
  <property fmtid="{D5CDD505-2E9C-101B-9397-08002B2CF9AE}" pid="9" name="MSIP_Label_a73fd474-4f3c-44ed-88fb-5cc4bd2471bf_Tag">
    <vt:lpwstr>10, 3, 0, 1</vt:lpwstr>
  </property>
  <property fmtid="{D5CDD505-2E9C-101B-9397-08002B2CF9AE}" pid="10" name="ContentTypeId">
    <vt:lpwstr>0x010100122C24914F26E74086432556DC0466D1</vt:lpwstr>
  </property>
</Properties>
</file>