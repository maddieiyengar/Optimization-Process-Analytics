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comments3.xml" ContentType="application/vnd.openxmlformats-officedocument.spreadsheetml.comments+xml"/>
  <Override PartName="/xl/drawings/drawing5.xml" ContentType="application/vnd.openxmlformats-officedocument.drawing+xml"/>
  <Override PartName="/xl/tables/table4.xml" ContentType="application/vnd.openxmlformats-officedocument.spreadsheetml.table+xml"/>
  <Override PartName="/xl/comments4.xml" ContentType="application/vnd.openxmlformats-officedocument.spreadsheetml.comments+xml"/>
  <Override PartName="/xl/drawings/drawing6.xml" ContentType="application/vnd.openxmlformats-officedocument.drawing+xml"/>
  <Override PartName="/xl/tables/table5.xml" ContentType="application/vnd.openxmlformats-officedocument.spreadsheetml.table+xml"/>
  <Override PartName="/xl/comments5.xml" ContentType="application/vnd.openxmlformats-officedocument.spreadsheetml.comments+xml"/>
  <Override PartName="/xl/drawings/drawing7.xml" ContentType="application/vnd.openxmlformats-officedocument.drawing+xml"/>
  <Override PartName="/xl/tables/table6.xml" ContentType="application/vnd.openxmlformats-officedocument.spreadsheetml.table+xml"/>
  <Override PartName="/xl/comments6.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adhu\Downloads\"/>
    </mc:Choice>
  </mc:AlternateContent>
  <xr:revisionPtr revIDLastSave="0" documentId="13_ncr:1_{19AAEDF4-6D27-46D8-9DAD-D20A3CE74055}" xr6:coauthVersionLast="47" xr6:coauthVersionMax="47" xr10:uidLastSave="{00000000-0000-0000-0000-000000000000}"/>
  <bookViews>
    <workbookView xWindow="-108" yWindow="-108" windowWidth="23256" windowHeight="12456" firstSheet="6" activeTab="9" xr2:uid="{051D7857-6AE9-4ADC-9879-28D63F80FDDA}"/>
  </bookViews>
  <sheets>
    <sheet name="Liquidity Ladder" sheetId="14" r:id="rId1"/>
    <sheet name="Model A UB (Nonlinear)" sheetId="1" r:id="rId2"/>
    <sheet name="Model A UB (Revolutionary)" sheetId="4" r:id="rId3"/>
    <sheet name="Model B Realism (200)" sheetId="3" r:id="rId4"/>
    <sheet name="Model B Realism (90)" sheetId="5" r:id="rId5"/>
    <sheet name="Model B Realism (50)" sheetId="6" r:id="rId6"/>
    <sheet name="Model B Realism (26)" sheetId="9" r:id="rId7"/>
    <sheet name="Sensitivity Report 1" sheetId="10" r:id="rId8"/>
    <sheet name="Model B Realism (25)" sheetId="7" r:id="rId9"/>
    <sheet name="Sensitivity Report 2" sheetId="12" r:id="rId10"/>
  </sheets>
  <definedNames>
    <definedName name="solver_adj" localSheetId="0" hidden="1">'Liquidity Ladder'!$H$16</definedName>
    <definedName name="solver_adj" localSheetId="1" hidden="1">'Model A UB (Nonlinear)'!$J$2:$J$201</definedName>
    <definedName name="solver_adj" localSheetId="3" hidden="1">'Model B Realism (200)'!$J$2:$J$201</definedName>
    <definedName name="solver_adj" localSheetId="8" hidden="1">'Model B Realism (25)'!$J$2:$J$26</definedName>
    <definedName name="solver_adj" localSheetId="6" hidden="1">'Model B Realism (26)'!$J$2:$J$27</definedName>
    <definedName name="solver_adj" localSheetId="5" hidden="1">'Model B Realism (50)'!$J$2:$J$201</definedName>
    <definedName name="solver_adj" localSheetId="4" hidden="1">'Model B Realism (90)'!$J$2:$J$201</definedName>
    <definedName name="solver_adj1" localSheetId="0" hidden="1">'Liquidity Ladder'!$H$17</definedName>
    <definedName name="solver_cvg" localSheetId="0" hidden="1">0.0001</definedName>
    <definedName name="solver_cvg" localSheetId="1" hidden="1">0.0001</definedName>
    <definedName name="solver_cvg" localSheetId="3" hidden="1">0.0001</definedName>
    <definedName name="solver_cvg" localSheetId="8" hidden="1">0.0001</definedName>
    <definedName name="solver_cvg" localSheetId="6" hidden="1">0.0001</definedName>
    <definedName name="solver_cvg" localSheetId="5" hidden="1">0.0001</definedName>
    <definedName name="solver_cvg" localSheetId="4" hidden="1">0.0001</definedName>
    <definedName name="solver_drv" localSheetId="1" hidden="1">1</definedName>
    <definedName name="solver_drv" localSheetId="3" hidden="1">2</definedName>
    <definedName name="solver_drv" localSheetId="8" hidden="1">2</definedName>
    <definedName name="solver_drv" localSheetId="6" hidden="1">2</definedName>
    <definedName name="solver_drv" localSheetId="5" hidden="1">2</definedName>
    <definedName name="solver_drv" localSheetId="4" hidden="1">2</definedName>
    <definedName name="solver_eng" localSheetId="0" hidden="1">0</definedName>
    <definedName name="solver_eng" localSheetId="1" hidden="1">1</definedName>
    <definedName name="solver_eng" localSheetId="3" hidden="1">1</definedName>
    <definedName name="solver_eng" localSheetId="8" hidden="1">1</definedName>
    <definedName name="solver_eng" localSheetId="6" hidden="1">1</definedName>
    <definedName name="solver_eng" localSheetId="5" hidden="1">1</definedName>
    <definedName name="solver_eng" localSheetId="4" hidden="1">1</definedName>
    <definedName name="solver_est" localSheetId="0" hidden="1">1</definedName>
    <definedName name="solver_est" localSheetId="3" hidden="1">1</definedName>
    <definedName name="solver_est" localSheetId="8" hidden="1">1</definedName>
    <definedName name="solver_est" localSheetId="6" hidden="1">1</definedName>
    <definedName name="solver_est" localSheetId="5" hidden="1">1</definedName>
    <definedName name="solver_est" localSheetId="4" hidden="1">1</definedName>
    <definedName name="solver_itr" localSheetId="1" hidden="1">2147483647</definedName>
    <definedName name="solver_itr" localSheetId="3" hidden="1">2147483647</definedName>
    <definedName name="solver_itr" localSheetId="8" hidden="1">2147483647</definedName>
    <definedName name="solver_itr" localSheetId="6" hidden="1">2147483647</definedName>
    <definedName name="solver_itr" localSheetId="5" hidden="1">2147483647</definedName>
    <definedName name="solver_itr" localSheetId="4" hidden="1">2147483647</definedName>
    <definedName name="solver_kiv" localSheetId="0" hidden="1">2E+30</definedName>
    <definedName name="solver_lhs1" localSheetId="1" hidden="1">'Model A UB (Nonlinear)'!$J$2:$J$201</definedName>
    <definedName name="solver_lhs1" localSheetId="3" hidden="1">'Model B Realism (200)'!$J$2:$J$201</definedName>
    <definedName name="solver_lhs1" localSheetId="8" hidden="1">'Model B Realism (25)'!$K$2:$K$26</definedName>
    <definedName name="solver_lhs1" localSheetId="6" hidden="1">'Model B Realism (26)'!$K$2:$K$27</definedName>
    <definedName name="solver_lhs1" localSheetId="5" hidden="1">'Model B Realism (50)'!$J$2:$J$201</definedName>
    <definedName name="solver_lhs1" localSheetId="4" hidden="1">'Model B Realism (90)'!$J$2:$J$201</definedName>
    <definedName name="solver_lhs2" localSheetId="1" hidden="1">'Model A UB (Nonlinear)'!$J$2:$J$201</definedName>
    <definedName name="solver_lhs2" localSheetId="3" hidden="1">'Model B Realism (200)'!$T$16</definedName>
    <definedName name="solver_lhs2" localSheetId="8" hidden="1">'Model B Realism (25)'!$T$16</definedName>
    <definedName name="solver_lhs2" localSheetId="6" hidden="1">'Model B Realism (26)'!$T$16</definedName>
    <definedName name="solver_lhs2" localSheetId="5" hidden="1">'Model B Realism (50)'!$T$16</definedName>
    <definedName name="solver_lhs2" localSheetId="4" hidden="1">'Model B Realism (90)'!$T$16</definedName>
    <definedName name="solver_lhs3" localSheetId="3" hidden="1">'Model B Realism (200)'!$T$19</definedName>
    <definedName name="solver_lhs3" localSheetId="8" hidden="1">'Model B Realism (25)'!$T$19</definedName>
    <definedName name="solver_lhs3" localSheetId="6" hidden="1">'Model B Realism (26)'!$T$19</definedName>
    <definedName name="solver_lhs3" localSheetId="5" hidden="1">'Model B Realism (50)'!$T$19</definedName>
    <definedName name="solver_lhs3" localSheetId="4" hidden="1">'Model B Realism (90)'!$T$19</definedName>
    <definedName name="solver_lin" localSheetId="1" hidden="1">2</definedName>
    <definedName name="solver_lin" localSheetId="8" hidden="1">2</definedName>
    <definedName name="solver_lin" localSheetId="6" hidden="1">2</definedName>
    <definedName name="solver_mip" localSheetId="1" hidden="1">2147483647</definedName>
    <definedName name="solver_mip" localSheetId="3" hidden="1">2147483647</definedName>
    <definedName name="solver_mip" localSheetId="8" hidden="1">2147483647</definedName>
    <definedName name="solver_mip" localSheetId="6" hidden="1">2147483647</definedName>
    <definedName name="solver_mip" localSheetId="5" hidden="1">2147483647</definedName>
    <definedName name="solver_mip" localSheetId="4" hidden="1">2147483647</definedName>
    <definedName name="solver_mni" localSheetId="1" hidden="1">30</definedName>
    <definedName name="solver_mni" localSheetId="3" hidden="1">30</definedName>
    <definedName name="solver_mni" localSheetId="8" hidden="1">30</definedName>
    <definedName name="solver_mni" localSheetId="6" hidden="1">30</definedName>
    <definedName name="solver_mni" localSheetId="5" hidden="1">30</definedName>
    <definedName name="solver_mni" localSheetId="4" hidden="1">30</definedName>
    <definedName name="solver_mrt" localSheetId="1" hidden="1">0.075</definedName>
    <definedName name="solver_mrt" localSheetId="3" hidden="1">0.075</definedName>
    <definedName name="solver_mrt" localSheetId="8" hidden="1">0.075</definedName>
    <definedName name="solver_mrt" localSheetId="6" hidden="1">0.075</definedName>
    <definedName name="solver_mrt" localSheetId="5" hidden="1">0.075</definedName>
    <definedName name="solver_mrt" localSheetId="4" hidden="1">0.075</definedName>
    <definedName name="solver_msl" localSheetId="0" hidden="1">0</definedName>
    <definedName name="solver_msl" localSheetId="1" hidden="1">2</definedName>
    <definedName name="solver_msl" localSheetId="3" hidden="1">2</definedName>
    <definedName name="solver_msl" localSheetId="8" hidden="1">2</definedName>
    <definedName name="solver_msl" localSheetId="6" hidden="1">2</definedName>
    <definedName name="solver_msl" localSheetId="5" hidden="1">2</definedName>
    <definedName name="solver_msl" localSheetId="4" hidden="1">2</definedName>
    <definedName name="solver_neg" localSheetId="1" hidden="1">1</definedName>
    <definedName name="solver_neg" localSheetId="3" hidden="1">1</definedName>
    <definedName name="solver_neg" localSheetId="8" hidden="1">1</definedName>
    <definedName name="solver_neg" localSheetId="6" hidden="1">1</definedName>
    <definedName name="solver_neg" localSheetId="5" hidden="1">1</definedName>
    <definedName name="solver_neg" localSheetId="4" hidden="1">1</definedName>
    <definedName name="solver_nod" localSheetId="1" hidden="1">2147483647</definedName>
    <definedName name="solver_nod" localSheetId="3" hidden="1">2147483647</definedName>
    <definedName name="solver_nod" localSheetId="8" hidden="1">2147483647</definedName>
    <definedName name="solver_nod" localSheetId="6" hidden="1">2147483647</definedName>
    <definedName name="solver_nod" localSheetId="5" hidden="1">2147483647</definedName>
    <definedName name="solver_nod" localSheetId="4" hidden="1">2147483647</definedName>
    <definedName name="solver_num" localSheetId="1" hidden="1">2</definedName>
    <definedName name="solver_num" localSheetId="3" hidden="1">2</definedName>
    <definedName name="solver_num" localSheetId="8" hidden="1">2</definedName>
    <definedName name="solver_num" localSheetId="6" hidden="1">2</definedName>
    <definedName name="solver_num" localSheetId="5" hidden="1">2</definedName>
    <definedName name="solver_num" localSheetId="4" hidden="1">2</definedName>
    <definedName name="solver_nwt" localSheetId="0" hidden="1">1</definedName>
    <definedName name="solver_nwt" localSheetId="3" hidden="1">1</definedName>
    <definedName name="solver_nwt" localSheetId="8" hidden="1">1</definedName>
    <definedName name="solver_nwt" localSheetId="6" hidden="1">1</definedName>
    <definedName name="solver_nwt" localSheetId="5" hidden="1">1</definedName>
    <definedName name="solver_nwt" localSheetId="4" hidden="1">1</definedName>
    <definedName name="solver_opt" localSheetId="0" hidden="1">'Liquidity Ladder'!$H$18</definedName>
    <definedName name="solver_opt" localSheetId="1" hidden="1">'Model A UB (Nonlinear)'!$T$18</definedName>
    <definedName name="solver_opt" localSheetId="3" hidden="1">'Model B Realism (200)'!$T$18</definedName>
    <definedName name="solver_opt" localSheetId="8" hidden="1">'Model B Realism (25)'!$T$18</definedName>
    <definedName name="solver_opt" localSheetId="6" hidden="1">'Model B Realism (26)'!$T$18</definedName>
    <definedName name="solver_opt" localSheetId="5" hidden="1">'Model B Realism (50)'!$T$18</definedName>
    <definedName name="solver_opt" localSheetId="4" hidden="1">'Model B Realism (90)'!$T$18</definedName>
    <definedName name="solver_pre" localSheetId="0" hidden="1">0.000001</definedName>
    <definedName name="solver_pre" localSheetId="1" hidden="1">0.000001</definedName>
    <definedName name="solver_pre" localSheetId="3" hidden="1">0.000001</definedName>
    <definedName name="solver_pre" localSheetId="8" hidden="1">0.000001</definedName>
    <definedName name="solver_pre" localSheetId="6" hidden="1">0.000001</definedName>
    <definedName name="solver_pre" localSheetId="5" hidden="1">0.000001</definedName>
    <definedName name="solver_pre" localSheetId="4" hidden="1">0.000001</definedName>
    <definedName name="solver_rbv" localSheetId="0" hidden="1">1</definedName>
    <definedName name="solver_rbv" localSheetId="1" hidden="1">1</definedName>
    <definedName name="solver_rbv" localSheetId="3" hidden="1">2</definedName>
    <definedName name="solver_rbv" localSheetId="8" hidden="1">2</definedName>
    <definedName name="solver_rbv" localSheetId="6" hidden="1">2</definedName>
    <definedName name="solver_rbv" localSheetId="5" hidden="1">2</definedName>
    <definedName name="solver_rbv" localSheetId="4" hidden="1">2</definedName>
    <definedName name="solver_rel1" localSheetId="1" hidden="1">1</definedName>
    <definedName name="solver_rel1" localSheetId="3" hidden="1">3</definedName>
    <definedName name="solver_rel1" localSheetId="8" hidden="1">1</definedName>
    <definedName name="solver_rel1" localSheetId="6" hidden="1">1</definedName>
    <definedName name="solver_rel1" localSheetId="5" hidden="1">3</definedName>
    <definedName name="solver_rel1" localSheetId="4" hidden="1">3</definedName>
    <definedName name="solver_rel2" localSheetId="1" hidden="1">3</definedName>
    <definedName name="solver_rel2" localSheetId="3" hidden="1">1</definedName>
    <definedName name="solver_rel2" localSheetId="8" hidden="1">1</definedName>
    <definedName name="solver_rel2" localSheetId="6" hidden="1">1</definedName>
    <definedName name="solver_rel2" localSheetId="5" hidden="1">1</definedName>
    <definedName name="solver_rel2" localSheetId="4" hidden="1">1</definedName>
    <definedName name="solver_rel3" localSheetId="3" hidden="1">1</definedName>
    <definedName name="solver_rel3" localSheetId="8" hidden="1">1</definedName>
    <definedName name="solver_rel3" localSheetId="6" hidden="1">1</definedName>
    <definedName name="solver_rel3" localSheetId="5" hidden="1">1</definedName>
    <definedName name="solver_rel3" localSheetId="4" hidden="1">1</definedName>
    <definedName name="solver_rhs1" localSheetId="1" hidden="1">100000000000</definedName>
    <definedName name="solver_rhs1" localSheetId="3" hidden="1">0</definedName>
    <definedName name="solver_rhs1" localSheetId="8" hidden="1">0.02</definedName>
    <definedName name="solver_rhs1" localSheetId="6" hidden="1">0.02</definedName>
    <definedName name="solver_rhs1" localSheetId="5" hidden="1">0</definedName>
    <definedName name="solver_rhs1" localSheetId="4" hidden="1">0</definedName>
    <definedName name="solver_rhs2" localSheetId="1" hidden="1">0</definedName>
    <definedName name="solver_rhs2" localSheetId="3" hidden="1">1000000000</definedName>
    <definedName name="solver_rhs2" localSheetId="8" hidden="1">'Model B Realism (25)'!$U$16</definedName>
    <definedName name="solver_rhs2" localSheetId="6" hidden="1">'Model B Realism (26)'!$U$16</definedName>
    <definedName name="solver_rhs2" localSheetId="5" hidden="1">1000000000</definedName>
    <definedName name="solver_rhs2" localSheetId="4" hidden="1">1000000000</definedName>
    <definedName name="solver_rhs3" localSheetId="3" hidden="1">'Model B Realism (200)'!$T$19</definedName>
    <definedName name="solver_rhs3" localSheetId="8" hidden="1">'Model B Realism (25)'!$T$19</definedName>
    <definedName name="solver_rhs3" localSheetId="6" hidden="1">'Model B Realism (26)'!$T$19</definedName>
    <definedName name="solver_rhs3" localSheetId="5" hidden="1">'Model B Realism (50)'!$T$19</definedName>
    <definedName name="solver_rhs3" localSheetId="4" hidden="1">'Model B Realism (90)'!$T$19</definedName>
    <definedName name="solver_rlx" localSheetId="0" hidden="1">0</definedName>
    <definedName name="solver_rlx" localSheetId="1" hidden="1">2</definedName>
    <definedName name="solver_rlx" localSheetId="3" hidden="1">2</definedName>
    <definedName name="solver_rlx" localSheetId="8" hidden="1">2</definedName>
    <definedName name="solver_rlx" localSheetId="6" hidden="1">2</definedName>
    <definedName name="solver_rlx" localSheetId="5" hidden="1">2</definedName>
    <definedName name="solver_rlx" localSheetId="4" hidden="1">2</definedName>
    <definedName name="solver_rsd" localSheetId="1" hidden="1">0</definedName>
    <definedName name="solver_rsd" localSheetId="3" hidden="1">0</definedName>
    <definedName name="solver_rsd" localSheetId="8" hidden="1">0</definedName>
    <definedName name="solver_rsd" localSheetId="6" hidden="1">0</definedName>
    <definedName name="solver_rsd" localSheetId="5" hidden="1">0</definedName>
    <definedName name="solver_rsd" localSheetId="4" hidden="1">0</definedName>
    <definedName name="solver_rxv" localSheetId="0" hidden="1">1</definedName>
    <definedName name="solver_rxv1" localSheetId="0" hidden="1">1</definedName>
    <definedName name="solver_scl" localSheetId="0" hidden="1">1</definedName>
    <definedName name="solver_scl" localSheetId="1" hidden="1">2</definedName>
    <definedName name="solver_scl" localSheetId="3" hidden="1">2</definedName>
    <definedName name="solver_scl" localSheetId="8" hidden="1">2</definedName>
    <definedName name="solver_scl" localSheetId="6" hidden="1">2</definedName>
    <definedName name="solver_scl" localSheetId="5" hidden="1">2</definedName>
    <definedName name="solver_scl" localSheetId="4" hidden="1">2</definedName>
    <definedName name="solver_sho" localSheetId="1" hidden="1">2</definedName>
    <definedName name="solver_sho" localSheetId="3" hidden="1">2</definedName>
    <definedName name="solver_sho" localSheetId="8" hidden="1">2</definedName>
    <definedName name="solver_sho" localSheetId="6" hidden="1">2</definedName>
    <definedName name="solver_sho" localSheetId="5" hidden="1">2</definedName>
    <definedName name="solver_sho" localSheetId="4" hidden="1">2</definedName>
    <definedName name="solver_ssz" localSheetId="1" hidden="1">100</definedName>
    <definedName name="solver_ssz" localSheetId="3" hidden="1">100</definedName>
    <definedName name="solver_ssz" localSheetId="8" hidden="1">100</definedName>
    <definedName name="solver_ssz" localSheetId="6" hidden="1">100</definedName>
    <definedName name="solver_ssz" localSheetId="5" hidden="1">100</definedName>
    <definedName name="solver_ssz" localSheetId="4" hidden="1">100</definedName>
    <definedName name="solver_tim" localSheetId="1" hidden="1">60</definedName>
    <definedName name="solver_tim" localSheetId="3" hidden="1">60</definedName>
    <definedName name="solver_tim" localSheetId="8" hidden="1">60</definedName>
    <definedName name="solver_tim" localSheetId="6" hidden="1">60</definedName>
    <definedName name="solver_tim" localSheetId="5" hidden="1">60</definedName>
    <definedName name="solver_tim" localSheetId="4" hidden="1">60</definedName>
    <definedName name="solver_tms" localSheetId="0" hidden="1">0</definedName>
    <definedName name="solver_tol" localSheetId="0" hidden="1">0</definedName>
    <definedName name="solver_tol" localSheetId="1" hidden="1">0.01</definedName>
    <definedName name="solver_tol" localSheetId="3" hidden="1">0.01</definedName>
    <definedName name="solver_tol" localSheetId="8" hidden="1">0.01</definedName>
    <definedName name="solver_tol" localSheetId="6" hidden="1">0.01</definedName>
    <definedName name="solver_tol" localSheetId="5" hidden="1">0.01</definedName>
    <definedName name="solver_tol" localSheetId="4" hidden="1">0.01</definedName>
    <definedName name="solver_typ" localSheetId="0" hidden="1">2</definedName>
    <definedName name="solver_typ" localSheetId="1" hidden="1">1</definedName>
    <definedName name="solver_typ" localSheetId="3" hidden="1">1</definedName>
    <definedName name="solver_typ" localSheetId="8" hidden="1">1</definedName>
    <definedName name="solver_typ" localSheetId="6" hidden="1">1</definedName>
    <definedName name="solver_typ" localSheetId="5" hidden="1">1</definedName>
    <definedName name="solver_typ" localSheetId="4" hidden="1">1</definedName>
    <definedName name="solver_val" localSheetId="0" hidden="1">0</definedName>
    <definedName name="solver_val" localSheetId="1" hidden="1">0</definedName>
    <definedName name="solver_val" localSheetId="3" hidden="1">0</definedName>
    <definedName name="solver_val" localSheetId="8" hidden="1">0</definedName>
    <definedName name="solver_val" localSheetId="6" hidden="1">0</definedName>
    <definedName name="solver_val" localSheetId="5" hidden="1">0</definedName>
    <definedName name="solver_val" localSheetId="4" hidden="1">0</definedName>
    <definedName name="solver_ver" localSheetId="1" hidden="1">2</definedName>
    <definedName name="solver_ver" localSheetId="3" hidden="1">3</definedName>
    <definedName name="solver_ver" localSheetId="8" hidden="1">2</definedName>
    <definedName name="solver_ver" localSheetId="6" hidden="1">2</definedName>
    <definedName name="solver_ver" localSheetId="5" hidden="1">3</definedName>
    <definedName name="solver_ver" localSheetId="4" hidden="1">3</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4" l="1"/>
  <c r="C4" i="14"/>
  <c r="D4" i="14"/>
  <c r="F4" i="14" s="1"/>
  <c r="H4" i="14"/>
  <c r="J4" i="14"/>
  <c r="B5" i="14"/>
  <c r="D6" i="14" s="1"/>
  <c r="B6" i="14"/>
  <c r="C6" i="14"/>
  <c r="B7" i="14"/>
  <c r="C7" i="14"/>
  <c r="C8" i="14" s="1"/>
  <c r="B8" i="14"/>
  <c r="D8" i="14"/>
  <c r="F8" i="14" s="1"/>
  <c r="H8" i="14"/>
  <c r="B9" i="14"/>
  <c r="D9" i="14" s="1"/>
  <c r="B10" i="14"/>
  <c r="D10" i="14"/>
  <c r="F10" i="14" s="1"/>
  <c r="H10" i="14"/>
  <c r="B11" i="14"/>
  <c r="D11" i="14" s="1"/>
  <c r="B12" i="14"/>
  <c r="D12" i="14"/>
  <c r="F12" i="14" s="1"/>
  <c r="H12" i="14"/>
  <c r="B13" i="14"/>
  <c r="H5" i="1"/>
  <c r="G2" i="1"/>
  <c r="C52" i="14"/>
  <c r="D52" i="14"/>
  <c r="C53" i="14"/>
  <c r="D53" i="14"/>
  <c r="C54" i="14"/>
  <c r="D54" i="14"/>
  <c r="C68" i="14" s="1"/>
  <c r="C67" i="14"/>
  <c r="C69" i="14"/>
  <c r="T16" i="1"/>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39" i="10"/>
  <c r="C40" i="12"/>
  <c r="C41" i="12"/>
  <c r="C42" i="12"/>
  <c r="C43" i="12"/>
  <c r="C44" i="12"/>
  <c r="C45" i="12"/>
  <c r="C46" i="12"/>
  <c r="C47" i="12"/>
  <c r="C48" i="12"/>
  <c r="C49" i="12"/>
  <c r="C50" i="12"/>
  <c r="C51" i="12"/>
  <c r="C52" i="12"/>
  <c r="C53" i="12"/>
  <c r="C54" i="12"/>
  <c r="C55" i="12"/>
  <c r="C56" i="12"/>
  <c r="C57" i="12"/>
  <c r="C58" i="12"/>
  <c r="C59" i="12"/>
  <c r="C60" i="12"/>
  <c r="C61" i="12"/>
  <c r="C62" i="12"/>
  <c r="C39" i="12"/>
  <c r="C38" i="12"/>
  <c r="K3" i="7"/>
  <c r="D39" i="12"/>
  <c r="K4" i="7"/>
  <c r="D40" i="12"/>
  <c r="K5" i="7"/>
  <c r="D41" i="12"/>
  <c r="K6" i="7"/>
  <c r="D42" i="12"/>
  <c r="K7" i="7"/>
  <c r="D43" i="12"/>
  <c r="K8" i="7"/>
  <c r="D44" i="12"/>
  <c r="K9" i="7"/>
  <c r="D45" i="12"/>
  <c r="K10" i="7"/>
  <c r="D46" i="12"/>
  <c r="K11" i="7"/>
  <c r="D47" i="12"/>
  <c r="K12" i="7"/>
  <c r="D48" i="12"/>
  <c r="K13" i="7"/>
  <c r="D49" i="12"/>
  <c r="K14" i="7"/>
  <c r="D50" i="12"/>
  <c r="K15" i="7"/>
  <c r="D51" i="12"/>
  <c r="K16" i="7"/>
  <c r="D52" i="12"/>
  <c r="K17" i="7"/>
  <c r="D53" i="12"/>
  <c r="K18" i="7"/>
  <c r="D54" i="12"/>
  <c r="K19" i="7"/>
  <c r="D55" i="12"/>
  <c r="K20" i="7"/>
  <c r="D56" i="12"/>
  <c r="K21" i="7"/>
  <c r="D57" i="12"/>
  <c r="K22" i="7"/>
  <c r="D58" i="12"/>
  <c r="K23" i="7"/>
  <c r="D59" i="12"/>
  <c r="K24" i="7"/>
  <c r="D60" i="12"/>
  <c r="K25" i="7"/>
  <c r="D61" i="12"/>
  <c r="K26" i="7"/>
  <c r="D62" i="12"/>
  <c r="K2" i="7"/>
  <c r="D38" i="12"/>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9" i="10"/>
  <c r="D11" i="10"/>
  <c r="D12" i="10"/>
  <c r="D13" i="10"/>
  <c r="D14" i="10"/>
  <c r="D15" i="10"/>
  <c r="D16" i="10"/>
  <c r="D17" i="10"/>
  <c r="D18" i="10"/>
  <c r="D19" i="10"/>
  <c r="D20" i="10"/>
  <c r="D21" i="10"/>
  <c r="D22" i="10"/>
  <c r="D23" i="10"/>
  <c r="D24" i="10"/>
  <c r="D25" i="10"/>
  <c r="D26" i="10"/>
  <c r="D27" i="10"/>
  <c r="D28" i="10"/>
  <c r="D29" i="10"/>
  <c r="D30" i="10"/>
  <c r="D31" i="10"/>
  <c r="D32" i="10"/>
  <c r="D33" i="10"/>
  <c r="D34" i="10"/>
  <c r="D10" i="10"/>
  <c r="D9" i="10"/>
  <c r="D11" i="12"/>
  <c r="D12" i="12"/>
  <c r="D13" i="12"/>
  <c r="D14" i="12"/>
  <c r="D15" i="12"/>
  <c r="D16" i="12"/>
  <c r="D17" i="12"/>
  <c r="D18" i="12"/>
  <c r="D19" i="12"/>
  <c r="D20" i="12"/>
  <c r="D21" i="12"/>
  <c r="D22" i="12"/>
  <c r="D23" i="12"/>
  <c r="D24" i="12"/>
  <c r="D25" i="12"/>
  <c r="D26" i="12"/>
  <c r="D27" i="12"/>
  <c r="D28" i="12"/>
  <c r="D29" i="12"/>
  <c r="D30" i="12"/>
  <c r="D31" i="12"/>
  <c r="D32" i="12"/>
  <c r="D33" i="12"/>
  <c r="D10" i="12"/>
  <c r="D9" i="12"/>
  <c r="C11" i="12"/>
  <c r="C12" i="12"/>
  <c r="C13" i="12"/>
  <c r="C14" i="12"/>
  <c r="C15" i="12"/>
  <c r="C16" i="12"/>
  <c r="C17" i="12"/>
  <c r="C18" i="12"/>
  <c r="C19" i="12"/>
  <c r="C20" i="12"/>
  <c r="C21" i="12"/>
  <c r="C22" i="12"/>
  <c r="C23" i="12"/>
  <c r="C24" i="12"/>
  <c r="C25" i="12"/>
  <c r="C26" i="12"/>
  <c r="C27" i="12"/>
  <c r="C28" i="12"/>
  <c r="C29" i="12"/>
  <c r="C30" i="12"/>
  <c r="C31" i="12"/>
  <c r="C32" i="12"/>
  <c r="C33" i="12"/>
  <c r="C10" i="12"/>
  <c r="C9" i="12"/>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K199" i="9" s="1"/>
  <c r="L199" i="9" s="1"/>
  <c r="J200" i="9"/>
  <c r="K200" i="9" s="1"/>
  <c r="L200" i="9" s="1"/>
  <c r="J201" i="9"/>
  <c r="J28" i="9"/>
  <c r="H201" i="9"/>
  <c r="I201" i="9" s="1"/>
  <c r="K201" i="9"/>
  <c r="L201" i="9" s="1"/>
  <c r="H200" i="9"/>
  <c r="I200" i="9" s="1"/>
  <c r="H199" i="9"/>
  <c r="I199" i="9" s="1"/>
  <c r="H198" i="9"/>
  <c r="I198" i="9" s="1"/>
  <c r="K198" i="9"/>
  <c r="L198" i="9" s="1"/>
  <c r="H197" i="9"/>
  <c r="I197" i="9"/>
  <c r="K197" i="9"/>
  <c r="L197" i="9" s="1"/>
  <c r="H196" i="9"/>
  <c r="I196" i="9" s="1"/>
  <c r="M196" i="9" s="1"/>
  <c r="K196" i="9"/>
  <c r="L196" i="9" s="1"/>
  <c r="H195" i="9"/>
  <c r="I195" i="9" s="1"/>
  <c r="M195" i="9" s="1"/>
  <c r="K195" i="9"/>
  <c r="L195" i="9"/>
  <c r="H194" i="9"/>
  <c r="I194" i="9" s="1"/>
  <c r="K194" i="9"/>
  <c r="L194" i="9" s="1"/>
  <c r="H193" i="9"/>
  <c r="I193" i="9" s="1"/>
  <c r="K193" i="9"/>
  <c r="L193" i="9" s="1"/>
  <c r="H192" i="9"/>
  <c r="I192" i="9" s="1"/>
  <c r="K192" i="9"/>
  <c r="L192" i="9" s="1"/>
  <c r="H191" i="9"/>
  <c r="I191" i="9" s="1"/>
  <c r="K191" i="9"/>
  <c r="L191" i="9" s="1"/>
  <c r="H190" i="9"/>
  <c r="I190" i="9" s="1"/>
  <c r="K190" i="9"/>
  <c r="L190" i="9"/>
  <c r="H189" i="9"/>
  <c r="I189" i="9"/>
  <c r="K189" i="9"/>
  <c r="L189" i="9" s="1"/>
  <c r="H188" i="9"/>
  <c r="I188" i="9" s="1"/>
  <c r="M188" i="9" s="1"/>
  <c r="K188" i="9"/>
  <c r="L188" i="9"/>
  <c r="H187" i="9"/>
  <c r="I187" i="9" s="1"/>
  <c r="M187" i="9" s="1"/>
  <c r="K187" i="9"/>
  <c r="L187" i="9"/>
  <c r="H186" i="9"/>
  <c r="I186" i="9" s="1"/>
  <c r="K186" i="9"/>
  <c r="L186" i="9" s="1"/>
  <c r="H185" i="9"/>
  <c r="I185" i="9"/>
  <c r="K185" i="9"/>
  <c r="L185" i="9" s="1"/>
  <c r="H184" i="9"/>
  <c r="I184" i="9" s="1"/>
  <c r="M184" i="9" s="1"/>
  <c r="K184" i="9"/>
  <c r="L184" i="9"/>
  <c r="H183" i="9"/>
  <c r="I183" i="9" s="1"/>
  <c r="M183" i="9" s="1"/>
  <c r="K183" i="9"/>
  <c r="L183" i="9"/>
  <c r="H182" i="9"/>
  <c r="I182" i="9" s="1"/>
  <c r="K182" i="9"/>
  <c r="L182" i="9" s="1"/>
  <c r="H181" i="9"/>
  <c r="I181" i="9"/>
  <c r="K181" i="9"/>
  <c r="L181" i="9" s="1"/>
  <c r="H180" i="9"/>
  <c r="I180" i="9" s="1"/>
  <c r="K180" i="9"/>
  <c r="L180" i="9"/>
  <c r="H179" i="9"/>
  <c r="I179" i="9" s="1"/>
  <c r="M179" i="9" s="1"/>
  <c r="K179" i="9"/>
  <c r="L179" i="9"/>
  <c r="H178" i="9"/>
  <c r="I178" i="9" s="1"/>
  <c r="K178" i="9"/>
  <c r="L178" i="9"/>
  <c r="H177" i="9"/>
  <c r="I177" i="9"/>
  <c r="K177" i="9"/>
  <c r="L177" i="9" s="1"/>
  <c r="H176" i="9"/>
  <c r="I176" i="9"/>
  <c r="K176" i="9"/>
  <c r="L176" i="9" s="1"/>
  <c r="H175" i="9"/>
  <c r="I175" i="9" s="1"/>
  <c r="K175" i="9"/>
  <c r="L175" i="9"/>
  <c r="H174" i="9"/>
  <c r="I174" i="9" s="1"/>
  <c r="K174" i="9"/>
  <c r="L174" i="9" s="1"/>
  <c r="H173" i="9"/>
  <c r="I173" i="9" s="1"/>
  <c r="M173" i="9" s="1"/>
  <c r="K173" i="9"/>
  <c r="L173" i="9" s="1"/>
  <c r="H172" i="9"/>
  <c r="I172" i="9"/>
  <c r="M172" i="9" s="1"/>
  <c r="K172" i="9"/>
  <c r="L172" i="9"/>
  <c r="H171" i="9"/>
  <c r="I171" i="9" s="1"/>
  <c r="K171" i="9"/>
  <c r="L171" i="9" s="1"/>
  <c r="H170" i="9"/>
  <c r="I170" i="9" s="1"/>
  <c r="K170" i="9"/>
  <c r="L170" i="9" s="1"/>
  <c r="H169" i="9"/>
  <c r="I169" i="9" s="1"/>
  <c r="K169" i="9"/>
  <c r="L169" i="9" s="1"/>
  <c r="H168" i="9"/>
  <c r="I168" i="9"/>
  <c r="M168" i="9" s="1"/>
  <c r="K168" i="9"/>
  <c r="L168" i="9" s="1"/>
  <c r="H167" i="9"/>
  <c r="I167" i="9" s="1"/>
  <c r="M167" i="9" s="1"/>
  <c r="K167" i="9"/>
  <c r="L167" i="9" s="1"/>
  <c r="H166" i="9"/>
  <c r="I166" i="9" s="1"/>
  <c r="K166" i="9"/>
  <c r="L166" i="9" s="1"/>
  <c r="H165" i="9"/>
  <c r="I165" i="9"/>
  <c r="K165" i="9"/>
  <c r="L165" i="9" s="1"/>
  <c r="H164" i="9"/>
  <c r="I164" i="9"/>
  <c r="K164" i="9"/>
  <c r="L164" i="9" s="1"/>
  <c r="H163" i="9"/>
  <c r="I163" i="9" s="1"/>
  <c r="M163" i="9" s="1"/>
  <c r="K163" i="9"/>
  <c r="L163" i="9"/>
  <c r="H162" i="9"/>
  <c r="I162" i="9" s="1"/>
  <c r="K162" i="9"/>
  <c r="L162" i="9" s="1"/>
  <c r="H161" i="9"/>
  <c r="I161" i="9"/>
  <c r="K161" i="9"/>
  <c r="L161" i="9" s="1"/>
  <c r="H160" i="9"/>
  <c r="I160" i="9" s="1"/>
  <c r="M160" i="9" s="1"/>
  <c r="K160" i="9"/>
  <c r="L160" i="9" s="1"/>
  <c r="H159" i="9"/>
  <c r="I159" i="9" s="1"/>
  <c r="M159" i="9" s="1"/>
  <c r="K159" i="9"/>
  <c r="L159" i="9"/>
  <c r="H158" i="9"/>
  <c r="I158" i="9" s="1"/>
  <c r="K158" i="9"/>
  <c r="L158" i="9"/>
  <c r="H157" i="9"/>
  <c r="I157" i="9"/>
  <c r="K157" i="9"/>
  <c r="L157" i="9" s="1"/>
  <c r="H156" i="9"/>
  <c r="I156" i="9"/>
  <c r="K156" i="9"/>
  <c r="L156" i="9" s="1"/>
  <c r="H155" i="9"/>
  <c r="I155" i="9" s="1"/>
  <c r="K155" i="9"/>
  <c r="L155" i="9"/>
  <c r="H154" i="9"/>
  <c r="I154" i="9" s="1"/>
  <c r="K154" i="9"/>
  <c r="L154" i="9" s="1"/>
  <c r="H153" i="9"/>
  <c r="I153" i="9"/>
  <c r="K153" i="9"/>
  <c r="L153" i="9" s="1"/>
  <c r="H152" i="9"/>
  <c r="I152" i="9"/>
  <c r="K152" i="9"/>
  <c r="L152" i="9" s="1"/>
  <c r="M152" i="9"/>
  <c r="H151" i="9"/>
  <c r="I151" i="9" s="1"/>
  <c r="K151" i="9"/>
  <c r="L151" i="9"/>
  <c r="M151" i="9"/>
  <c r="H150" i="9"/>
  <c r="I150" i="9" s="1"/>
  <c r="K150" i="9"/>
  <c r="L150" i="9"/>
  <c r="M150" i="9"/>
  <c r="H149" i="9"/>
  <c r="I149" i="9"/>
  <c r="K149" i="9"/>
  <c r="L149" i="9"/>
  <c r="H148" i="9"/>
  <c r="I148" i="9"/>
  <c r="K148" i="9"/>
  <c r="L148" i="9"/>
  <c r="H147" i="9"/>
  <c r="I147" i="9"/>
  <c r="K147" i="9"/>
  <c r="L147" i="9" s="1"/>
  <c r="H146" i="9"/>
  <c r="I146" i="9" s="1"/>
  <c r="M146" i="9" s="1"/>
  <c r="K146" i="9"/>
  <c r="L146" i="9"/>
  <c r="H145" i="9"/>
  <c r="I145" i="9" s="1"/>
  <c r="M145" i="9" s="1"/>
  <c r="K145" i="9"/>
  <c r="L145" i="9"/>
  <c r="H144" i="9"/>
  <c r="I144" i="9"/>
  <c r="M144" i="9" s="1"/>
  <c r="K144" i="9"/>
  <c r="L144" i="9"/>
  <c r="H143" i="9"/>
  <c r="I143" i="9"/>
  <c r="K143" i="9"/>
  <c r="L143" i="9" s="1"/>
  <c r="H142" i="9"/>
  <c r="I142" i="9"/>
  <c r="K142" i="9"/>
  <c r="L142" i="9" s="1"/>
  <c r="H141" i="9"/>
  <c r="I141" i="9" s="1"/>
  <c r="K141" i="9"/>
  <c r="L141" i="9"/>
  <c r="H140" i="9"/>
  <c r="I140" i="9"/>
  <c r="K140" i="9"/>
  <c r="L140" i="9"/>
  <c r="H139" i="9"/>
  <c r="I139" i="9"/>
  <c r="K139" i="9"/>
  <c r="L139" i="9" s="1"/>
  <c r="H138" i="9"/>
  <c r="I138" i="9" s="1"/>
  <c r="M138" i="9" s="1"/>
  <c r="K138" i="9"/>
  <c r="L138" i="9"/>
  <c r="H137" i="9"/>
  <c r="I137" i="9" s="1"/>
  <c r="K137" i="9"/>
  <c r="L137" i="9"/>
  <c r="H136" i="9"/>
  <c r="I136" i="9" s="1"/>
  <c r="M136" i="9" s="1"/>
  <c r="K136" i="9"/>
  <c r="L136" i="9"/>
  <c r="H135" i="9"/>
  <c r="I135" i="9" s="1"/>
  <c r="K135" i="9"/>
  <c r="L135" i="9" s="1"/>
  <c r="H134" i="9"/>
  <c r="I134" i="9"/>
  <c r="M134" i="9" s="1"/>
  <c r="K134" i="9"/>
  <c r="L134" i="9"/>
  <c r="H133" i="9"/>
  <c r="I133" i="9" s="1"/>
  <c r="K133" i="9"/>
  <c r="L133" i="9" s="1"/>
  <c r="H132" i="9"/>
  <c r="I132" i="9" s="1"/>
  <c r="K132" i="9"/>
  <c r="L132" i="9"/>
  <c r="H131" i="9"/>
  <c r="I131" i="9" s="1"/>
  <c r="K131" i="9"/>
  <c r="L131" i="9" s="1"/>
  <c r="H130" i="9"/>
  <c r="I130" i="9" s="1"/>
  <c r="K130" i="9"/>
  <c r="L130" i="9" s="1"/>
  <c r="H129" i="9"/>
  <c r="I129" i="9" s="1"/>
  <c r="K129" i="9"/>
  <c r="L129" i="9" s="1"/>
  <c r="H128" i="9"/>
  <c r="I128" i="9" s="1"/>
  <c r="K128" i="9"/>
  <c r="L128" i="9" s="1"/>
  <c r="H127" i="9"/>
  <c r="I127" i="9" s="1"/>
  <c r="K127" i="9"/>
  <c r="L127" i="9" s="1"/>
  <c r="H126" i="9"/>
  <c r="I126" i="9" s="1"/>
  <c r="K126" i="9"/>
  <c r="L126" i="9" s="1"/>
  <c r="H125" i="9"/>
  <c r="I125" i="9" s="1"/>
  <c r="K125" i="9"/>
  <c r="L125" i="9" s="1"/>
  <c r="H124" i="9"/>
  <c r="I124" i="9" s="1"/>
  <c r="K124" i="9"/>
  <c r="L124" i="9" s="1"/>
  <c r="H123" i="9"/>
  <c r="I123" i="9" s="1"/>
  <c r="K123" i="9"/>
  <c r="L123" i="9" s="1"/>
  <c r="H122" i="9"/>
  <c r="I122" i="9" s="1"/>
  <c r="K122" i="9"/>
  <c r="L122" i="9" s="1"/>
  <c r="H121" i="9"/>
  <c r="I121" i="9" s="1"/>
  <c r="K121" i="9"/>
  <c r="L121" i="9" s="1"/>
  <c r="H120" i="9"/>
  <c r="I120" i="9" s="1"/>
  <c r="K120" i="9"/>
  <c r="L120" i="9" s="1"/>
  <c r="H119" i="9"/>
  <c r="I119" i="9"/>
  <c r="K119" i="9"/>
  <c r="L119" i="9" s="1"/>
  <c r="H118" i="9"/>
  <c r="I118" i="9" s="1"/>
  <c r="K118" i="9"/>
  <c r="L118" i="9" s="1"/>
  <c r="H117" i="9"/>
  <c r="I117" i="9" s="1"/>
  <c r="K117" i="9"/>
  <c r="L117" i="9" s="1"/>
  <c r="H116" i="9"/>
  <c r="I116" i="9" s="1"/>
  <c r="K116" i="9"/>
  <c r="L116" i="9" s="1"/>
  <c r="H115" i="9"/>
  <c r="I115" i="9" s="1"/>
  <c r="K115" i="9"/>
  <c r="L115" i="9" s="1"/>
  <c r="H114" i="9"/>
  <c r="I114" i="9" s="1"/>
  <c r="K114" i="9"/>
  <c r="L114" i="9" s="1"/>
  <c r="H113" i="9"/>
  <c r="I113" i="9" s="1"/>
  <c r="K113" i="9"/>
  <c r="L113" i="9" s="1"/>
  <c r="H112" i="9"/>
  <c r="I112" i="9" s="1"/>
  <c r="K112" i="9"/>
  <c r="L112" i="9" s="1"/>
  <c r="H111" i="9"/>
  <c r="I111" i="9" s="1"/>
  <c r="M111" i="9" s="1"/>
  <c r="K111" i="9"/>
  <c r="L111" i="9" s="1"/>
  <c r="H110" i="9"/>
  <c r="I110" i="9" s="1"/>
  <c r="K110" i="9"/>
  <c r="L110" i="9" s="1"/>
  <c r="H109" i="9"/>
  <c r="I109" i="9" s="1"/>
  <c r="K109" i="9"/>
  <c r="L109" i="9" s="1"/>
  <c r="H108" i="9"/>
  <c r="I108" i="9" s="1"/>
  <c r="K108" i="9"/>
  <c r="L108" i="9" s="1"/>
  <c r="H107" i="9"/>
  <c r="I107" i="9"/>
  <c r="M107" i="9" s="1"/>
  <c r="K107" i="9"/>
  <c r="L107" i="9" s="1"/>
  <c r="H106" i="9"/>
  <c r="I106" i="9" s="1"/>
  <c r="M106" i="9" s="1"/>
  <c r="K106" i="9"/>
  <c r="L106" i="9" s="1"/>
  <c r="H105" i="9"/>
  <c r="I105" i="9" s="1"/>
  <c r="K105" i="9"/>
  <c r="L105" i="9" s="1"/>
  <c r="M105" i="9" s="1"/>
  <c r="H104" i="9"/>
  <c r="I104" i="9" s="1"/>
  <c r="K104" i="9"/>
  <c r="L104" i="9" s="1"/>
  <c r="H103" i="9"/>
  <c r="I103" i="9" s="1"/>
  <c r="K103" i="9"/>
  <c r="L103" i="9" s="1"/>
  <c r="H102" i="9"/>
  <c r="I102" i="9"/>
  <c r="M102" i="9" s="1"/>
  <c r="K102" i="9"/>
  <c r="L102" i="9" s="1"/>
  <c r="H101" i="9"/>
  <c r="I101" i="9" s="1"/>
  <c r="K101" i="9"/>
  <c r="L101" i="9"/>
  <c r="H100" i="9"/>
  <c r="I100" i="9" s="1"/>
  <c r="K100" i="9"/>
  <c r="L100" i="9" s="1"/>
  <c r="H99" i="9"/>
  <c r="I99" i="9" s="1"/>
  <c r="K99" i="9"/>
  <c r="L99" i="9" s="1"/>
  <c r="H98" i="9"/>
  <c r="I98" i="9"/>
  <c r="K98" i="9"/>
  <c r="L98" i="9" s="1"/>
  <c r="H97" i="9"/>
  <c r="I97" i="9" s="1"/>
  <c r="K97" i="9"/>
  <c r="L97" i="9"/>
  <c r="H96" i="9"/>
  <c r="I96" i="9" s="1"/>
  <c r="K96" i="9"/>
  <c r="L96" i="9" s="1"/>
  <c r="H95" i="9"/>
  <c r="I95" i="9" s="1"/>
  <c r="K95" i="9"/>
  <c r="L95" i="9" s="1"/>
  <c r="H94" i="9"/>
  <c r="I94" i="9"/>
  <c r="M94" i="9" s="1"/>
  <c r="K94" i="9"/>
  <c r="L94" i="9" s="1"/>
  <c r="H93" i="9"/>
  <c r="I93" i="9" s="1"/>
  <c r="M93" i="9" s="1"/>
  <c r="K93" i="9"/>
  <c r="L93" i="9" s="1"/>
  <c r="H92" i="9"/>
  <c r="I92" i="9" s="1"/>
  <c r="K92" i="9"/>
  <c r="L92" i="9" s="1"/>
  <c r="H91" i="9"/>
  <c r="I91" i="9"/>
  <c r="K91" i="9"/>
  <c r="L91" i="9" s="1"/>
  <c r="H90" i="9"/>
  <c r="I90" i="9" s="1"/>
  <c r="M90" i="9" s="1"/>
  <c r="K90" i="9"/>
  <c r="L90" i="9" s="1"/>
  <c r="H89" i="9"/>
  <c r="I89" i="9" s="1"/>
  <c r="K89" i="9"/>
  <c r="L89" i="9" s="1"/>
  <c r="H88" i="9"/>
  <c r="I88" i="9" s="1"/>
  <c r="K88" i="9"/>
  <c r="L88" i="9" s="1"/>
  <c r="H87" i="9"/>
  <c r="I87" i="9" s="1"/>
  <c r="K87" i="9"/>
  <c r="L87" i="9" s="1"/>
  <c r="H86" i="9"/>
  <c r="I86" i="9" s="1"/>
  <c r="M86" i="9" s="1"/>
  <c r="K86" i="9"/>
  <c r="L86" i="9" s="1"/>
  <c r="H85" i="9"/>
  <c r="I85" i="9" s="1"/>
  <c r="K85" i="9"/>
  <c r="L85" i="9" s="1"/>
  <c r="H84" i="9"/>
  <c r="I84" i="9" s="1"/>
  <c r="K84" i="9"/>
  <c r="L84" i="9" s="1"/>
  <c r="H83" i="9"/>
  <c r="I83" i="9"/>
  <c r="K83" i="9"/>
  <c r="L83" i="9" s="1"/>
  <c r="H82" i="9"/>
  <c r="I82" i="9"/>
  <c r="K82" i="9"/>
  <c r="L82" i="9" s="1"/>
  <c r="H81" i="9"/>
  <c r="I81" i="9" s="1"/>
  <c r="M81" i="9" s="1"/>
  <c r="K81" i="9"/>
  <c r="L81" i="9"/>
  <c r="H80" i="9"/>
  <c r="I80" i="9" s="1"/>
  <c r="K80" i="9"/>
  <c r="L80" i="9" s="1"/>
  <c r="H79" i="9"/>
  <c r="I79" i="9"/>
  <c r="K79" i="9"/>
  <c r="L79" i="9" s="1"/>
  <c r="H78" i="9"/>
  <c r="I78" i="9" s="1"/>
  <c r="M78" i="9" s="1"/>
  <c r="K78" i="9"/>
  <c r="L78" i="9" s="1"/>
  <c r="H77" i="9"/>
  <c r="I77" i="9" s="1"/>
  <c r="K77" i="9"/>
  <c r="L77" i="9" s="1"/>
  <c r="H76" i="9"/>
  <c r="I76" i="9" s="1"/>
  <c r="K76" i="9"/>
  <c r="L76" i="9" s="1"/>
  <c r="H75" i="9"/>
  <c r="I75" i="9"/>
  <c r="K75" i="9"/>
  <c r="L75" i="9" s="1"/>
  <c r="H74" i="9"/>
  <c r="I74" i="9" s="1"/>
  <c r="M74" i="9" s="1"/>
  <c r="K74" i="9"/>
  <c r="L74" i="9" s="1"/>
  <c r="H73" i="9"/>
  <c r="I73" i="9" s="1"/>
  <c r="K73" i="9"/>
  <c r="L73" i="9"/>
  <c r="M73" i="9"/>
  <c r="H72" i="9"/>
  <c r="I72" i="9" s="1"/>
  <c r="K72" i="9"/>
  <c r="L72" i="9" s="1"/>
  <c r="H71" i="9"/>
  <c r="I71" i="9"/>
  <c r="M71" i="9" s="1"/>
  <c r="K71" i="9"/>
  <c r="L71" i="9" s="1"/>
  <c r="H70" i="9"/>
  <c r="I70" i="9" s="1"/>
  <c r="K70" i="9"/>
  <c r="L70" i="9" s="1"/>
  <c r="H69" i="9"/>
  <c r="I69" i="9" s="1"/>
  <c r="K69" i="9"/>
  <c r="L69" i="9" s="1"/>
  <c r="M69" i="9" s="1"/>
  <c r="H68" i="9"/>
  <c r="I68" i="9" s="1"/>
  <c r="K68" i="9"/>
  <c r="L68" i="9" s="1"/>
  <c r="H67" i="9"/>
  <c r="I67" i="9"/>
  <c r="K67" i="9"/>
  <c r="L67" i="9" s="1"/>
  <c r="H66" i="9"/>
  <c r="I66" i="9" s="1"/>
  <c r="M66" i="9" s="1"/>
  <c r="K66" i="9"/>
  <c r="L66" i="9" s="1"/>
  <c r="H65" i="9"/>
  <c r="I65" i="9" s="1"/>
  <c r="K65" i="9"/>
  <c r="L65" i="9" s="1"/>
  <c r="H64" i="9"/>
  <c r="I64" i="9" s="1"/>
  <c r="K64" i="9"/>
  <c r="L64" i="9" s="1"/>
  <c r="H63" i="9"/>
  <c r="I63" i="9" s="1"/>
  <c r="K63" i="9"/>
  <c r="L63" i="9" s="1"/>
  <c r="H62" i="9"/>
  <c r="I62" i="9" s="1"/>
  <c r="M62" i="9" s="1"/>
  <c r="K62" i="9"/>
  <c r="L62" i="9" s="1"/>
  <c r="H61" i="9"/>
  <c r="I61" i="9" s="1"/>
  <c r="K61" i="9"/>
  <c r="L61" i="9" s="1"/>
  <c r="H60" i="9"/>
  <c r="I60" i="9" s="1"/>
  <c r="K60" i="9"/>
  <c r="L60" i="9" s="1"/>
  <c r="H59" i="9"/>
  <c r="I59" i="9"/>
  <c r="K59" i="9"/>
  <c r="L59" i="9" s="1"/>
  <c r="H58" i="9"/>
  <c r="I58" i="9"/>
  <c r="K58" i="9"/>
  <c r="L58" i="9" s="1"/>
  <c r="H57" i="9"/>
  <c r="I57" i="9" s="1"/>
  <c r="M57" i="9" s="1"/>
  <c r="K57" i="9"/>
  <c r="L57" i="9"/>
  <c r="H56" i="9"/>
  <c r="I56" i="9" s="1"/>
  <c r="K56" i="9"/>
  <c r="L56" i="9" s="1"/>
  <c r="H55" i="9"/>
  <c r="I55" i="9"/>
  <c r="K55" i="9"/>
  <c r="L55" i="9" s="1"/>
  <c r="H54" i="9"/>
  <c r="I54" i="9" s="1"/>
  <c r="M54" i="9" s="1"/>
  <c r="K54" i="9"/>
  <c r="L54" i="9" s="1"/>
  <c r="H53" i="9"/>
  <c r="I53" i="9" s="1"/>
  <c r="K53" i="9"/>
  <c r="L53" i="9"/>
  <c r="M53" i="9"/>
  <c r="H52" i="9"/>
  <c r="I52" i="9" s="1"/>
  <c r="K52" i="9"/>
  <c r="L52" i="9"/>
  <c r="H51" i="9"/>
  <c r="I51" i="9" s="1"/>
  <c r="K51" i="9"/>
  <c r="L51" i="9" s="1"/>
  <c r="H50" i="9"/>
  <c r="I50" i="9"/>
  <c r="M50" i="9" s="1"/>
  <c r="K50" i="9"/>
  <c r="L50" i="9" s="1"/>
  <c r="H49" i="9"/>
  <c r="I49" i="9" s="1"/>
  <c r="K49" i="9"/>
  <c r="L49" i="9"/>
  <c r="H48" i="9"/>
  <c r="I48" i="9" s="1"/>
  <c r="K48" i="9"/>
  <c r="L48" i="9" s="1"/>
  <c r="H47" i="9"/>
  <c r="I47" i="9"/>
  <c r="K47" i="9"/>
  <c r="L47" i="9" s="1"/>
  <c r="H46" i="9"/>
  <c r="I46" i="9" s="1"/>
  <c r="M46" i="9" s="1"/>
  <c r="K46" i="9"/>
  <c r="L46" i="9" s="1"/>
  <c r="H45" i="9"/>
  <c r="I45" i="9" s="1"/>
  <c r="M45" i="9" s="1"/>
  <c r="K45" i="9"/>
  <c r="L45" i="9" s="1"/>
  <c r="H44" i="9"/>
  <c r="I44" i="9" s="1"/>
  <c r="K44" i="9"/>
  <c r="L44" i="9" s="1"/>
  <c r="H43" i="9"/>
  <c r="I43" i="9"/>
  <c r="K43" i="9"/>
  <c r="L43" i="9" s="1"/>
  <c r="H42" i="9"/>
  <c r="I42" i="9"/>
  <c r="K42" i="9"/>
  <c r="L42" i="9" s="1"/>
  <c r="M42" i="9"/>
  <c r="H41" i="9"/>
  <c r="I41" i="9" s="1"/>
  <c r="K41" i="9"/>
  <c r="L41" i="9"/>
  <c r="M41" i="9"/>
  <c r="H40" i="9"/>
  <c r="I40" i="9" s="1"/>
  <c r="K40" i="9"/>
  <c r="L40" i="9" s="1"/>
  <c r="H39" i="9"/>
  <c r="I39" i="9"/>
  <c r="M39" i="9" s="1"/>
  <c r="K39" i="9"/>
  <c r="L39" i="9" s="1"/>
  <c r="H38" i="9"/>
  <c r="I38" i="9"/>
  <c r="K38" i="9"/>
  <c r="L38" i="9" s="1"/>
  <c r="H37" i="9"/>
  <c r="I37" i="9" s="1"/>
  <c r="K37" i="9"/>
  <c r="L37" i="9"/>
  <c r="M37" i="9" s="1"/>
  <c r="H36" i="9"/>
  <c r="I36" i="9" s="1"/>
  <c r="K36" i="9"/>
  <c r="L36" i="9" s="1"/>
  <c r="H35" i="9"/>
  <c r="I35" i="9" s="1"/>
  <c r="K35" i="9"/>
  <c r="L35" i="9" s="1"/>
  <c r="H34" i="9"/>
  <c r="I34" i="9" s="1"/>
  <c r="K34" i="9"/>
  <c r="L34" i="9" s="1"/>
  <c r="H33" i="9"/>
  <c r="I33" i="9" s="1"/>
  <c r="M33" i="9" s="1"/>
  <c r="K33" i="9"/>
  <c r="L33" i="9"/>
  <c r="H32" i="9"/>
  <c r="I32" i="9" s="1"/>
  <c r="M32" i="9" s="1"/>
  <c r="K32" i="9"/>
  <c r="L32" i="9" s="1"/>
  <c r="H31" i="9"/>
  <c r="I31" i="9" s="1"/>
  <c r="K31" i="9"/>
  <c r="L31" i="9" s="1"/>
  <c r="H30" i="9"/>
  <c r="I30" i="9" s="1"/>
  <c r="M30" i="9" s="1"/>
  <c r="K30" i="9"/>
  <c r="L30" i="9" s="1"/>
  <c r="H29" i="9"/>
  <c r="I29" i="9" s="1"/>
  <c r="M29" i="9" s="1"/>
  <c r="K29" i="9"/>
  <c r="L29" i="9" s="1"/>
  <c r="H28" i="9"/>
  <c r="I28" i="9" s="1"/>
  <c r="K28" i="9"/>
  <c r="L28" i="9" s="1"/>
  <c r="H20" i="9"/>
  <c r="I20" i="9" s="1"/>
  <c r="K20" i="9"/>
  <c r="H19" i="9"/>
  <c r="I19" i="9"/>
  <c r="K19" i="9"/>
  <c r="D56" i="10" s="1"/>
  <c r="H27" i="9"/>
  <c r="I27" i="9" s="1"/>
  <c r="K27" i="9"/>
  <c r="D64" i="10" s="1"/>
  <c r="L27" i="9"/>
  <c r="H25" i="9"/>
  <c r="I25" i="9" s="1"/>
  <c r="K25" i="9"/>
  <c r="H24" i="9"/>
  <c r="I24" i="9"/>
  <c r="K24" i="9"/>
  <c r="H18" i="9"/>
  <c r="I18" i="9" s="1"/>
  <c r="K18" i="9"/>
  <c r="D55" i="10" s="1"/>
  <c r="H17" i="9"/>
  <c r="I17" i="9" s="1"/>
  <c r="K17" i="9"/>
  <c r="D54" i="10" s="1"/>
  <c r="H22" i="9"/>
  <c r="I22" i="9" s="1"/>
  <c r="K22" i="9"/>
  <c r="D59" i="10" s="1"/>
  <c r="T19" i="9"/>
  <c r="H23" i="9"/>
  <c r="I23" i="9" s="1"/>
  <c r="K23" i="9"/>
  <c r="D60" i="10" s="1"/>
  <c r="L23" i="9"/>
  <c r="H3" i="9"/>
  <c r="I3" i="9" s="1"/>
  <c r="K3" i="9"/>
  <c r="D40" i="10" s="1"/>
  <c r="H2" i="9"/>
  <c r="I2" i="9"/>
  <c r="K2" i="9"/>
  <c r="H5" i="9"/>
  <c r="I5" i="9"/>
  <c r="K5" i="9"/>
  <c r="H4" i="9"/>
  <c r="I4" i="9" s="1"/>
  <c r="K4" i="9"/>
  <c r="D41" i="10" s="1"/>
  <c r="H6" i="9"/>
  <c r="I6" i="9" s="1"/>
  <c r="K6" i="9"/>
  <c r="H7" i="9"/>
  <c r="I7" i="9" s="1"/>
  <c r="K7" i="9"/>
  <c r="D44" i="10" s="1"/>
  <c r="H8" i="9"/>
  <c r="I8" i="9" s="1"/>
  <c r="K8" i="9"/>
  <c r="H9" i="9"/>
  <c r="I9" i="9" s="1"/>
  <c r="K9" i="9"/>
  <c r="D46" i="10" s="1"/>
  <c r="H10" i="9"/>
  <c r="I10" i="9" s="1"/>
  <c r="K10" i="9"/>
  <c r="D47" i="10" s="1"/>
  <c r="L10" i="9"/>
  <c r="H11" i="9"/>
  <c r="I11" i="9" s="1"/>
  <c r="K11" i="9"/>
  <c r="H26" i="9"/>
  <c r="I26" i="9" s="1"/>
  <c r="K26" i="9"/>
  <c r="H12" i="9"/>
  <c r="I12" i="9" s="1"/>
  <c r="K12" i="9"/>
  <c r="D49" i="10" s="1"/>
  <c r="L12" i="9"/>
  <c r="M12" i="9" s="1"/>
  <c r="H14" i="9"/>
  <c r="I14" i="9" s="1"/>
  <c r="M14" i="9" s="1"/>
  <c r="K14" i="9"/>
  <c r="D51" i="10" s="1"/>
  <c r="L14" i="9"/>
  <c r="H13" i="9"/>
  <c r="I13" i="9" s="1"/>
  <c r="K13" i="9"/>
  <c r="D50" i="10" s="1"/>
  <c r="L13" i="9"/>
  <c r="H15" i="9"/>
  <c r="I15" i="9"/>
  <c r="K15" i="9"/>
  <c r="H16" i="9"/>
  <c r="I16" i="9" s="1"/>
  <c r="K16" i="9"/>
  <c r="D53" i="10" s="1"/>
  <c r="L16" i="9"/>
  <c r="H21" i="9"/>
  <c r="I21" i="9" s="1"/>
  <c r="K21" i="9"/>
  <c r="D58" i="10" s="1"/>
  <c r="L21" i="9"/>
  <c r="T16" i="9"/>
  <c r="T9" i="9"/>
  <c r="U16" i="9"/>
  <c r="J28" i="7"/>
  <c r="J29" i="7"/>
  <c r="J30" i="7"/>
  <c r="J31" i="7"/>
  <c r="J32" i="7"/>
  <c r="K32" i="7" s="1"/>
  <c r="L32" i="7" s="1"/>
  <c r="J33" i="7"/>
  <c r="J34" i="7"/>
  <c r="J35" i="7"/>
  <c r="J36" i="7"/>
  <c r="K36" i="7" s="1"/>
  <c r="L36" i="7" s="1"/>
  <c r="J37" i="7"/>
  <c r="J38" i="7"/>
  <c r="J39" i="7"/>
  <c r="J40" i="7"/>
  <c r="K40" i="7" s="1"/>
  <c r="L40" i="7" s="1"/>
  <c r="J41" i="7"/>
  <c r="J42" i="7"/>
  <c r="J43" i="7"/>
  <c r="J44" i="7"/>
  <c r="K44" i="7" s="1"/>
  <c r="L44" i="7" s="1"/>
  <c r="J45" i="7"/>
  <c r="J46" i="7"/>
  <c r="J47" i="7"/>
  <c r="J48" i="7"/>
  <c r="K48" i="7" s="1"/>
  <c r="L48" i="7" s="1"/>
  <c r="J49" i="7"/>
  <c r="J50" i="7"/>
  <c r="J51" i="7"/>
  <c r="J52" i="7"/>
  <c r="K52" i="7" s="1"/>
  <c r="L52" i="7" s="1"/>
  <c r="J53" i="7"/>
  <c r="J54" i="7"/>
  <c r="J55" i="7"/>
  <c r="J56" i="7"/>
  <c r="K56" i="7" s="1"/>
  <c r="L56" i="7" s="1"/>
  <c r="J57" i="7"/>
  <c r="J58" i="7"/>
  <c r="J59" i="7"/>
  <c r="J60" i="7"/>
  <c r="K60" i="7" s="1"/>
  <c r="L60" i="7" s="1"/>
  <c r="J61" i="7"/>
  <c r="J62" i="7"/>
  <c r="J63" i="7"/>
  <c r="J64" i="7"/>
  <c r="K64" i="7" s="1"/>
  <c r="L64" i="7" s="1"/>
  <c r="J65" i="7"/>
  <c r="J66" i="7"/>
  <c r="J67" i="7"/>
  <c r="J68" i="7"/>
  <c r="K68" i="7" s="1"/>
  <c r="L68" i="7" s="1"/>
  <c r="J69" i="7"/>
  <c r="J70" i="7"/>
  <c r="J71" i="7"/>
  <c r="J72" i="7"/>
  <c r="K72" i="7" s="1"/>
  <c r="L72" i="7" s="1"/>
  <c r="J73" i="7"/>
  <c r="J74" i="7"/>
  <c r="J75" i="7"/>
  <c r="J76" i="7"/>
  <c r="K76" i="7" s="1"/>
  <c r="L76" i="7" s="1"/>
  <c r="J77" i="7"/>
  <c r="J78" i="7"/>
  <c r="K78" i="7" s="1"/>
  <c r="L78" i="7" s="1"/>
  <c r="J79" i="7"/>
  <c r="J80" i="7"/>
  <c r="K80" i="7" s="1"/>
  <c r="J81" i="7"/>
  <c r="J82" i="7"/>
  <c r="J83" i="7"/>
  <c r="J84" i="7"/>
  <c r="K84" i="7" s="1"/>
  <c r="J85" i="7"/>
  <c r="J86" i="7"/>
  <c r="J87" i="7"/>
  <c r="J88" i="7"/>
  <c r="K88" i="7" s="1"/>
  <c r="L88" i="7" s="1"/>
  <c r="J89" i="7"/>
  <c r="J90" i="7"/>
  <c r="K90" i="7" s="1"/>
  <c r="L90" i="7" s="1"/>
  <c r="J91" i="7"/>
  <c r="J92" i="7"/>
  <c r="K92" i="7" s="1"/>
  <c r="L92" i="7" s="1"/>
  <c r="J93" i="7"/>
  <c r="J94" i="7"/>
  <c r="J95" i="7"/>
  <c r="J96" i="7"/>
  <c r="K96" i="7" s="1"/>
  <c r="J97" i="7"/>
  <c r="J98" i="7"/>
  <c r="J99" i="7"/>
  <c r="J100" i="7"/>
  <c r="K100" i="7" s="1"/>
  <c r="J101" i="7"/>
  <c r="J102" i="7"/>
  <c r="K102" i="7" s="1"/>
  <c r="L102" i="7" s="1"/>
  <c r="J103" i="7"/>
  <c r="J104" i="7"/>
  <c r="K104" i="7" s="1"/>
  <c r="L104" i="7" s="1"/>
  <c r="J105" i="7"/>
  <c r="J106" i="7"/>
  <c r="K106" i="7" s="1"/>
  <c r="L106" i="7" s="1"/>
  <c r="M106" i="7" s="1"/>
  <c r="J107" i="7"/>
  <c r="J108" i="7"/>
  <c r="K108" i="7" s="1"/>
  <c r="L108" i="7" s="1"/>
  <c r="J109" i="7"/>
  <c r="J110" i="7"/>
  <c r="K110" i="7" s="1"/>
  <c r="L110" i="7" s="1"/>
  <c r="M110" i="7" s="1"/>
  <c r="J111" i="7"/>
  <c r="J112" i="7"/>
  <c r="K112" i="7" s="1"/>
  <c r="J113" i="7"/>
  <c r="J114" i="7"/>
  <c r="K114" i="7" s="1"/>
  <c r="L114" i="7" s="1"/>
  <c r="J115" i="7"/>
  <c r="J116" i="7"/>
  <c r="K116" i="7" s="1"/>
  <c r="J117" i="7"/>
  <c r="J118" i="7"/>
  <c r="K118" i="7" s="1"/>
  <c r="L118" i="7" s="1"/>
  <c r="M118" i="7" s="1"/>
  <c r="J119" i="7"/>
  <c r="J120" i="7"/>
  <c r="K120" i="7" s="1"/>
  <c r="L120" i="7" s="1"/>
  <c r="J121" i="7"/>
  <c r="J122" i="7"/>
  <c r="K122" i="7" s="1"/>
  <c r="L122" i="7" s="1"/>
  <c r="M122" i="7" s="1"/>
  <c r="J123" i="7"/>
  <c r="J124" i="7"/>
  <c r="K124" i="7" s="1"/>
  <c r="L124" i="7" s="1"/>
  <c r="J125" i="7"/>
  <c r="J126" i="7"/>
  <c r="K126" i="7" s="1"/>
  <c r="L126" i="7" s="1"/>
  <c r="M126" i="7" s="1"/>
  <c r="J127" i="7"/>
  <c r="J128" i="7"/>
  <c r="K128" i="7" s="1"/>
  <c r="J129" i="7"/>
  <c r="J130" i="7"/>
  <c r="J131" i="7"/>
  <c r="J132" i="7"/>
  <c r="K132" i="7" s="1"/>
  <c r="J133" i="7"/>
  <c r="J134" i="7"/>
  <c r="K134" i="7" s="1"/>
  <c r="L134" i="7" s="1"/>
  <c r="M134" i="7" s="1"/>
  <c r="J135" i="7"/>
  <c r="J136" i="7"/>
  <c r="K136" i="7" s="1"/>
  <c r="L136" i="7" s="1"/>
  <c r="J137" i="7"/>
  <c r="J138" i="7"/>
  <c r="K138" i="7" s="1"/>
  <c r="L138" i="7" s="1"/>
  <c r="M138" i="7" s="1"/>
  <c r="J139" i="7"/>
  <c r="J140" i="7"/>
  <c r="K140" i="7" s="1"/>
  <c r="L140" i="7" s="1"/>
  <c r="J141" i="7"/>
  <c r="J142" i="7"/>
  <c r="K142" i="7" s="1"/>
  <c r="L142" i="7" s="1"/>
  <c r="M142" i="7" s="1"/>
  <c r="J143" i="7"/>
  <c r="J144" i="7"/>
  <c r="K144" i="7" s="1"/>
  <c r="J145" i="7"/>
  <c r="J146" i="7"/>
  <c r="K146" i="7" s="1"/>
  <c r="L146" i="7" s="1"/>
  <c r="M146" i="7" s="1"/>
  <c r="J147" i="7"/>
  <c r="J148" i="7"/>
  <c r="K148" i="7" s="1"/>
  <c r="J149" i="7"/>
  <c r="J150" i="7"/>
  <c r="K150" i="7" s="1"/>
  <c r="L150" i="7" s="1"/>
  <c r="M150" i="7" s="1"/>
  <c r="J151" i="7"/>
  <c r="J152" i="7"/>
  <c r="K152" i="7" s="1"/>
  <c r="L152" i="7" s="1"/>
  <c r="J153" i="7"/>
  <c r="J154" i="7"/>
  <c r="K154" i="7" s="1"/>
  <c r="L154" i="7" s="1"/>
  <c r="M154" i="7" s="1"/>
  <c r="J155" i="7"/>
  <c r="J156" i="7"/>
  <c r="K156" i="7" s="1"/>
  <c r="L156" i="7" s="1"/>
  <c r="J157" i="7"/>
  <c r="J158" i="7"/>
  <c r="K158" i="7" s="1"/>
  <c r="L158" i="7" s="1"/>
  <c r="M158" i="7" s="1"/>
  <c r="J159" i="7"/>
  <c r="J160" i="7"/>
  <c r="K160" i="7" s="1"/>
  <c r="J161" i="7"/>
  <c r="J162" i="7"/>
  <c r="J163" i="7"/>
  <c r="K163" i="7" s="1"/>
  <c r="J164" i="7"/>
  <c r="K164" i="7" s="1"/>
  <c r="L164" i="7" s="1"/>
  <c r="J165" i="7"/>
  <c r="J166" i="7"/>
  <c r="J167" i="7"/>
  <c r="K167" i="7" s="1"/>
  <c r="J168" i="7"/>
  <c r="J169" i="7"/>
  <c r="J170" i="7"/>
  <c r="K170" i="7" s="1"/>
  <c r="L170" i="7" s="1"/>
  <c r="J171" i="7"/>
  <c r="K171" i="7" s="1"/>
  <c r="L171" i="7" s="1"/>
  <c r="J172" i="7"/>
  <c r="K172" i="7" s="1"/>
  <c r="L172" i="7" s="1"/>
  <c r="J173" i="7"/>
  <c r="J174" i="7"/>
  <c r="K174" i="7" s="1"/>
  <c r="L174" i="7" s="1"/>
  <c r="J175" i="7"/>
  <c r="K175" i="7" s="1"/>
  <c r="L175" i="7" s="1"/>
  <c r="J176" i="7"/>
  <c r="K176" i="7" s="1"/>
  <c r="L176" i="7" s="1"/>
  <c r="J177" i="7"/>
  <c r="J178" i="7"/>
  <c r="J179" i="7"/>
  <c r="K179" i="7" s="1"/>
  <c r="J180" i="7"/>
  <c r="K180" i="7" s="1"/>
  <c r="L180" i="7" s="1"/>
  <c r="M180" i="7" s="1"/>
  <c r="J181" i="7"/>
  <c r="K181" i="7" s="1"/>
  <c r="L181" i="7" s="1"/>
  <c r="J182" i="7"/>
  <c r="K182" i="7" s="1"/>
  <c r="L182" i="7" s="1"/>
  <c r="J183" i="7"/>
  <c r="K183" i="7" s="1"/>
  <c r="J184" i="7"/>
  <c r="J185" i="7"/>
  <c r="J186" i="7"/>
  <c r="K186" i="7" s="1"/>
  <c r="L186" i="7" s="1"/>
  <c r="J187" i="7"/>
  <c r="K187" i="7" s="1"/>
  <c r="L187" i="7" s="1"/>
  <c r="J188" i="7"/>
  <c r="K188" i="7" s="1"/>
  <c r="L188" i="7" s="1"/>
  <c r="J189" i="7"/>
  <c r="J190" i="7"/>
  <c r="J191" i="7"/>
  <c r="K191" i="7" s="1"/>
  <c r="L191" i="7" s="1"/>
  <c r="J192" i="7"/>
  <c r="K192" i="7" s="1"/>
  <c r="L192" i="7" s="1"/>
  <c r="J193" i="7"/>
  <c r="J194" i="7"/>
  <c r="J195" i="7"/>
  <c r="K195" i="7" s="1"/>
  <c r="J196" i="7"/>
  <c r="K196" i="7" s="1"/>
  <c r="L196" i="7" s="1"/>
  <c r="M196" i="7" s="1"/>
  <c r="J197" i="7"/>
  <c r="J198" i="7"/>
  <c r="J199" i="7"/>
  <c r="K199" i="7" s="1"/>
  <c r="J200" i="7"/>
  <c r="K200" i="7" s="1"/>
  <c r="L200" i="7" s="1"/>
  <c r="J201" i="7"/>
  <c r="K201" i="7" s="1"/>
  <c r="L201" i="7" s="1"/>
  <c r="M201" i="7" s="1"/>
  <c r="J27" i="7"/>
  <c r="H201" i="7"/>
  <c r="I201" i="7"/>
  <c r="H200" i="7"/>
  <c r="I200" i="7" s="1"/>
  <c r="L199" i="7"/>
  <c r="H199" i="7"/>
  <c r="I199" i="7" s="1"/>
  <c r="K198" i="7"/>
  <c r="L198" i="7" s="1"/>
  <c r="H198" i="7"/>
  <c r="I198" i="7" s="1"/>
  <c r="K197" i="7"/>
  <c r="L197" i="7" s="1"/>
  <c r="H197" i="7"/>
  <c r="I197" i="7"/>
  <c r="H196" i="7"/>
  <c r="I196" i="7" s="1"/>
  <c r="L195" i="7"/>
  <c r="H195" i="7"/>
  <c r="I195" i="7" s="1"/>
  <c r="K194" i="7"/>
  <c r="L194" i="7" s="1"/>
  <c r="H194" i="7"/>
  <c r="I194" i="7" s="1"/>
  <c r="K193" i="7"/>
  <c r="L193" i="7" s="1"/>
  <c r="H193" i="7"/>
  <c r="I193" i="7" s="1"/>
  <c r="H192" i="7"/>
  <c r="I192" i="7" s="1"/>
  <c r="H191" i="7"/>
  <c r="I191" i="7" s="1"/>
  <c r="K190" i="7"/>
  <c r="L190" i="7" s="1"/>
  <c r="H190" i="7"/>
  <c r="I190" i="7" s="1"/>
  <c r="K189" i="7"/>
  <c r="L189" i="7"/>
  <c r="M189" i="7" s="1"/>
  <c r="H189" i="7"/>
  <c r="I189" i="7"/>
  <c r="H188" i="7"/>
  <c r="I188" i="7" s="1"/>
  <c r="M188" i="7" s="1"/>
  <c r="H187" i="7"/>
  <c r="I187" i="7" s="1"/>
  <c r="H186" i="7"/>
  <c r="I186" i="7" s="1"/>
  <c r="K185" i="7"/>
  <c r="L185" i="7"/>
  <c r="M185" i="7" s="1"/>
  <c r="H185" i="7"/>
  <c r="I185" i="7"/>
  <c r="K184" i="7"/>
  <c r="L184" i="7" s="1"/>
  <c r="H184" i="7"/>
  <c r="I184" i="7" s="1"/>
  <c r="L183" i="7"/>
  <c r="H183" i="7"/>
  <c r="I183" i="7" s="1"/>
  <c r="M183" i="7" s="1"/>
  <c r="H182" i="7"/>
  <c r="I182" i="7" s="1"/>
  <c r="H181" i="7"/>
  <c r="I181" i="7" s="1"/>
  <c r="M181" i="7" s="1"/>
  <c r="H180" i="7"/>
  <c r="I180" i="7" s="1"/>
  <c r="L179" i="7"/>
  <c r="H179" i="7"/>
  <c r="I179" i="7" s="1"/>
  <c r="K178" i="7"/>
  <c r="L178" i="7" s="1"/>
  <c r="H178" i="7"/>
  <c r="I178" i="7" s="1"/>
  <c r="K177" i="7"/>
  <c r="L177" i="7" s="1"/>
  <c r="H177" i="7"/>
  <c r="I177" i="7" s="1"/>
  <c r="H176" i="7"/>
  <c r="I176" i="7" s="1"/>
  <c r="M176" i="7" s="1"/>
  <c r="H175" i="7"/>
  <c r="I175" i="7" s="1"/>
  <c r="H174" i="7"/>
  <c r="I174" i="7" s="1"/>
  <c r="K173" i="7"/>
  <c r="L173" i="7" s="1"/>
  <c r="H173" i="7"/>
  <c r="I173" i="7" s="1"/>
  <c r="H172" i="7"/>
  <c r="I172" i="7" s="1"/>
  <c r="M172" i="7" s="1"/>
  <c r="H171" i="7"/>
  <c r="I171" i="7" s="1"/>
  <c r="H170" i="7"/>
  <c r="I170" i="7" s="1"/>
  <c r="K169" i="7"/>
  <c r="L169" i="7" s="1"/>
  <c r="M169" i="7" s="1"/>
  <c r="H169" i="7"/>
  <c r="I169" i="7" s="1"/>
  <c r="K168" i="7"/>
  <c r="L168" i="7" s="1"/>
  <c r="H168" i="7"/>
  <c r="I168" i="7" s="1"/>
  <c r="L167" i="7"/>
  <c r="H167" i="7"/>
  <c r="I167" i="7" s="1"/>
  <c r="K166" i="7"/>
  <c r="L166" i="7" s="1"/>
  <c r="H166" i="7"/>
  <c r="I166" i="7" s="1"/>
  <c r="K165" i="7"/>
  <c r="L165" i="7" s="1"/>
  <c r="H165" i="7"/>
  <c r="I165" i="7"/>
  <c r="H164" i="7"/>
  <c r="I164" i="7" s="1"/>
  <c r="L163" i="7"/>
  <c r="H163" i="7"/>
  <c r="I163" i="7" s="1"/>
  <c r="K162" i="7"/>
  <c r="L162" i="7" s="1"/>
  <c r="M162" i="7" s="1"/>
  <c r="H162" i="7"/>
  <c r="I162" i="7"/>
  <c r="K161" i="7"/>
  <c r="L161" i="7" s="1"/>
  <c r="H161" i="7"/>
  <c r="I161" i="7" s="1"/>
  <c r="L160" i="7"/>
  <c r="H160" i="7"/>
  <c r="I160" i="7" s="1"/>
  <c r="K159" i="7"/>
  <c r="L159" i="7" s="1"/>
  <c r="H159" i="7"/>
  <c r="I159" i="7" s="1"/>
  <c r="H158" i="7"/>
  <c r="I158" i="7"/>
  <c r="K157" i="7"/>
  <c r="L157" i="7" s="1"/>
  <c r="H157" i="7"/>
  <c r="I157" i="7" s="1"/>
  <c r="H156" i="7"/>
  <c r="I156" i="7" s="1"/>
  <c r="K155" i="7"/>
  <c r="L155" i="7"/>
  <c r="H155" i="7"/>
  <c r="I155" i="7" s="1"/>
  <c r="M155" i="7" s="1"/>
  <c r="H154" i="7"/>
  <c r="I154" i="7"/>
  <c r="K153" i="7"/>
  <c r="L153" i="7" s="1"/>
  <c r="H153" i="7"/>
  <c r="I153" i="7" s="1"/>
  <c r="H152" i="7"/>
  <c r="I152" i="7" s="1"/>
  <c r="K151" i="7"/>
  <c r="L151" i="7" s="1"/>
  <c r="H151" i="7"/>
  <c r="I151" i="7" s="1"/>
  <c r="H150" i="7"/>
  <c r="I150" i="7"/>
  <c r="K149" i="7"/>
  <c r="L149" i="7" s="1"/>
  <c r="H149" i="7"/>
  <c r="I149" i="7" s="1"/>
  <c r="M149" i="7" s="1"/>
  <c r="L148" i="7"/>
  <c r="H148" i="7"/>
  <c r="I148" i="7" s="1"/>
  <c r="K147" i="7"/>
  <c r="L147" i="7"/>
  <c r="H147" i="7"/>
  <c r="I147" i="7" s="1"/>
  <c r="H146" i="7"/>
  <c r="I146" i="7" s="1"/>
  <c r="K145" i="7"/>
  <c r="L145" i="7" s="1"/>
  <c r="H145" i="7"/>
  <c r="I145" i="7" s="1"/>
  <c r="M145" i="7" s="1"/>
  <c r="L144" i="7"/>
  <c r="H144" i="7"/>
  <c r="I144" i="7" s="1"/>
  <c r="K143" i="7"/>
  <c r="L143" i="7"/>
  <c r="H143" i="7"/>
  <c r="I143" i="7" s="1"/>
  <c r="M143" i="7" s="1"/>
  <c r="H142" i="7"/>
  <c r="I142" i="7"/>
  <c r="K141" i="7"/>
  <c r="L141" i="7" s="1"/>
  <c r="H141" i="7"/>
  <c r="I141" i="7" s="1"/>
  <c r="H140" i="7"/>
  <c r="I140" i="7" s="1"/>
  <c r="K139" i="7"/>
  <c r="L139" i="7" s="1"/>
  <c r="H139" i="7"/>
  <c r="I139" i="7" s="1"/>
  <c r="H138" i="7"/>
  <c r="I138" i="7"/>
  <c r="K137" i="7"/>
  <c r="L137" i="7" s="1"/>
  <c r="H137" i="7"/>
  <c r="I137" i="7" s="1"/>
  <c r="H136" i="7"/>
  <c r="I136" i="7" s="1"/>
  <c r="K135" i="7"/>
  <c r="L135" i="7"/>
  <c r="H135" i="7"/>
  <c r="I135" i="7" s="1"/>
  <c r="H134" i="7"/>
  <c r="I134" i="7"/>
  <c r="K133" i="7"/>
  <c r="L133" i="7" s="1"/>
  <c r="H133" i="7"/>
  <c r="I133" i="7" s="1"/>
  <c r="M133" i="7" s="1"/>
  <c r="L132" i="7"/>
  <c r="H132" i="7"/>
  <c r="I132" i="7" s="1"/>
  <c r="K131" i="7"/>
  <c r="L131" i="7"/>
  <c r="H131" i="7"/>
  <c r="I131" i="7" s="1"/>
  <c r="K130" i="7"/>
  <c r="L130" i="7" s="1"/>
  <c r="M130" i="7" s="1"/>
  <c r="H130" i="7"/>
  <c r="I130" i="7"/>
  <c r="K129" i="7"/>
  <c r="L129" i="7" s="1"/>
  <c r="H129" i="7"/>
  <c r="I129" i="7" s="1"/>
  <c r="L128" i="7"/>
  <c r="H128" i="7"/>
  <c r="I128" i="7" s="1"/>
  <c r="K127" i="7"/>
  <c r="L127" i="7" s="1"/>
  <c r="H127" i="7"/>
  <c r="I127" i="7" s="1"/>
  <c r="H126" i="7"/>
  <c r="I126" i="7"/>
  <c r="K125" i="7"/>
  <c r="L125" i="7" s="1"/>
  <c r="H125" i="7"/>
  <c r="I125" i="7" s="1"/>
  <c r="H124" i="7"/>
  <c r="I124" i="7" s="1"/>
  <c r="K123" i="7"/>
  <c r="L123" i="7"/>
  <c r="H123" i="7"/>
  <c r="I123" i="7" s="1"/>
  <c r="M123" i="7" s="1"/>
  <c r="H122" i="7"/>
  <c r="I122" i="7"/>
  <c r="K121" i="7"/>
  <c r="L121" i="7" s="1"/>
  <c r="H121" i="7"/>
  <c r="I121" i="7" s="1"/>
  <c r="H120" i="7"/>
  <c r="I120" i="7" s="1"/>
  <c r="K119" i="7"/>
  <c r="L119" i="7" s="1"/>
  <c r="H119" i="7"/>
  <c r="I119" i="7" s="1"/>
  <c r="H118" i="7"/>
  <c r="I118" i="7"/>
  <c r="K117" i="7"/>
  <c r="L117" i="7" s="1"/>
  <c r="H117" i="7"/>
  <c r="I117" i="7" s="1"/>
  <c r="M117" i="7" s="1"/>
  <c r="L116" i="7"/>
  <c r="H116" i="7"/>
  <c r="I116" i="7" s="1"/>
  <c r="K115" i="7"/>
  <c r="L115" i="7"/>
  <c r="H115" i="7"/>
  <c r="I115" i="7" s="1"/>
  <c r="H114" i="7"/>
  <c r="I114" i="7" s="1"/>
  <c r="K113" i="7"/>
  <c r="L113" i="7" s="1"/>
  <c r="H113" i="7"/>
  <c r="I113" i="7" s="1"/>
  <c r="M113" i="7" s="1"/>
  <c r="L112" i="7"/>
  <c r="H112" i="7"/>
  <c r="I112" i="7" s="1"/>
  <c r="K111" i="7"/>
  <c r="L111" i="7"/>
  <c r="H111" i="7"/>
  <c r="I111" i="7" s="1"/>
  <c r="M111" i="7" s="1"/>
  <c r="H110" i="7"/>
  <c r="I110" i="7"/>
  <c r="K109" i="7"/>
  <c r="L109" i="7" s="1"/>
  <c r="H109" i="7"/>
  <c r="I109" i="7" s="1"/>
  <c r="H108" i="7"/>
  <c r="I108" i="7" s="1"/>
  <c r="K107" i="7"/>
  <c r="L107" i="7" s="1"/>
  <c r="H107" i="7"/>
  <c r="I107" i="7" s="1"/>
  <c r="H106" i="7"/>
  <c r="I106" i="7"/>
  <c r="K105" i="7"/>
  <c r="L105" i="7" s="1"/>
  <c r="H105" i="7"/>
  <c r="I105" i="7" s="1"/>
  <c r="H104" i="7"/>
  <c r="I104" i="7" s="1"/>
  <c r="K103" i="7"/>
  <c r="L103" i="7"/>
  <c r="H103" i="7"/>
  <c r="I103" i="7" s="1"/>
  <c r="H102" i="7"/>
  <c r="I102" i="7"/>
  <c r="K101" i="7"/>
  <c r="L101" i="7" s="1"/>
  <c r="H101" i="7"/>
  <c r="I101" i="7" s="1"/>
  <c r="M101" i="7" s="1"/>
  <c r="L100" i="7"/>
  <c r="H100" i="7"/>
  <c r="I100" i="7" s="1"/>
  <c r="K99" i="7"/>
  <c r="L99" i="7"/>
  <c r="H99" i="7"/>
  <c r="I99" i="7" s="1"/>
  <c r="K98" i="7"/>
  <c r="L98" i="7" s="1"/>
  <c r="M98" i="7" s="1"/>
  <c r="H98" i="7"/>
  <c r="I98" i="7"/>
  <c r="K97" i="7"/>
  <c r="L97" i="7" s="1"/>
  <c r="H97" i="7"/>
  <c r="I97" i="7" s="1"/>
  <c r="L96" i="7"/>
  <c r="H96" i="7"/>
  <c r="I96" i="7" s="1"/>
  <c r="K95" i="7"/>
  <c r="L95" i="7" s="1"/>
  <c r="H95" i="7"/>
  <c r="I95" i="7" s="1"/>
  <c r="K94" i="7"/>
  <c r="L94" i="7"/>
  <c r="M94" i="7" s="1"/>
  <c r="H94" i="7"/>
  <c r="I94" i="7"/>
  <c r="K93" i="7"/>
  <c r="L93" i="7" s="1"/>
  <c r="H93" i="7"/>
  <c r="I93" i="7" s="1"/>
  <c r="H92" i="7"/>
  <c r="I92" i="7" s="1"/>
  <c r="K91" i="7"/>
  <c r="L91" i="7"/>
  <c r="H91" i="7"/>
  <c r="I91" i="7" s="1"/>
  <c r="M91" i="7" s="1"/>
  <c r="H90" i="7"/>
  <c r="I90" i="7"/>
  <c r="K89" i="7"/>
  <c r="L89" i="7" s="1"/>
  <c r="H89" i="7"/>
  <c r="I89" i="7" s="1"/>
  <c r="H88" i="7"/>
  <c r="I88" i="7" s="1"/>
  <c r="K87" i="7"/>
  <c r="L87" i="7" s="1"/>
  <c r="H87" i="7"/>
  <c r="I87" i="7" s="1"/>
  <c r="K86" i="7"/>
  <c r="L86" i="7"/>
  <c r="M86" i="7" s="1"/>
  <c r="H86" i="7"/>
  <c r="I86" i="7"/>
  <c r="K85" i="7"/>
  <c r="L85" i="7" s="1"/>
  <c r="H85" i="7"/>
  <c r="I85" i="7" s="1"/>
  <c r="M85" i="7" s="1"/>
  <c r="L84" i="7"/>
  <c r="H84" i="7"/>
  <c r="I84" i="7" s="1"/>
  <c r="K83" i="7"/>
  <c r="L83" i="7"/>
  <c r="H83" i="7"/>
  <c r="I83" i="7" s="1"/>
  <c r="K82" i="7"/>
  <c r="L82" i="7"/>
  <c r="H82" i="7"/>
  <c r="I82" i="7" s="1"/>
  <c r="K81" i="7"/>
  <c r="L81" i="7" s="1"/>
  <c r="H81" i="7"/>
  <c r="I81" i="7" s="1"/>
  <c r="M81" i="7" s="1"/>
  <c r="L80" i="7"/>
  <c r="H80" i="7"/>
  <c r="I80" i="7" s="1"/>
  <c r="K79" i="7"/>
  <c r="L79" i="7"/>
  <c r="H79" i="7"/>
  <c r="I79" i="7" s="1"/>
  <c r="M79" i="7" s="1"/>
  <c r="H78" i="7"/>
  <c r="I78" i="7"/>
  <c r="K77" i="7"/>
  <c r="L77" i="7" s="1"/>
  <c r="H77" i="7"/>
  <c r="I77" i="7" s="1"/>
  <c r="H76" i="7"/>
  <c r="I76" i="7" s="1"/>
  <c r="K75" i="7"/>
  <c r="L75" i="7" s="1"/>
  <c r="H75" i="7"/>
  <c r="I75" i="7" s="1"/>
  <c r="K74" i="7"/>
  <c r="L74" i="7"/>
  <c r="M74" i="7" s="1"/>
  <c r="H74" i="7"/>
  <c r="I74" i="7"/>
  <c r="K73" i="7"/>
  <c r="L73" i="7" s="1"/>
  <c r="H73" i="7"/>
  <c r="I73" i="7" s="1"/>
  <c r="H72" i="7"/>
  <c r="I72" i="7" s="1"/>
  <c r="K71" i="7"/>
  <c r="L71" i="7"/>
  <c r="H71" i="7"/>
  <c r="I71" i="7" s="1"/>
  <c r="K70" i="7"/>
  <c r="L70" i="7"/>
  <c r="H70" i="7"/>
  <c r="I70" i="7"/>
  <c r="K69" i="7"/>
  <c r="L69" i="7" s="1"/>
  <c r="H69" i="7"/>
  <c r="I69" i="7"/>
  <c r="H68" i="7"/>
  <c r="I68" i="7" s="1"/>
  <c r="M68" i="7" s="1"/>
  <c r="K67" i="7"/>
  <c r="L67" i="7"/>
  <c r="H67" i="7"/>
  <c r="I67" i="7" s="1"/>
  <c r="M67" i="7" s="1"/>
  <c r="K66" i="7"/>
  <c r="L66" i="7" s="1"/>
  <c r="M66" i="7" s="1"/>
  <c r="H66" i="7"/>
  <c r="I66" i="7"/>
  <c r="K65" i="7"/>
  <c r="L65" i="7" s="1"/>
  <c r="H65" i="7"/>
  <c r="I65" i="7" s="1"/>
  <c r="M65" i="7" s="1"/>
  <c r="H64" i="7"/>
  <c r="I64" i="7"/>
  <c r="K63" i="7"/>
  <c r="L63" i="7" s="1"/>
  <c r="H63" i="7"/>
  <c r="I63" i="7" s="1"/>
  <c r="K62" i="7"/>
  <c r="L62" i="7"/>
  <c r="M62" i="7" s="1"/>
  <c r="H62" i="7"/>
  <c r="I62" i="7"/>
  <c r="K61" i="7"/>
  <c r="L61" i="7" s="1"/>
  <c r="H61" i="7"/>
  <c r="I61" i="7" s="1"/>
  <c r="H60" i="7"/>
  <c r="I60" i="7" s="1"/>
  <c r="M60" i="7" s="1"/>
  <c r="K59" i="7"/>
  <c r="L59" i="7"/>
  <c r="H59" i="7"/>
  <c r="I59" i="7" s="1"/>
  <c r="K58" i="7"/>
  <c r="L58" i="7" s="1"/>
  <c r="H58" i="7"/>
  <c r="I58" i="7"/>
  <c r="K57" i="7"/>
  <c r="L57" i="7" s="1"/>
  <c r="H57" i="7"/>
  <c r="I57" i="7"/>
  <c r="M57" i="7" s="1"/>
  <c r="H56" i="7"/>
  <c r="I56" i="7" s="1"/>
  <c r="K55" i="7"/>
  <c r="L55" i="7"/>
  <c r="H55" i="7"/>
  <c r="I55" i="7" s="1"/>
  <c r="K54" i="7"/>
  <c r="L54" i="7"/>
  <c r="H54" i="7"/>
  <c r="I54" i="7"/>
  <c r="K53" i="7"/>
  <c r="L53" i="7" s="1"/>
  <c r="H53" i="7"/>
  <c r="I53" i="7"/>
  <c r="H52" i="7"/>
  <c r="I52" i="7" s="1"/>
  <c r="M52" i="7" s="1"/>
  <c r="K51" i="7"/>
  <c r="L51" i="7"/>
  <c r="H51" i="7"/>
  <c r="I51" i="7" s="1"/>
  <c r="M51" i="7" s="1"/>
  <c r="K50" i="7"/>
  <c r="L50" i="7" s="1"/>
  <c r="M50" i="7" s="1"/>
  <c r="H50" i="7"/>
  <c r="I50" i="7"/>
  <c r="K49" i="7"/>
  <c r="L49" i="7" s="1"/>
  <c r="H49" i="7"/>
  <c r="I49" i="7" s="1"/>
  <c r="M49" i="7" s="1"/>
  <c r="H48" i="7"/>
  <c r="I48" i="7"/>
  <c r="K47" i="7"/>
  <c r="L47" i="7" s="1"/>
  <c r="H47" i="7"/>
  <c r="I47" i="7" s="1"/>
  <c r="K46" i="7"/>
  <c r="L46" i="7"/>
  <c r="M46" i="7" s="1"/>
  <c r="H46" i="7"/>
  <c r="I46" i="7"/>
  <c r="K45" i="7"/>
  <c r="L45" i="7" s="1"/>
  <c r="H45" i="7"/>
  <c r="I45" i="7" s="1"/>
  <c r="H44" i="7"/>
  <c r="I44" i="7" s="1"/>
  <c r="M44" i="7" s="1"/>
  <c r="K43" i="7"/>
  <c r="L43" i="7"/>
  <c r="H43" i="7"/>
  <c r="I43" i="7" s="1"/>
  <c r="K42" i="7"/>
  <c r="L42" i="7" s="1"/>
  <c r="H42" i="7"/>
  <c r="I42" i="7"/>
  <c r="K41" i="7"/>
  <c r="L41" i="7" s="1"/>
  <c r="H41" i="7"/>
  <c r="I41" i="7" s="1"/>
  <c r="M41" i="7" s="1"/>
  <c r="H40" i="7"/>
  <c r="I40" i="7" s="1"/>
  <c r="K39" i="7"/>
  <c r="L39" i="7" s="1"/>
  <c r="H39" i="7"/>
  <c r="I39" i="7" s="1"/>
  <c r="K38" i="7"/>
  <c r="L38" i="7"/>
  <c r="H38" i="7"/>
  <c r="I38" i="7"/>
  <c r="K37" i="7"/>
  <c r="L37" i="7" s="1"/>
  <c r="H37" i="7"/>
  <c r="I37" i="7"/>
  <c r="H36" i="7"/>
  <c r="I36" i="7" s="1"/>
  <c r="M36" i="7" s="1"/>
  <c r="K35" i="7"/>
  <c r="L35" i="7"/>
  <c r="H35" i="7"/>
  <c r="I35" i="7" s="1"/>
  <c r="M35" i="7" s="1"/>
  <c r="K34" i="7"/>
  <c r="L34" i="7" s="1"/>
  <c r="M34" i="7" s="1"/>
  <c r="H34" i="7"/>
  <c r="I34" i="7"/>
  <c r="K33" i="7"/>
  <c r="L33" i="7" s="1"/>
  <c r="H33" i="7"/>
  <c r="I33" i="7" s="1"/>
  <c r="M33" i="7" s="1"/>
  <c r="H32" i="7"/>
  <c r="I32" i="7" s="1"/>
  <c r="K31" i="7"/>
  <c r="L31" i="7" s="1"/>
  <c r="H31" i="7"/>
  <c r="I31" i="7" s="1"/>
  <c r="K30" i="7"/>
  <c r="L30" i="7"/>
  <c r="M30" i="7" s="1"/>
  <c r="H30" i="7"/>
  <c r="I30" i="7"/>
  <c r="K29" i="7"/>
  <c r="L29" i="7" s="1"/>
  <c r="H29" i="7"/>
  <c r="I29" i="7" s="1"/>
  <c r="H28" i="7"/>
  <c r="I28" i="7" s="1"/>
  <c r="K27" i="7"/>
  <c r="L27" i="7"/>
  <c r="H27" i="7"/>
  <c r="I27" i="7" s="1"/>
  <c r="L26" i="7"/>
  <c r="H26" i="7"/>
  <c r="I26" i="7" s="1"/>
  <c r="L25" i="7"/>
  <c r="H25" i="7"/>
  <c r="I25" i="7" s="1"/>
  <c r="L24" i="7"/>
  <c r="H24" i="7"/>
  <c r="I24" i="7" s="1"/>
  <c r="L23" i="7"/>
  <c r="H23" i="7"/>
  <c r="I23" i="7" s="1"/>
  <c r="L22" i="7"/>
  <c r="H22" i="7"/>
  <c r="I22" i="7" s="1"/>
  <c r="L21" i="7"/>
  <c r="H21" i="7"/>
  <c r="I21" i="7" s="1"/>
  <c r="L20" i="7"/>
  <c r="H20" i="7"/>
  <c r="I20" i="7" s="1"/>
  <c r="L19" i="7"/>
  <c r="M19" i="7" s="1"/>
  <c r="H19" i="7"/>
  <c r="I19" i="7"/>
  <c r="L18" i="7"/>
  <c r="M18" i="7" s="1"/>
  <c r="H18" i="7"/>
  <c r="I18" i="7"/>
  <c r="L17" i="7"/>
  <c r="M17" i="7" s="1"/>
  <c r="H17" i="7"/>
  <c r="I17" i="7"/>
  <c r="U16" i="7"/>
  <c r="L16" i="7"/>
  <c r="H16" i="7"/>
  <c r="I16" i="7"/>
  <c r="M16" i="7" s="1"/>
  <c r="L15" i="7"/>
  <c r="H15" i="7"/>
  <c r="I15" i="7" s="1"/>
  <c r="L14" i="7"/>
  <c r="H14" i="7"/>
  <c r="I14" i="7" s="1"/>
  <c r="M14" i="7" s="1"/>
  <c r="L13" i="7"/>
  <c r="H13" i="7"/>
  <c r="I13" i="7" s="1"/>
  <c r="L12" i="7"/>
  <c r="H12" i="7"/>
  <c r="I12" i="7"/>
  <c r="M12" i="7" s="1"/>
  <c r="L11" i="7"/>
  <c r="H11" i="7"/>
  <c r="I11" i="7" s="1"/>
  <c r="M11" i="7" s="1"/>
  <c r="L10" i="7"/>
  <c r="H10" i="7"/>
  <c r="I10" i="7" s="1"/>
  <c r="M10" i="7" s="1"/>
  <c r="T9" i="7"/>
  <c r="L9" i="7"/>
  <c r="H9" i="7"/>
  <c r="I9" i="7" s="1"/>
  <c r="L8" i="7"/>
  <c r="H8" i="7"/>
  <c r="I8" i="7" s="1"/>
  <c r="L7" i="7"/>
  <c r="H7" i="7"/>
  <c r="I7" i="7" s="1"/>
  <c r="L6" i="7"/>
  <c r="H6" i="7"/>
  <c r="I6" i="7" s="1"/>
  <c r="L5" i="7"/>
  <c r="H5" i="7"/>
  <c r="I5" i="7" s="1"/>
  <c r="L4" i="7"/>
  <c r="H4" i="7"/>
  <c r="I4" i="7" s="1"/>
  <c r="L3" i="7"/>
  <c r="H3" i="7"/>
  <c r="I3" i="7" s="1"/>
  <c r="L2" i="7"/>
  <c r="H2" i="7"/>
  <c r="I2" i="7" s="1"/>
  <c r="K201" i="6"/>
  <c r="L201" i="6" s="1"/>
  <c r="H201" i="6"/>
  <c r="I201" i="6" s="1"/>
  <c r="M201" i="6" s="1"/>
  <c r="K200" i="6"/>
  <c r="L200" i="6"/>
  <c r="H200" i="6"/>
  <c r="I200" i="6" s="1"/>
  <c r="M200" i="6" s="1"/>
  <c r="K199" i="6"/>
  <c r="L199" i="6"/>
  <c r="H199" i="6"/>
  <c r="I199" i="6" s="1"/>
  <c r="K198" i="6"/>
  <c r="L198" i="6" s="1"/>
  <c r="H198" i="6"/>
  <c r="I198" i="6"/>
  <c r="K197" i="6"/>
  <c r="L197" i="6" s="1"/>
  <c r="H197" i="6"/>
  <c r="I197" i="6" s="1"/>
  <c r="M197" i="6" s="1"/>
  <c r="K196" i="6"/>
  <c r="L196" i="6" s="1"/>
  <c r="H196" i="6"/>
  <c r="I196" i="6"/>
  <c r="K195" i="6"/>
  <c r="L195" i="6" s="1"/>
  <c r="H195" i="6"/>
  <c r="I195" i="6" s="1"/>
  <c r="K194" i="6"/>
  <c r="L194" i="6" s="1"/>
  <c r="H194" i="6"/>
  <c r="I194" i="6" s="1"/>
  <c r="K193" i="6"/>
  <c r="L193" i="6" s="1"/>
  <c r="H193" i="6"/>
  <c r="I193" i="6" s="1"/>
  <c r="M193" i="6" s="1"/>
  <c r="K192" i="6"/>
  <c r="L192" i="6"/>
  <c r="H192" i="6"/>
  <c r="I192" i="6" s="1"/>
  <c r="M192" i="6" s="1"/>
  <c r="K191" i="6"/>
  <c r="L191" i="6"/>
  <c r="H191" i="6"/>
  <c r="I191" i="6" s="1"/>
  <c r="K190" i="6"/>
  <c r="L190" i="6" s="1"/>
  <c r="H190" i="6"/>
  <c r="I190" i="6"/>
  <c r="K189" i="6"/>
  <c r="L189" i="6" s="1"/>
  <c r="H189" i="6"/>
  <c r="I189" i="6"/>
  <c r="M189" i="6"/>
  <c r="K188" i="6"/>
  <c r="L188" i="6" s="1"/>
  <c r="H188" i="6"/>
  <c r="I188" i="6"/>
  <c r="K187" i="6"/>
  <c r="L187" i="6" s="1"/>
  <c r="H187" i="6"/>
  <c r="I187" i="6" s="1"/>
  <c r="K186" i="6"/>
  <c r="L186" i="6" s="1"/>
  <c r="M186" i="6" s="1"/>
  <c r="H186" i="6"/>
  <c r="I186" i="6" s="1"/>
  <c r="K185" i="6"/>
  <c r="L185" i="6" s="1"/>
  <c r="H185" i="6"/>
  <c r="I185" i="6"/>
  <c r="M185" i="6" s="1"/>
  <c r="K184" i="6"/>
  <c r="L184" i="6"/>
  <c r="H184" i="6"/>
  <c r="I184" i="6" s="1"/>
  <c r="M184" i="6" s="1"/>
  <c r="K183" i="6"/>
  <c r="L183" i="6" s="1"/>
  <c r="H183" i="6"/>
  <c r="I183" i="6" s="1"/>
  <c r="K182" i="6"/>
  <c r="L182" i="6" s="1"/>
  <c r="H182" i="6"/>
  <c r="I182" i="6" s="1"/>
  <c r="K181" i="6"/>
  <c r="L181" i="6" s="1"/>
  <c r="H181" i="6"/>
  <c r="I181" i="6"/>
  <c r="M181" i="6" s="1"/>
  <c r="K180" i="6"/>
  <c r="L180" i="6" s="1"/>
  <c r="H180" i="6"/>
  <c r="I180" i="6"/>
  <c r="M180" i="6" s="1"/>
  <c r="K179" i="6"/>
  <c r="L179" i="6"/>
  <c r="H179" i="6"/>
  <c r="I179" i="6" s="1"/>
  <c r="K178" i="6"/>
  <c r="L178" i="6" s="1"/>
  <c r="M178" i="6" s="1"/>
  <c r="H178" i="6"/>
  <c r="I178" i="6"/>
  <c r="K177" i="6"/>
  <c r="L177" i="6" s="1"/>
  <c r="H177" i="6"/>
  <c r="I177" i="6" s="1"/>
  <c r="M177" i="6" s="1"/>
  <c r="K176" i="6"/>
  <c r="L176" i="6"/>
  <c r="H176" i="6"/>
  <c r="I176" i="6"/>
  <c r="K175" i="6"/>
  <c r="L175" i="6"/>
  <c r="H175" i="6"/>
  <c r="I175" i="6" s="1"/>
  <c r="K174" i="6"/>
  <c r="L174" i="6" s="1"/>
  <c r="H174" i="6"/>
  <c r="I174" i="6" s="1"/>
  <c r="K173" i="6"/>
  <c r="L173" i="6" s="1"/>
  <c r="H173" i="6"/>
  <c r="I173" i="6"/>
  <c r="M173" i="6" s="1"/>
  <c r="K172" i="6"/>
  <c r="L172" i="6"/>
  <c r="H172" i="6"/>
  <c r="I172" i="6" s="1"/>
  <c r="M172" i="6" s="1"/>
  <c r="K171" i="6"/>
  <c r="L171" i="6"/>
  <c r="H171" i="6"/>
  <c r="I171" i="6" s="1"/>
  <c r="K170" i="6"/>
  <c r="L170" i="6" s="1"/>
  <c r="H170" i="6"/>
  <c r="I170" i="6" s="1"/>
  <c r="K169" i="6"/>
  <c r="L169" i="6" s="1"/>
  <c r="H169" i="6"/>
  <c r="I169" i="6" s="1"/>
  <c r="M169" i="6" s="1"/>
  <c r="K168" i="6"/>
  <c r="L168" i="6" s="1"/>
  <c r="H168" i="6"/>
  <c r="I168" i="6" s="1"/>
  <c r="M168" i="6" s="1"/>
  <c r="K167" i="6"/>
  <c r="L167" i="6" s="1"/>
  <c r="H167" i="6"/>
  <c r="I167" i="6" s="1"/>
  <c r="K166" i="6"/>
  <c r="L166" i="6" s="1"/>
  <c r="H166" i="6"/>
  <c r="I166" i="6" s="1"/>
  <c r="K165" i="6"/>
  <c r="L165" i="6" s="1"/>
  <c r="H165" i="6"/>
  <c r="I165" i="6"/>
  <c r="M165" i="6" s="1"/>
  <c r="K164" i="6"/>
  <c r="L164" i="6" s="1"/>
  <c r="H164" i="6"/>
  <c r="I164" i="6" s="1"/>
  <c r="K163" i="6"/>
  <c r="L163" i="6" s="1"/>
  <c r="H163" i="6"/>
  <c r="I163" i="6" s="1"/>
  <c r="K162" i="6"/>
  <c r="L162" i="6" s="1"/>
  <c r="H162" i="6"/>
  <c r="I162" i="6" s="1"/>
  <c r="K161" i="6"/>
  <c r="L161" i="6" s="1"/>
  <c r="H161" i="6"/>
  <c r="I161" i="6"/>
  <c r="M161" i="6" s="1"/>
  <c r="K160" i="6"/>
  <c r="L160" i="6" s="1"/>
  <c r="H160" i="6"/>
  <c r="I160" i="6" s="1"/>
  <c r="K159" i="6"/>
  <c r="L159" i="6" s="1"/>
  <c r="H159" i="6"/>
  <c r="I159" i="6" s="1"/>
  <c r="K158" i="6"/>
  <c r="L158" i="6" s="1"/>
  <c r="H158" i="6"/>
  <c r="I158" i="6" s="1"/>
  <c r="K157" i="6"/>
  <c r="L157" i="6" s="1"/>
  <c r="H157" i="6"/>
  <c r="I157" i="6"/>
  <c r="M157" i="6" s="1"/>
  <c r="K156" i="6"/>
  <c r="L156" i="6" s="1"/>
  <c r="H156" i="6"/>
  <c r="I156" i="6" s="1"/>
  <c r="M156" i="6" s="1"/>
  <c r="K155" i="6"/>
  <c r="L155" i="6" s="1"/>
  <c r="H155" i="6"/>
  <c r="I155" i="6" s="1"/>
  <c r="K154" i="6"/>
  <c r="L154" i="6" s="1"/>
  <c r="H154" i="6"/>
  <c r="I154" i="6" s="1"/>
  <c r="K153" i="6"/>
  <c r="L153" i="6" s="1"/>
  <c r="H153" i="6"/>
  <c r="I153" i="6"/>
  <c r="M153" i="6" s="1"/>
  <c r="K152" i="6"/>
  <c r="L152" i="6" s="1"/>
  <c r="H152" i="6"/>
  <c r="I152" i="6" s="1"/>
  <c r="M152" i="6" s="1"/>
  <c r="K151" i="6"/>
  <c r="L151" i="6" s="1"/>
  <c r="H151" i="6"/>
  <c r="I151" i="6" s="1"/>
  <c r="K150" i="6"/>
  <c r="L150" i="6" s="1"/>
  <c r="H150" i="6"/>
  <c r="I150" i="6" s="1"/>
  <c r="K149" i="6"/>
  <c r="L149" i="6" s="1"/>
  <c r="H149" i="6"/>
  <c r="I149" i="6"/>
  <c r="M149" i="6" s="1"/>
  <c r="K148" i="6"/>
  <c r="L148" i="6" s="1"/>
  <c r="H148" i="6"/>
  <c r="I148" i="6" s="1"/>
  <c r="K147" i="6"/>
  <c r="L147" i="6" s="1"/>
  <c r="H147" i="6"/>
  <c r="I147" i="6" s="1"/>
  <c r="K146" i="6"/>
  <c r="L146" i="6" s="1"/>
  <c r="H146" i="6"/>
  <c r="I146" i="6" s="1"/>
  <c r="K145" i="6"/>
  <c r="L145" i="6" s="1"/>
  <c r="H145" i="6"/>
  <c r="I145" i="6"/>
  <c r="M145" i="6" s="1"/>
  <c r="K144" i="6"/>
  <c r="L144" i="6" s="1"/>
  <c r="H144" i="6"/>
  <c r="I144" i="6" s="1"/>
  <c r="K143" i="6"/>
  <c r="L143" i="6" s="1"/>
  <c r="H143" i="6"/>
  <c r="I143" i="6" s="1"/>
  <c r="K142" i="6"/>
  <c r="L142" i="6" s="1"/>
  <c r="H142" i="6"/>
  <c r="I142" i="6" s="1"/>
  <c r="K141" i="6"/>
  <c r="L141" i="6" s="1"/>
  <c r="H141" i="6"/>
  <c r="I141" i="6"/>
  <c r="M141" i="6" s="1"/>
  <c r="K140" i="6"/>
  <c r="L140" i="6" s="1"/>
  <c r="H140" i="6"/>
  <c r="I140" i="6" s="1"/>
  <c r="M140" i="6" s="1"/>
  <c r="K139" i="6"/>
  <c r="L139" i="6" s="1"/>
  <c r="H139" i="6"/>
  <c r="I139" i="6" s="1"/>
  <c r="K138" i="6"/>
  <c r="L138" i="6" s="1"/>
  <c r="H138" i="6"/>
  <c r="I138" i="6" s="1"/>
  <c r="K137" i="6"/>
  <c r="L137" i="6" s="1"/>
  <c r="H137" i="6"/>
  <c r="I137" i="6"/>
  <c r="K136" i="6"/>
  <c r="L136" i="6" s="1"/>
  <c r="H136" i="6"/>
  <c r="I136" i="6" s="1"/>
  <c r="M136" i="6" s="1"/>
  <c r="K135" i="6"/>
  <c r="L135" i="6" s="1"/>
  <c r="H135" i="6"/>
  <c r="I135" i="6" s="1"/>
  <c r="M135" i="6" s="1"/>
  <c r="K134" i="6"/>
  <c r="L134" i="6" s="1"/>
  <c r="H134" i="6"/>
  <c r="I134" i="6" s="1"/>
  <c r="K133" i="6"/>
  <c r="L133" i="6" s="1"/>
  <c r="H133" i="6"/>
  <c r="I133" i="6"/>
  <c r="M133" i="6" s="1"/>
  <c r="K132" i="6"/>
  <c r="L132" i="6" s="1"/>
  <c r="H132" i="6"/>
  <c r="I132" i="6" s="1"/>
  <c r="M132" i="6" s="1"/>
  <c r="K131" i="6"/>
  <c r="L131" i="6" s="1"/>
  <c r="H131" i="6"/>
  <c r="I131" i="6" s="1"/>
  <c r="M131" i="6" s="1"/>
  <c r="K130" i="6"/>
  <c r="L130" i="6" s="1"/>
  <c r="H130" i="6"/>
  <c r="I130" i="6" s="1"/>
  <c r="K129" i="6"/>
  <c r="L129" i="6" s="1"/>
  <c r="H129" i="6"/>
  <c r="I129" i="6"/>
  <c r="K128" i="6"/>
  <c r="L128" i="6" s="1"/>
  <c r="H128" i="6"/>
  <c r="I128" i="6" s="1"/>
  <c r="K127" i="6"/>
  <c r="L127" i="6" s="1"/>
  <c r="H127" i="6"/>
  <c r="I127" i="6" s="1"/>
  <c r="M127" i="6" s="1"/>
  <c r="K126" i="6"/>
  <c r="L126" i="6" s="1"/>
  <c r="H126" i="6"/>
  <c r="I126" i="6" s="1"/>
  <c r="K125" i="6"/>
  <c r="L125" i="6" s="1"/>
  <c r="H125" i="6"/>
  <c r="I125" i="6"/>
  <c r="M125" i="6" s="1"/>
  <c r="K124" i="6"/>
  <c r="L124" i="6" s="1"/>
  <c r="H124" i="6"/>
  <c r="I124" i="6" s="1"/>
  <c r="K123" i="6"/>
  <c r="L123" i="6" s="1"/>
  <c r="H123" i="6"/>
  <c r="I123" i="6" s="1"/>
  <c r="M123" i="6" s="1"/>
  <c r="K122" i="6"/>
  <c r="L122" i="6" s="1"/>
  <c r="H122" i="6"/>
  <c r="I122" i="6" s="1"/>
  <c r="K121" i="6"/>
  <c r="L121" i="6" s="1"/>
  <c r="H121" i="6"/>
  <c r="I121" i="6"/>
  <c r="M121" i="6" s="1"/>
  <c r="K120" i="6"/>
  <c r="L120" i="6" s="1"/>
  <c r="H120" i="6"/>
  <c r="I120" i="6" s="1"/>
  <c r="K119" i="6"/>
  <c r="L119" i="6" s="1"/>
  <c r="H119" i="6"/>
  <c r="I119" i="6" s="1"/>
  <c r="M119" i="6" s="1"/>
  <c r="K118" i="6"/>
  <c r="L118" i="6" s="1"/>
  <c r="H118" i="6"/>
  <c r="I118" i="6" s="1"/>
  <c r="K117" i="6"/>
  <c r="L117" i="6" s="1"/>
  <c r="H117" i="6"/>
  <c r="I117" i="6"/>
  <c r="M117" i="6" s="1"/>
  <c r="K116" i="6"/>
  <c r="L116" i="6" s="1"/>
  <c r="H116" i="6"/>
  <c r="I116" i="6" s="1"/>
  <c r="K115" i="6"/>
  <c r="L115" i="6" s="1"/>
  <c r="H115" i="6"/>
  <c r="I115" i="6" s="1"/>
  <c r="M115" i="6" s="1"/>
  <c r="K114" i="6"/>
  <c r="L114" i="6" s="1"/>
  <c r="H114" i="6"/>
  <c r="I114" i="6" s="1"/>
  <c r="K113" i="6"/>
  <c r="L113" i="6" s="1"/>
  <c r="H113" i="6"/>
  <c r="I113" i="6"/>
  <c r="M113" i="6" s="1"/>
  <c r="K112" i="6"/>
  <c r="L112" i="6" s="1"/>
  <c r="H112" i="6"/>
  <c r="I112" i="6" s="1"/>
  <c r="K111" i="6"/>
  <c r="L111" i="6" s="1"/>
  <c r="H111" i="6"/>
  <c r="I111" i="6" s="1"/>
  <c r="M111" i="6" s="1"/>
  <c r="K110" i="6"/>
  <c r="L110" i="6" s="1"/>
  <c r="H110" i="6"/>
  <c r="I110" i="6" s="1"/>
  <c r="K109" i="6"/>
  <c r="L109" i="6" s="1"/>
  <c r="H109" i="6"/>
  <c r="I109" i="6"/>
  <c r="M109" i="6" s="1"/>
  <c r="K108" i="6"/>
  <c r="L108" i="6" s="1"/>
  <c r="H108" i="6"/>
  <c r="I108" i="6" s="1"/>
  <c r="M108" i="6" s="1"/>
  <c r="K107" i="6"/>
  <c r="L107" i="6" s="1"/>
  <c r="H107" i="6"/>
  <c r="I107" i="6" s="1"/>
  <c r="M107" i="6" s="1"/>
  <c r="K106" i="6"/>
  <c r="L106" i="6" s="1"/>
  <c r="H106" i="6"/>
  <c r="I106" i="6" s="1"/>
  <c r="K105" i="6"/>
  <c r="L105" i="6" s="1"/>
  <c r="H105" i="6"/>
  <c r="I105" i="6"/>
  <c r="M105" i="6" s="1"/>
  <c r="K104" i="6"/>
  <c r="L104" i="6" s="1"/>
  <c r="H104" i="6"/>
  <c r="I104" i="6" s="1"/>
  <c r="K103" i="6"/>
  <c r="L103" i="6" s="1"/>
  <c r="H103" i="6"/>
  <c r="I103" i="6" s="1"/>
  <c r="M103" i="6" s="1"/>
  <c r="K102" i="6"/>
  <c r="L102" i="6" s="1"/>
  <c r="H102" i="6"/>
  <c r="I102" i="6" s="1"/>
  <c r="K101" i="6"/>
  <c r="L101" i="6" s="1"/>
  <c r="H101" i="6"/>
  <c r="I101" i="6"/>
  <c r="M101" i="6" s="1"/>
  <c r="K100" i="6"/>
  <c r="L100" i="6" s="1"/>
  <c r="H100" i="6"/>
  <c r="I100" i="6" s="1"/>
  <c r="M100" i="6" s="1"/>
  <c r="K99" i="6"/>
  <c r="L99" i="6" s="1"/>
  <c r="H99" i="6"/>
  <c r="I99" i="6" s="1"/>
  <c r="M99" i="6" s="1"/>
  <c r="K98" i="6"/>
  <c r="L98" i="6" s="1"/>
  <c r="H98" i="6"/>
  <c r="I98" i="6" s="1"/>
  <c r="K97" i="6"/>
  <c r="L97" i="6" s="1"/>
  <c r="H97" i="6"/>
  <c r="I97" i="6"/>
  <c r="M97" i="6" s="1"/>
  <c r="K96" i="6"/>
  <c r="L96" i="6" s="1"/>
  <c r="H96" i="6"/>
  <c r="I96" i="6" s="1"/>
  <c r="K95" i="6"/>
  <c r="L95" i="6" s="1"/>
  <c r="H95" i="6"/>
  <c r="I95" i="6" s="1"/>
  <c r="M95" i="6" s="1"/>
  <c r="K94" i="6"/>
  <c r="L94" i="6" s="1"/>
  <c r="H94" i="6"/>
  <c r="I94" i="6" s="1"/>
  <c r="K93" i="6"/>
  <c r="L93" i="6" s="1"/>
  <c r="H93" i="6"/>
  <c r="I93" i="6"/>
  <c r="K92" i="6"/>
  <c r="L92" i="6" s="1"/>
  <c r="H92" i="6"/>
  <c r="I92" i="6" s="1"/>
  <c r="M92" i="6" s="1"/>
  <c r="K91" i="6"/>
  <c r="L91" i="6" s="1"/>
  <c r="H91" i="6"/>
  <c r="I91" i="6" s="1"/>
  <c r="M91" i="6" s="1"/>
  <c r="K90" i="6"/>
  <c r="L90" i="6" s="1"/>
  <c r="H90" i="6"/>
  <c r="I90" i="6" s="1"/>
  <c r="K89" i="6"/>
  <c r="L89" i="6" s="1"/>
  <c r="H89" i="6"/>
  <c r="I89" i="6"/>
  <c r="M89" i="6" s="1"/>
  <c r="K88" i="6"/>
  <c r="L88" i="6" s="1"/>
  <c r="H88" i="6"/>
  <c r="I88" i="6" s="1"/>
  <c r="K87" i="6"/>
  <c r="L87" i="6" s="1"/>
  <c r="H87" i="6"/>
  <c r="I87" i="6" s="1"/>
  <c r="M87" i="6" s="1"/>
  <c r="K86" i="6"/>
  <c r="L86" i="6" s="1"/>
  <c r="H86" i="6"/>
  <c r="I86" i="6" s="1"/>
  <c r="K85" i="6"/>
  <c r="L85" i="6" s="1"/>
  <c r="H85" i="6"/>
  <c r="I85" i="6"/>
  <c r="M85" i="6" s="1"/>
  <c r="K84" i="6"/>
  <c r="L84" i="6" s="1"/>
  <c r="H84" i="6"/>
  <c r="I84" i="6" s="1"/>
  <c r="K83" i="6"/>
  <c r="L83" i="6" s="1"/>
  <c r="H83" i="6"/>
  <c r="I83" i="6" s="1"/>
  <c r="M83" i="6" s="1"/>
  <c r="K82" i="6"/>
  <c r="L82" i="6" s="1"/>
  <c r="H82" i="6"/>
  <c r="I82" i="6" s="1"/>
  <c r="K81" i="6"/>
  <c r="L81" i="6" s="1"/>
  <c r="H81" i="6"/>
  <c r="I81" i="6"/>
  <c r="M81" i="6" s="1"/>
  <c r="K80" i="6"/>
  <c r="L80" i="6" s="1"/>
  <c r="H80" i="6"/>
  <c r="I80" i="6" s="1"/>
  <c r="M80" i="6" s="1"/>
  <c r="K79" i="6"/>
  <c r="L79" i="6" s="1"/>
  <c r="H79" i="6"/>
  <c r="I79" i="6" s="1"/>
  <c r="K78" i="6"/>
  <c r="L78" i="6" s="1"/>
  <c r="H78" i="6"/>
  <c r="I78" i="6" s="1"/>
  <c r="K77" i="6"/>
  <c r="L77" i="6" s="1"/>
  <c r="H77" i="6"/>
  <c r="I77" i="6"/>
  <c r="K76" i="6"/>
  <c r="L76" i="6" s="1"/>
  <c r="H76" i="6"/>
  <c r="I76" i="6" s="1"/>
  <c r="M76" i="6" s="1"/>
  <c r="K75" i="6"/>
  <c r="L75" i="6" s="1"/>
  <c r="H75" i="6"/>
  <c r="I75" i="6" s="1"/>
  <c r="M75" i="6" s="1"/>
  <c r="K74" i="6"/>
  <c r="L74" i="6" s="1"/>
  <c r="H74" i="6"/>
  <c r="I74" i="6" s="1"/>
  <c r="K73" i="6"/>
  <c r="L73" i="6" s="1"/>
  <c r="H73" i="6"/>
  <c r="I73" i="6"/>
  <c r="M73" i="6" s="1"/>
  <c r="K72" i="6"/>
  <c r="L72" i="6" s="1"/>
  <c r="H72" i="6"/>
  <c r="I72" i="6" s="1"/>
  <c r="K71" i="6"/>
  <c r="L71" i="6"/>
  <c r="H71" i="6"/>
  <c r="I71" i="6" s="1"/>
  <c r="K70" i="6"/>
  <c r="L70" i="6" s="1"/>
  <c r="H70" i="6"/>
  <c r="I70" i="6"/>
  <c r="K69" i="6"/>
  <c r="L69" i="6" s="1"/>
  <c r="H69" i="6"/>
  <c r="I69" i="6"/>
  <c r="M69" i="6"/>
  <c r="K68" i="6"/>
  <c r="L68" i="6" s="1"/>
  <c r="H68" i="6"/>
  <c r="I68" i="6" s="1"/>
  <c r="M68" i="6" s="1"/>
  <c r="K67" i="6"/>
  <c r="L67" i="6" s="1"/>
  <c r="H67" i="6"/>
  <c r="I67" i="6" s="1"/>
  <c r="K66" i="6"/>
  <c r="L66" i="6" s="1"/>
  <c r="M66" i="6" s="1"/>
  <c r="H66" i="6"/>
  <c r="I66" i="6" s="1"/>
  <c r="K65" i="6"/>
  <c r="L65" i="6" s="1"/>
  <c r="H65" i="6"/>
  <c r="I65" i="6" s="1"/>
  <c r="M65" i="6" s="1"/>
  <c r="K64" i="6"/>
  <c r="L64" i="6"/>
  <c r="H64" i="6"/>
  <c r="I64" i="6" s="1"/>
  <c r="M64" i="6" s="1"/>
  <c r="K63" i="6"/>
  <c r="L63" i="6" s="1"/>
  <c r="H63" i="6"/>
  <c r="I63" i="6" s="1"/>
  <c r="K62" i="6"/>
  <c r="L62" i="6" s="1"/>
  <c r="H62" i="6"/>
  <c r="I62" i="6" s="1"/>
  <c r="K61" i="6"/>
  <c r="L61" i="6" s="1"/>
  <c r="H61" i="6"/>
  <c r="I61" i="6" s="1"/>
  <c r="M61" i="6" s="1"/>
  <c r="K60" i="6"/>
  <c r="L60" i="6"/>
  <c r="H60" i="6"/>
  <c r="I60" i="6" s="1"/>
  <c r="K59" i="6"/>
  <c r="L59" i="6"/>
  <c r="H59" i="6"/>
  <c r="I59" i="6" s="1"/>
  <c r="K58" i="6"/>
  <c r="L58" i="6" s="1"/>
  <c r="H58" i="6"/>
  <c r="I58" i="6"/>
  <c r="K57" i="6"/>
  <c r="L57" i="6" s="1"/>
  <c r="H57" i="6"/>
  <c r="I57" i="6"/>
  <c r="M57" i="6"/>
  <c r="K56" i="6"/>
  <c r="L56" i="6" s="1"/>
  <c r="H56" i="6"/>
  <c r="I56" i="6"/>
  <c r="K55" i="6"/>
  <c r="L55" i="6" s="1"/>
  <c r="H55" i="6"/>
  <c r="I55" i="6" s="1"/>
  <c r="K54" i="6"/>
  <c r="L54" i="6" s="1"/>
  <c r="H54" i="6"/>
  <c r="I54" i="6" s="1"/>
  <c r="K53" i="6"/>
  <c r="L53" i="6" s="1"/>
  <c r="H53" i="6"/>
  <c r="I53" i="6" s="1"/>
  <c r="M53" i="6" s="1"/>
  <c r="K52" i="6"/>
  <c r="L52" i="6"/>
  <c r="H52" i="6"/>
  <c r="I52" i="6" s="1"/>
  <c r="M52" i="6" s="1"/>
  <c r="K51" i="6"/>
  <c r="L51" i="6"/>
  <c r="H51" i="6"/>
  <c r="I51" i="6" s="1"/>
  <c r="K50" i="6"/>
  <c r="L50" i="6" s="1"/>
  <c r="H50" i="6"/>
  <c r="I50" i="6"/>
  <c r="K49" i="6"/>
  <c r="L49" i="6" s="1"/>
  <c r="H49" i="6"/>
  <c r="I49" i="6"/>
  <c r="M49" i="6"/>
  <c r="K48" i="6"/>
  <c r="L48" i="6" s="1"/>
  <c r="H48" i="6"/>
  <c r="I48" i="6"/>
  <c r="M48" i="6" s="1"/>
  <c r="K47" i="6"/>
  <c r="L47" i="6" s="1"/>
  <c r="H47" i="6"/>
  <c r="I47" i="6" s="1"/>
  <c r="K46" i="6"/>
  <c r="L46" i="6" s="1"/>
  <c r="H46" i="6"/>
  <c r="I46" i="6" s="1"/>
  <c r="K45" i="6"/>
  <c r="L45" i="6" s="1"/>
  <c r="H45" i="6"/>
  <c r="I45" i="6" s="1"/>
  <c r="M45" i="6" s="1"/>
  <c r="K44" i="6"/>
  <c r="L44" i="6"/>
  <c r="H44" i="6"/>
  <c r="I44" i="6" s="1"/>
  <c r="K43" i="6"/>
  <c r="L43" i="6"/>
  <c r="H43" i="6"/>
  <c r="I43" i="6" s="1"/>
  <c r="K42" i="6"/>
  <c r="L42" i="6" s="1"/>
  <c r="H42" i="6"/>
  <c r="I42" i="6"/>
  <c r="K41" i="6"/>
  <c r="L41" i="6" s="1"/>
  <c r="H41" i="6"/>
  <c r="I41" i="6"/>
  <c r="M41" i="6"/>
  <c r="K40" i="6"/>
  <c r="L40" i="6" s="1"/>
  <c r="H40" i="6"/>
  <c r="I40" i="6"/>
  <c r="K39" i="6"/>
  <c r="L39" i="6" s="1"/>
  <c r="H39" i="6"/>
  <c r="I39" i="6" s="1"/>
  <c r="K38" i="6"/>
  <c r="L38" i="6" s="1"/>
  <c r="H38" i="6"/>
  <c r="I38" i="6" s="1"/>
  <c r="K37" i="6"/>
  <c r="L37" i="6" s="1"/>
  <c r="H37" i="6"/>
  <c r="I37" i="6" s="1"/>
  <c r="M37" i="6" s="1"/>
  <c r="K36" i="6"/>
  <c r="L36" i="6"/>
  <c r="H36" i="6"/>
  <c r="I36" i="6" s="1"/>
  <c r="M36" i="6" s="1"/>
  <c r="K35" i="6"/>
  <c r="L35" i="6"/>
  <c r="H35" i="6"/>
  <c r="I35" i="6" s="1"/>
  <c r="K34" i="6"/>
  <c r="L34" i="6" s="1"/>
  <c r="H34" i="6"/>
  <c r="I34" i="6"/>
  <c r="K33" i="6"/>
  <c r="L33" i="6" s="1"/>
  <c r="H33" i="6"/>
  <c r="I33" i="6"/>
  <c r="M33" i="6"/>
  <c r="K32" i="6"/>
  <c r="L32" i="6" s="1"/>
  <c r="H32" i="6"/>
  <c r="I32" i="6"/>
  <c r="M32" i="6" s="1"/>
  <c r="K31" i="6"/>
  <c r="L31" i="6" s="1"/>
  <c r="H31" i="6"/>
  <c r="I31" i="6" s="1"/>
  <c r="K30" i="6"/>
  <c r="L30" i="6" s="1"/>
  <c r="H30" i="6"/>
  <c r="I30" i="6" s="1"/>
  <c r="K29" i="6"/>
  <c r="L29" i="6" s="1"/>
  <c r="H29" i="6"/>
  <c r="I29" i="6" s="1"/>
  <c r="M29" i="6" s="1"/>
  <c r="K28" i="6"/>
  <c r="L28" i="6"/>
  <c r="H28" i="6"/>
  <c r="I28" i="6" s="1"/>
  <c r="K27" i="6"/>
  <c r="L27" i="6"/>
  <c r="H27" i="6"/>
  <c r="I27" i="6" s="1"/>
  <c r="K26" i="6"/>
  <c r="L26" i="6" s="1"/>
  <c r="H26" i="6"/>
  <c r="I26" i="6"/>
  <c r="K25" i="6"/>
  <c r="L25" i="6" s="1"/>
  <c r="H25" i="6"/>
  <c r="I25" i="6"/>
  <c r="M25" i="6"/>
  <c r="K24" i="6"/>
  <c r="L24" i="6" s="1"/>
  <c r="H24" i="6"/>
  <c r="I24" i="6"/>
  <c r="K23" i="6"/>
  <c r="L23" i="6" s="1"/>
  <c r="H23" i="6"/>
  <c r="I23" i="6" s="1"/>
  <c r="K22" i="6"/>
  <c r="L22" i="6" s="1"/>
  <c r="H22" i="6"/>
  <c r="I22" i="6" s="1"/>
  <c r="K21" i="6"/>
  <c r="L21" i="6" s="1"/>
  <c r="H21" i="6"/>
  <c r="I21" i="6" s="1"/>
  <c r="M21" i="6" s="1"/>
  <c r="K20" i="6"/>
  <c r="L20" i="6"/>
  <c r="H20" i="6"/>
  <c r="I20" i="6" s="1"/>
  <c r="M20" i="6" s="1"/>
  <c r="T19" i="6"/>
  <c r="K19" i="6"/>
  <c r="L19" i="6" s="1"/>
  <c r="M19" i="6" s="1"/>
  <c r="H19" i="6"/>
  <c r="I19" i="6"/>
  <c r="K18" i="6"/>
  <c r="L18" i="6" s="1"/>
  <c r="H18" i="6"/>
  <c r="I18" i="6" s="1"/>
  <c r="K17" i="6"/>
  <c r="L17" i="6"/>
  <c r="H17" i="6"/>
  <c r="I17" i="6" s="1"/>
  <c r="U16" i="6"/>
  <c r="T16" i="6"/>
  <c r="K16" i="6"/>
  <c r="L16" i="6" s="1"/>
  <c r="H16" i="6"/>
  <c r="I16" i="6" s="1"/>
  <c r="M16" i="6" s="1"/>
  <c r="K15" i="6"/>
  <c r="L15" i="6" s="1"/>
  <c r="H15" i="6"/>
  <c r="I15" i="6"/>
  <c r="K14" i="6"/>
  <c r="L14" i="6" s="1"/>
  <c r="H14" i="6"/>
  <c r="I14" i="6" s="1"/>
  <c r="K13" i="6"/>
  <c r="L13" i="6" s="1"/>
  <c r="H13" i="6"/>
  <c r="I13" i="6" s="1"/>
  <c r="K12" i="6"/>
  <c r="L12" i="6" s="1"/>
  <c r="H12" i="6"/>
  <c r="I12" i="6"/>
  <c r="M12" i="6" s="1"/>
  <c r="K11" i="6"/>
  <c r="L11" i="6"/>
  <c r="H11" i="6"/>
  <c r="I11" i="6" s="1"/>
  <c r="K10" i="6"/>
  <c r="L10" i="6"/>
  <c r="H10" i="6"/>
  <c r="I10" i="6" s="1"/>
  <c r="M10" i="6" s="1"/>
  <c r="T9" i="6"/>
  <c r="K9" i="6"/>
  <c r="L9" i="6" s="1"/>
  <c r="H9" i="6"/>
  <c r="I9" i="6"/>
  <c r="M9" i="6" s="1"/>
  <c r="K8" i="6"/>
  <c r="L8" i="6"/>
  <c r="H8" i="6"/>
  <c r="I8" i="6" s="1"/>
  <c r="M8" i="6" s="1"/>
  <c r="K7" i="6"/>
  <c r="L7" i="6"/>
  <c r="H7" i="6"/>
  <c r="I7" i="6" s="1"/>
  <c r="M7" i="6" s="1"/>
  <c r="K6" i="6"/>
  <c r="L6" i="6" s="1"/>
  <c r="H6" i="6"/>
  <c r="I6" i="6"/>
  <c r="K5" i="6"/>
  <c r="L5" i="6" s="1"/>
  <c r="H5" i="6"/>
  <c r="I5" i="6" s="1"/>
  <c r="M5" i="6"/>
  <c r="K4" i="6"/>
  <c r="L4" i="6" s="1"/>
  <c r="H4" i="6"/>
  <c r="I4" i="6"/>
  <c r="M4" i="6" s="1"/>
  <c r="K3" i="6"/>
  <c r="L3" i="6" s="1"/>
  <c r="H3" i="6"/>
  <c r="I3" i="6" s="1"/>
  <c r="K2" i="6"/>
  <c r="L2" i="6" s="1"/>
  <c r="H2" i="6"/>
  <c r="I2" i="6" s="1"/>
  <c r="H201" i="5"/>
  <c r="I201" i="5"/>
  <c r="K201" i="5"/>
  <c r="L201" i="5" s="1"/>
  <c r="H200" i="5"/>
  <c r="I200" i="5" s="1"/>
  <c r="K200" i="5"/>
  <c r="L200" i="5" s="1"/>
  <c r="H199" i="5"/>
  <c r="I199" i="5" s="1"/>
  <c r="K199" i="5"/>
  <c r="L199" i="5" s="1"/>
  <c r="H198" i="5"/>
  <c r="I198" i="5"/>
  <c r="K198" i="5"/>
  <c r="L198" i="5" s="1"/>
  <c r="H197" i="5"/>
  <c r="I197" i="5"/>
  <c r="K197" i="5"/>
  <c r="L197" i="5" s="1"/>
  <c r="H196" i="5"/>
  <c r="I196" i="5" s="1"/>
  <c r="K196" i="5"/>
  <c r="L196" i="5" s="1"/>
  <c r="H195" i="5"/>
  <c r="I195" i="5" s="1"/>
  <c r="K195" i="5"/>
  <c r="L195" i="5" s="1"/>
  <c r="H194" i="5"/>
  <c r="I194" i="5" s="1"/>
  <c r="K194" i="5"/>
  <c r="L194" i="5" s="1"/>
  <c r="H193" i="5"/>
  <c r="I193" i="5" s="1"/>
  <c r="K193" i="5"/>
  <c r="L193" i="5" s="1"/>
  <c r="H192" i="5"/>
  <c r="I192" i="5" s="1"/>
  <c r="K192" i="5"/>
  <c r="L192" i="5" s="1"/>
  <c r="H191" i="5"/>
  <c r="I191" i="5" s="1"/>
  <c r="K191" i="5"/>
  <c r="L191" i="5" s="1"/>
  <c r="H190" i="5"/>
  <c r="I190" i="5" s="1"/>
  <c r="K190" i="5"/>
  <c r="L190" i="5" s="1"/>
  <c r="H189" i="5"/>
  <c r="I189" i="5" s="1"/>
  <c r="K189" i="5"/>
  <c r="L189" i="5" s="1"/>
  <c r="H188" i="5"/>
  <c r="I188" i="5"/>
  <c r="K188" i="5"/>
  <c r="L188" i="5" s="1"/>
  <c r="H187" i="5"/>
  <c r="I187" i="5"/>
  <c r="K187" i="5"/>
  <c r="L187" i="5" s="1"/>
  <c r="H186" i="5"/>
  <c r="I186" i="5" s="1"/>
  <c r="K186" i="5"/>
  <c r="L186" i="5" s="1"/>
  <c r="H185" i="5"/>
  <c r="I185" i="5" s="1"/>
  <c r="K185" i="5"/>
  <c r="L185" i="5" s="1"/>
  <c r="H184" i="5"/>
  <c r="I184" i="5" s="1"/>
  <c r="K184" i="5"/>
  <c r="L184" i="5" s="1"/>
  <c r="H183" i="5"/>
  <c r="I183" i="5"/>
  <c r="K183" i="5"/>
  <c r="L183" i="5" s="1"/>
  <c r="H182" i="5"/>
  <c r="I182" i="5" s="1"/>
  <c r="K182" i="5"/>
  <c r="L182" i="5" s="1"/>
  <c r="H181" i="5"/>
  <c r="I181" i="5" s="1"/>
  <c r="K181" i="5"/>
  <c r="L181" i="5" s="1"/>
  <c r="H180" i="5"/>
  <c r="I180" i="5"/>
  <c r="K180" i="5"/>
  <c r="L180" i="5" s="1"/>
  <c r="H179" i="5"/>
  <c r="I179" i="5"/>
  <c r="K179" i="5"/>
  <c r="L179" i="5" s="1"/>
  <c r="H178" i="5"/>
  <c r="I178" i="5" s="1"/>
  <c r="K178" i="5"/>
  <c r="L178" i="5" s="1"/>
  <c r="H177" i="5"/>
  <c r="I177" i="5" s="1"/>
  <c r="K177" i="5"/>
  <c r="L177" i="5" s="1"/>
  <c r="H176" i="5"/>
  <c r="I176" i="5" s="1"/>
  <c r="K176" i="5"/>
  <c r="L176" i="5" s="1"/>
  <c r="H175" i="5"/>
  <c r="I175" i="5"/>
  <c r="K175" i="5"/>
  <c r="L175" i="5" s="1"/>
  <c r="H174" i="5"/>
  <c r="I174" i="5" s="1"/>
  <c r="K174" i="5"/>
  <c r="L174" i="5" s="1"/>
  <c r="H173" i="5"/>
  <c r="I173" i="5" s="1"/>
  <c r="K173" i="5"/>
  <c r="L173" i="5" s="1"/>
  <c r="H172" i="5"/>
  <c r="I172" i="5"/>
  <c r="K172" i="5"/>
  <c r="L172" i="5" s="1"/>
  <c r="H171" i="5"/>
  <c r="I171" i="5"/>
  <c r="K171" i="5"/>
  <c r="L171" i="5" s="1"/>
  <c r="H170" i="5"/>
  <c r="I170" i="5" s="1"/>
  <c r="K170" i="5"/>
  <c r="L170" i="5" s="1"/>
  <c r="H169" i="5"/>
  <c r="I169" i="5"/>
  <c r="K169" i="5"/>
  <c r="L169" i="5" s="1"/>
  <c r="H168" i="5"/>
  <c r="I168" i="5"/>
  <c r="K168" i="5"/>
  <c r="L168" i="5" s="1"/>
  <c r="H167" i="5"/>
  <c r="I167" i="5"/>
  <c r="K167" i="5"/>
  <c r="L167" i="5" s="1"/>
  <c r="H166" i="5"/>
  <c r="I166" i="5" s="1"/>
  <c r="K166" i="5"/>
  <c r="L166" i="5" s="1"/>
  <c r="H165" i="5"/>
  <c r="I165" i="5"/>
  <c r="K165" i="5"/>
  <c r="L165" i="5" s="1"/>
  <c r="H164" i="5"/>
  <c r="I164" i="5" s="1"/>
  <c r="K164" i="5"/>
  <c r="L164" i="5" s="1"/>
  <c r="H163" i="5"/>
  <c r="I163" i="5"/>
  <c r="K163" i="5"/>
  <c r="L163" i="5" s="1"/>
  <c r="H162" i="5"/>
  <c r="I162" i="5" s="1"/>
  <c r="K162" i="5"/>
  <c r="L162" i="5" s="1"/>
  <c r="H161" i="5"/>
  <c r="I161" i="5" s="1"/>
  <c r="K161" i="5"/>
  <c r="L161" i="5" s="1"/>
  <c r="H160" i="5"/>
  <c r="I160" i="5"/>
  <c r="K160" i="5"/>
  <c r="L160" i="5" s="1"/>
  <c r="H159" i="5"/>
  <c r="I159" i="5"/>
  <c r="K159" i="5"/>
  <c r="L159" i="5" s="1"/>
  <c r="H158" i="5"/>
  <c r="I158" i="5" s="1"/>
  <c r="K158" i="5"/>
  <c r="L158" i="5" s="1"/>
  <c r="H157" i="5"/>
  <c r="I157" i="5"/>
  <c r="K157" i="5"/>
  <c r="L157" i="5" s="1"/>
  <c r="H156" i="5"/>
  <c r="I156" i="5"/>
  <c r="K156" i="5"/>
  <c r="L156" i="5" s="1"/>
  <c r="H155" i="5"/>
  <c r="I155" i="5"/>
  <c r="K155" i="5"/>
  <c r="L155" i="5" s="1"/>
  <c r="H154" i="5"/>
  <c r="I154" i="5" s="1"/>
  <c r="K154" i="5"/>
  <c r="L154" i="5" s="1"/>
  <c r="H153" i="5"/>
  <c r="I153" i="5"/>
  <c r="K153" i="5"/>
  <c r="L153" i="5" s="1"/>
  <c r="H152" i="5"/>
  <c r="I152" i="5"/>
  <c r="K152" i="5"/>
  <c r="L152" i="5" s="1"/>
  <c r="H151" i="5"/>
  <c r="I151" i="5"/>
  <c r="K151" i="5"/>
  <c r="L151" i="5" s="1"/>
  <c r="H150" i="5"/>
  <c r="I150" i="5" s="1"/>
  <c r="K150" i="5"/>
  <c r="L150" i="5" s="1"/>
  <c r="H149" i="5"/>
  <c r="I149" i="5"/>
  <c r="K149" i="5"/>
  <c r="L149" i="5" s="1"/>
  <c r="H148" i="5"/>
  <c r="I148" i="5" s="1"/>
  <c r="K148" i="5"/>
  <c r="L148" i="5" s="1"/>
  <c r="H147" i="5"/>
  <c r="I147" i="5"/>
  <c r="K147" i="5"/>
  <c r="L147" i="5" s="1"/>
  <c r="H146" i="5"/>
  <c r="I146" i="5" s="1"/>
  <c r="K146" i="5"/>
  <c r="L146" i="5" s="1"/>
  <c r="H145" i="5"/>
  <c r="I145" i="5" s="1"/>
  <c r="K145" i="5"/>
  <c r="L145" i="5" s="1"/>
  <c r="H144" i="5"/>
  <c r="I144" i="5"/>
  <c r="K144" i="5"/>
  <c r="L144" i="5" s="1"/>
  <c r="H143" i="5"/>
  <c r="I143" i="5"/>
  <c r="K143" i="5"/>
  <c r="L143" i="5" s="1"/>
  <c r="H142" i="5"/>
  <c r="I142" i="5" s="1"/>
  <c r="K142" i="5"/>
  <c r="L142" i="5" s="1"/>
  <c r="H141" i="5"/>
  <c r="I141" i="5"/>
  <c r="K141" i="5"/>
  <c r="L141" i="5" s="1"/>
  <c r="H140" i="5"/>
  <c r="I140" i="5"/>
  <c r="K140" i="5"/>
  <c r="L140" i="5" s="1"/>
  <c r="H139" i="5"/>
  <c r="I139" i="5"/>
  <c r="K139" i="5"/>
  <c r="L139" i="5" s="1"/>
  <c r="H138" i="5"/>
  <c r="I138" i="5" s="1"/>
  <c r="K138" i="5"/>
  <c r="L138" i="5" s="1"/>
  <c r="H137" i="5"/>
  <c r="I137" i="5"/>
  <c r="K137" i="5"/>
  <c r="L137" i="5" s="1"/>
  <c r="H136" i="5"/>
  <c r="I136" i="5"/>
  <c r="K136" i="5"/>
  <c r="L136" i="5" s="1"/>
  <c r="H135" i="5"/>
  <c r="I135" i="5"/>
  <c r="K135" i="5"/>
  <c r="L135" i="5" s="1"/>
  <c r="H134" i="5"/>
  <c r="I134" i="5" s="1"/>
  <c r="K134" i="5"/>
  <c r="L134" i="5" s="1"/>
  <c r="H133" i="5"/>
  <c r="I133" i="5"/>
  <c r="K133" i="5"/>
  <c r="L133" i="5" s="1"/>
  <c r="H132" i="5"/>
  <c r="I132" i="5" s="1"/>
  <c r="K132" i="5"/>
  <c r="L132" i="5" s="1"/>
  <c r="H131" i="5"/>
  <c r="I131" i="5"/>
  <c r="K131" i="5"/>
  <c r="L131" i="5" s="1"/>
  <c r="H130" i="5"/>
  <c r="I130" i="5" s="1"/>
  <c r="K130" i="5"/>
  <c r="L130" i="5" s="1"/>
  <c r="H129" i="5"/>
  <c r="I129" i="5" s="1"/>
  <c r="K129" i="5"/>
  <c r="L129" i="5" s="1"/>
  <c r="H128" i="5"/>
  <c r="I128" i="5"/>
  <c r="K128" i="5"/>
  <c r="L128" i="5" s="1"/>
  <c r="H127" i="5"/>
  <c r="I127" i="5"/>
  <c r="K127" i="5"/>
  <c r="L127" i="5" s="1"/>
  <c r="H126" i="5"/>
  <c r="I126" i="5" s="1"/>
  <c r="K126" i="5"/>
  <c r="L126" i="5" s="1"/>
  <c r="H125" i="5"/>
  <c r="I125" i="5"/>
  <c r="K125" i="5"/>
  <c r="L125" i="5" s="1"/>
  <c r="H124" i="5"/>
  <c r="I124" i="5"/>
  <c r="K124" i="5"/>
  <c r="L124" i="5" s="1"/>
  <c r="H123" i="5"/>
  <c r="I123" i="5"/>
  <c r="K123" i="5"/>
  <c r="L123" i="5" s="1"/>
  <c r="H122" i="5"/>
  <c r="I122" i="5" s="1"/>
  <c r="K122" i="5"/>
  <c r="L122" i="5" s="1"/>
  <c r="H121" i="5"/>
  <c r="I121" i="5"/>
  <c r="K121" i="5"/>
  <c r="L121" i="5" s="1"/>
  <c r="M121" i="5" s="1"/>
  <c r="H120" i="5"/>
  <c r="I120" i="5"/>
  <c r="K120" i="5"/>
  <c r="L120" i="5" s="1"/>
  <c r="H119" i="5"/>
  <c r="I119" i="5" s="1"/>
  <c r="K119" i="5"/>
  <c r="L119" i="5" s="1"/>
  <c r="H118" i="5"/>
  <c r="I118" i="5"/>
  <c r="K118" i="5"/>
  <c r="L118" i="5" s="1"/>
  <c r="H117" i="5"/>
  <c r="I117" i="5"/>
  <c r="K117" i="5"/>
  <c r="L117" i="5" s="1"/>
  <c r="M117" i="5" s="1"/>
  <c r="H116" i="5"/>
  <c r="I116" i="5"/>
  <c r="K116" i="5"/>
  <c r="L116" i="5" s="1"/>
  <c r="H115" i="5"/>
  <c r="I115" i="5" s="1"/>
  <c r="K115" i="5"/>
  <c r="L115" i="5" s="1"/>
  <c r="H114" i="5"/>
  <c r="I114" i="5"/>
  <c r="K114" i="5"/>
  <c r="L114" i="5" s="1"/>
  <c r="H113" i="5"/>
  <c r="I113" i="5"/>
  <c r="K113" i="5"/>
  <c r="L113" i="5" s="1"/>
  <c r="M113" i="5" s="1"/>
  <c r="H112" i="5"/>
  <c r="I112" i="5"/>
  <c r="K112" i="5"/>
  <c r="L112" i="5" s="1"/>
  <c r="H111" i="5"/>
  <c r="I111" i="5" s="1"/>
  <c r="M111" i="5" s="1"/>
  <c r="K111" i="5"/>
  <c r="L111" i="5" s="1"/>
  <c r="H110" i="5"/>
  <c r="I110" i="5" s="1"/>
  <c r="K110" i="5"/>
  <c r="L110" i="5" s="1"/>
  <c r="H109" i="5"/>
  <c r="I109" i="5" s="1"/>
  <c r="M109" i="5" s="1"/>
  <c r="K109" i="5"/>
  <c r="L109" i="5" s="1"/>
  <c r="H108" i="5"/>
  <c r="I108" i="5" s="1"/>
  <c r="K108" i="5"/>
  <c r="L108" i="5" s="1"/>
  <c r="H107" i="5"/>
  <c r="I107" i="5" s="1"/>
  <c r="M107" i="5" s="1"/>
  <c r="K107" i="5"/>
  <c r="L107" i="5" s="1"/>
  <c r="H106" i="5"/>
  <c r="I106" i="5" s="1"/>
  <c r="K106" i="5"/>
  <c r="L106" i="5" s="1"/>
  <c r="H105" i="5"/>
  <c r="I105" i="5" s="1"/>
  <c r="M105" i="5" s="1"/>
  <c r="K105" i="5"/>
  <c r="L105" i="5" s="1"/>
  <c r="H104" i="5"/>
  <c r="I104" i="5" s="1"/>
  <c r="K104" i="5"/>
  <c r="L104" i="5" s="1"/>
  <c r="H103" i="5"/>
  <c r="I103" i="5" s="1"/>
  <c r="M103" i="5" s="1"/>
  <c r="K103" i="5"/>
  <c r="L103" i="5" s="1"/>
  <c r="H102" i="5"/>
  <c r="I102" i="5" s="1"/>
  <c r="K102" i="5"/>
  <c r="L102" i="5" s="1"/>
  <c r="H101" i="5"/>
  <c r="I101" i="5" s="1"/>
  <c r="M101" i="5" s="1"/>
  <c r="K101" i="5"/>
  <c r="L101" i="5" s="1"/>
  <c r="H100" i="5"/>
  <c r="I100" i="5" s="1"/>
  <c r="K100" i="5"/>
  <c r="L100" i="5" s="1"/>
  <c r="H99" i="5"/>
  <c r="I99" i="5" s="1"/>
  <c r="M99" i="5" s="1"/>
  <c r="K99" i="5"/>
  <c r="L99" i="5" s="1"/>
  <c r="H98" i="5"/>
  <c r="I98" i="5" s="1"/>
  <c r="K98" i="5"/>
  <c r="L98" i="5" s="1"/>
  <c r="H97" i="5"/>
  <c r="I97" i="5" s="1"/>
  <c r="M97" i="5" s="1"/>
  <c r="K97" i="5"/>
  <c r="L97" i="5" s="1"/>
  <c r="H96" i="5"/>
  <c r="I96" i="5" s="1"/>
  <c r="K96" i="5"/>
  <c r="L96" i="5" s="1"/>
  <c r="H95" i="5"/>
  <c r="I95" i="5" s="1"/>
  <c r="M95" i="5" s="1"/>
  <c r="K95" i="5"/>
  <c r="L95" i="5" s="1"/>
  <c r="H94" i="5"/>
  <c r="I94" i="5" s="1"/>
  <c r="K94" i="5"/>
  <c r="L94" i="5" s="1"/>
  <c r="H93" i="5"/>
  <c r="I93" i="5" s="1"/>
  <c r="M93" i="5" s="1"/>
  <c r="K93" i="5"/>
  <c r="L93" i="5" s="1"/>
  <c r="H92" i="5"/>
  <c r="I92" i="5" s="1"/>
  <c r="K92" i="5"/>
  <c r="L92" i="5" s="1"/>
  <c r="H88" i="5"/>
  <c r="I88" i="5" s="1"/>
  <c r="M88" i="5" s="1"/>
  <c r="K88" i="5"/>
  <c r="L88" i="5" s="1"/>
  <c r="H14" i="5"/>
  <c r="I14" i="5" s="1"/>
  <c r="K14" i="5"/>
  <c r="L14" i="5" s="1"/>
  <c r="H79" i="5"/>
  <c r="I79" i="5" s="1"/>
  <c r="M79" i="5" s="1"/>
  <c r="K79" i="5"/>
  <c r="L79" i="5" s="1"/>
  <c r="H22" i="5"/>
  <c r="I22" i="5" s="1"/>
  <c r="K22" i="5"/>
  <c r="L22" i="5" s="1"/>
  <c r="H73" i="5"/>
  <c r="I73" i="5" s="1"/>
  <c r="M73" i="5" s="1"/>
  <c r="K73" i="5"/>
  <c r="L73" i="5" s="1"/>
  <c r="H15" i="5"/>
  <c r="I15" i="5" s="1"/>
  <c r="K15" i="5"/>
  <c r="L15" i="5" s="1"/>
  <c r="H78" i="5"/>
  <c r="I78" i="5" s="1"/>
  <c r="M78" i="5" s="1"/>
  <c r="K78" i="5"/>
  <c r="L78" i="5" s="1"/>
  <c r="H70" i="5"/>
  <c r="I70" i="5" s="1"/>
  <c r="K70" i="5"/>
  <c r="L70" i="5" s="1"/>
  <c r="H65" i="5"/>
  <c r="I65" i="5" s="1"/>
  <c r="M65" i="5" s="1"/>
  <c r="K65" i="5"/>
  <c r="L65" i="5" s="1"/>
  <c r="H35" i="5"/>
  <c r="I35" i="5" s="1"/>
  <c r="K35" i="5"/>
  <c r="L35" i="5" s="1"/>
  <c r="H17" i="5"/>
  <c r="I17" i="5" s="1"/>
  <c r="M17" i="5" s="1"/>
  <c r="K17" i="5"/>
  <c r="L17" i="5" s="1"/>
  <c r="H72" i="5"/>
  <c r="I72" i="5" s="1"/>
  <c r="K72" i="5"/>
  <c r="L72" i="5" s="1"/>
  <c r="H81" i="5"/>
  <c r="I81" i="5" s="1"/>
  <c r="M81" i="5" s="1"/>
  <c r="K81" i="5"/>
  <c r="L81" i="5" s="1"/>
  <c r="H63" i="5"/>
  <c r="I63" i="5" s="1"/>
  <c r="K63" i="5"/>
  <c r="L63" i="5" s="1"/>
  <c r="H90" i="5"/>
  <c r="I90" i="5" s="1"/>
  <c r="M90" i="5" s="1"/>
  <c r="K90" i="5"/>
  <c r="L90" i="5" s="1"/>
  <c r="H91" i="5"/>
  <c r="I91" i="5" s="1"/>
  <c r="K91" i="5"/>
  <c r="L91" i="5" s="1"/>
  <c r="H86" i="5"/>
  <c r="I86" i="5" s="1"/>
  <c r="M86" i="5" s="1"/>
  <c r="K86" i="5"/>
  <c r="L86" i="5" s="1"/>
  <c r="H49" i="5"/>
  <c r="I49" i="5" s="1"/>
  <c r="K49" i="5"/>
  <c r="L49" i="5" s="1"/>
  <c r="H28" i="5"/>
  <c r="I28" i="5" s="1"/>
  <c r="M28" i="5" s="1"/>
  <c r="K28" i="5"/>
  <c r="L28" i="5" s="1"/>
  <c r="H67" i="5"/>
  <c r="I67" i="5" s="1"/>
  <c r="K67" i="5"/>
  <c r="L67" i="5" s="1"/>
  <c r="H75" i="5"/>
  <c r="I75" i="5" s="1"/>
  <c r="M75" i="5" s="1"/>
  <c r="K75" i="5"/>
  <c r="L75" i="5" s="1"/>
  <c r="H64" i="5"/>
  <c r="I64" i="5" s="1"/>
  <c r="K64" i="5"/>
  <c r="L64" i="5" s="1"/>
  <c r="H85" i="5"/>
  <c r="I85" i="5" s="1"/>
  <c r="M85" i="5" s="1"/>
  <c r="K85" i="5"/>
  <c r="L85" i="5" s="1"/>
  <c r="H66" i="5"/>
  <c r="I66" i="5" s="1"/>
  <c r="K66" i="5"/>
  <c r="L66" i="5" s="1"/>
  <c r="H84" i="5"/>
  <c r="I84" i="5" s="1"/>
  <c r="M84" i="5" s="1"/>
  <c r="K84" i="5"/>
  <c r="L84" i="5" s="1"/>
  <c r="H76" i="5"/>
  <c r="I76" i="5" s="1"/>
  <c r="K76" i="5"/>
  <c r="L76" i="5" s="1"/>
  <c r="H60" i="5"/>
  <c r="I60" i="5" s="1"/>
  <c r="M60" i="5" s="1"/>
  <c r="K60" i="5"/>
  <c r="L60" i="5" s="1"/>
  <c r="H29" i="5"/>
  <c r="I29" i="5" s="1"/>
  <c r="K29" i="5"/>
  <c r="L29" i="5" s="1"/>
  <c r="H16" i="5"/>
  <c r="I16" i="5" s="1"/>
  <c r="M16" i="5" s="1"/>
  <c r="K16" i="5"/>
  <c r="L16" i="5" s="1"/>
  <c r="H89" i="5"/>
  <c r="I89" i="5" s="1"/>
  <c r="K89" i="5"/>
  <c r="L89" i="5" s="1"/>
  <c r="H68" i="5"/>
  <c r="I68" i="5" s="1"/>
  <c r="M68" i="5" s="1"/>
  <c r="K68" i="5"/>
  <c r="L68" i="5" s="1"/>
  <c r="H53" i="5"/>
  <c r="I53" i="5" s="1"/>
  <c r="K53" i="5"/>
  <c r="L53" i="5" s="1"/>
  <c r="H52" i="5"/>
  <c r="I52" i="5" s="1"/>
  <c r="M52" i="5" s="1"/>
  <c r="K52" i="5"/>
  <c r="L52" i="5" s="1"/>
  <c r="H82" i="5"/>
  <c r="I82" i="5" s="1"/>
  <c r="K82" i="5"/>
  <c r="L82" i="5" s="1"/>
  <c r="H59" i="5"/>
  <c r="I59" i="5" s="1"/>
  <c r="M59" i="5" s="1"/>
  <c r="K59" i="5"/>
  <c r="L59" i="5" s="1"/>
  <c r="H8" i="5"/>
  <c r="I8" i="5" s="1"/>
  <c r="K8" i="5"/>
  <c r="L8" i="5" s="1"/>
  <c r="H40" i="5"/>
  <c r="I40" i="5" s="1"/>
  <c r="M40" i="5" s="1"/>
  <c r="K40" i="5"/>
  <c r="L40" i="5" s="1"/>
  <c r="H20" i="5"/>
  <c r="I20" i="5" s="1"/>
  <c r="K20" i="5"/>
  <c r="L20" i="5" s="1"/>
  <c r="H11" i="5"/>
  <c r="I11" i="5" s="1"/>
  <c r="M11" i="5" s="1"/>
  <c r="K11" i="5"/>
  <c r="L11" i="5" s="1"/>
  <c r="H32" i="5"/>
  <c r="I32" i="5" s="1"/>
  <c r="K32" i="5"/>
  <c r="L32" i="5" s="1"/>
  <c r="H47" i="5"/>
  <c r="I47" i="5" s="1"/>
  <c r="M47" i="5" s="1"/>
  <c r="K47" i="5"/>
  <c r="L47" i="5" s="1"/>
  <c r="H80" i="5"/>
  <c r="I80" i="5" s="1"/>
  <c r="K80" i="5"/>
  <c r="L80" i="5" s="1"/>
  <c r="H74" i="5"/>
  <c r="I74" i="5" s="1"/>
  <c r="M74" i="5" s="1"/>
  <c r="K74" i="5"/>
  <c r="L74" i="5" s="1"/>
  <c r="H54" i="5"/>
  <c r="I54" i="5" s="1"/>
  <c r="K54" i="5"/>
  <c r="L54" i="5" s="1"/>
  <c r="H83" i="5"/>
  <c r="I83" i="5" s="1"/>
  <c r="M83" i="5" s="1"/>
  <c r="K83" i="5"/>
  <c r="L83" i="5" s="1"/>
  <c r="H50" i="5"/>
  <c r="I50" i="5" s="1"/>
  <c r="K50" i="5"/>
  <c r="L50" i="5" s="1"/>
  <c r="H19" i="5"/>
  <c r="I19" i="5" s="1"/>
  <c r="M19" i="5" s="1"/>
  <c r="K19" i="5"/>
  <c r="L19" i="5" s="1"/>
  <c r="H10" i="5"/>
  <c r="I10" i="5" s="1"/>
  <c r="K10" i="5"/>
  <c r="L10" i="5" s="1"/>
  <c r="H87" i="5"/>
  <c r="I87" i="5" s="1"/>
  <c r="M87" i="5" s="1"/>
  <c r="K87" i="5"/>
  <c r="L87" i="5" s="1"/>
  <c r="H61" i="5"/>
  <c r="I61" i="5" s="1"/>
  <c r="K61" i="5"/>
  <c r="L61" i="5" s="1"/>
  <c r="H62" i="5"/>
  <c r="I62" i="5" s="1"/>
  <c r="M62" i="5" s="1"/>
  <c r="K62" i="5"/>
  <c r="L62" i="5" s="1"/>
  <c r="H43" i="5"/>
  <c r="I43" i="5" s="1"/>
  <c r="K43" i="5"/>
  <c r="L43" i="5" s="1"/>
  <c r="H42" i="5"/>
  <c r="I42" i="5" s="1"/>
  <c r="M42" i="5" s="1"/>
  <c r="K42" i="5"/>
  <c r="L42" i="5" s="1"/>
  <c r="H48" i="5"/>
  <c r="I48" i="5" s="1"/>
  <c r="K48" i="5"/>
  <c r="L48" i="5" s="1"/>
  <c r="H55" i="5"/>
  <c r="I55" i="5" s="1"/>
  <c r="M55" i="5" s="1"/>
  <c r="K55" i="5"/>
  <c r="L55" i="5" s="1"/>
  <c r="H44" i="5"/>
  <c r="I44" i="5" s="1"/>
  <c r="K44" i="5"/>
  <c r="L44" i="5" s="1"/>
  <c r="H25" i="5"/>
  <c r="I25" i="5" s="1"/>
  <c r="M25" i="5" s="1"/>
  <c r="K25" i="5"/>
  <c r="L25" i="5" s="1"/>
  <c r="H27" i="5"/>
  <c r="I27" i="5" s="1"/>
  <c r="K27" i="5"/>
  <c r="L27" i="5" s="1"/>
  <c r="H58" i="5"/>
  <c r="I58" i="5" s="1"/>
  <c r="M58" i="5" s="1"/>
  <c r="K58" i="5"/>
  <c r="L58" i="5" s="1"/>
  <c r="H69" i="5"/>
  <c r="I69" i="5" s="1"/>
  <c r="K69" i="5"/>
  <c r="L69" i="5" s="1"/>
  <c r="H77" i="5"/>
  <c r="I77" i="5" s="1"/>
  <c r="M77" i="5" s="1"/>
  <c r="K77" i="5"/>
  <c r="L77" i="5" s="1"/>
  <c r="H12" i="5"/>
  <c r="I12" i="5" s="1"/>
  <c r="K12" i="5"/>
  <c r="L12" i="5" s="1"/>
  <c r="H13" i="5"/>
  <c r="I13" i="5" s="1"/>
  <c r="M13" i="5" s="1"/>
  <c r="K13" i="5"/>
  <c r="L13" i="5" s="1"/>
  <c r="H21" i="5"/>
  <c r="I21" i="5" s="1"/>
  <c r="K21" i="5"/>
  <c r="L21" i="5" s="1"/>
  <c r="H31" i="5"/>
  <c r="I31" i="5" s="1"/>
  <c r="M31" i="5" s="1"/>
  <c r="K31" i="5"/>
  <c r="L31" i="5" s="1"/>
  <c r="H46" i="5"/>
  <c r="I46" i="5" s="1"/>
  <c r="K46" i="5"/>
  <c r="L46" i="5" s="1"/>
  <c r="H9" i="5"/>
  <c r="I9" i="5" s="1"/>
  <c r="M9" i="5" s="1"/>
  <c r="K9" i="5"/>
  <c r="L9" i="5" s="1"/>
  <c r="H7" i="5"/>
  <c r="I7" i="5" s="1"/>
  <c r="K7" i="5"/>
  <c r="L7" i="5" s="1"/>
  <c r="H71" i="5"/>
  <c r="I71" i="5" s="1"/>
  <c r="M71" i="5" s="1"/>
  <c r="K71" i="5"/>
  <c r="L71" i="5" s="1"/>
  <c r="H34" i="5"/>
  <c r="I34" i="5" s="1"/>
  <c r="K34" i="5"/>
  <c r="L34" i="5" s="1"/>
  <c r="H57" i="5"/>
  <c r="I57" i="5" s="1"/>
  <c r="M57" i="5" s="1"/>
  <c r="K57" i="5"/>
  <c r="L57" i="5" s="1"/>
  <c r="H37" i="5"/>
  <c r="I37" i="5" s="1"/>
  <c r="K37" i="5"/>
  <c r="L37" i="5" s="1"/>
  <c r="T19" i="5"/>
  <c r="H23" i="5"/>
  <c r="I23" i="5"/>
  <c r="K23" i="5"/>
  <c r="L23" i="5"/>
  <c r="H56" i="5"/>
  <c r="I56" i="5"/>
  <c r="K56" i="5"/>
  <c r="L56" i="5"/>
  <c r="H51" i="5"/>
  <c r="I51" i="5"/>
  <c r="K51" i="5"/>
  <c r="L51" i="5"/>
  <c r="U16" i="5"/>
  <c r="T16" i="5"/>
  <c r="H41" i="5"/>
  <c r="I41" i="5"/>
  <c r="K41" i="5"/>
  <c r="L41" i="5"/>
  <c r="H39" i="5"/>
  <c r="I39" i="5"/>
  <c r="K39" i="5"/>
  <c r="L39" i="5"/>
  <c r="H36" i="5"/>
  <c r="I36" i="5"/>
  <c r="K36" i="5"/>
  <c r="L36" i="5"/>
  <c r="H26" i="5"/>
  <c r="I26" i="5"/>
  <c r="K26" i="5"/>
  <c r="L26" i="5"/>
  <c r="H45" i="5"/>
  <c r="I45" i="5"/>
  <c r="K45" i="5"/>
  <c r="L45" i="5"/>
  <c r="H33" i="5"/>
  <c r="I33" i="5"/>
  <c r="K33" i="5"/>
  <c r="L33" i="5"/>
  <c r="H4" i="5"/>
  <c r="I4" i="5"/>
  <c r="K4" i="5"/>
  <c r="L4" i="5"/>
  <c r="T9" i="5"/>
  <c r="H24" i="5"/>
  <c r="I24" i="5" s="1"/>
  <c r="M24" i="5" s="1"/>
  <c r="K24" i="5"/>
  <c r="L24" i="5" s="1"/>
  <c r="H38" i="5"/>
  <c r="I38" i="5" s="1"/>
  <c r="K38" i="5"/>
  <c r="L38" i="5" s="1"/>
  <c r="H30" i="5"/>
  <c r="I30" i="5" s="1"/>
  <c r="K30" i="5"/>
  <c r="L30" i="5" s="1"/>
  <c r="H3" i="5"/>
  <c r="I3" i="5" s="1"/>
  <c r="K3" i="5"/>
  <c r="L3" i="5" s="1"/>
  <c r="H18" i="5"/>
  <c r="K18" i="5"/>
  <c r="L18" i="5"/>
  <c r="H2" i="5"/>
  <c r="I2" i="5"/>
  <c r="K2" i="5"/>
  <c r="L2" i="5"/>
  <c r="H6" i="5"/>
  <c r="I6" i="5"/>
  <c r="K6" i="5"/>
  <c r="L6" i="5"/>
  <c r="H5" i="5"/>
  <c r="I5" i="5"/>
  <c r="K5" i="5"/>
  <c r="L5" i="5"/>
  <c r="T19" i="3"/>
  <c r="U16" i="3"/>
  <c r="T19" i="4"/>
  <c r="T19" i="1"/>
  <c r="F2" i="4"/>
  <c r="H2" i="4"/>
  <c r="G2" i="4"/>
  <c r="K2" i="4" s="1"/>
  <c r="L2" i="4" s="1"/>
  <c r="H6" i="4"/>
  <c r="I6" i="4" s="1"/>
  <c r="G6" i="4"/>
  <c r="K6" i="4" s="1"/>
  <c r="L6" i="4"/>
  <c r="H5" i="4"/>
  <c r="I5" i="4"/>
  <c r="G5" i="4"/>
  <c r="K5" i="4"/>
  <c r="L5" i="4" s="1"/>
  <c r="M5" i="4" s="1"/>
  <c r="H9" i="4"/>
  <c r="I9" i="4"/>
  <c r="G9" i="4"/>
  <c r="K9" i="4" s="1"/>
  <c r="L9" i="4" s="1"/>
  <c r="H3" i="4"/>
  <c r="I3" i="4" s="1"/>
  <c r="M3" i="4" s="1"/>
  <c r="G3" i="4"/>
  <c r="K3" i="4"/>
  <c r="L3" i="4" s="1"/>
  <c r="H12" i="4"/>
  <c r="I12" i="4" s="1"/>
  <c r="G12" i="4"/>
  <c r="K12" i="4"/>
  <c r="L12" i="4" s="1"/>
  <c r="H4" i="4"/>
  <c r="I4" i="4" s="1"/>
  <c r="G4" i="4"/>
  <c r="K4" i="4" s="1"/>
  <c r="L4" i="4" s="1"/>
  <c r="H10" i="4"/>
  <c r="I10" i="4" s="1"/>
  <c r="G10" i="4"/>
  <c r="K10" i="4" s="1"/>
  <c r="L10" i="4" s="1"/>
  <c r="H25" i="4"/>
  <c r="I25" i="4" s="1"/>
  <c r="G25" i="4"/>
  <c r="K25" i="4" s="1"/>
  <c r="L25" i="4" s="1"/>
  <c r="H16" i="4"/>
  <c r="I16" i="4" s="1"/>
  <c r="G16" i="4"/>
  <c r="K16" i="4" s="1"/>
  <c r="L16" i="4" s="1"/>
  <c r="H23" i="4"/>
  <c r="I23" i="4"/>
  <c r="G23" i="4"/>
  <c r="K23" i="4"/>
  <c r="L23" i="4" s="1"/>
  <c r="H24" i="4"/>
  <c r="I24" i="4"/>
  <c r="G24" i="4"/>
  <c r="K24" i="4" s="1"/>
  <c r="L24" i="4" s="1"/>
  <c r="H21" i="4"/>
  <c r="I21" i="4" s="1"/>
  <c r="G21" i="4"/>
  <c r="K21" i="4"/>
  <c r="L21" i="4" s="1"/>
  <c r="H28" i="4"/>
  <c r="I28" i="4" s="1"/>
  <c r="G28" i="4"/>
  <c r="K28" i="4"/>
  <c r="L28" i="4" s="1"/>
  <c r="H19" i="4"/>
  <c r="I19" i="4" s="1"/>
  <c r="G19" i="4"/>
  <c r="K19" i="4" s="1"/>
  <c r="L19" i="4" s="1"/>
  <c r="M19" i="4" s="1"/>
  <c r="H14" i="4"/>
  <c r="I14" i="4" s="1"/>
  <c r="G14" i="4"/>
  <c r="K14" i="4" s="1"/>
  <c r="L14" i="4" s="1"/>
  <c r="H13" i="4"/>
  <c r="I13" i="4" s="1"/>
  <c r="G13" i="4"/>
  <c r="K13" i="4" s="1"/>
  <c r="L13" i="4" s="1"/>
  <c r="H27" i="4"/>
  <c r="I27" i="4" s="1"/>
  <c r="G27" i="4"/>
  <c r="K27" i="4" s="1"/>
  <c r="L27" i="4"/>
  <c r="H20" i="4"/>
  <c r="I20" i="4"/>
  <c r="G20" i="4"/>
  <c r="K20" i="4"/>
  <c r="L20" i="4" s="1"/>
  <c r="M20" i="4" s="1"/>
  <c r="H8" i="4"/>
  <c r="I8" i="4"/>
  <c r="G8" i="4"/>
  <c r="K8" i="4" s="1"/>
  <c r="L8" i="4" s="1"/>
  <c r="H18" i="4"/>
  <c r="I18" i="4" s="1"/>
  <c r="M18" i="4" s="1"/>
  <c r="G18" i="4"/>
  <c r="K18" i="4"/>
  <c r="L18" i="4" s="1"/>
  <c r="H15" i="4"/>
  <c r="I15" i="4" s="1"/>
  <c r="G15" i="4"/>
  <c r="K15" i="4"/>
  <c r="L15" i="4" s="1"/>
  <c r="H36" i="4"/>
  <c r="I36" i="4" s="1"/>
  <c r="G36" i="4"/>
  <c r="K36" i="4" s="1"/>
  <c r="L36" i="4" s="1"/>
  <c r="H33" i="4"/>
  <c r="I33" i="4" s="1"/>
  <c r="G33" i="4"/>
  <c r="K33" i="4" s="1"/>
  <c r="L33" i="4" s="1"/>
  <c r="H45" i="4"/>
  <c r="I45" i="4" s="1"/>
  <c r="G45" i="4"/>
  <c r="K45" i="4" s="1"/>
  <c r="L45" i="4" s="1"/>
  <c r="H48" i="4"/>
  <c r="I48" i="4" s="1"/>
  <c r="G48" i="4"/>
  <c r="K48" i="4" s="1"/>
  <c r="L48" i="4" s="1"/>
  <c r="H22" i="4"/>
  <c r="I22" i="4"/>
  <c r="G22" i="4"/>
  <c r="K22" i="4"/>
  <c r="L22" i="4" s="1"/>
  <c r="H58" i="4"/>
  <c r="I58" i="4"/>
  <c r="G58" i="4"/>
  <c r="K58" i="4" s="1"/>
  <c r="L58" i="4" s="1"/>
  <c r="H29" i="4"/>
  <c r="I29" i="4" s="1"/>
  <c r="G29" i="4"/>
  <c r="K29" i="4"/>
  <c r="L29" i="4" s="1"/>
  <c r="H32" i="4"/>
  <c r="I32" i="4" s="1"/>
  <c r="G32" i="4"/>
  <c r="K32" i="4"/>
  <c r="L32" i="4" s="1"/>
  <c r="H34" i="4"/>
  <c r="I34" i="4" s="1"/>
  <c r="G34" i="4"/>
  <c r="K34" i="4" s="1"/>
  <c r="L34" i="4" s="1"/>
  <c r="M34" i="4" s="1"/>
  <c r="H44" i="4"/>
  <c r="I44" i="4" s="1"/>
  <c r="G44" i="4"/>
  <c r="K44" i="4" s="1"/>
  <c r="L44" i="4" s="1"/>
  <c r="H60" i="4"/>
  <c r="I60" i="4" s="1"/>
  <c r="G60" i="4"/>
  <c r="K60" i="4" s="1"/>
  <c r="L60" i="4" s="1"/>
  <c r="H51" i="4"/>
  <c r="I51" i="4" s="1"/>
  <c r="G51" i="4"/>
  <c r="K51" i="4" s="1"/>
  <c r="L51" i="4"/>
  <c r="H35" i="4"/>
  <c r="I35" i="4"/>
  <c r="G35" i="4"/>
  <c r="K35" i="4"/>
  <c r="L35" i="4" s="1"/>
  <c r="M35" i="4" s="1"/>
  <c r="H50" i="4"/>
  <c r="I50" i="4"/>
  <c r="G50" i="4"/>
  <c r="K50" i="4" s="1"/>
  <c r="L50" i="4" s="1"/>
  <c r="H39" i="4"/>
  <c r="I39" i="4" s="1"/>
  <c r="M39" i="4" s="1"/>
  <c r="G39" i="4"/>
  <c r="K39" i="4"/>
  <c r="L39" i="4" s="1"/>
  <c r="H68" i="4"/>
  <c r="I68" i="4" s="1"/>
  <c r="G68" i="4"/>
  <c r="K68" i="4"/>
  <c r="L68" i="4" s="1"/>
  <c r="H67" i="4"/>
  <c r="I67" i="4" s="1"/>
  <c r="G67" i="4"/>
  <c r="K67" i="4" s="1"/>
  <c r="L67" i="4" s="1"/>
  <c r="M67" i="4" s="1"/>
  <c r="H31" i="4"/>
  <c r="I31" i="4" s="1"/>
  <c r="G31" i="4"/>
  <c r="K31" i="4" s="1"/>
  <c r="L31" i="4" s="1"/>
  <c r="H55" i="4"/>
  <c r="I55" i="4" s="1"/>
  <c r="G55" i="4"/>
  <c r="K55" i="4" s="1"/>
  <c r="L55" i="4" s="1"/>
  <c r="H66" i="4"/>
  <c r="I66" i="4" s="1"/>
  <c r="G66" i="4"/>
  <c r="K66" i="4" s="1"/>
  <c r="L66" i="4" s="1"/>
  <c r="H72" i="4"/>
  <c r="I72" i="4"/>
  <c r="G72" i="4"/>
  <c r="K72" i="4"/>
  <c r="L72" i="4" s="1"/>
  <c r="H41" i="4"/>
  <c r="I41" i="4"/>
  <c r="G41" i="4"/>
  <c r="K41" i="4" s="1"/>
  <c r="L41" i="4" s="1"/>
  <c r="H37" i="4"/>
  <c r="I37" i="4" s="1"/>
  <c r="G37" i="4"/>
  <c r="K37" i="4"/>
  <c r="L37" i="4" s="1"/>
  <c r="H52" i="4"/>
  <c r="I52" i="4" s="1"/>
  <c r="G52" i="4"/>
  <c r="K52" i="4"/>
  <c r="L52" i="4" s="1"/>
  <c r="H61" i="4"/>
  <c r="I61" i="4" s="1"/>
  <c r="G61" i="4"/>
  <c r="K61" i="4" s="1"/>
  <c r="L61" i="4" s="1"/>
  <c r="M61" i="4" s="1"/>
  <c r="H77" i="4"/>
  <c r="I77" i="4" s="1"/>
  <c r="G77" i="4"/>
  <c r="K77" i="4" s="1"/>
  <c r="L77" i="4" s="1"/>
  <c r="H49" i="4"/>
  <c r="I49" i="4" s="1"/>
  <c r="G49" i="4"/>
  <c r="K49" i="4" s="1"/>
  <c r="L49" i="4" s="1"/>
  <c r="H42" i="4"/>
  <c r="I42" i="4" s="1"/>
  <c r="G42" i="4"/>
  <c r="K42" i="4" s="1"/>
  <c r="L42" i="4"/>
  <c r="H57" i="4"/>
  <c r="I57" i="4"/>
  <c r="G57" i="4"/>
  <c r="K57" i="4"/>
  <c r="L57" i="4" s="1"/>
  <c r="M57" i="4" s="1"/>
  <c r="H62" i="4"/>
  <c r="I62" i="4"/>
  <c r="G62" i="4"/>
  <c r="K62" i="4" s="1"/>
  <c r="L62" i="4" s="1"/>
  <c r="H30" i="4"/>
  <c r="I30" i="4" s="1"/>
  <c r="M30" i="4" s="1"/>
  <c r="G30" i="4"/>
  <c r="K30" i="4"/>
  <c r="L30" i="4" s="1"/>
  <c r="H80" i="4"/>
  <c r="I80" i="4" s="1"/>
  <c r="G80" i="4"/>
  <c r="K80" i="4"/>
  <c r="L80" i="4" s="1"/>
  <c r="H73" i="4"/>
  <c r="I73" i="4" s="1"/>
  <c r="G73" i="4"/>
  <c r="K73" i="4" s="1"/>
  <c r="L73" i="4" s="1"/>
  <c r="M73" i="4" s="1"/>
  <c r="H56" i="4"/>
  <c r="I56" i="4" s="1"/>
  <c r="G56" i="4"/>
  <c r="K56" i="4" s="1"/>
  <c r="L56" i="4" s="1"/>
  <c r="H7" i="4"/>
  <c r="I7" i="4" s="1"/>
  <c r="G7" i="4"/>
  <c r="K7" i="4" s="1"/>
  <c r="L7" i="4" s="1"/>
  <c r="H70" i="4"/>
  <c r="I70" i="4" s="1"/>
  <c r="G70" i="4"/>
  <c r="K70" i="4" s="1"/>
  <c r="L70" i="4" s="1"/>
  <c r="H11" i="4"/>
  <c r="I11" i="4"/>
  <c r="G11" i="4"/>
  <c r="K11" i="4"/>
  <c r="L11" i="4" s="1"/>
  <c r="H46" i="4"/>
  <c r="I46" i="4"/>
  <c r="G46" i="4"/>
  <c r="K46" i="4" s="1"/>
  <c r="L46" i="4" s="1"/>
  <c r="H17" i="4"/>
  <c r="I17" i="4" s="1"/>
  <c r="G17" i="4"/>
  <c r="K17" i="4"/>
  <c r="L17" i="4" s="1"/>
  <c r="H64" i="4"/>
  <c r="I64" i="4" s="1"/>
  <c r="G64" i="4"/>
  <c r="K64" i="4"/>
  <c r="L64" i="4" s="1"/>
  <c r="H76" i="4"/>
  <c r="I76" i="4" s="1"/>
  <c r="G76" i="4"/>
  <c r="K76" i="4" s="1"/>
  <c r="L76" i="4" s="1"/>
  <c r="M76" i="4" s="1"/>
  <c r="H96" i="4"/>
  <c r="I96" i="4" s="1"/>
  <c r="G96" i="4"/>
  <c r="K96" i="4" s="1"/>
  <c r="L96" i="4" s="1"/>
  <c r="H26" i="4"/>
  <c r="I26" i="4" s="1"/>
  <c r="G26" i="4"/>
  <c r="K26" i="4" s="1"/>
  <c r="L26" i="4" s="1"/>
  <c r="H135" i="4"/>
  <c r="I135" i="4" s="1"/>
  <c r="G135" i="4"/>
  <c r="K135" i="4" s="1"/>
  <c r="L135" i="4"/>
  <c r="H89" i="4"/>
  <c r="I89" i="4"/>
  <c r="G89" i="4"/>
  <c r="K89" i="4"/>
  <c r="L89" i="4" s="1"/>
  <c r="M89" i="4" s="1"/>
  <c r="H86" i="4"/>
  <c r="I86" i="4"/>
  <c r="G86" i="4"/>
  <c r="K86" i="4" s="1"/>
  <c r="L86" i="4" s="1"/>
  <c r="H54" i="4"/>
  <c r="I54" i="4" s="1"/>
  <c r="M54" i="4" s="1"/>
  <c r="G54" i="4"/>
  <c r="K54" i="4"/>
  <c r="L54" i="4" s="1"/>
  <c r="H90" i="4"/>
  <c r="I90" i="4" s="1"/>
  <c r="G90" i="4"/>
  <c r="K90" i="4"/>
  <c r="L90" i="4" s="1"/>
  <c r="H75" i="4"/>
  <c r="I75" i="4" s="1"/>
  <c r="G75" i="4"/>
  <c r="K75" i="4" s="1"/>
  <c r="L75" i="4" s="1"/>
  <c r="M75" i="4" s="1"/>
  <c r="H40" i="4"/>
  <c r="I40" i="4" s="1"/>
  <c r="G40" i="4"/>
  <c r="K40" i="4" s="1"/>
  <c r="L40" i="4" s="1"/>
  <c r="H81" i="4"/>
  <c r="I81" i="4" s="1"/>
  <c r="G81" i="4"/>
  <c r="K81" i="4" s="1"/>
  <c r="L81" i="4" s="1"/>
  <c r="H110" i="4"/>
  <c r="I110" i="4" s="1"/>
  <c r="G110" i="4"/>
  <c r="K110" i="4" s="1"/>
  <c r="L110" i="4" s="1"/>
  <c r="H101" i="4"/>
  <c r="I101" i="4"/>
  <c r="G101" i="4"/>
  <c r="K101" i="4"/>
  <c r="L101" i="4" s="1"/>
  <c r="H82" i="4"/>
  <c r="I82" i="4"/>
  <c r="G82" i="4"/>
  <c r="K82" i="4" s="1"/>
  <c r="L82" i="4" s="1"/>
  <c r="H95" i="4"/>
  <c r="I95" i="4" s="1"/>
  <c r="G95" i="4"/>
  <c r="K95" i="4"/>
  <c r="L95" i="4" s="1"/>
  <c r="H94" i="4"/>
  <c r="I94" i="4" s="1"/>
  <c r="G94" i="4"/>
  <c r="K94" i="4"/>
  <c r="L94" i="4" s="1"/>
  <c r="H74" i="4"/>
  <c r="I74" i="4" s="1"/>
  <c r="G74" i="4"/>
  <c r="K74" i="4" s="1"/>
  <c r="L74" i="4" s="1"/>
  <c r="M74" i="4" s="1"/>
  <c r="H78" i="4"/>
  <c r="I78" i="4" s="1"/>
  <c r="G78" i="4"/>
  <c r="K78" i="4" s="1"/>
  <c r="L78" i="4" s="1"/>
  <c r="H79" i="4"/>
  <c r="I79" i="4" s="1"/>
  <c r="G79" i="4"/>
  <c r="K79" i="4" s="1"/>
  <c r="L79" i="4" s="1"/>
  <c r="H103" i="4"/>
  <c r="I103" i="4" s="1"/>
  <c r="G103" i="4"/>
  <c r="K103" i="4" s="1"/>
  <c r="L103" i="4"/>
  <c r="H88" i="4"/>
  <c r="I88" i="4"/>
  <c r="G88" i="4"/>
  <c r="K88" i="4"/>
  <c r="L88" i="4" s="1"/>
  <c r="M88" i="4" s="1"/>
  <c r="H115" i="4"/>
  <c r="I115" i="4"/>
  <c r="G115" i="4"/>
  <c r="K115" i="4" s="1"/>
  <c r="L115" i="4" s="1"/>
  <c r="H84" i="4"/>
  <c r="I84" i="4" s="1"/>
  <c r="M84" i="4" s="1"/>
  <c r="G84" i="4"/>
  <c r="K84" i="4"/>
  <c r="L84" i="4" s="1"/>
  <c r="H133" i="4"/>
  <c r="I133" i="4" s="1"/>
  <c r="G133" i="4"/>
  <c r="K133" i="4"/>
  <c r="L133" i="4" s="1"/>
  <c r="H98" i="4"/>
  <c r="I98" i="4" s="1"/>
  <c r="G98" i="4"/>
  <c r="K98" i="4" s="1"/>
  <c r="L98" i="4" s="1"/>
  <c r="M98" i="4" s="1"/>
  <c r="H137" i="4"/>
  <c r="I137" i="4" s="1"/>
  <c r="G137" i="4"/>
  <c r="K137" i="4" s="1"/>
  <c r="L137" i="4" s="1"/>
  <c r="H53" i="4"/>
  <c r="I53" i="4" s="1"/>
  <c r="G53" i="4"/>
  <c r="K53" i="4" s="1"/>
  <c r="L53" i="4" s="1"/>
  <c r="H38" i="4"/>
  <c r="I38" i="4" s="1"/>
  <c r="G38" i="4"/>
  <c r="K38" i="4" s="1"/>
  <c r="L38" i="4" s="1"/>
  <c r="H107" i="4"/>
  <c r="I107" i="4"/>
  <c r="G107" i="4"/>
  <c r="K107" i="4"/>
  <c r="L107" i="4" s="1"/>
  <c r="H119" i="4"/>
  <c r="I119" i="4"/>
  <c r="G119" i="4"/>
  <c r="K119" i="4" s="1"/>
  <c r="L119" i="4" s="1"/>
  <c r="H47" i="4"/>
  <c r="I47" i="4" s="1"/>
  <c r="G47" i="4"/>
  <c r="K47" i="4"/>
  <c r="L47" i="4" s="1"/>
  <c r="H106" i="4"/>
  <c r="I106" i="4" s="1"/>
  <c r="G106" i="4"/>
  <c r="K106" i="4"/>
  <c r="L106" i="4" s="1"/>
  <c r="H83" i="4"/>
  <c r="I83" i="4" s="1"/>
  <c r="G83" i="4"/>
  <c r="K83" i="4" s="1"/>
  <c r="L83" i="4" s="1"/>
  <c r="M83" i="4" s="1"/>
  <c r="H99" i="4"/>
  <c r="I99" i="4" s="1"/>
  <c r="G99" i="4"/>
  <c r="K99" i="4" s="1"/>
  <c r="L99" i="4" s="1"/>
  <c r="H93" i="4"/>
  <c r="I93" i="4" s="1"/>
  <c r="G93" i="4"/>
  <c r="K93" i="4" s="1"/>
  <c r="L93" i="4" s="1"/>
  <c r="H127" i="4"/>
  <c r="I127" i="4" s="1"/>
  <c r="G127" i="4"/>
  <c r="K127" i="4" s="1"/>
  <c r="L127" i="4"/>
  <c r="H114" i="4"/>
  <c r="I114" i="4"/>
  <c r="G114" i="4"/>
  <c r="K114" i="4"/>
  <c r="L114" i="4" s="1"/>
  <c r="M114" i="4" s="1"/>
  <c r="H130" i="4"/>
  <c r="I130" i="4"/>
  <c r="G130" i="4"/>
  <c r="K130" i="4" s="1"/>
  <c r="L130" i="4" s="1"/>
  <c r="H102" i="4"/>
  <c r="I102" i="4" s="1"/>
  <c r="M102" i="4" s="1"/>
  <c r="G102" i="4"/>
  <c r="K102" i="4"/>
  <c r="L102" i="4" s="1"/>
  <c r="H104" i="4"/>
  <c r="I104" i="4" s="1"/>
  <c r="G104" i="4"/>
  <c r="K104" i="4"/>
  <c r="L104" i="4" s="1"/>
  <c r="H113" i="4"/>
  <c r="I113" i="4" s="1"/>
  <c r="G113" i="4"/>
  <c r="K113" i="4" s="1"/>
  <c r="L113" i="4" s="1"/>
  <c r="M113" i="4" s="1"/>
  <c r="H65" i="4"/>
  <c r="I65" i="4" s="1"/>
  <c r="G65" i="4"/>
  <c r="K65" i="4" s="1"/>
  <c r="L65" i="4" s="1"/>
  <c r="H91" i="4"/>
  <c r="I91" i="4" s="1"/>
  <c r="G91" i="4"/>
  <c r="K91" i="4" s="1"/>
  <c r="L91" i="4" s="1"/>
  <c r="H87" i="4"/>
  <c r="I87" i="4" s="1"/>
  <c r="G87" i="4"/>
  <c r="K87" i="4" s="1"/>
  <c r="L87" i="4" s="1"/>
  <c r="H166" i="4"/>
  <c r="I166" i="4"/>
  <c r="G166" i="4"/>
  <c r="K166" i="4"/>
  <c r="L166" i="4" s="1"/>
  <c r="H126" i="4"/>
  <c r="I126" i="4"/>
  <c r="G126" i="4"/>
  <c r="K126" i="4" s="1"/>
  <c r="L126" i="4" s="1"/>
  <c r="H71" i="4"/>
  <c r="I71" i="4" s="1"/>
  <c r="G71" i="4"/>
  <c r="K71" i="4"/>
  <c r="L71" i="4" s="1"/>
  <c r="H111" i="4"/>
  <c r="I111" i="4" s="1"/>
  <c r="G111" i="4"/>
  <c r="K111" i="4"/>
  <c r="L111" i="4" s="1"/>
  <c r="H143" i="4"/>
  <c r="I143" i="4" s="1"/>
  <c r="G143" i="4"/>
  <c r="K143" i="4" s="1"/>
  <c r="L143" i="4" s="1"/>
  <c r="M143" i="4" s="1"/>
  <c r="H43" i="4"/>
  <c r="I43" i="4" s="1"/>
  <c r="G43" i="4"/>
  <c r="K43" i="4" s="1"/>
  <c r="L43" i="4" s="1"/>
  <c r="H123" i="4"/>
  <c r="I123" i="4" s="1"/>
  <c r="G123" i="4"/>
  <c r="K123" i="4" s="1"/>
  <c r="L123" i="4" s="1"/>
  <c r="H59" i="4"/>
  <c r="I59" i="4" s="1"/>
  <c r="G59" i="4"/>
  <c r="K59" i="4" s="1"/>
  <c r="L59" i="4"/>
  <c r="H117" i="4"/>
  <c r="I117" i="4"/>
  <c r="G117" i="4"/>
  <c r="K117" i="4"/>
  <c r="L117" i="4" s="1"/>
  <c r="M117" i="4" s="1"/>
  <c r="H63" i="4"/>
  <c r="I63" i="4"/>
  <c r="G63" i="4"/>
  <c r="K63" i="4" s="1"/>
  <c r="L63" i="4" s="1"/>
  <c r="H109" i="4"/>
  <c r="I109" i="4" s="1"/>
  <c r="M109" i="4" s="1"/>
  <c r="G109" i="4"/>
  <c r="K109" i="4"/>
  <c r="L109" i="4" s="1"/>
  <c r="H120" i="4"/>
  <c r="I120" i="4" s="1"/>
  <c r="G120" i="4"/>
  <c r="K120" i="4"/>
  <c r="L120" i="4" s="1"/>
  <c r="H100" i="4"/>
  <c r="I100" i="4" s="1"/>
  <c r="G100" i="4"/>
  <c r="K100" i="4" s="1"/>
  <c r="L100" i="4" s="1"/>
  <c r="M100" i="4" s="1"/>
  <c r="H85" i="4"/>
  <c r="I85" i="4" s="1"/>
  <c r="G85" i="4"/>
  <c r="K85" i="4" s="1"/>
  <c r="L85" i="4" s="1"/>
  <c r="H69" i="4"/>
  <c r="I69" i="4" s="1"/>
  <c r="G69" i="4"/>
  <c r="K69" i="4" s="1"/>
  <c r="L69" i="4" s="1"/>
  <c r="H125" i="4"/>
  <c r="I125" i="4" s="1"/>
  <c r="G125" i="4"/>
  <c r="K125" i="4" s="1"/>
  <c r="L125" i="4" s="1"/>
  <c r="H128" i="4"/>
  <c r="I128" i="4"/>
  <c r="G128" i="4"/>
  <c r="K128" i="4"/>
  <c r="L128" i="4" s="1"/>
  <c r="H108" i="4"/>
  <c r="I108" i="4"/>
  <c r="G108" i="4"/>
  <c r="K108" i="4" s="1"/>
  <c r="L108" i="4" s="1"/>
  <c r="H122" i="4"/>
  <c r="I122" i="4" s="1"/>
  <c r="G122" i="4"/>
  <c r="K122" i="4"/>
  <c r="L122" i="4" s="1"/>
  <c r="H139" i="4"/>
  <c r="I139" i="4" s="1"/>
  <c r="G139" i="4"/>
  <c r="K139" i="4"/>
  <c r="L139" i="4" s="1"/>
  <c r="H124" i="4"/>
  <c r="I124" i="4" s="1"/>
  <c r="G124" i="4"/>
  <c r="K124" i="4" s="1"/>
  <c r="L124" i="4" s="1"/>
  <c r="M124" i="4" s="1"/>
  <c r="H118" i="4"/>
  <c r="I118" i="4" s="1"/>
  <c r="G118" i="4"/>
  <c r="K118" i="4" s="1"/>
  <c r="L118" i="4" s="1"/>
  <c r="H97" i="4"/>
  <c r="I97" i="4" s="1"/>
  <c r="G97" i="4"/>
  <c r="K97" i="4" s="1"/>
  <c r="L97" i="4" s="1"/>
  <c r="H112" i="4"/>
  <c r="I112" i="4" s="1"/>
  <c r="G112" i="4"/>
  <c r="K112" i="4" s="1"/>
  <c r="L112" i="4"/>
  <c r="H134" i="4"/>
  <c r="I134" i="4"/>
  <c r="G134" i="4"/>
  <c r="K134" i="4"/>
  <c r="L134" i="4" s="1"/>
  <c r="M134" i="4" s="1"/>
  <c r="H136" i="4"/>
  <c r="I136" i="4"/>
  <c r="G136" i="4"/>
  <c r="K136" i="4" s="1"/>
  <c r="L136" i="4" s="1"/>
  <c r="H132" i="4"/>
  <c r="I132" i="4" s="1"/>
  <c r="M132" i="4" s="1"/>
  <c r="G132" i="4"/>
  <c r="K132" i="4"/>
  <c r="L132" i="4" s="1"/>
  <c r="H145" i="4"/>
  <c r="I145" i="4" s="1"/>
  <c r="G145" i="4"/>
  <c r="K145" i="4"/>
  <c r="L145" i="4" s="1"/>
  <c r="H154" i="4"/>
  <c r="I154" i="4" s="1"/>
  <c r="G154" i="4"/>
  <c r="K154" i="4" s="1"/>
  <c r="L154" i="4" s="1"/>
  <c r="M154" i="4" s="1"/>
  <c r="H144" i="4"/>
  <c r="I144" i="4" s="1"/>
  <c r="G144" i="4"/>
  <c r="K144" i="4" s="1"/>
  <c r="L144" i="4" s="1"/>
  <c r="H147" i="4"/>
  <c r="I147" i="4" s="1"/>
  <c r="G147" i="4"/>
  <c r="K147" i="4" s="1"/>
  <c r="L147" i="4" s="1"/>
  <c r="H121" i="4"/>
  <c r="I121" i="4" s="1"/>
  <c r="G121" i="4"/>
  <c r="K121" i="4" s="1"/>
  <c r="L121" i="4" s="1"/>
  <c r="H92" i="4"/>
  <c r="I92" i="4"/>
  <c r="G92" i="4"/>
  <c r="K92" i="4"/>
  <c r="L92" i="4" s="1"/>
  <c r="H149" i="4"/>
  <c r="I149" i="4"/>
  <c r="G149" i="4"/>
  <c r="K149" i="4" s="1"/>
  <c r="L149" i="4" s="1"/>
  <c r="H158" i="4"/>
  <c r="I158" i="4" s="1"/>
  <c r="G158" i="4"/>
  <c r="K158" i="4"/>
  <c r="L158" i="4" s="1"/>
  <c r="H131" i="4"/>
  <c r="I131" i="4" s="1"/>
  <c r="G131" i="4"/>
  <c r="K131" i="4"/>
  <c r="L131" i="4" s="1"/>
  <c r="H116" i="4"/>
  <c r="I116" i="4" s="1"/>
  <c r="G116" i="4"/>
  <c r="K116" i="4" s="1"/>
  <c r="L116" i="4" s="1"/>
  <c r="M116" i="4" s="1"/>
  <c r="H142" i="4"/>
  <c r="I142" i="4" s="1"/>
  <c r="G142" i="4"/>
  <c r="K142" i="4" s="1"/>
  <c r="L142" i="4" s="1"/>
  <c r="H168" i="4"/>
  <c r="I168" i="4" s="1"/>
  <c r="G168" i="4"/>
  <c r="K168" i="4" s="1"/>
  <c r="L168" i="4" s="1"/>
  <c r="H105" i="4"/>
  <c r="I105" i="4" s="1"/>
  <c r="G105" i="4"/>
  <c r="K105" i="4" s="1"/>
  <c r="L105" i="4"/>
  <c r="H162" i="4"/>
  <c r="I162" i="4"/>
  <c r="G162" i="4"/>
  <c r="K162" i="4"/>
  <c r="L162" i="4" s="1"/>
  <c r="M162" i="4" s="1"/>
  <c r="H129" i="4"/>
  <c r="I129" i="4"/>
  <c r="G129" i="4"/>
  <c r="K129" i="4" s="1"/>
  <c r="L129" i="4" s="1"/>
  <c r="H141" i="4"/>
  <c r="I141" i="4" s="1"/>
  <c r="M141" i="4" s="1"/>
  <c r="G141" i="4"/>
  <c r="K141" i="4"/>
  <c r="L141" i="4" s="1"/>
  <c r="H150" i="4"/>
  <c r="I150" i="4" s="1"/>
  <c r="G150" i="4"/>
  <c r="K150" i="4"/>
  <c r="L150" i="4" s="1"/>
  <c r="H177" i="4"/>
  <c r="I177" i="4" s="1"/>
  <c r="G177" i="4"/>
  <c r="K177" i="4" s="1"/>
  <c r="L177" i="4" s="1"/>
  <c r="M177" i="4" s="1"/>
  <c r="H188" i="4"/>
  <c r="I188" i="4" s="1"/>
  <c r="G188" i="4"/>
  <c r="K188" i="4" s="1"/>
  <c r="L188" i="4" s="1"/>
  <c r="H172" i="4"/>
  <c r="I172" i="4" s="1"/>
  <c r="G172" i="4"/>
  <c r="K172" i="4" s="1"/>
  <c r="L172" i="4"/>
  <c r="H195" i="4"/>
  <c r="I195" i="4" s="1"/>
  <c r="G195" i="4"/>
  <c r="K195" i="4" s="1"/>
  <c r="L195" i="4"/>
  <c r="H175" i="4"/>
  <c r="I175" i="4"/>
  <c r="G175" i="4"/>
  <c r="K175" i="4"/>
  <c r="L175" i="4" s="1"/>
  <c r="M175" i="4" s="1"/>
  <c r="H173" i="4"/>
  <c r="I173" i="4"/>
  <c r="G173" i="4"/>
  <c r="K173" i="4" s="1"/>
  <c r="L173" i="4" s="1"/>
  <c r="H161" i="4"/>
  <c r="I161" i="4" s="1"/>
  <c r="M161" i="4" s="1"/>
  <c r="G161" i="4"/>
  <c r="K161" i="4"/>
  <c r="L161" i="4" s="1"/>
  <c r="H197" i="4"/>
  <c r="I197" i="4" s="1"/>
  <c r="G197" i="4"/>
  <c r="K197" i="4"/>
  <c r="L197" i="4" s="1"/>
  <c r="H185" i="4"/>
  <c r="I185" i="4" s="1"/>
  <c r="G185" i="4"/>
  <c r="K185" i="4" s="1"/>
  <c r="L185" i="4" s="1"/>
  <c r="M185" i="4" s="1"/>
  <c r="H186" i="4"/>
  <c r="I186" i="4" s="1"/>
  <c r="G186" i="4"/>
  <c r="K186" i="4" s="1"/>
  <c r="L186" i="4" s="1"/>
  <c r="H189" i="4"/>
  <c r="I189" i="4" s="1"/>
  <c r="G189" i="4"/>
  <c r="K189" i="4" s="1"/>
  <c r="L189" i="4"/>
  <c r="H176" i="4"/>
  <c r="I176" i="4" s="1"/>
  <c r="G176" i="4"/>
  <c r="K176" i="4" s="1"/>
  <c r="L176" i="4"/>
  <c r="H159" i="4"/>
  <c r="I159" i="4"/>
  <c r="G159" i="4"/>
  <c r="K159" i="4"/>
  <c r="L159" i="4" s="1"/>
  <c r="H164" i="4"/>
  <c r="I164" i="4"/>
  <c r="G164" i="4"/>
  <c r="K164" i="4" s="1"/>
  <c r="L164" i="4" s="1"/>
  <c r="H196" i="4"/>
  <c r="I196" i="4" s="1"/>
  <c r="G196" i="4"/>
  <c r="K196" i="4"/>
  <c r="L196" i="4" s="1"/>
  <c r="H163" i="4"/>
  <c r="I163" i="4" s="1"/>
  <c r="G163" i="4"/>
  <c r="K163" i="4"/>
  <c r="L163" i="4" s="1"/>
  <c r="H167" i="4"/>
  <c r="I167" i="4" s="1"/>
  <c r="G167" i="4"/>
  <c r="K167" i="4" s="1"/>
  <c r="L167" i="4" s="1"/>
  <c r="H174" i="4"/>
  <c r="I174" i="4" s="1"/>
  <c r="G174" i="4"/>
  <c r="K174" i="4" s="1"/>
  <c r="L174" i="4" s="1"/>
  <c r="M174" i="4" s="1"/>
  <c r="H183" i="4"/>
  <c r="I183" i="4" s="1"/>
  <c r="M183" i="4" s="1"/>
  <c r="G183" i="4"/>
  <c r="K183" i="4"/>
  <c r="L183" i="4" s="1"/>
  <c r="H190" i="4"/>
  <c r="I190" i="4" s="1"/>
  <c r="G190" i="4"/>
  <c r="K190" i="4" s="1"/>
  <c r="L190" i="4" s="1"/>
  <c r="M190" i="4" s="1"/>
  <c r="H200" i="4"/>
  <c r="I200" i="4" s="1"/>
  <c r="G200" i="4"/>
  <c r="K200" i="4" s="1"/>
  <c r="L200" i="4" s="1"/>
  <c r="M200" i="4" s="1"/>
  <c r="H170" i="4"/>
  <c r="I170" i="4"/>
  <c r="G170" i="4"/>
  <c r="K170" i="4" s="1"/>
  <c r="L170" i="4" s="1"/>
  <c r="H153" i="4"/>
  <c r="I153" i="4" s="1"/>
  <c r="G153" i="4"/>
  <c r="K153" i="4" s="1"/>
  <c r="L153" i="4" s="1"/>
  <c r="H155" i="4"/>
  <c r="I155" i="4" s="1"/>
  <c r="G155" i="4"/>
  <c r="K155" i="4" s="1"/>
  <c r="L155" i="4" s="1"/>
  <c r="H191" i="4"/>
  <c r="I191" i="4" s="1"/>
  <c r="G191" i="4"/>
  <c r="K191" i="4" s="1"/>
  <c r="L191" i="4" s="1"/>
  <c r="H156" i="4"/>
  <c r="I156" i="4"/>
  <c r="G156" i="4"/>
  <c r="K156" i="4" s="1"/>
  <c r="L156" i="4" s="1"/>
  <c r="H169" i="4"/>
  <c r="I169" i="4" s="1"/>
  <c r="G169" i="4"/>
  <c r="K169" i="4" s="1"/>
  <c r="L169" i="4" s="1"/>
  <c r="H138" i="4"/>
  <c r="I138" i="4" s="1"/>
  <c r="G138" i="4"/>
  <c r="K138" i="4" s="1"/>
  <c r="L138" i="4" s="1"/>
  <c r="M138" i="4" s="1"/>
  <c r="H140" i="4"/>
  <c r="I140" i="4"/>
  <c r="G140" i="4"/>
  <c r="K140" i="4"/>
  <c r="L140" i="4" s="1"/>
  <c r="H187" i="4"/>
  <c r="I187" i="4" s="1"/>
  <c r="M187" i="4" s="1"/>
  <c r="G187" i="4"/>
  <c r="K187" i="4" s="1"/>
  <c r="L187" i="4" s="1"/>
  <c r="H182" i="4"/>
  <c r="I182" i="4" s="1"/>
  <c r="G182" i="4"/>
  <c r="K182" i="4"/>
  <c r="L182" i="4" s="1"/>
  <c r="H180" i="4"/>
  <c r="I180" i="4" s="1"/>
  <c r="G180" i="4"/>
  <c r="K180" i="4" s="1"/>
  <c r="L180" i="4" s="1"/>
  <c r="M180" i="4" s="1"/>
  <c r="H157" i="4"/>
  <c r="I157" i="4" s="1"/>
  <c r="G157" i="4"/>
  <c r="K157" i="4" s="1"/>
  <c r="L157" i="4" s="1"/>
  <c r="H194" i="4"/>
  <c r="I194" i="4" s="1"/>
  <c r="G194" i="4"/>
  <c r="K194" i="4" s="1"/>
  <c r="L194" i="4" s="1"/>
  <c r="H165" i="4"/>
  <c r="I165" i="4" s="1"/>
  <c r="G165" i="4"/>
  <c r="K165" i="4"/>
  <c r="L165" i="4" s="1"/>
  <c r="T16" i="4"/>
  <c r="H192" i="4"/>
  <c r="I192" i="4"/>
  <c r="G192" i="4"/>
  <c r="K192" i="4" s="1"/>
  <c r="L192" i="4" s="1"/>
  <c r="H181" i="4"/>
  <c r="I181" i="4" s="1"/>
  <c r="G181" i="4"/>
  <c r="K181" i="4" s="1"/>
  <c r="L181" i="4" s="1"/>
  <c r="H179" i="4"/>
  <c r="I179" i="4"/>
  <c r="M179" i="4" s="1"/>
  <c r="G179" i="4"/>
  <c r="K179" i="4"/>
  <c r="L179" i="4"/>
  <c r="H184" i="4"/>
  <c r="I184" i="4" s="1"/>
  <c r="G184" i="4"/>
  <c r="K184" i="4" s="1"/>
  <c r="L184" i="4" s="1"/>
  <c r="H152" i="4"/>
  <c r="I152" i="4" s="1"/>
  <c r="M152" i="4" s="1"/>
  <c r="G152" i="4"/>
  <c r="K152" i="4" s="1"/>
  <c r="L152" i="4" s="1"/>
  <c r="H178" i="4"/>
  <c r="I178" i="4" s="1"/>
  <c r="G178" i="4"/>
  <c r="K178" i="4" s="1"/>
  <c r="L178" i="4" s="1"/>
  <c r="H146" i="4"/>
  <c r="I146" i="4" s="1"/>
  <c r="G146" i="4"/>
  <c r="K146" i="4"/>
  <c r="L146" i="4" s="1"/>
  <c r="T9" i="4"/>
  <c r="H201" i="4"/>
  <c r="I201" i="4"/>
  <c r="G201" i="4"/>
  <c r="K201" i="4" s="1"/>
  <c r="L201" i="4" s="1"/>
  <c r="H193" i="4"/>
  <c r="I193" i="4"/>
  <c r="G193" i="4"/>
  <c r="K193" i="4" s="1"/>
  <c r="L193" i="4" s="1"/>
  <c r="M193" i="4" s="1"/>
  <c r="H160" i="4"/>
  <c r="I160" i="4" s="1"/>
  <c r="G160" i="4"/>
  <c r="K160" i="4" s="1"/>
  <c r="L160" i="4" s="1"/>
  <c r="M160" i="4" s="1"/>
  <c r="H171" i="4"/>
  <c r="I171" i="4" s="1"/>
  <c r="G171" i="4"/>
  <c r="K171" i="4" s="1"/>
  <c r="L171" i="4" s="1"/>
  <c r="H148" i="4"/>
  <c r="I148" i="4" s="1"/>
  <c r="G148" i="4"/>
  <c r="K148" i="4" s="1"/>
  <c r="L148" i="4" s="1"/>
  <c r="H151" i="4"/>
  <c r="I151" i="4"/>
  <c r="G151" i="4"/>
  <c r="K151" i="4" s="1"/>
  <c r="L151" i="4" s="1"/>
  <c r="H198" i="4"/>
  <c r="I198" i="4" s="1"/>
  <c r="G198" i="4"/>
  <c r="K198" i="4"/>
  <c r="L198" i="4" s="1"/>
  <c r="H199" i="4"/>
  <c r="I199" i="4" s="1"/>
  <c r="G199" i="4"/>
  <c r="K199" i="4" s="1"/>
  <c r="L199" i="4" s="1"/>
  <c r="H5" i="3"/>
  <c r="G5" i="3"/>
  <c r="K5" i="3" s="1"/>
  <c r="L5" i="3" s="1"/>
  <c r="F5" i="3"/>
  <c r="H2" i="3"/>
  <c r="I2" i="3" s="1"/>
  <c r="G2" i="3"/>
  <c r="K2" i="3" s="1"/>
  <c r="L2" i="3" s="1"/>
  <c r="H3" i="3"/>
  <c r="I3" i="3" s="1"/>
  <c r="G3" i="3"/>
  <c r="K3" i="3"/>
  <c r="L3" i="3" s="1"/>
  <c r="H4" i="3"/>
  <c r="I4" i="3" s="1"/>
  <c r="G4" i="3"/>
  <c r="K4" i="3"/>
  <c r="L4" i="3" s="1"/>
  <c r="M4" i="3" s="1"/>
  <c r="H6" i="3"/>
  <c r="I6" i="3" s="1"/>
  <c r="G6" i="3"/>
  <c r="K6" i="3" s="1"/>
  <c r="L6" i="3" s="1"/>
  <c r="H8" i="3"/>
  <c r="I8" i="3"/>
  <c r="G8" i="3"/>
  <c r="K8" i="3" s="1"/>
  <c r="L8" i="3" s="1"/>
  <c r="H7" i="3"/>
  <c r="I7" i="3"/>
  <c r="G7" i="3"/>
  <c r="K7" i="3" s="1"/>
  <c r="L7" i="3" s="1"/>
  <c r="M7" i="3" s="1"/>
  <c r="H9" i="3"/>
  <c r="I9" i="3" s="1"/>
  <c r="G9" i="3"/>
  <c r="K9" i="3" s="1"/>
  <c r="L9" i="3" s="1"/>
  <c r="M9" i="3" s="1"/>
  <c r="H15" i="3"/>
  <c r="I15" i="3" s="1"/>
  <c r="M15" i="3" s="1"/>
  <c r="G15" i="3"/>
  <c r="K15" i="3" s="1"/>
  <c r="L15" i="3" s="1"/>
  <c r="H20" i="3"/>
  <c r="I20" i="3"/>
  <c r="G20" i="3"/>
  <c r="K20" i="3" s="1"/>
  <c r="L20" i="3" s="1"/>
  <c r="H14" i="3"/>
  <c r="I14" i="3"/>
  <c r="G14" i="3"/>
  <c r="K14" i="3" s="1"/>
  <c r="L14" i="3" s="1"/>
  <c r="M14" i="3" s="1"/>
  <c r="H24" i="3"/>
  <c r="I24" i="3" s="1"/>
  <c r="G24" i="3"/>
  <c r="K24" i="3" s="1"/>
  <c r="L24" i="3" s="1"/>
  <c r="H21" i="3"/>
  <c r="I21" i="3" s="1"/>
  <c r="G21" i="3"/>
  <c r="K21" i="3"/>
  <c r="L21" i="3" s="1"/>
  <c r="H17" i="3"/>
  <c r="I17" i="3" s="1"/>
  <c r="M17" i="3" s="1"/>
  <c r="G17" i="3"/>
  <c r="K17" i="3" s="1"/>
  <c r="L17" i="3"/>
  <c r="H22" i="3"/>
  <c r="I22" i="3" s="1"/>
  <c r="G22" i="3"/>
  <c r="K22" i="3" s="1"/>
  <c r="L22" i="3"/>
  <c r="H10" i="3"/>
  <c r="I10" i="3" s="1"/>
  <c r="G10" i="3"/>
  <c r="K10" i="3" s="1"/>
  <c r="L10" i="3"/>
  <c r="M10" i="3" s="1"/>
  <c r="H27" i="3"/>
  <c r="I27" i="3" s="1"/>
  <c r="G27" i="3"/>
  <c r="K27" i="3"/>
  <c r="L27" i="3" s="1"/>
  <c r="H16" i="3"/>
  <c r="I16" i="3" s="1"/>
  <c r="M16" i="3" s="1"/>
  <c r="G16" i="3"/>
  <c r="K16" i="3" s="1"/>
  <c r="L16" i="3" s="1"/>
  <c r="H25" i="3"/>
  <c r="I25" i="3" s="1"/>
  <c r="G25" i="3"/>
  <c r="K25" i="3"/>
  <c r="L25" i="3" s="1"/>
  <c r="H11" i="3"/>
  <c r="I11" i="3" s="1"/>
  <c r="G11" i="3"/>
  <c r="K11" i="3"/>
  <c r="L11" i="3" s="1"/>
  <c r="M11" i="3" s="1"/>
  <c r="H23" i="3"/>
  <c r="I23" i="3" s="1"/>
  <c r="G23" i="3"/>
  <c r="K23" i="3" s="1"/>
  <c r="L23" i="3" s="1"/>
  <c r="H18" i="3"/>
  <c r="I18" i="3" s="1"/>
  <c r="G18" i="3"/>
  <c r="K18" i="3" s="1"/>
  <c r="L18" i="3" s="1"/>
  <c r="H19" i="3"/>
  <c r="I19" i="3"/>
  <c r="G19" i="3"/>
  <c r="K19" i="3" s="1"/>
  <c r="L19" i="3" s="1"/>
  <c r="H28" i="3"/>
  <c r="I28" i="3" s="1"/>
  <c r="G28" i="3"/>
  <c r="K28" i="3" s="1"/>
  <c r="L28" i="3" s="1"/>
  <c r="H39" i="3"/>
  <c r="I39" i="3" s="1"/>
  <c r="G39" i="3"/>
  <c r="K39" i="3" s="1"/>
  <c r="L39" i="3" s="1"/>
  <c r="H57" i="3"/>
  <c r="I57" i="3" s="1"/>
  <c r="M57" i="3" s="1"/>
  <c r="G57" i="3"/>
  <c r="K57" i="3" s="1"/>
  <c r="L57" i="3" s="1"/>
  <c r="H38" i="3"/>
  <c r="I38" i="3"/>
  <c r="G38" i="3"/>
  <c r="K38" i="3" s="1"/>
  <c r="L38" i="3"/>
  <c r="H26" i="3"/>
  <c r="I26" i="3" s="1"/>
  <c r="G26" i="3"/>
  <c r="K26" i="3" s="1"/>
  <c r="L26" i="3" s="1"/>
  <c r="H44" i="3"/>
  <c r="I44" i="3"/>
  <c r="G44" i="3"/>
  <c r="K44" i="3"/>
  <c r="L44" i="3" s="1"/>
  <c r="H33" i="3"/>
  <c r="I33" i="3" s="1"/>
  <c r="G33" i="3"/>
  <c r="K33" i="3" s="1"/>
  <c r="L33" i="3"/>
  <c r="H37" i="3"/>
  <c r="I37" i="3" s="1"/>
  <c r="M37" i="3" s="1"/>
  <c r="G37" i="3"/>
  <c r="K37" i="3"/>
  <c r="L37" i="3"/>
  <c r="H53" i="3"/>
  <c r="I53" i="3" s="1"/>
  <c r="G53" i="3"/>
  <c r="K53" i="3"/>
  <c r="L53" i="3"/>
  <c r="H61" i="3"/>
  <c r="I61" i="3" s="1"/>
  <c r="G61" i="3"/>
  <c r="K61" i="3"/>
  <c r="L61" i="3" s="1"/>
  <c r="H41" i="3"/>
  <c r="I41" i="3" s="1"/>
  <c r="M41" i="3" s="1"/>
  <c r="G41" i="3"/>
  <c r="K41" i="3" s="1"/>
  <c r="L41" i="3"/>
  <c r="H32" i="3"/>
  <c r="I32" i="3" s="1"/>
  <c r="G32" i="3"/>
  <c r="K32" i="3" s="1"/>
  <c r="L32" i="3" s="1"/>
  <c r="H54" i="3"/>
  <c r="I54" i="3" s="1"/>
  <c r="G54" i="3"/>
  <c r="K54" i="3"/>
  <c r="L54" i="3" s="1"/>
  <c r="H50" i="3"/>
  <c r="I50" i="3"/>
  <c r="G50" i="3"/>
  <c r="K50" i="3" s="1"/>
  <c r="L50" i="3" s="1"/>
  <c r="H65" i="3"/>
  <c r="I65" i="3" s="1"/>
  <c r="G65" i="3"/>
  <c r="K65" i="3" s="1"/>
  <c r="L65" i="3" s="1"/>
  <c r="H34" i="3"/>
  <c r="I34" i="3" s="1"/>
  <c r="G34" i="3"/>
  <c r="K34" i="3"/>
  <c r="L34" i="3" s="1"/>
  <c r="H60" i="3"/>
  <c r="I60" i="3" s="1"/>
  <c r="G60" i="3"/>
  <c r="K60" i="3" s="1"/>
  <c r="L60" i="3" s="1"/>
  <c r="H62" i="3"/>
  <c r="I62" i="3"/>
  <c r="G62" i="3"/>
  <c r="K62" i="3" s="1"/>
  <c r="L62" i="3" s="1"/>
  <c r="H40" i="3"/>
  <c r="I40" i="3" s="1"/>
  <c r="G40" i="3"/>
  <c r="K40" i="3" s="1"/>
  <c r="L40" i="3" s="1"/>
  <c r="H52" i="3"/>
  <c r="I52" i="3"/>
  <c r="G52" i="3"/>
  <c r="K52" i="3"/>
  <c r="L52" i="3"/>
  <c r="H43" i="3"/>
  <c r="I43" i="3" s="1"/>
  <c r="M43" i="3" s="1"/>
  <c r="G43" i="3"/>
  <c r="K43" i="3" s="1"/>
  <c r="L43" i="3" s="1"/>
  <c r="H49" i="3"/>
  <c r="I49" i="3" s="1"/>
  <c r="M49" i="3" s="1"/>
  <c r="G49" i="3"/>
  <c r="K49" i="3" s="1"/>
  <c r="L49" i="3" s="1"/>
  <c r="H29" i="3"/>
  <c r="I29" i="3" s="1"/>
  <c r="G29" i="3"/>
  <c r="K29" i="3" s="1"/>
  <c r="L29" i="3" s="1"/>
  <c r="H66" i="3"/>
  <c r="I66" i="3" s="1"/>
  <c r="G66" i="3"/>
  <c r="K66" i="3"/>
  <c r="L66" i="3" s="1"/>
  <c r="H31" i="3"/>
  <c r="I31" i="3" s="1"/>
  <c r="G31" i="3"/>
  <c r="K31" i="3"/>
  <c r="L31" i="3" s="1"/>
  <c r="M31" i="3" s="1"/>
  <c r="H64" i="3"/>
  <c r="I64" i="3"/>
  <c r="G64" i="3"/>
  <c r="K64" i="3" s="1"/>
  <c r="L64" i="3" s="1"/>
  <c r="M64" i="3" s="1"/>
  <c r="H35" i="3"/>
  <c r="I35" i="3" s="1"/>
  <c r="G35" i="3"/>
  <c r="K35" i="3" s="1"/>
  <c r="L35" i="3"/>
  <c r="H36" i="3"/>
  <c r="I36" i="3" s="1"/>
  <c r="M36" i="3" s="1"/>
  <c r="G36" i="3"/>
  <c r="K36" i="3"/>
  <c r="L36" i="3" s="1"/>
  <c r="H30" i="3"/>
  <c r="I30" i="3" s="1"/>
  <c r="G30" i="3"/>
  <c r="K30" i="3" s="1"/>
  <c r="L30" i="3" s="1"/>
  <c r="H68" i="3"/>
  <c r="I68" i="3" s="1"/>
  <c r="G68" i="3"/>
  <c r="K68" i="3" s="1"/>
  <c r="L68" i="3" s="1"/>
  <c r="H58" i="3"/>
  <c r="I58" i="3"/>
  <c r="G58" i="3"/>
  <c r="K58" i="3" s="1"/>
  <c r="L58" i="3" s="1"/>
  <c r="H46" i="3"/>
  <c r="I46" i="3" s="1"/>
  <c r="G46" i="3"/>
  <c r="K46" i="3" s="1"/>
  <c r="L46" i="3" s="1"/>
  <c r="H42" i="3"/>
  <c r="I42" i="3" s="1"/>
  <c r="M42" i="3" s="1"/>
  <c r="G42" i="3"/>
  <c r="K42" i="3" s="1"/>
  <c r="L42" i="3" s="1"/>
  <c r="H13" i="3"/>
  <c r="I13" i="3" s="1"/>
  <c r="G13" i="3"/>
  <c r="K13" i="3" s="1"/>
  <c r="L13" i="3" s="1"/>
  <c r="H45" i="3"/>
  <c r="I45" i="3" s="1"/>
  <c r="G45" i="3"/>
  <c r="K45" i="3"/>
  <c r="L45" i="3" s="1"/>
  <c r="H12" i="3"/>
  <c r="I12" i="3"/>
  <c r="G12" i="3"/>
  <c r="K12" i="3" s="1"/>
  <c r="L12" i="3" s="1"/>
  <c r="H86" i="3"/>
  <c r="I86" i="3" s="1"/>
  <c r="G86" i="3"/>
  <c r="K86" i="3" s="1"/>
  <c r="L86" i="3" s="1"/>
  <c r="H74" i="3"/>
  <c r="I74" i="3" s="1"/>
  <c r="G74" i="3"/>
  <c r="K74" i="3" s="1"/>
  <c r="L74" i="3"/>
  <c r="H76" i="3"/>
  <c r="I76" i="3" s="1"/>
  <c r="G76" i="3"/>
  <c r="K76" i="3" s="1"/>
  <c r="L76" i="3" s="1"/>
  <c r="H75" i="3"/>
  <c r="I75" i="3"/>
  <c r="G75" i="3"/>
  <c r="K75" i="3" s="1"/>
  <c r="L75" i="3" s="1"/>
  <c r="H59" i="3"/>
  <c r="I59" i="3"/>
  <c r="G59" i="3"/>
  <c r="K59" i="3" s="1"/>
  <c r="L59" i="3" s="1"/>
  <c r="H63" i="3"/>
  <c r="I63" i="3" s="1"/>
  <c r="G63" i="3"/>
  <c r="K63" i="3"/>
  <c r="L63" i="3"/>
  <c r="H55" i="3"/>
  <c r="I55" i="3" s="1"/>
  <c r="G55" i="3"/>
  <c r="K55" i="3"/>
  <c r="L55" i="3" s="1"/>
  <c r="H93" i="3"/>
  <c r="I93" i="3" s="1"/>
  <c r="G93" i="3"/>
  <c r="K93" i="3" s="1"/>
  <c r="L93" i="3" s="1"/>
  <c r="H77" i="3"/>
  <c r="I77" i="3"/>
  <c r="G77" i="3"/>
  <c r="K77" i="3" s="1"/>
  <c r="L77" i="3" s="1"/>
  <c r="H69" i="3"/>
  <c r="I69" i="3" s="1"/>
  <c r="G69" i="3"/>
  <c r="K69" i="3"/>
  <c r="L69" i="3" s="1"/>
  <c r="H97" i="3"/>
  <c r="I97" i="3" s="1"/>
  <c r="G97" i="3"/>
  <c r="K97" i="3"/>
  <c r="L97" i="3" s="1"/>
  <c r="H81" i="3"/>
  <c r="I81" i="3" s="1"/>
  <c r="G81" i="3"/>
  <c r="K81" i="3" s="1"/>
  <c r="L81" i="3" s="1"/>
  <c r="M81" i="3" s="1"/>
  <c r="H47" i="3"/>
  <c r="I47" i="3"/>
  <c r="M47" i="3" s="1"/>
  <c r="G47" i="3"/>
  <c r="K47" i="3" s="1"/>
  <c r="L47" i="3" s="1"/>
  <c r="H94" i="3"/>
  <c r="I94" i="3" s="1"/>
  <c r="G94" i="3"/>
  <c r="K94" i="3"/>
  <c r="L94" i="3" s="1"/>
  <c r="H51" i="3"/>
  <c r="I51" i="3" s="1"/>
  <c r="G51" i="3"/>
  <c r="K51" i="3" s="1"/>
  <c r="L51" i="3" s="1"/>
  <c r="H80" i="3"/>
  <c r="I80" i="3"/>
  <c r="G80" i="3"/>
  <c r="K80" i="3" s="1"/>
  <c r="L80" i="3" s="1"/>
  <c r="M80" i="3" s="1"/>
  <c r="H78" i="3"/>
  <c r="I78" i="3" s="1"/>
  <c r="G78" i="3"/>
  <c r="K78" i="3" s="1"/>
  <c r="L78" i="3" s="1"/>
  <c r="H89" i="3"/>
  <c r="I89" i="3" s="1"/>
  <c r="G89" i="3"/>
  <c r="K89" i="3" s="1"/>
  <c r="L89" i="3"/>
  <c r="H91" i="3"/>
  <c r="I91" i="3" s="1"/>
  <c r="M91" i="3" s="1"/>
  <c r="G91" i="3"/>
  <c r="K91" i="3" s="1"/>
  <c r="L91" i="3" s="1"/>
  <c r="H67" i="3"/>
  <c r="I67" i="3" s="1"/>
  <c r="G67" i="3"/>
  <c r="K67" i="3" s="1"/>
  <c r="L67" i="3" s="1"/>
  <c r="H82" i="3"/>
  <c r="I82" i="3"/>
  <c r="G82" i="3"/>
  <c r="K82" i="3" s="1"/>
  <c r="L82" i="3" s="1"/>
  <c r="H56" i="3"/>
  <c r="I56" i="3" s="1"/>
  <c r="G56" i="3"/>
  <c r="K56" i="3"/>
  <c r="L56" i="3" s="1"/>
  <c r="H85" i="3"/>
  <c r="I85" i="3" s="1"/>
  <c r="M85" i="3" s="1"/>
  <c r="G85" i="3"/>
  <c r="K85" i="3"/>
  <c r="L85" i="3" s="1"/>
  <c r="H88" i="3"/>
  <c r="I88" i="3"/>
  <c r="G88" i="3"/>
  <c r="K88" i="3" s="1"/>
  <c r="L88" i="3" s="1"/>
  <c r="H48" i="3"/>
  <c r="I48" i="3" s="1"/>
  <c r="G48" i="3"/>
  <c r="K48" i="3" s="1"/>
  <c r="L48" i="3" s="1"/>
  <c r="H92" i="3"/>
  <c r="I92" i="3" s="1"/>
  <c r="G92" i="3"/>
  <c r="K92" i="3" s="1"/>
  <c r="L92" i="3" s="1"/>
  <c r="H73" i="3"/>
  <c r="I73" i="3" s="1"/>
  <c r="G73" i="3"/>
  <c r="K73" i="3" s="1"/>
  <c r="L73" i="3" s="1"/>
  <c r="H99" i="3"/>
  <c r="I99" i="3" s="1"/>
  <c r="G99" i="3"/>
  <c r="K99" i="3" s="1"/>
  <c r="L99" i="3" s="1"/>
  <c r="H90" i="3"/>
  <c r="I90" i="3" s="1"/>
  <c r="M90" i="3" s="1"/>
  <c r="G90" i="3"/>
  <c r="K90" i="3" s="1"/>
  <c r="L90" i="3" s="1"/>
  <c r="H83" i="3"/>
  <c r="I83" i="3" s="1"/>
  <c r="G83" i="3"/>
  <c r="K83" i="3" s="1"/>
  <c r="L83" i="3" s="1"/>
  <c r="H107" i="3"/>
  <c r="I107" i="3" s="1"/>
  <c r="G107" i="3"/>
  <c r="K107" i="3"/>
  <c r="L107" i="3" s="1"/>
  <c r="H110" i="3"/>
  <c r="I110" i="3"/>
  <c r="G110" i="3"/>
  <c r="K110" i="3" s="1"/>
  <c r="L110" i="3" s="1"/>
  <c r="H84" i="3"/>
  <c r="I84" i="3" s="1"/>
  <c r="G84" i="3"/>
  <c r="K84" i="3" s="1"/>
  <c r="L84" i="3" s="1"/>
  <c r="H72" i="3"/>
  <c r="I72" i="3" s="1"/>
  <c r="M72" i="3" s="1"/>
  <c r="G72" i="3"/>
  <c r="K72" i="3" s="1"/>
  <c r="L72" i="3"/>
  <c r="H100" i="3"/>
  <c r="I100" i="3" s="1"/>
  <c r="G100" i="3"/>
  <c r="K100" i="3" s="1"/>
  <c r="L100" i="3" s="1"/>
  <c r="H96" i="3"/>
  <c r="I96" i="3"/>
  <c r="G96" i="3"/>
  <c r="K96" i="3" s="1"/>
  <c r="L96" i="3" s="1"/>
  <c r="H118" i="3"/>
  <c r="I118" i="3"/>
  <c r="G118" i="3"/>
  <c r="K118" i="3" s="1"/>
  <c r="L118" i="3" s="1"/>
  <c r="H106" i="3"/>
  <c r="I106" i="3" s="1"/>
  <c r="G106" i="3"/>
  <c r="K106" i="3"/>
  <c r="L106" i="3"/>
  <c r="H71" i="3"/>
  <c r="I71" i="3" s="1"/>
  <c r="M71" i="3" s="1"/>
  <c r="G71" i="3"/>
  <c r="K71" i="3"/>
  <c r="L71" i="3" s="1"/>
  <c r="H114" i="3"/>
  <c r="I114" i="3" s="1"/>
  <c r="G114" i="3"/>
  <c r="K114" i="3" s="1"/>
  <c r="L114" i="3" s="1"/>
  <c r="H108" i="3"/>
  <c r="I108" i="3"/>
  <c r="G108" i="3"/>
  <c r="K108" i="3" s="1"/>
  <c r="L108" i="3" s="1"/>
  <c r="H98" i="3"/>
  <c r="I98" i="3" s="1"/>
  <c r="G98" i="3"/>
  <c r="K98" i="3"/>
  <c r="L98" i="3" s="1"/>
  <c r="H109" i="3"/>
  <c r="I109" i="3" s="1"/>
  <c r="G109" i="3"/>
  <c r="K109" i="3"/>
  <c r="L109" i="3" s="1"/>
  <c r="H101" i="3"/>
  <c r="I101" i="3" s="1"/>
  <c r="G101" i="3"/>
  <c r="K101" i="3" s="1"/>
  <c r="L101" i="3" s="1"/>
  <c r="M101" i="3" s="1"/>
  <c r="H112" i="3"/>
  <c r="I112" i="3"/>
  <c r="M112" i="3" s="1"/>
  <c r="G112" i="3"/>
  <c r="K112" i="3" s="1"/>
  <c r="L112" i="3" s="1"/>
  <c r="H123" i="3"/>
  <c r="I123" i="3" s="1"/>
  <c r="M123" i="3" s="1"/>
  <c r="G123" i="3"/>
  <c r="K123" i="3"/>
  <c r="L123" i="3" s="1"/>
  <c r="H131" i="3"/>
  <c r="I131" i="3" s="1"/>
  <c r="G131" i="3"/>
  <c r="K131" i="3" s="1"/>
  <c r="L131" i="3" s="1"/>
  <c r="H113" i="3"/>
  <c r="I113" i="3"/>
  <c r="G113" i="3"/>
  <c r="K113" i="3" s="1"/>
  <c r="L113" i="3" s="1"/>
  <c r="M113" i="3" s="1"/>
  <c r="H105" i="3"/>
  <c r="I105" i="3" s="1"/>
  <c r="G105" i="3"/>
  <c r="K105" i="3" s="1"/>
  <c r="L105" i="3" s="1"/>
  <c r="H87" i="3"/>
  <c r="I87" i="3" s="1"/>
  <c r="G87" i="3"/>
  <c r="K87" i="3" s="1"/>
  <c r="L87" i="3" s="1"/>
  <c r="H126" i="3"/>
  <c r="I126" i="3" s="1"/>
  <c r="G126" i="3"/>
  <c r="K126" i="3" s="1"/>
  <c r="L126" i="3" s="1"/>
  <c r="H70" i="3"/>
  <c r="I70" i="3" s="1"/>
  <c r="G70" i="3"/>
  <c r="K70" i="3" s="1"/>
  <c r="L70" i="3" s="1"/>
  <c r="H120" i="3"/>
  <c r="I120" i="3"/>
  <c r="G120" i="3"/>
  <c r="K120" i="3" s="1"/>
  <c r="L120" i="3" s="1"/>
  <c r="H79" i="3"/>
  <c r="I79" i="3" s="1"/>
  <c r="G79" i="3"/>
  <c r="K79" i="3"/>
  <c r="L79" i="3" s="1"/>
  <c r="H104" i="3"/>
  <c r="I104" i="3" s="1"/>
  <c r="G104" i="3"/>
  <c r="K104" i="3"/>
  <c r="L104" i="3" s="1"/>
  <c r="H111" i="3"/>
  <c r="I111" i="3"/>
  <c r="G111" i="3"/>
  <c r="K111" i="3" s="1"/>
  <c r="L111" i="3" s="1"/>
  <c r="H119" i="3"/>
  <c r="I119" i="3" s="1"/>
  <c r="G119" i="3"/>
  <c r="K119" i="3" s="1"/>
  <c r="L119" i="3" s="1"/>
  <c r="H125" i="3"/>
  <c r="I125" i="3" s="1"/>
  <c r="G125" i="3"/>
  <c r="K125" i="3" s="1"/>
  <c r="L125" i="3" s="1"/>
  <c r="H122" i="3"/>
  <c r="I122" i="3" s="1"/>
  <c r="G122" i="3"/>
  <c r="K122" i="3" s="1"/>
  <c r="L122" i="3" s="1"/>
  <c r="H128" i="3"/>
  <c r="I128" i="3" s="1"/>
  <c r="G128" i="3"/>
  <c r="K128" i="3" s="1"/>
  <c r="L128" i="3" s="1"/>
  <c r="H129" i="3"/>
  <c r="I129" i="3" s="1"/>
  <c r="M129" i="3" s="1"/>
  <c r="G129" i="3"/>
  <c r="K129" i="3" s="1"/>
  <c r="L129" i="3" s="1"/>
  <c r="H102" i="3"/>
  <c r="I102" i="3" s="1"/>
  <c r="G102" i="3"/>
  <c r="K102" i="3" s="1"/>
  <c r="L102" i="3" s="1"/>
  <c r="H115" i="3"/>
  <c r="I115" i="3" s="1"/>
  <c r="G115" i="3"/>
  <c r="K115" i="3"/>
  <c r="L115" i="3" s="1"/>
  <c r="H130" i="3"/>
  <c r="I130" i="3"/>
  <c r="G130" i="3"/>
  <c r="K130" i="3" s="1"/>
  <c r="L130" i="3" s="1"/>
  <c r="H121" i="3"/>
  <c r="I121" i="3" s="1"/>
  <c r="G121" i="3"/>
  <c r="K121" i="3" s="1"/>
  <c r="L121" i="3" s="1"/>
  <c r="H127" i="3"/>
  <c r="I127" i="3" s="1"/>
  <c r="G127" i="3"/>
  <c r="K127" i="3" s="1"/>
  <c r="L127" i="3"/>
  <c r="H116" i="3"/>
  <c r="I116" i="3" s="1"/>
  <c r="G116" i="3"/>
  <c r="K116" i="3" s="1"/>
  <c r="L116" i="3" s="1"/>
  <c r="H117" i="3"/>
  <c r="I117" i="3"/>
  <c r="G117" i="3"/>
  <c r="K117" i="3" s="1"/>
  <c r="L117" i="3" s="1"/>
  <c r="H103" i="3"/>
  <c r="I103" i="3"/>
  <c r="G103" i="3"/>
  <c r="K103" i="3" s="1"/>
  <c r="L103" i="3" s="1"/>
  <c r="H134" i="3"/>
  <c r="I134" i="3" s="1"/>
  <c r="G134" i="3"/>
  <c r="K134" i="3"/>
  <c r="L134" i="3"/>
  <c r="H133" i="3"/>
  <c r="I133" i="3" s="1"/>
  <c r="G133" i="3"/>
  <c r="K133" i="3"/>
  <c r="L133" i="3" s="1"/>
  <c r="H95" i="3"/>
  <c r="I95" i="3" s="1"/>
  <c r="G95" i="3"/>
  <c r="K95" i="3" s="1"/>
  <c r="L95" i="3" s="1"/>
  <c r="H136" i="3"/>
  <c r="I136" i="3"/>
  <c r="G136" i="3"/>
  <c r="K136" i="3" s="1"/>
  <c r="L136" i="3" s="1"/>
  <c r="H139" i="3"/>
  <c r="I139" i="3" s="1"/>
  <c r="G139" i="3"/>
  <c r="K139" i="3"/>
  <c r="L139" i="3" s="1"/>
  <c r="H135" i="3"/>
  <c r="I135" i="3" s="1"/>
  <c r="G135" i="3"/>
  <c r="K135" i="3"/>
  <c r="L135" i="3" s="1"/>
  <c r="H132" i="3"/>
  <c r="I132" i="3"/>
  <c r="G132" i="3"/>
  <c r="K132" i="3" s="1"/>
  <c r="L132" i="3" s="1"/>
  <c r="H138" i="3"/>
  <c r="I138" i="3" s="1"/>
  <c r="M138" i="3" s="1"/>
  <c r="G138" i="3"/>
  <c r="K138" i="3" s="1"/>
  <c r="L138" i="3" s="1"/>
  <c r="H137" i="3"/>
  <c r="I137" i="3" s="1"/>
  <c r="G137" i="3"/>
  <c r="K137" i="3" s="1"/>
  <c r="L137" i="3" s="1"/>
  <c r="H124" i="3"/>
  <c r="I124" i="3" s="1"/>
  <c r="G124" i="3"/>
  <c r="K124" i="3" s="1"/>
  <c r="L124" i="3" s="1"/>
  <c r="H143" i="3"/>
  <c r="I143" i="3" s="1"/>
  <c r="G143" i="3"/>
  <c r="K143" i="3" s="1"/>
  <c r="L143" i="3" s="1"/>
  <c r="H144" i="3"/>
  <c r="I144" i="3"/>
  <c r="G144" i="3"/>
  <c r="K144" i="3" s="1"/>
  <c r="L144" i="3" s="1"/>
  <c r="H140" i="3"/>
  <c r="I140" i="3" s="1"/>
  <c r="G140" i="3"/>
  <c r="K140" i="3"/>
  <c r="L140" i="3" s="1"/>
  <c r="H145" i="3"/>
  <c r="I145" i="3" s="1"/>
  <c r="M145" i="3" s="1"/>
  <c r="G145" i="3"/>
  <c r="K145" i="3"/>
  <c r="L145" i="3" s="1"/>
  <c r="H142" i="3"/>
  <c r="I142" i="3"/>
  <c r="G142" i="3"/>
  <c r="K142" i="3" s="1"/>
  <c r="L142" i="3" s="1"/>
  <c r="H146" i="3"/>
  <c r="I146" i="3" s="1"/>
  <c r="G146" i="3"/>
  <c r="K146" i="3" s="1"/>
  <c r="L146" i="3" s="1"/>
  <c r="H149" i="3"/>
  <c r="I149" i="3" s="1"/>
  <c r="G149" i="3"/>
  <c r="K149" i="3" s="1"/>
  <c r="L149" i="3" s="1"/>
  <c r="H148" i="3"/>
  <c r="I148" i="3" s="1"/>
  <c r="G148" i="3"/>
  <c r="K148" i="3" s="1"/>
  <c r="L148" i="3" s="1"/>
  <c r="H150" i="3"/>
  <c r="I150" i="3" s="1"/>
  <c r="G150" i="3"/>
  <c r="K150" i="3" s="1"/>
  <c r="L150" i="3" s="1"/>
  <c r="H147" i="3"/>
  <c r="I147" i="3"/>
  <c r="G147" i="3"/>
  <c r="K147" i="3" s="1"/>
  <c r="L147" i="3" s="1"/>
  <c r="H141" i="3"/>
  <c r="I141" i="3" s="1"/>
  <c r="G141" i="3"/>
  <c r="K141" i="3"/>
  <c r="L141" i="3" s="1"/>
  <c r="H152" i="3"/>
  <c r="I152" i="3" s="1"/>
  <c r="G152" i="3"/>
  <c r="K152" i="3"/>
  <c r="L152" i="3" s="1"/>
  <c r="H151" i="3"/>
  <c r="I151" i="3"/>
  <c r="G151" i="3"/>
  <c r="K151" i="3" s="1"/>
  <c r="L151" i="3" s="1"/>
  <c r="H153" i="3"/>
  <c r="I153" i="3" s="1"/>
  <c r="M153" i="3" s="1"/>
  <c r="G153" i="3"/>
  <c r="K153" i="3" s="1"/>
  <c r="L153" i="3" s="1"/>
  <c r="H155" i="3"/>
  <c r="I155" i="3" s="1"/>
  <c r="G155" i="3"/>
  <c r="K155" i="3" s="1"/>
  <c r="L155" i="3" s="1"/>
  <c r="H154" i="3"/>
  <c r="I154" i="3" s="1"/>
  <c r="G154" i="3"/>
  <c r="K154" i="3" s="1"/>
  <c r="L154" i="3" s="1"/>
  <c r="H158" i="3"/>
  <c r="I158" i="3"/>
  <c r="G158" i="3"/>
  <c r="K158" i="3" s="1"/>
  <c r="L158" i="3" s="1"/>
  <c r="M158" i="3" s="1"/>
  <c r="H174" i="3"/>
  <c r="I174" i="3"/>
  <c r="G174" i="3"/>
  <c r="K174" i="3" s="1"/>
  <c r="L174" i="3" s="1"/>
  <c r="H156" i="3"/>
  <c r="I156" i="3" s="1"/>
  <c r="M156" i="3" s="1"/>
  <c r="G156" i="3"/>
  <c r="K156" i="3"/>
  <c r="L156" i="3"/>
  <c r="H196" i="3"/>
  <c r="I196" i="3" s="1"/>
  <c r="M196" i="3" s="1"/>
  <c r="G196" i="3"/>
  <c r="K196" i="3"/>
  <c r="L196" i="3" s="1"/>
  <c r="H161" i="3"/>
  <c r="I161" i="3"/>
  <c r="G161" i="3"/>
  <c r="K161" i="3" s="1"/>
  <c r="L161" i="3" s="1"/>
  <c r="H178" i="3"/>
  <c r="I178" i="3" s="1"/>
  <c r="G178" i="3"/>
  <c r="K178" i="3" s="1"/>
  <c r="L178" i="3" s="1"/>
  <c r="H176" i="3"/>
  <c r="I176" i="3" s="1"/>
  <c r="G176" i="3"/>
  <c r="K176" i="3" s="1"/>
  <c r="L176" i="3" s="1"/>
  <c r="H160" i="3"/>
  <c r="I160" i="3" s="1"/>
  <c r="G160" i="3"/>
  <c r="K160" i="3" s="1"/>
  <c r="L160" i="3" s="1"/>
  <c r="H175" i="3"/>
  <c r="I175" i="3" s="1"/>
  <c r="G175" i="3"/>
  <c r="K175" i="3" s="1"/>
  <c r="L175" i="3" s="1"/>
  <c r="H173" i="3"/>
  <c r="I173" i="3"/>
  <c r="G173" i="3"/>
  <c r="K173" i="3" s="1"/>
  <c r="L173" i="3" s="1"/>
  <c r="H200" i="3"/>
  <c r="I200" i="3" s="1"/>
  <c r="G200" i="3"/>
  <c r="K200" i="3"/>
  <c r="L200" i="3" s="1"/>
  <c r="H184" i="3"/>
  <c r="I184" i="3" s="1"/>
  <c r="G184" i="3"/>
  <c r="K184" i="3"/>
  <c r="L184" i="3" s="1"/>
  <c r="H197" i="3"/>
  <c r="I197" i="3"/>
  <c r="G197" i="3"/>
  <c r="K197" i="3" s="1"/>
  <c r="L197" i="3" s="1"/>
  <c r="H157" i="3"/>
  <c r="I157" i="3" s="1"/>
  <c r="M157" i="3" s="1"/>
  <c r="G157" i="3"/>
  <c r="K157" i="3" s="1"/>
  <c r="L157" i="3" s="1"/>
  <c r="H193" i="3"/>
  <c r="I193" i="3" s="1"/>
  <c r="G193" i="3"/>
  <c r="K193" i="3" s="1"/>
  <c r="L193" i="3" s="1"/>
  <c r="H199" i="3"/>
  <c r="I199" i="3" s="1"/>
  <c r="G199" i="3"/>
  <c r="K199" i="3" s="1"/>
  <c r="L199" i="3" s="1"/>
  <c r="H159" i="3"/>
  <c r="I159" i="3" s="1"/>
  <c r="G159" i="3"/>
  <c r="K159" i="3" s="1"/>
  <c r="L159" i="3" s="1"/>
  <c r="H167" i="3"/>
  <c r="I167" i="3"/>
  <c r="G167" i="3"/>
  <c r="K167" i="3" s="1"/>
  <c r="L167" i="3" s="1"/>
  <c r="H168" i="3"/>
  <c r="I168" i="3" s="1"/>
  <c r="G168" i="3"/>
  <c r="K168" i="3"/>
  <c r="L168" i="3" s="1"/>
  <c r="H177" i="3"/>
  <c r="I177" i="3" s="1"/>
  <c r="M177" i="3" s="1"/>
  <c r="G177" i="3"/>
  <c r="K177" i="3"/>
  <c r="L177" i="3" s="1"/>
  <c r="H162" i="3"/>
  <c r="I162" i="3"/>
  <c r="G162" i="3"/>
  <c r="K162" i="3" s="1"/>
  <c r="L162" i="3" s="1"/>
  <c r="H166" i="3"/>
  <c r="I166" i="3" s="1"/>
  <c r="G166" i="3"/>
  <c r="K166" i="3" s="1"/>
  <c r="L166" i="3" s="1"/>
  <c r="H169" i="3"/>
  <c r="I169" i="3" s="1"/>
  <c r="G169" i="3"/>
  <c r="K169" i="3" s="1"/>
  <c r="L169" i="3" s="1"/>
  <c r="H190" i="3"/>
  <c r="I190" i="3" s="1"/>
  <c r="G190" i="3"/>
  <c r="K190" i="3" s="1"/>
  <c r="L190" i="3" s="1"/>
  <c r="H170" i="3"/>
  <c r="I170" i="3" s="1"/>
  <c r="G170" i="3"/>
  <c r="K170" i="3" s="1"/>
  <c r="L170" i="3" s="1"/>
  <c r="H164" i="3"/>
  <c r="I164" i="3"/>
  <c r="G164" i="3"/>
  <c r="K164" i="3" s="1"/>
  <c r="L164" i="3" s="1"/>
  <c r="H180" i="3"/>
  <c r="I180" i="3" s="1"/>
  <c r="G180" i="3"/>
  <c r="K180" i="3"/>
  <c r="L180" i="3" s="1"/>
  <c r="H179" i="3"/>
  <c r="I179" i="3" s="1"/>
  <c r="G179" i="3"/>
  <c r="K179" i="3"/>
  <c r="L179" i="3" s="1"/>
  <c r="H165" i="3"/>
  <c r="I165" i="3"/>
  <c r="G165" i="3"/>
  <c r="K165" i="3" s="1"/>
  <c r="L165" i="3" s="1"/>
  <c r="H189" i="3"/>
  <c r="I189" i="3" s="1"/>
  <c r="M189" i="3" s="1"/>
  <c r="G189" i="3"/>
  <c r="K189" i="3" s="1"/>
  <c r="L189" i="3" s="1"/>
  <c r="H198" i="3"/>
  <c r="I198" i="3" s="1"/>
  <c r="G198" i="3"/>
  <c r="K198" i="3" s="1"/>
  <c r="L198" i="3" s="1"/>
  <c r="T16" i="3"/>
  <c r="H171" i="3"/>
  <c r="I171" i="3" s="1"/>
  <c r="G171" i="3"/>
  <c r="K171" i="3" s="1"/>
  <c r="L171" i="3" s="1"/>
  <c r="H201" i="3"/>
  <c r="I201" i="3"/>
  <c r="G201" i="3"/>
  <c r="K201" i="3" s="1"/>
  <c r="L201" i="3" s="1"/>
  <c r="H163" i="3"/>
  <c r="I163" i="3" s="1"/>
  <c r="G163" i="3"/>
  <c r="K163" i="3"/>
  <c r="L163" i="3" s="1"/>
  <c r="H183" i="3"/>
  <c r="I183" i="3" s="1"/>
  <c r="G183" i="3"/>
  <c r="K183" i="3"/>
  <c r="L183" i="3" s="1"/>
  <c r="H191" i="3"/>
  <c r="I191" i="3"/>
  <c r="G191" i="3"/>
  <c r="K191" i="3" s="1"/>
  <c r="L191" i="3" s="1"/>
  <c r="H182" i="3"/>
  <c r="I182" i="3" s="1"/>
  <c r="G182" i="3"/>
  <c r="K182" i="3" s="1"/>
  <c r="L182" i="3" s="1"/>
  <c r="H187" i="3"/>
  <c r="I187" i="3" s="1"/>
  <c r="G187" i="3"/>
  <c r="K187" i="3" s="1"/>
  <c r="L187" i="3" s="1"/>
  <c r="T9" i="3"/>
  <c r="H186" i="3"/>
  <c r="I186" i="3" s="1"/>
  <c r="G186" i="3"/>
  <c r="K186" i="3" s="1"/>
  <c r="L186" i="3" s="1"/>
  <c r="H181" i="3"/>
  <c r="I181" i="3"/>
  <c r="G181" i="3"/>
  <c r="K181" i="3" s="1"/>
  <c r="L181" i="3" s="1"/>
  <c r="H185" i="3"/>
  <c r="I185" i="3" s="1"/>
  <c r="G185" i="3"/>
  <c r="K185" i="3"/>
  <c r="L185" i="3" s="1"/>
  <c r="H188" i="3"/>
  <c r="I188" i="3" s="1"/>
  <c r="G188" i="3"/>
  <c r="K188" i="3"/>
  <c r="L188" i="3" s="1"/>
  <c r="H172" i="3"/>
  <c r="I172" i="3"/>
  <c r="G172" i="3"/>
  <c r="K172" i="3" s="1"/>
  <c r="L172" i="3" s="1"/>
  <c r="H192" i="3"/>
  <c r="I192" i="3" s="1"/>
  <c r="M192" i="3" s="1"/>
  <c r="G192" i="3"/>
  <c r="K192" i="3" s="1"/>
  <c r="L192" i="3" s="1"/>
  <c r="H194" i="3"/>
  <c r="I194" i="3" s="1"/>
  <c r="G194" i="3"/>
  <c r="K194" i="3" s="1"/>
  <c r="L194" i="3" s="1"/>
  <c r="H195" i="3"/>
  <c r="I195" i="3" s="1"/>
  <c r="G195" i="3"/>
  <c r="K195" i="3" s="1"/>
  <c r="L195" i="3" s="1"/>
  <c r="T9" i="1"/>
  <c r="G194" i="1"/>
  <c r="K194" i="1" s="1"/>
  <c r="L194" i="1" s="1"/>
  <c r="G195" i="1"/>
  <c r="K195" i="1" s="1"/>
  <c r="L195" i="1" s="1"/>
  <c r="G196" i="1"/>
  <c r="K196" i="1" s="1"/>
  <c r="L196" i="1" s="1"/>
  <c r="G192" i="1"/>
  <c r="K192" i="1" s="1"/>
  <c r="L192" i="1" s="1"/>
  <c r="G170" i="1"/>
  <c r="K170" i="1" s="1"/>
  <c r="L170" i="1" s="1"/>
  <c r="G193" i="1"/>
  <c r="K193" i="1" s="1"/>
  <c r="L193" i="1" s="1"/>
  <c r="G197" i="1"/>
  <c r="K197" i="1" s="1"/>
  <c r="L197" i="1" s="1"/>
  <c r="G175" i="1"/>
  <c r="K175" i="1" s="1"/>
  <c r="L175" i="1" s="1"/>
  <c r="G187" i="1"/>
  <c r="K187" i="1" s="1"/>
  <c r="L187" i="1" s="1"/>
  <c r="G171" i="1"/>
  <c r="K171" i="1" s="1"/>
  <c r="L171" i="1" s="1"/>
  <c r="G188" i="1"/>
  <c r="K188" i="1" s="1"/>
  <c r="L188" i="1" s="1"/>
  <c r="G169" i="1"/>
  <c r="K169" i="1" s="1"/>
  <c r="L169" i="1" s="1"/>
  <c r="G198" i="1"/>
  <c r="K198" i="1" s="1"/>
  <c r="L198" i="1" s="1"/>
  <c r="G199" i="1"/>
  <c r="K199" i="1" s="1"/>
  <c r="L199" i="1" s="1"/>
  <c r="G200" i="1"/>
  <c r="K200" i="1" s="1"/>
  <c r="L200" i="1" s="1"/>
  <c r="G201" i="1"/>
  <c r="K201" i="1" s="1"/>
  <c r="L201" i="1" s="1"/>
  <c r="G189" i="1"/>
  <c r="K189" i="1" s="1"/>
  <c r="L189" i="1" s="1"/>
  <c r="G190" i="1"/>
  <c r="K190" i="1" s="1"/>
  <c r="L190" i="1" s="1"/>
  <c r="G181" i="1"/>
  <c r="K181" i="1" s="1"/>
  <c r="L181" i="1" s="1"/>
  <c r="G183" i="1"/>
  <c r="K183" i="1" s="1"/>
  <c r="L183" i="1" s="1"/>
  <c r="G184" i="1"/>
  <c r="K184" i="1" s="1"/>
  <c r="L184" i="1" s="1"/>
  <c r="G182" i="1"/>
  <c r="K182" i="1" s="1"/>
  <c r="L182" i="1" s="1"/>
  <c r="G191" i="1"/>
  <c r="K191" i="1" s="1"/>
  <c r="L191" i="1" s="1"/>
  <c r="G172" i="1"/>
  <c r="K172" i="1" s="1"/>
  <c r="L172" i="1" s="1"/>
  <c r="G180" i="1"/>
  <c r="K180" i="1" s="1"/>
  <c r="L180" i="1" s="1"/>
  <c r="G174" i="1"/>
  <c r="K174" i="1" s="1"/>
  <c r="L174" i="1" s="1"/>
  <c r="G167" i="1"/>
  <c r="K167" i="1" s="1"/>
  <c r="L167" i="1" s="1"/>
  <c r="G186" i="1"/>
  <c r="K186" i="1" s="1"/>
  <c r="L186" i="1" s="1"/>
  <c r="G164" i="1"/>
  <c r="K164" i="1" s="1"/>
  <c r="L164" i="1" s="1"/>
  <c r="G177" i="1"/>
  <c r="K177" i="1" s="1"/>
  <c r="L177" i="1" s="1"/>
  <c r="G178" i="1"/>
  <c r="K178" i="1" s="1"/>
  <c r="L178" i="1" s="1"/>
  <c r="G163" i="1"/>
  <c r="K163" i="1" s="1"/>
  <c r="L163" i="1" s="1"/>
  <c r="G166" i="1"/>
  <c r="K166" i="1" s="1"/>
  <c r="L166" i="1" s="1"/>
  <c r="G168" i="1"/>
  <c r="K168" i="1" s="1"/>
  <c r="L168" i="1" s="1"/>
  <c r="G160" i="1"/>
  <c r="K160" i="1" s="1"/>
  <c r="L160" i="1" s="1"/>
  <c r="G161" i="1"/>
  <c r="K161" i="1" s="1"/>
  <c r="L161" i="1" s="1"/>
  <c r="G159" i="1"/>
  <c r="K159" i="1" s="1"/>
  <c r="L159" i="1" s="1"/>
  <c r="G162" i="1"/>
  <c r="K162" i="1" s="1"/>
  <c r="L162" i="1" s="1"/>
  <c r="G165" i="1"/>
  <c r="K165" i="1" s="1"/>
  <c r="L165" i="1" s="1"/>
  <c r="G173" i="1"/>
  <c r="K173" i="1" s="1"/>
  <c r="L173" i="1" s="1"/>
  <c r="G179" i="1"/>
  <c r="K179" i="1" s="1"/>
  <c r="L179" i="1" s="1"/>
  <c r="G185" i="1"/>
  <c r="K185" i="1" s="1"/>
  <c r="L185" i="1" s="1"/>
  <c r="G176" i="1"/>
  <c r="K176" i="1" s="1"/>
  <c r="L176" i="1" s="1"/>
  <c r="G155" i="1"/>
  <c r="K155" i="1" s="1"/>
  <c r="L155" i="1" s="1"/>
  <c r="G156" i="1"/>
  <c r="K156" i="1" s="1"/>
  <c r="L156" i="1" s="1"/>
  <c r="G157" i="1"/>
  <c r="K157" i="1" s="1"/>
  <c r="L157" i="1" s="1"/>
  <c r="G153" i="1"/>
  <c r="K153" i="1" s="1"/>
  <c r="L153" i="1" s="1"/>
  <c r="G154" i="1"/>
  <c r="K154" i="1" s="1"/>
  <c r="L154" i="1" s="1"/>
  <c r="G152" i="1"/>
  <c r="K152" i="1" s="1"/>
  <c r="L152" i="1" s="1"/>
  <c r="G145" i="1"/>
  <c r="K145" i="1" s="1"/>
  <c r="L145" i="1" s="1"/>
  <c r="G158" i="1"/>
  <c r="K158" i="1" s="1"/>
  <c r="L158" i="1" s="1"/>
  <c r="G133" i="1"/>
  <c r="K133" i="1" s="1"/>
  <c r="L133" i="1" s="1"/>
  <c r="G137" i="1"/>
  <c r="K137" i="1" s="1"/>
  <c r="L137" i="1" s="1"/>
  <c r="G148" i="1"/>
  <c r="K148" i="1" s="1"/>
  <c r="L148" i="1" s="1"/>
  <c r="G121" i="1"/>
  <c r="K121" i="1" s="1"/>
  <c r="L121" i="1" s="1"/>
  <c r="G150" i="1"/>
  <c r="K150" i="1" s="1"/>
  <c r="L150" i="1" s="1"/>
  <c r="G151" i="1"/>
  <c r="K151" i="1" s="1"/>
  <c r="L151" i="1" s="1"/>
  <c r="G144" i="1"/>
  <c r="K144" i="1" s="1"/>
  <c r="L144" i="1" s="1"/>
  <c r="G147" i="1"/>
  <c r="K147" i="1" s="1"/>
  <c r="L147" i="1" s="1"/>
  <c r="G142" i="1"/>
  <c r="K142" i="1" s="1"/>
  <c r="L142" i="1" s="1"/>
  <c r="G149" i="1"/>
  <c r="K149" i="1" s="1"/>
  <c r="L149" i="1" s="1"/>
  <c r="G85" i="1"/>
  <c r="K85" i="1" s="1"/>
  <c r="L85" i="1" s="1"/>
  <c r="G104" i="1"/>
  <c r="K104" i="1" s="1"/>
  <c r="L104" i="1" s="1"/>
  <c r="G136" i="1"/>
  <c r="K136" i="1" s="1"/>
  <c r="L136" i="1" s="1"/>
  <c r="G141" i="1"/>
  <c r="K141" i="1" s="1"/>
  <c r="L141" i="1" s="1"/>
  <c r="G143" i="1"/>
  <c r="K143" i="1" s="1"/>
  <c r="L143" i="1" s="1"/>
  <c r="G138" i="1"/>
  <c r="K138" i="1" s="1"/>
  <c r="L138" i="1" s="1"/>
  <c r="G135" i="1"/>
  <c r="K135" i="1" s="1"/>
  <c r="L135" i="1" s="1"/>
  <c r="G124" i="1"/>
  <c r="K124" i="1" s="1"/>
  <c r="L124" i="1" s="1"/>
  <c r="G132" i="1"/>
  <c r="K132" i="1" s="1"/>
  <c r="L132" i="1" s="1"/>
  <c r="G120" i="1"/>
  <c r="K120" i="1" s="1"/>
  <c r="L120" i="1" s="1"/>
  <c r="G94" i="1"/>
  <c r="K94" i="1" s="1"/>
  <c r="L94" i="1" s="1"/>
  <c r="G113" i="1"/>
  <c r="K113" i="1" s="1"/>
  <c r="L113" i="1" s="1"/>
  <c r="G134" i="1"/>
  <c r="K134" i="1" s="1"/>
  <c r="L134" i="1" s="1"/>
  <c r="G140" i="1"/>
  <c r="K140" i="1" s="1"/>
  <c r="L140" i="1" s="1"/>
  <c r="G139" i="1"/>
  <c r="K139" i="1" s="1"/>
  <c r="L139" i="1" s="1"/>
  <c r="G114" i="1"/>
  <c r="K114" i="1" s="1"/>
  <c r="L114" i="1" s="1"/>
  <c r="G125" i="1"/>
  <c r="K125" i="1" s="1"/>
  <c r="L125" i="1" s="1"/>
  <c r="G122" i="1"/>
  <c r="K122" i="1" s="1"/>
  <c r="L122" i="1" s="1"/>
  <c r="G72" i="1"/>
  <c r="K72" i="1" s="1"/>
  <c r="L72" i="1" s="1"/>
  <c r="G82" i="1"/>
  <c r="K82" i="1" s="1"/>
  <c r="L82" i="1" s="1"/>
  <c r="G105" i="1"/>
  <c r="K105" i="1" s="1"/>
  <c r="L105" i="1" s="1"/>
  <c r="G108" i="1"/>
  <c r="K108" i="1" s="1"/>
  <c r="L108" i="1" s="1"/>
  <c r="G119" i="1"/>
  <c r="K119" i="1" s="1"/>
  <c r="L119" i="1" s="1"/>
  <c r="G68" i="1"/>
  <c r="K68" i="1" s="1"/>
  <c r="L68" i="1" s="1"/>
  <c r="G126" i="1"/>
  <c r="K126" i="1" s="1"/>
  <c r="L126" i="1" s="1"/>
  <c r="G61" i="1"/>
  <c r="K61" i="1" s="1"/>
  <c r="L61" i="1" s="1"/>
  <c r="G117" i="1"/>
  <c r="K117" i="1" s="1"/>
  <c r="L117" i="1" s="1"/>
  <c r="G52" i="1"/>
  <c r="K52" i="1" s="1"/>
  <c r="L52" i="1" s="1"/>
  <c r="G128" i="1"/>
  <c r="K128" i="1" s="1"/>
  <c r="L128" i="1" s="1"/>
  <c r="G115" i="1"/>
  <c r="K115" i="1" s="1"/>
  <c r="L115" i="1" s="1"/>
  <c r="G67" i="1"/>
  <c r="K67" i="1" s="1"/>
  <c r="L67" i="1" s="1"/>
  <c r="G116" i="1"/>
  <c r="K116" i="1" s="1"/>
  <c r="L116" i="1" s="1"/>
  <c r="G146" i="1"/>
  <c r="K146" i="1" s="1"/>
  <c r="L146" i="1" s="1"/>
  <c r="G92" i="1"/>
  <c r="K92" i="1" s="1"/>
  <c r="L92" i="1" s="1"/>
  <c r="G101" i="1"/>
  <c r="K101" i="1" s="1"/>
  <c r="L101" i="1" s="1"/>
  <c r="G86" i="1"/>
  <c r="K86" i="1" s="1"/>
  <c r="L86" i="1" s="1"/>
  <c r="G131" i="1"/>
  <c r="K131" i="1" s="1"/>
  <c r="L131" i="1" s="1"/>
  <c r="G96" i="1"/>
  <c r="K96" i="1" s="1"/>
  <c r="L96" i="1" s="1"/>
  <c r="G97" i="1"/>
  <c r="K97" i="1" s="1"/>
  <c r="L97" i="1" s="1"/>
  <c r="G127" i="1"/>
  <c r="K127" i="1" s="1"/>
  <c r="L127" i="1" s="1"/>
  <c r="G100" i="1"/>
  <c r="K100" i="1" s="1"/>
  <c r="L100" i="1" s="1"/>
  <c r="G129" i="1"/>
  <c r="K129" i="1" s="1"/>
  <c r="L129" i="1" s="1"/>
  <c r="G107" i="1"/>
  <c r="K107" i="1" s="1"/>
  <c r="L107" i="1" s="1"/>
  <c r="G106" i="1"/>
  <c r="K106" i="1" s="1"/>
  <c r="L106" i="1" s="1"/>
  <c r="G89" i="1"/>
  <c r="K89" i="1" s="1"/>
  <c r="L89" i="1" s="1"/>
  <c r="G111" i="1"/>
  <c r="K111" i="1" s="1"/>
  <c r="L111" i="1" s="1"/>
  <c r="G53" i="1"/>
  <c r="K53" i="1" s="1"/>
  <c r="L53" i="1" s="1"/>
  <c r="G118" i="1"/>
  <c r="K118" i="1" s="1"/>
  <c r="L118" i="1" s="1"/>
  <c r="G112" i="1"/>
  <c r="K112" i="1" s="1"/>
  <c r="L112" i="1" s="1"/>
  <c r="G38" i="1"/>
  <c r="K38" i="1" s="1"/>
  <c r="L38" i="1" s="1"/>
  <c r="G56" i="1"/>
  <c r="K56" i="1" s="1"/>
  <c r="L56" i="1" s="1"/>
  <c r="G130" i="1"/>
  <c r="K130" i="1" s="1"/>
  <c r="L130" i="1" s="1"/>
  <c r="G109" i="1"/>
  <c r="K109" i="1" s="1"/>
  <c r="L109" i="1" s="1"/>
  <c r="G123" i="1"/>
  <c r="K123" i="1" s="1"/>
  <c r="L123" i="1" s="1"/>
  <c r="G80" i="1"/>
  <c r="K80" i="1" s="1"/>
  <c r="L80" i="1" s="1"/>
  <c r="G110" i="1"/>
  <c r="K110" i="1" s="1"/>
  <c r="L110" i="1" s="1"/>
  <c r="G95" i="1"/>
  <c r="K95" i="1" s="1"/>
  <c r="L95" i="1" s="1"/>
  <c r="G91" i="1"/>
  <c r="K91" i="1" s="1"/>
  <c r="L91" i="1" s="1"/>
  <c r="G70" i="1"/>
  <c r="K70" i="1" s="1"/>
  <c r="L70" i="1" s="1"/>
  <c r="G77" i="1"/>
  <c r="K77" i="1" s="1"/>
  <c r="L77" i="1" s="1"/>
  <c r="G90" i="1"/>
  <c r="K90" i="1" s="1"/>
  <c r="L90" i="1" s="1"/>
  <c r="G98" i="1"/>
  <c r="K98" i="1" s="1"/>
  <c r="L98" i="1" s="1"/>
  <c r="G84" i="1"/>
  <c r="K84" i="1" s="1"/>
  <c r="L84" i="1" s="1"/>
  <c r="G81" i="1"/>
  <c r="K81" i="1" s="1"/>
  <c r="L81" i="1" s="1"/>
  <c r="G99" i="1"/>
  <c r="K99" i="1" s="1"/>
  <c r="L99" i="1" s="1"/>
  <c r="G103" i="1"/>
  <c r="K103" i="1" s="1"/>
  <c r="L103" i="1" s="1"/>
  <c r="G88" i="1"/>
  <c r="K88" i="1" s="1"/>
  <c r="L88" i="1" s="1"/>
  <c r="G45" i="1"/>
  <c r="K45" i="1" s="1"/>
  <c r="L45" i="1" s="1"/>
  <c r="G65" i="1"/>
  <c r="K65" i="1" s="1"/>
  <c r="L65" i="1" s="1"/>
  <c r="G93" i="1"/>
  <c r="K93" i="1" s="1"/>
  <c r="L93" i="1" s="1"/>
  <c r="G57" i="1"/>
  <c r="K57" i="1" s="1"/>
  <c r="L57" i="1" s="1"/>
  <c r="G83" i="1"/>
  <c r="K83" i="1" s="1"/>
  <c r="L83" i="1" s="1"/>
  <c r="G79" i="1"/>
  <c r="K79" i="1" s="1"/>
  <c r="L79" i="1" s="1"/>
  <c r="G102" i="1"/>
  <c r="K102" i="1" s="1"/>
  <c r="L102" i="1" s="1"/>
  <c r="G22" i="1"/>
  <c r="K22" i="1" s="1"/>
  <c r="L22" i="1" s="1"/>
  <c r="G87" i="1"/>
  <c r="K87" i="1" s="1"/>
  <c r="L87" i="1" s="1"/>
  <c r="G78" i="1"/>
  <c r="K78" i="1" s="1"/>
  <c r="L78" i="1" s="1"/>
  <c r="G66" i="1"/>
  <c r="K66" i="1" s="1"/>
  <c r="L66" i="1" s="1"/>
  <c r="G19" i="1"/>
  <c r="K19" i="1" s="1"/>
  <c r="L19" i="1" s="1"/>
  <c r="G48" i="1"/>
  <c r="K48" i="1" s="1"/>
  <c r="L48" i="1" s="1"/>
  <c r="G12" i="1"/>
  <c r="K12" i="1" s="1"/>
  <c r="L12" i="1" s="1"/>
  <c r="G76" i="1"/>
  <c r="K76" i="1" s="1"/>
  <c r="L76" i="1" s="1"/>
  <c r="G13" i="1"/>
  <c r="K13" i="1" s="1"/>
  <c r="L13" i="1" s="1"/>
  <c r="G58" i="1"/>
  <c r="K58" i="1" s="1"/>
  <c r="L58" i="1" s="1"/>
  <c r="G55" i="1"/>
  <c r="K55" i="1" s="1"/>
  <c r="L55" i="1" s="1"/>
  <c r="G75" i="1"/>
  <c r="K75" i="1" s="1"/>
  <c r="L75" i="1" s="1"/>
  <c r="G29" i="1"/>
  <c r="K29" i="1" s="1"/>
  <c r="L29" i="1" s="1"/>
  <c r="G59" i="1"/>
  <c r="K59" i="1" s="1"/>
  <c r="L59" i="1" s="1"/>
  <c r="G69" i="1"/>
  <c r="K69" i="1" s="1"/>
  <c r="L69" i="1" s="1"/>
  <c r="G40" i="1"/>
  <c r="K40" i="1" s="1"/>
  <c r="L40" i="1" s="1"/>
  <c r="G51" i="1"/>
  <c r="K51" i="1" s="1"/>
  <c r="L51" i="1" s="1"/>
  <c r="G60" i="1"/>
  <c r="K60" i="1" s="1"/>
  <c r="L60" i="1" s="1"/>
  <c r="G63" i="1"/>
  <c r="K63" i="1" s="1"/>
  <c r="L63" i="1" s="1"/>
  <c r="G49" i="1"/>
  <c r="K49" i="1" s="1"/>
  <c r="L49" i="1" s="1"/>
  <c r="G37" i="1"/>
  <c r="K37" i="1" s="1"/>
  <c r="L37" i="1" s="1"/>
  <c r="G41" i="1"/>
  <c r="K41" i="1" s="1"/>
  <c r="L41" i="1" s="1"/>
  <c r="G74" i="1"/>
  <c r="K74" i="1" s="1"/>
  <c r="L74" i="1" s="1"/>
  <c r="G64" i="1"/>
  <c r="K64" i="1" s="1"/>
  <c r="L64" i="1" s="1"/>
  <c r="G50" i="1"/>
  <c r="K50" i="1" s="1"/>
  <c r="L50" i="1" s="1"/>
  <c r="G31" i="1"/>
  <c r="K31" i="1" s="1"/>
  <c r="L31" i="1" s="1"/>
  <c r="G62" i="1"/>
  <c r="K62" i="1" s="1"/>
  <c r="L62" i="1" s="1"/>
  <c r="G73" i="1"/>
  <c r="K73" i="1" s="1"/>
  <c r="L73" i="1" s="1"/>
  <c r="G43" i="1"/>
  <c r="K43" i="1" s="1"/>
  <c r="L43" i="1" s="1"/>
  <c r="G42" i="1"/>
  <c r="K42" i="1" s="1"/>
  <c r="L42" i="1" s="1"/>
  <c r="G36" i="1"/>
  <c r="K36" i="1" s="1"/>
  <c r="L36" i="1" s="1"/>
  <c r="G47" i="1"/>
  <c r="K47" i="1" s="1"/>
  <c r="L47" i="1" s="1"/>
  <c r="G71" i="1"/>
  <c r="K71" i="1" s="1"/>
  <c r="L71" i="1" s="1"/>
  <c r="G44" i="1"/>
  <c r="K44" i="1" s="1"/>
  <c r="L44" i="1" s="1"/>
  <c r="G32" i="1"/>
  <c r="K32" i="1" s="1"/>
  <c r="L32" i="1" s="1"/>
  <c r="G34" i="1"/>
  <c r="K34" i="1" s="1"/>
  <c r="L34" i="1" s="1"/>
  <c r="G30" i="1"/>
  <c r="K30" i="1" s="1"/>
  <c r="L30" i="1" s="1"/>
  <c r="G54" i="1"/>
  <c r="K54" i="1" s="1"/>
  <c r="L54" i="1" s="1"/>
  <c r="G25" i="1"/>
  <c r="K25" i="1" s="1"/>
  <c r="L25" i="1" s="1"/>
  <c r="G46" i="1"/>
  <c r="K46" i="1" s="1"/>
  <c r="L46" i="1" s="1"/>
  <c r="G39" i="1"/>
  <c r="K39" i="1" s="1"/>
  <c r="L39" i="1" s="1"/>
  <c r="G33" i="1"/>
  <c r="K33" i="1" s="1"/>
  <c r="L33" i="1" s="1"/>
  <c r="G35" i="1"/>
  <c r="K35" i="1" s="1"/>
  <c r="L35" i="1" s="1"/>
  <c r="G14" i="1"/>
  <c r="K14" i="1" s="1"/>
  <c r="L14" i="1" s="1"/>
  <c r="G17" i="1"/>
  <c r="K17" i="1" s="1"/>
  <c r="L17" i="1" s="1"/>
  <c r="G11" i="1"/>
  <c r="K11" i="1" s="1"/>
  <c r="L11" i="1" s="1"/>
  <c r="G27" i="1"/>
  <c r="K27" i="1" s="1"/>
  <c r="L27" i="1" s="1"/>
  <c r="G24" i="1"/>
  <c r="K24" i="1" s="1"/>
  <c r="L24" i="1" s="1"/>
  <c r="G15" i="1"/>
  <c r="K15" i="1" s="1"/>
  <c r="L15" i="1" s="1"/>
  <c r="G10" i="1"/>
  <c r="K10" i="1" s="1"/>
  <c r="L10" i="1" s="1"/>
  <c r="G18" i="1"/>
  <c r="K18" i="1" s="1"/>
  <c r="L18" i="1" s="1"/>
  <c r="G28" i="1"/>
  <c r="K28" i="1" s="1"/>
  <c r="L28" i="1" s="1"/>
  <c r="G21" i="1"/>
  <c r="K21" i="1" s="1"/>
  <c r="L21" i="1" s="1"/>
  <c r="G20" i="1"/>
  <c r="K20" i="1" s="1"/>
  <c r="L20" i="1" s="1"/>
  <c r="G26" i="1"/>
  <c r="K26" i="1" s="1"/>
  <c r="L26" i="1" s="1"/>
  <c r="G16" i="1"/>
  <c r="K16" i="1" s="1"/>
  <c r="L16" i="1" s="1"/>
  <c r="G23" i="1"/>
  <c r="K23" i="1" s="1"/>
  <c r="L23" i="1" s="1"/>
  <c r="G8" i="1"/>
  <c r="K8" i="1" s="1"/>
  <c r="L8" i="1" s="1"/>
  <c r="G7" i="1"/>
  <c r="K7" i="1" s="1"/>
  <c r="L7" i="1" s="1"/>
  <c r="G9" i="1"/>
  <c r="K9" i="1" s="1"/>
  <c r="L9" i="1" s="1"/>
  <c r="G6" i="1"/>
  <c r="K6" i="1" s="1"/>
  <c r="L6" i="1" s="1"/>
  <c r="G3" i="1"/>
  <c r="K3" i="1" s="1"/>
  <c r="L3" i="1" s="1"/>
  <c r="G4" i="1"/>
  <c r="K4" i="1" s="1"/>
  <c r="L4" i="1" s="1"/>
  <c r="K2" i="1"/>
  <c r="L2" i="1" s="1"/>
  <c r="G5" i="1"/>
  <c r="K5" i="1" s="1"/>
  <c r="L5" i="1" s="1"/>
  <c r="H194" i="1"/>
  <c r="I194" i="1"/>
  <c r="M194" i="1" s="1"/>
  <c r="F5" i="1"/>
  <c r="H10" i="1"/>
  <c r="I10" i="1" s="1"/>
  <c r="M10" i="1" s="1"/>
  <c r="H40" i="1"/>
  <c r="I40" i="1" s="1"/>
  <c r="M40" i="1" s="1"/>
  <c r="H37" i="1"/>
  <c r="I37" i="1"/>
  <c r="M37" i="1" s="1"/>
  <c r="H41" i="1"/>
  <c r="I41" i="1" s="1"/>
  <c r="M41" i="1" s="1"/>
  <c r="H74" i="1"/>
  <c r="I74" i="1" s="1"/>
  <c r="H115" i="1"/>
  <c r="I115" i="1" s="1"/>
  <c r="M115" i="1" s="1"/>
  <c r="H26" i="1"/>
  <c r="I26" i="1"/>
  <c r="H96" i="1"/>
  <c r="I96" i="1" s="1"/>
  <c r="M96" i="1" s="1"/>
  <c r="H169" i="1"/>
  <c r="I169" i="1" s="1"/>
  <c r="M169" i="1" s="1"/>
  <c r="H105" i="1"/>
  <c r="I105" i="1" s="1"/>
  <c r="M105" i="1" s="1"/>
  <c r="H198" i="1"/>
  <c r="I198" i="1"/>
  <c r="M198" i="1" s="1"/>
  <c r="H117" i="1"/>
  <c r="I117" i="1" s="1"/>
  <c r="M117" i="1" s="1"/>
  <c r="H187" i="1"/>
  <c r="I187" i="1" s="1"/>
  <c r="M187" i="1" s="1"/>
  <c r="H52" i="1"/>
  <c r="I52" i="1" s="1"/>
  <c r="M52" i="1" s="1"/>
  <c r="H18" i="1"/>
  <c r="I18" i="1"/>
  <c r="H120" i="1"/>
  <c r="I120" i="1" s="1"/>
  <c r="M120" i="1" s="1"/>
  <c r="H7" i="1"/>
  <c r="I7" i="1" s="1"/>
  <c r="H81" i="1"/>
  <c r="I81" i="1" s="1"/>
  <c r="M81" i="1" s="1"/>
  <c r="H51" i="1"/>
  <c r="I51" i="1"/>
  <c r="M51" i="1" s="1"/>
  <c r="H38" i="1"/>
  <c r="I38" i="1" s="1"/>
  <c r="M38" i="1" s="1"/>
  <c r="H57" i="1"/>
  <c r="I57" i="1" s="1"/>
  <c r="M57" i="1" s="1"/>
  <c r="H80" i="1"/>
  <c r="I80" i="1" s="1"/>
  <c r="M80" i="1" s="1"/>
  <c r="H8" i="1"/>
  <c r="I8" i="1"/>
  <c r="M8" i="1" s="1"/>
  <c r="H56" i="1"/>
  <c r="I56" i="1" s="1"/>
  <c r="M56" i="1" s="1"/>
  <c r="H149" i="1"/>
  <c r="I149" i="1" s="1"/>
  <c r="M149" i="1" s="1"/>
  <c r="H64" i="1"/>
  <c r="I64" i="1" s="1"/>
  <c r="M64" i="1" s="1"/>
  <c r="H199" i="1"/>
  <c r="I199" i="1"/>
  <c r="H75" i="1"/>
  <c r="I75" i="1" s="1"/>
  <c r="M75" i="1" s="1"/>
  <c r="H97" i="1"/>
  <c r="I97" i="1" s="1"/>
  <c r="M97" i="1" s="1"/>
  <c r="H167" i="1"/>
  <c r="I167" i="1" s="1"/>
  <c r="M167" i="1" s="1"/>
  <c r="H100" i="1"/>
  <c r="I100" i="1"/>
  <c r="H19" i="1"/>
  <c r="I19" i="1" s="1"/>
  <c r="M19" i="1" s="1"/>
  <c r="H159" i="1"/>
  <c r="I159" i="1" s="1"/>
  <c r="M159" i="1" s="1"/>
  <c r="H11" i="1"/>
  <c r="I11" i="1" s="1"/>
  <c r="M11" i="1" s="1"/>
  <c r="H107" i="1"/>
  <c r="I107" i="1"/>
  <c r="M107" i="1" s="1"/>
  <c r="H27" i="1"/>
  <c r="I27" i="1" s="1"/>
  <c r="H43" i="1"/>
  <c r="I43" i="1" s="1"/>
  <c r="M43" i="1" s="1"/>
  <c r="H88" i="1"/>
  <c r="I88" i="1" s="1"/>
  <c r="M88" i="1" s="1"/>
  <c r="H186" i="1"/>
  <c r="I186" i="1"/>
  <c r="M186" i="1" s="1"/>
  <c r="H108" i="1"/>
  <c r="I108" i="1" s="1"/>
  <c r="M108" i="1" s="1"/>
  <c r="H101" i="1"/>
  <c r="I101" i="1" s="1"/>
  <c r="M101" i="1" s="1"/>
  <c r="H67" i="1"/>
  <c r="I67" i="1" s="1"/>
  <c r="M67" i="1" s="1"/>
  <c r="H48" i="1"/>
  <c r="I48" i="1"/>
  <c r="M48" i="1" s="1"/>
  <c r="H136" i="1"/>
  <c r="I136" i="1" s="1"/>
  <c r="M136" i="1" s="1"/>
  <c r="H16" i="1"/>
  <c r="I16" i="1" s="1"/>
  <c r="H89" i="1"/>
  <c r="I89" i="1" s="1"/>
  <c r="H83" i="1"/>
  <c r="I83" i="1"/>
  <c r="M83" i="1" s="1"/>
  <c r="H77" i="1"/>
  <c r="I77" i="1" s="1"/>
  <c r="M77" i="1" s="1"/>
  <c r="H42" i="1"/>
  <c r="I42" i="1" s="1"/>
  <c r="M42" i="1" s="1"/>
  <c r="H50" i="1"/>
  <c r="I50" i="1" s="1"/>
  <c r="M50" i="1" s="1"/>
  <c r="H196" i="1"/>
  <c r="I196" i="1"/>
  <c r="M196" i="1" s="1"/>
  <c r="H91" i="1"/>
  <c r="I91" i="1" s="1"/>
  <c r="M91" i="1" s="1"/>
  <c r="H3" i="1"/>
  <c r="I3" i="1" s="1"/>
  <c r="M3" i="1" s="1"/>
  <c r="H24" i="1"/>
  <c r="I24" i="1" s="1"/>
  <c r="M24" i="1" s="1"/>
  <c r="H141" i="1"/>
  <c r="I141" i="1"/>
  <c r="M141" i="1" s="1"/>
  <c r="H181" i="1"/>
  <c r="I181" i="1" s="1"/>
  <c r="M181" i="1" s="1"/>
  <c r="H162" i="1"/>
  <c r="I162" i="1" s="1"/>
  <c r="H200" i="1"/>
  <c r="I200" i="1" s="1"/>
  <c r="M200" i="1" s="1"/>
  <c r="H183" i="1"/>
  <c r="I183" i="1"/>
  <c r="M183" i="1" s="1"/>
  <c r="H76" i="1"/>
  <c r="I76" i="1" s="1"/>
  <c r="M76" i="1" s="1"/>
  <c r="H94" i="1"/>
  <c r="I94" i="1" s="1"/>
  <c r="M94" i="1" s="1"/>
  <c r="H121" i="1"/>
  <c r="I121" i="1" s="1"/>
  <c r="M121" i="1" s="1"/>
  <c r="H164" i="1"/>
  <c r="I164" i="1"/>
  <c r="M164" i="1" s="1"/>
  <c r="H201" i="1"/>
  <c r="I201" i="1" s="1"/>
  <c r="M201" i="1" s="1"/>
  <c r="H192" i="1"/>
  <c r="I192" i="1" s="1"/>
  <c r="M192" i="1" s="1"/>
  <c r="H31" i="1"/>
  <c r="I31" i="1" s="1"/>
  <c r="M31" i="1" s="1"/>
  <c r="H128" i="1"/>
  <c r="I128" i="1" s="1"/>
  <c r="M128" i="1" s="1"/>
  <c r="H28" i="1"/>
  <c r="I28" i="1" s="1"/>
  <c r="M28" i="1" s="1"/>
  <c r="H119" i="1"/>
  <c r="I119" i="1" s="1"/>
  <c r="M119" i="1" s="1"/>
  <c r="H165" i="1"/>
  <c r="I165" i="1" s="1"/>
  <c r="M165" i="1" s="1"/>
  <c r="H135" i="1"/>
  <c r="I135" i="1" s="1"/>
  <c r="M135" i="1" s="1"/>
  <c r="H148" i="1"/>
  <c r="I148" i="1" s="1"/>
  <c r="H197" i="1"/>
  <c r="I197" i="1" s="1"/>
  <c r="M197" i="1" s="1"/>
  <c r="H184" i="1"/>
  <c r="I184" i="1" s="1"/>
  <c r="M184" i="1" s="1"/>
  <c r="H95" i="1"/>
  <c r="I95" i="1" s="1"/>
  <c r="M95" i="1" s="1"/>
  <c r="H13" i="1"/>
  <c r="I13" i="1" s="1"/>
  <c r="M13" i="1" s="1"/>
  <c r="H111" i="1"/>
  <c r="I111" i="1" s="1"/>
  <c r="M111" i="1" s="1"/>
  <c r="H47" i="1"/>
  <c r="I47" i="1" s="1"/>
  <c r="M47" i="1" s="1"/>
  <c r="H147" i="1"/>
  <c r="I147" i="1" s="1"/>
  <c r="M147" i="1" s="1"/>
  <c r="H189" i="1"/>
  <c r="I189" i="1" s="1"/>
  <c r="M189" i="1" s="1"/>
  <c r="H125" i="1"/>
  <c r="I125" i="1" s="1"/>
  <c r="H23" i="1"/>
  <c r="I23" i="1" s="1"/>
  <c r="M23" i="1" s="1"/>
  <c r="H143" i="1"/>
  <c r="I143" i="1" s="1"/>
  <c r="M143" i="1" s="1"/>
  <c r="H79" i="1"/>
  <c r="I79" i="1" s="1"/>
  <c r="H99" i="1"/>
  <c r="I99" i="1" s="1"/>
  <c r="H168" i="1"/>
  <c r="I168" i="1" s="1"/>
  <c r="H25" i="1"/>
  <c r="I25" i="1" s="1"/>
  <c r="M25" i="1" s="1"/>
  <c r="H2" i="1"/>
  <c r="I2" i="1" s="1"/>
  <c r="H116" i="1"/>
  <c r="I116" i="1" s="1"/>
  <c r="M116" i="1" s="1"/>
  <c r="H175" i="1"/>
  <c r="I175" i="1" s="1"/>
  <c r="M175" i="1" s="1"/>
  <c r="H146" i="1"/>
  <c r="I146" i="1" s="1"/>
  <c r="M146" i="1" s="1"/>
  <c r="H172" i="1"/>
  <c r="I172" i="1" s="1"/>
  <c r="M172" i="1" s="1"/>
  <c r="H14" i="1"/>
  <c r="I14" i="1" s="1"/>
  <c r="M14" i="1" s="1"/>
  <c r="H45" i="1"/>
  <c r="I45" i="1" s="1"/>
  <c r="M45" i="1" s="1"/>
  <c r="H155" i="1"/>
  <c r="I155" i="1" s="1"/>
  <c r="M155" i="1" s="1"/>
  <c r="H12" i="1"/>
  <c r="I12" i="1" s="1"/>
  <c r="H30" i="1"/>
  <c r="I30" i="1" s="1"/>
  <c r="M30" i="1" s="1"/>
  <c r="H154" i="1"/>
  <c r="I154" i="1" s="1"/>
  <c r="M154" i="1" s="1"/>
  <c r="H90" i="1"/>
  <c r="I90" i="1" s="1"/>
  <c r="M90" i="1" s="1"/>
  <c r="H53" i="1"/>
  <c r="I53" i="1" s="1"/>
  <c r="M53" i="1" s="1"/>
  <c r="H180" i="1"/>
  <c r="I180" i="1" s="1"/>
  <c r="M180" i="1" s="1"/>
  <c r="H171" i="1"/>
  <c r="I171" i="1" s="1"/>
  <c r="H109" i="1"/>
  <c r="I109" i="1" s="1"/>
  <c r="M109" i="1" s="1"/>
  <c r="H58" i="1"/>
  <c r="I58" i="1" s="1"/>
  <c r="M58" i="1" s="1"/>
  <c r="H151" i="1"/>
  <c r="I151" i="1" s="1"/>
  <c r="M151" i="1" s="1"/>
  <c r="H138" i="1"/>
  <c r="I138" i="1" s="1"/>
  <c r="M138" i="1" s="1"/>
  <c r="H46" i="1"/>
  <c r="I46" i="1" s="1"/>
  <c r="M46" i="1" s="1"/>
  <c r="H160" i="1"/>
  <c r="I160" i="1" s="1"/>
  <c r="M160" i="1" s="1"/>
  <c r="H15" i="1"/>
  <c r="I15" i="1" s="1"/>
  <c r="M15" i="1" s="1"/>
  <c r="H4" i="1"/>
  <c r="I4" i="1" s="1"/>
  <c r="H145" i="1"/>
  <c r="I145" i="1" s="1"/>
  <c r="M145" i="1" s="1"/>
  <c r="H68" i="1"/>
  <c r="I68" i="1" s="1"/>
  <c r="M68" i="1" s="1"/>
  <c r="H134" i="1"/>
  <c r="I134" i="1" s="1"/>
  <c r="H150" i="1"/>
  <c r="I150" i="1" s="1"/>
  <c r="M150" i="1" s="1"/>
  <c r="H35" i="1"/>
  <c r="I35" i="1" s="1"/>
  <c r="M35" i="1" s="1"/>
  <c r="H32" i="1"/>
  <c r="I32" i="1" s="1"/>
  <c r="H29" i="1"/>
  <c r="I29" i="1" s="1"/>
  <c r="M29" i="1" s="1"/>
  <c r="H102" i="1"/>
  <c r="I102" i="1" s="1"/>
  <c r="M102" i="1" s="1"/>
  <c r="H9" i="1"/>
  <c r="I9" i="1" s="1"/>
  <c r="M9" i="1" s="1"/>
  <c r="H173" i="1"/>
  <c r="I173" i="1" s="1"/>
  <c r="M173" i="1" s="1"/>
  <c r="H33" i="1"/>
  <c r="I33" i="1" s="1"/>
  <c r="M33" i="1" s="1"/>
  <c r="H21" i="1"/>
  <c r="I21" i="1" s="1"/>
  <c r="M21" i="1" s="1"/>
  <c r="H126" i="1"/>
  <c r="I126" i="1" s="1"/>
  <c r="M126" i="1" s="1"/>
  <c r="H60" i="1"/>
  <c r="I60" i="1" s="1"/>
  <c r="M60" i="1" s="1"/>
  <c r="H130" i="1"/>
  <c r="I130" i="1" s="1"/>
  <c r="M130" i="1" s="1"/>
  <c r="H36" i="1"/>
  <c r="I36" i="1" s="1"/>
  <c r="H140" i="1"/>
  <c r="I140" i="1" s="1"/>
  <c r="M140" i="1" s="1"/>
  <c r="H98" i="1"/>
  <c r="I98" i="1" s="1"/>
  <c r="M98" i="1" s="1"/>
  <c r="H170" i="1"/>
  <c r="I170" i="1" s="1"/>
  <c r="M170" i="1" s="1"/>
  <c r="H177" i="1"/>
  <c r="I177" i="1" s="1"/>
  <c r="H85" i="1"/>
  <c r="I85" i="1" s="1"/>
  <c r="M85" i="1" s="1"/>
  <c r="H129" i="1"/>
  <c r="I129" i="1" s="1"/>
  <c r="M129" i="1" s="1"/>
  <c r="H71" i="1"/>
  <c r="I71" i="1" s="1"/>
  <c r="M71" i="1" s="1"/>
  <c r="H142" i="1"/>
  <c r="I142" i="1" s="1"/>
  <c r="M142" i="1" s="1"/>
  <c r="H153" i="1"/>
  <c r="I153" i="1" s="1"/>
  <c r="M153" i="1" s="1"/>
  <c r="H156" i="1"/>
  <c r="I156" i="1" s="1"/>
  <c r="M156" i="1" s="1"/>
  <c r="H161" i="1"/>
  <c r="I161" i="1" s="1"/>
  <c r="M161" i="1" s="1"/>
  <c r="H124" i="1"/>
  <c r="I124" i="1" s="1"/>
  <c r="M124" i="1" s="1"/>
  <c r="H152" i="1"/>
  <c r="I152" i="1" s="1"/>
  <c r="M152" i="1" s="1"/>
  <c r="H127" i="1"/>
  <c r="I127" i="1" s="1"/>
  <c r="M127" i="1" s="1"/>
  <c r="H84" i="1"/>
  <c r="I84" i="1" s="1"/>
  <c r="M84" i="1" s="1"/>
  <c r="H118" i="1"/>
  <c r="I118" i="1" s="1"/>
  <c r="M118" i="1" s="1"/>
  <c r="H70" i="1"/>
  <c r="I70" i="1" s="1"/>
  <c r="M70" i="1" s="1"/>
  <c r="H178" i="1"/>
  <c r="I178" i="1" s="1"/>
  <c r="M178" i="1" s="1"/>
  <c r="H6" i="1"/>
  <c r="I6" i="1" s="1"/>
  <c r="M6" i="1" s="1"/>
  <c r="H182" i="1"/>
  <c r="I182" i="1" s="1"/>
  <c r="H157" i="1"/>
  <c r="I157" i="1" s="1"/>
  <c r="M157" i="1" s="1"/>
  <c r="H17" i="1"/>
  <c r="I17" i="1" s="1"/>
  <c r="M17" i="1" s="1"/>
  <c r="H62" i="1"/>
  <c r="I62" i="1" s="1"/>
  <c r="H110" i="1"/>
  <c r="I110" i="1" s="1"/>
  <c r="M110" i="1" s="1"/>
  <c r="H106" i="1"/>
  <c r="I106" i="1" s="1"/>
  <c r="M106" i="1" s="1"/>
  <c r="H86" i="1"/>
  <c r="I86" i="1" s="1"/>
  <c r="M86" i="1" s="1"/>
  <c r="H190" i="1"/>
  <c r="I190" i="1" s="1"/>
  <c r="H112" i="1"/>
  <c r="I112" i="1" s="1"/>
  <c r="H44" i="1"/>
  <c r="I44" i="1" s="1"/>
  <c r="M44" i="1" s="1"/>
  <c r="H179" i="1"/>
  <c r="I179" i="1" s="1"/>
  <c r="M179" i="1" s="1"/>
  <c r="H59" i="1"/>
  <c r="I59" i="1" s="1"/>
  <c r="M59" i="1" s="1"/>
  <c r="H188" i="1"/>
  <c r="I188" i="1" s="1"/>
  <c r="M188" i="1" s="1"/>
  <c r="H22" i="1"/>
  <c r="I22" i="1" s="1"/>
  <c r="M22" i="1" s="1"/>
  <c r="H63" i="1"/>
  <c r="I63" i="1" s="1"/>
  <c r="H122" i="1"/>
  <c r="I122" i="1" s="1"/>
  <c r="M122" i="1" s="1"/>
  <c r="H72" i="1"/>
  <c r="I72" i="1" s="1"/>
  <c r="M72" i="1" s="1"/>
  <c r="H92" i="1"/>
  <c r="I92" i="1" s="1"/>
  <c r="M92" i="1" s="1"/>
  <c r="H163" i="1"/>
  <c r="I163" i="1" s="1"/>
  <c r="M163" i="1" s="1"/>
  <c r="H191" i="1"/>
  <c r="I191" i="1" s="1"/>
  <c r="M191" i="1" s="1"/>
  <c r="H158" i="1"/>
  <c r="I158" i="1" s="1"/>
  <c r="M158" i="1" s="1"/>
  <c r="H123" i="1"/>
  <c r="I123" i="1" s="1"/>
  <c r="M123" i="1" s="1"/>
  <c r="H185" i="1"/>
  <c r="I185" i="1" s="1"/>
  <c r="H20" i="1"/>
  <c r="I20" i="1" s="1"/>
  <c r="M20" i="1" s="1"/>
  <c r="H54" i="1"/>
  <c r="I54" i="1" s="1"/>
  <c r="M54" i="1" s="1"/>
  <c r="H55" i="1"/>
  <c r="I55" i="1" s="1"/>
  <c r="M55" i="1" s="1"/>
  <c r="H65" i="1"/>
  <c r="I65" i="1" s="1"/>
  <c r="H104" i="1"/>
  <c r="I104" i="1" s="1"/>
  <c r="M104" i="1" s="1"/>
  <c r="H87" i="1"/>
  <c r="I87" i="1" s="1"/>
  <c r="M87" i="1" s="1"/>
  <c r="H78" i="1"/>
  <c r="I78" i="1" s="1"/>
  <c r="M78" i="1" s="1"/>
  <c r="H133" i="1"/>
  <c r="I133" i="1" s="1"/>
  <c r="M133" i="1" s="1"/>
  <c r="H132" i="1"/>
  <c r="I132" i="1" s="1"/>
  <c r="H103" i="1"/>
  <c r="I103" i="1" s="1"/>
  <c r="M103" i="1" s="1"/>
  <c r="H66" i="1"/>
  <c r="I66" i="1" s="1"/>
  <c r="M66" i="1" s="1"/>
  <c r="H139" i="1"/>
  <c r="I139" i="1" s="1"/>
  <c r="M139" i="1" s="1"/>
  <c r="H193" i="1"/>
  <c r="I193" i="1" s="1"/>
  <c r="H93" i="1"/>
  <c r="I93" i="1" s="1"/>
  <c r="M93" i="1" s="1"/>
  <c r="H195" i="1"/>
  <c r="I195" i="1" s="1"/>
  <c r="M195" i="1" s="1"/>
  <c r="H114" i="1"/>
  <c r="I114" i="1" s="1"/>
  <c r="M114" i="1" s="1"/>
  <c r="H49" i="1"/>
  <c r="I49" i="1" s="1"/>
  <c r="M49" i="1" s="1"/>
  <c r="H73" i="1"/>
  <c r="I73" i="1" s="1"/>
  <c r="M73" i="1" s="1"/>
  <c r="H176" i="1"/>
  <c r="I176" i="1" s="1"/>
  <c r="M176" i="1" s="1"/>
  <c r="H34" i="1"/>
  <c r="I34" i="1" s="1"/>
  <c r="M34" i="1" s="1"/>
  <c r="H144" i="1"/>
  <c r="I144" i="1" s="1"/>
  <c r="H166" i="1"/>
  <c r="I166" i="1" s="1"/>
  <c r="M166" i="1" s="1"/>
  <c r="H61" i="1"/>
  <c r="I61" i="1" s="1"/>
  <c r="M61" i="1" s="1"/>
  <c r="H174" i="1"/>
  <c r="I174" i="1" s="1"/>
  <c r="H131" i="1"/>
  <c r="I131" i="1" s="1"/>
  <c r="H137" i="1"/>
  <c r="I137" i="1" s="1"/>
  <c r="M137" i="1" s="1"/>
  <c r="H39" i="1"/>
  <c r="I39" i="1" s="1"/>
  <c r="M39" i="1" s="1"/>
  <c r="H69" i="1"/>
  <c r="I69" i="1" s="1"/>
  <c r="H82" i="1"/>
  <c r="I82" i="1" s="1"/>
  <c r="M82" i="1" s="1"/>
  <c r="H113" i="1"/>
  <c r="I113" i="1" s="1"/>
  <c r="M113" i="1" s="1"/>
  <c r="T17" i="6"/>
  <c r="M5" i="5"/>
  <c r="M6" i="5"/>
  <c r="M2" i="5"/>
  <c r="I18" i="5"/>
  <c r="M18" i="5" s="1"/>
  <c r="M3" i="5"/>
  <c r="M30" i="5"/>
  <c r="M38" i="5"/>
  <c r="M4" i="5"/>
  <c r="M33" i="5"/>
  <c r="M45" i="5"/>
  <c r="M26" i="5"/>
  <c r="M36" i="5"/>
  <c r="M39" i="5"/>
  <c r="M41" i="5"/>
  <c r="T17" i="5"/>
  <c r="M51" i="5"/>
  <c r="M56" i="5"/>
  <c r="M23" i="5"/>
  <c r="M37" i="5"/>
  <c r="M34" i="5"/>
  <c r="M7" i="5"/>
  <c r="M46" i="5"/>
  <c r="M21" i="5"/>
  <c r="M12" i="5"/>
  <c r="M69" i="5"/>
  <c r="M27" i="5"/>
  <c r="M44" i="5"/>
  <c r="M48" i="5"/>
  <c r="M43" i="5"/>
  <c r="M61" i="5"/>
  <c r="M10" i="5"/>
  <c r="M50" i="5"/>
  <c r="M54" i="5"/>
  <c r="M80" i="5"/>
  <c r="M32" i="5"/>
  <c r="M20" i="5"/>
  <c r="M8" i="5"/>
  <c r="M82" i="5"/>
  <c r="M53" i="5"/>
  <c r="M89" i="5"/>
  <c r="M29" i="5"/>
  <c r="M76" i="5"/>
  <c r="M66" i="5"/>
  <c r="M64" i="5"/>
  <c r="M67" i="5"/>
  <c r="M49" i="5"/>
  <c r="M91" i="5"/>
  <c r="M63" i="5"/>
  <c r="M72" i="5"/>
  <c r="M35" i="5"/>
  <c r="M70" i="5"/>
  <c r="M15" i="5"/>
  <c r="M22" i="5"/>
  <c r="M14" i="5"/>
  <c r="M92" i="5"/>
  <c r="M94" i="5"/>
  <c r="M96" i="5"/>
  <c r="M98" i="5"/>
  <c r="M100" i="5"/>
  <c r="M102" i="5"/>
  <c r="M104" i="5"/>
  <c r="M106" i="5"/>
  <c r="M108" i="5"/>
  <c r="M110" i="5"/>
  <c r="M112" i="5"/>
  <c r="M114" i="5"/>
  <c r="M115" i="5"/>
  <c r="M116" i="5"/>
  <c r="M118" i="5"/>
  <c r="M119" i="5"/>
  <c r="M120" i="5"/>
  <c r="M122" i="5"/>
  <c r="M123" i="5"/>
  <c r="M124" i="5"/>
  <c r="M126" i="5"/>
  <c r="M127" i="5"/>
  <c r="M128" i="5"/>
  <c r="M130" i="5"/>
  <c r="M131" i="5"/>
  <c r="M132" i="5"/>
  <c r="M134" i="5"/>
  <c r="M135" i="5"/>
  <c r="M136" i="5"/>
  <c r="M138" i="5"/>
  <c r="M139" i="5"/>
  <c r="M140" i="5"/>
  <c r="M142" i="5"/>
  <c r="M143" i="5"/>
  <c r="M144" i="5"/>
  <c r="M146" i="5"/>
  <c r="M147" i="5"/>
  <c r="M148" i="5"/>
  <c r="M150" i="5"/>
  <c r="M151" i="5"/>
  <c r="M152" i="5"/>
  <c r="M154" i="5"/>
  <c r="M155" i="5"/>
  <c r="M156" i="5"/>
  <c r="M158" i="5"/>
  <c r="M159" i="5"/>
  <c r="M160" i="5"/>
  <c r="M162" i="5"/>
  <c r="M163" i="5"/>
  <c r="M164" i="5"/>
  <c r="M166" i="5"/>
  <c r="M167" i="5"/>
  <c r="M168" i="5"/>
  <c r="M170" i="5"/>
  <c r="M171" i="5"/>
  <c r="M172" i="5"/>
  <c r="M174" i="5"/>
  <c r="M175" i="5"/>
  <c r="M176" i="5"/>
  <c r="M178" i="5"/>
  <c r="M179" i="5"/>
  <c r="M180" i="5"/>
  <c r="M182" i="5"/>
  <c r="M183" i="5"/>
  <c r="M184" i="5"/>
  <c r="M186" i="5"/>
  <c r="M187" i="5"/>
  <c r="M188" i="5"/>
  <c r="M190" i="5"/>
  <c r="M191" i="5"/>
  <c r="M192" i="5"/>
  <c r="M193" i="5"/>
  <c r="M194" i="5"/>
  <c r="M196" i="5"/>
  <c r="M197" i="5"/>
  <c r="M198" i="5"/>
  <c r="M200" i="5"/>
  <c r="M201" i="5"/>
  <c r="T17" i="3"/>
  <c r="T17" i="4"/>
  <c r="M140" i="4"/>
  <c r="M163" i="4"/>
  <c r="M164" i="4"/>
  <c r="M176" i="4"/>
  <c r="M186" i="4"/>
  <c r="M197" i="4"/>
  <c r="M173" i="4"/>
  <c r="M195" i="4"/>
  <c r="M188" i="4"/>
  <c r="M150" i="4"/>
  <c r="M129" i="4"/>
  <c r="M105" i="4"/>
  <c r="M142" i="4"/>
  <c r="M131" i="4"/>
  <c r="M149" i="4"/>
  <c r="M121" i="4"/>
  <c r="M144" i="4"/>
  <c r="M145" i="4"/>
  <c r="M136" i="4"/>
  <c r="M112" i="4"/>
  <c r="M118" i="4"/>
  <c r="M139" i="4"/>
  <c r="M108" i="4"/>
  <c r="M125" i="4"/>
  <c r="M85" i="4"/>
  <c r="M120" i="4"/>
  <c r="M63" i="4"/>
  <c r="M59" i="4"/>
  <c r="M43" i="4"/>
  <c r="M111" i="4"/>
  <c r="M126" i="4"/>
  <c r="M87" i="4"/>
  <c r="M65" i="4"/>
  <c r="M104" i="4"/>
  <c r="M130" i="4"/>
  <c r="M127" i="4"/>
  <c r="M99" i="4"/>
  <c r="M106" i="4"/>
  <c r="M119" i="4"/>
  <c r="M38" i="4"/>
  <c r="M137" i="4"/>
  <c r="M133" i="4"/>
  <c r="M115" i="4"/>
  <c r="M103" i="4"/>
  <c r="M78" i="4"/>
  <c r="M94" i="4"/>
  <c r="M82" i="4"/>
  <c r="M110" i="4"/>
  <c r="M40" i="4"/>
  <c r="M90" i="4"/>
  <c r="M86" i="4"/>
  <c r="M135" i="4"/>
  <c r="M96" i="4"/>
  <c r="M64" i="4"/>
  <c r="M46" i="4"/>
  <c r="M70" i="4"/>
  <c r="M56" i="4"/>
  <c r="M80" i="4"/>
  <c r="M62" i="4"/>
  <c r="M42" i="4"/>
  <c r="M77" i="4"/>
  <c r="M52" i="4"/>
  <c r="M41" i="4"/>
  <c r="M66" i="4"/>
  <c r="M31" i="4"/>
  <c r="M68" i="4"/>
  <c r="M50" i="4"/>
  <c r="M51" i="4"/>
  <c r="M44" i="4"/>
  <c r="M32" i="4"/>
  <c r="M58" i="4"/>
  <c r="M48" i="4"/>
  <c r="M33" i="4"/>
  <c r="M15" i="4"/>
  <c r="M8" i="4"/>
  <c r="M27" i="4"/>
  <c r="M14" i="4"/>
  <c r="M28" i="4"/>
  <c r="M24" i="4"/>
  <c r="M16" i="4"/>
  <c r="M10" i="4"/>
  <c r="M12" i="4"/>
  <c r="M9" i="4"/>
  <c r="M6" i="4"/>
  <c r="I2" i="4"/>
  <c r="M2" i="4"/>
  <c r="M52" i="3"/>
  <c r="M44" i="3"/>
  <c r="M38" i="3"/>
  <c r="M21" i="3"/>
  <c r="I5" i="3"/>
  <c r="M112" i="1" l="1"/>
  <c r="M182" i="1"/>
  <c r="M177" i="1"/>
  <c r="M36" i="1"/>
  <c r="M4" i="1"/>
  <c r="M171" i="1"/>
  <c r="M168" i="1"/>
  <c r="M27" i="1"/>
  <c r="M194" i="3"/>
  <c r="M172" i="3"/>
  <c r="M187" i="3"/>
  <c r="M191" i="3"/>
  <c r="M198" i="3"/>
  <c r="M165" i="3"/>
  <c r="M193" i="3"/>
  <c r="M197" i="3"/>
  <c r="M155" i="3"/>
  <c r="M151" i="3"/>
  <c r="M137" i="3"/>
  <c r="M132" i="3"/>
  <c r="M130" i="3"/>
  <c r="M102" i="3"/>
  <c r="M128" i="3"/>
  <c r="M87" i="3"/>
  <c r="M106" i="3"/>
  <c r="M96" i="3"/>
  <c r="M100" i="3"/>
  <c r="M12" i="3"/>
  <c r="M13" i="3"/>
  <c r="M46" i="3"/>
  <c r="M30" i="3"/>
  <c r="M34" i="3"/>
  <c r="M65" i="3"/>
  <c r="M53" i="3"/>
  <c r="M19" i="3"/>
  <c r="M27" i="3"/>
  <c r="M2" i="3"/>
  <c r="M201" i="4"/>
  <c r="M194" i="4"/>
  <c r="M169" i="4"/>
  <c r="M153" i="4"/>
  <c r="M36" i="4"/>
  <c r="M4" i="4"/>
  <c r="M132" i="1"/>
  <c r="M190" i="1"/>
  <c r="M62" i="1"/>
  <c r="M134" i="1"/>
  <c r="M99" i="1"/>
  <c r="M125" i="1"/>
  <c r="M89" i="1"/>
  <c r="M185" i="3"/>
  <c r="M186" i="3"/>
  <c r="M182" i="3"/>
  <c r="M163" i="3"/>
  <c r="M171" i="3"/>
  <c r="M180" i="3"/>
  <c r="M170" i="3"/>
  <c r="M200" i="3"/>
  <c r="M175" i="3"/>
  <c r="M141" i="3"/>
  <c r="M150" i="3"/>
  <c r="M139" i="3"/>
  <c r="M127" i="3"/>
  <c r="M104" i="3"/>
  <c r="M79" i="3"/>
  <c r="M70" i="3"/>
  <c r="M126" i="3"/>
  <c r="M94" i="3"/>
  <c r="M74" i="3"/>
  <c r="M68" i="3"/>
  <c r="M54" i="3"/>
  <c r="M32" i="3"/>
  <c r="M61" i="3"/>
  <c r="M22" i="3"/>
  <c r="M198" i="4"/>
  <c r="M148" i="4"/>
  <c r="M157" i="4"/>
  <c r="M182" i="4"/>
  <c r="M196" i="4"/>
  <c r="M159" i="4"/>
  <c r="M131" i="1"/>
  <c r="M144" i="1"/>
  <c r="M193" i="1"/>
  <c r="M69" i="1"/>
  <c r="M174" i="1"/>
  <c r="M65" i="1"/>
  <c r="M185" i="1"/>
  <c r="M63" i="1"/>
  <c r="M32" i="1"/>
  <c r="M12" i="1"/>
  <c r="M79" i="1"/>
  <c r="M148" i="1"/>
  <c r="M201" i="3"/>
  <c r="M190" i="3"/>
  <c r="M169" i="3"/>
  <c r="M162" i="3"/>
  <c r="M160" i="3"/>
  <c r="M176" i="3"/>
  <c r="M161" i="3"/>
  <c r="M148" i="3"/>
  <c r="M149" i="3"/>
  <c r="M142" i="3"/>
  <c r="M133" i="3"/>
  <c r="M134" i="3"/>
  <c r="M117" i="3"/>
  <c r="M116" i="3"/>
  <c r="M110" i="3"/>
  <c r="M83" i="3"/>
  <c r="M99" i="3"/>
  <c r="M89" i="3"/>
  <c r="M55" i="3"/>
  <c r="M63" i="3"/>
  <c r="M75" i="3"/>
  <c r="M76" i="3"/>
  <c r="M58" i="3"/>
  <c r="M29" i="3"/>
  <c r="M60" i="3"/>
  <c r="M50" i="3"/>
  <c r="M28" i="3"/>
  <c r="M23" i="3"/>
  <c r="M8" i="3"/>
  <c r="M178" i="4"/>
  <c r="M167" i="4"/>
  <c r="M168" i="3"/>
  <c r="M159" i="3"/>
  <c r="M140" i="3"/>
  <c r="M143" i="3"/>
  <c r="M56" i="3"/>
  <c r="M67" i="3"/>
  <c r="M170" i="4"/>
  <c r="M172" i="4"/>
  <c r="M147" i="4"/>
  <c r="M69" i="4"/>
  <c r="M91" i="4"/>
  <c r="M53" i="4"/>
  <c r="M81" i="4"/>
  <c r="M7" i="4"/>
  <c r="M55" i="4"/>
  <c r="M45" i="4"/>
  <c r="M25" i="4"/>
  <c r="M30" i="6"/>
  <c r="M46" i="6"/>
  <c r="M62" i="6"/>
  <c r="M158" i="4"/>
  <c r="M92" i="4"/>
  <c r="M122" i="4"/>
  <c r="M128" i="4"/>
  <c r="M71" i="4"/>
  <c r="M166" i="4"/>
  <c r="M47" i="4"/>
  <c r="M107" i="4"/>
  <c r="M95" i="4"/>
  <c r="M101" i="4"/>
  <c r="M17" i="4"/>
  <c r="M11" i="4"/>
  <c r="M37" i="4"/>
  <c r="M72" i="4"/>
  <c r="M29" i="4"/>
  <c r="M22" i="4"/>
  <c r="M21" i="4"/>
  <c r="M23" i="4"/>
  <c r="M2" i="6"/>
  <c r="M24" i="6"/>
  <c r="M40" i="6"/>
  <c r="M56" i="6"/>
  <c r="M95" i="3"/>
  <c r="M125" i="3"/>
  <c r="M111" i="3"/>
  <c r="M98" i="3"/>
  <c r="M114" i="3"/>
  <c r="M92" i="3"/>
  <c r="M88" i="3"/>
  <c r="M69" i="3"/>
  <c r="M93" i="3"/>
  <c r="M35" i="3"/>
  <c r="M66" i="3"/>
  <c r="M33" i="3"/>
  <c r="M18" i="3"/>
  <c r="M6" i="3"/>
  <c r="M171" i="4"/>
  <c r="M146" i="4"/>
  <c r="M184" i="4"/>
  <c r="M155" i="4"/>
  <c r="M189" i="4"/>
  <c r="M168" i="4"/>
  <c r="M97" i="4"/>
  <c r="M123" i="4"/>
  <c r="M93" i="4"/>
  <c r="M79" i="4"/>
  <c r="M26" i="4"/>
  <c r="M49" i="4"/>
  <c r="M60" i="4"/>
  <c r="M13" i="4"/>
  <c r="M11" i="6"/>
  <c r="M18" i="6"/>
  <c r="M22" i="6"/>
  <c r="M28" i="6"/>
  <c r="M38" i="6"/>
  <c r="M44" i="6"/>
  <c r="M54" i="6"/>
  <c r="M60" i="6"/>
  <c r="M6" i="6"/>
  <c r="M17" i="6"/>
  <c r="M27" i="6"/>
  <c r="M35" i="6"/>
  <c r="M43" i="6"/>
  <c r="M51" i="6"/>
  <c r="M59" i="6"/>
  <c r="M72" i="6"/>
  <c r="M77" i="6"/>
  <c r="M84" i="6"/>
  <c r="M93" i="6"/>
  <c r="M116" i="6"/>
  <c r="M139" i="6"/>
  <c r="M148" i="6"/>
  <c r="M164" i="6"/>
  <c r="M67" i="6"/>
  <c r="M71" i="6"/>
  <c r="M79" i="6"/>
  <c r="M88" i="6"/>
  <c r="M104" i="6"/>
  <c r="M120" i="6"/>
  <c r="M129" i="6"/>
  <c r="M13" i="6"/>
  <c r="M15" i="6"/>
  <c r="M23" i="6"/>
  <c r="M31" i="6"/>
  <c r="M39" i="6"/>
  <c r="M47" i="6"/>
  <c r="M55" i="6"/>
  <c r="M63" i="6"/>
  <c r="M124" i="6"/>
  <c r="M125" i="5"/>
  <c r="M129" i="5"/>
  <c r="M133" i="5"/>
  <c r="M137" i="5"/>
  <c r="M141" i="5"/>
  <c r="M145" i="5"/>
  <c r="M149" i="5"/>
  <c r="M153" i="5"/>
  <c r="M157" i="5"/>
  <c r="M161" i="5"/>
  <c r="M165" i="5"/>
  <c r="M169" i="5"/>
  <c r="M173" i="5"/>
  <c r="M177" i="5"/>
  <c r="M181" i="5"/>
  <c r="M185" i="5"/>
  <c r="M189" i="5"/>
  <c r="M195" i="5"/>
  <c r="M199" i="5"/>
  <c r="M3" i="6"/>
  <c r="M14" i="6"/>
  <c r="M26" i="6"/>
  <c r="M34" i="6"/>
  <c r="M42" i="6"/>
  <c r="M50" i="6"/>
  <c r="M58" i="6"/>
  <c r="M96" i="6"/>
  <c r="M112" i="6"/>
  <c r="M128" i="6"/>
  <c r="M137" i="6"/>
  <c r="M144" i="6"/>
  <c r="M160" i="6"/>
  <c r="M147" i="6"/>
  <c r="M155" i="6"/>
  <c r="M163" i="6"/>
  <c r="M114" i="7"/>
  <c r="M102" i="7"/>
  <c r="M90" i="7"/>
  <c r="M78" i="7"/>
  <c r="M70" i="6"/>
  <c r="M78" i="6"/>
  <c r="M86" i="6"/>
  <c r="M94" i="6"/>
  <c r="M102" i="6"/>
  <c r="M110" i="6"/>
  <c r="M118" i="6"/>
  <c r="M126" i="6"/>
  <c r="M134" i="6"/>
  <c r="M142" i="6"/>
  <c r="M150" i="6"/>
  <c r="M158" i="6"/>
  <c r="M166" i="6"/>
  <c r="M174" i="6"/>
  <c r="M176" i="6"/>
  <c r="M196" i="6"/>
  <c r="M143" i="6"/>
  <c r="M151" i="6"/>
  <c r="M159" i="6"/>
  <c r="M167" i="6"/>
  <c r="M188" i="6"/>
  <c r="M194" i="6"/>
  <c r="M74" i="6"/>
  <c r="M82" i="6"/>
  <c r="M90" i="6"/>
  <c r="M98" i="6"/>
  <c r="M106" i="6"/>
  <c r="M114" i="6"/>
  <c r="M122" i="6"/>
  <c r="M130" i="6"/>
  <c r="M138" i="6"/>
  <c r="M146" i="6"/>
  <c r="M154" i="6"/>
  <c r="M162" i="6"/>
  <c r="M170" i="6"/>
  <c r="M173" i="7"/>
  <c r="M29" i="7"/>
  <c r="M45" i="7"/>
  <c r="M61" i="7"/>
  <c r="M82" i="7"/>
  <c r="M167" i="7"/>
  <c r="M177" i="7"/>
  <c r="M193" i="7"/>
  <c r="M199" i="7"/>
  <c r="M38" i="7"/>
  <c r="M42" i="7"/>
  <c r="M54" i="7"/>
  <c r="M58" i="7"/>
  <c r="M70" i="7"/>
  <c r="M75" i="7"/>
  <c r="M95" i="7"/>
  <c r="M107" i="7"/>
  <c r="M127" i="7"/>
  <c r="M139" i="7"/>
  <c r="M159" i="7"/>
  <c r="M165" i="7"/>
  <c r="M178" i="7"/>
  <c r="M194" i="7"/>
  <c r="M197" i="7"/>
  <c r="M192" i="7"/>
  <c r="M164" i="7"/>
  <c r="M10" i="9"/>
  <c r="L4" i="9"/>
  <c r="M182" i="6"/>
  <c r="M190" i="6"/>
  <c r="M198" i="6"/>
  <c r="M13" i="7"/>
  <c r="M15" i="7"/>
  <c r="M21" i="7"/>
  <c r="M23" i="7"/>
  <c r="M25" i="7"/>
  <c r="M27" i="7"/>
  <c r="M37" i="7"/>
  <c r="M43" i="7"/>
  <c r="M53" i="7"/>
  <c r="M59" i="7"/>
  <c r="M69" i="7"/>
  <c r="M97" i="7"/>
  <c r="M129" i="7"/>
  <c r="M161" i="7"/>
  <c r="L9" i="9"/>
  <c r="M61" i="9"/>
  <c r="M109" i="9"/>
  <c r="E11" i="14"/>
  <c r="F11" i="14"/>
  <c r="J11" i="14"/>
  <c r="H11" i="14"/>
  <c r="E9" i="14"/>
  <c r="F9" i="14"/>
  <c r="J9" i="14"/>
  <c r="H9" i="14"/>
  <c r="E8" i="14"/>
  <c r="C9" i="14"/>
  <c r="C10" i="14" s="1"/>
  <c r="C11" i="14" s="1"/>
  <c r="C12" i="14" s="1"/>
  <c r="C13" i="14" s="1"/>
  <c r="E10" i="14"/>
  <c r="E12" i="14"/>
  <c r="H6" i="14"/>
  <c r="E6" i="14"/>
  <c r="F6" i="14"/>
  <c r="J6" i="14"/>
  <c r="M4" i="9"/>
  <c r="M38" i="9"/>
  <c r="M77" i="9"/>
  <c r="M85" i="9"/>
  <c r="L7" i="9"/>
  <c r="L3" i="9"/>
  <c r="M3" i="9" s="1"/>
  <c r="L22" i="9"/>
  <c r="L17" i="9"/>
  <c r="M17" i="9" s="1"/>
  <c r="M34" i="9"/>
  <c r="M58" i="9"/>
  <c r="M64" i="9"/>
  <c r="M82" i="9"/>
  <c r="M112" i="9"/>
  <c r="M116" i="9"/>
  <c r="M120" i="9"/>
  <c r="M124" i="9"/>
  <c r="M128" i="9"/>
  <c r="M132" i="9"/>
  <c r="M155" i="9"/>
  <c r="M174" i="9"/>
  <c r="M180" i="9"/>
  <c r="M192" i="9"/>
  <c r="M201" i="9"/>
  <c r="I5" i="1"/>
  <c r="M5" i="1" s="1"/>
  <c r="D13" i="14"/>
  <c r="J12" i="14"/>
  <c r="J10" i="14"/>
  <c r="J8" i="14"/>
  <c r="D7" i="14"/>
  <c r="D5" i="14"/>
  <c r="E4" i="14"/>
  <c r="M27" i="9"/>
  <c r="M49" i="9"/>
  <c r="M97" i="9"/>
  <c r="M101" i="9"/>
  <c r="M137" i="9"/>
  <c r="M200" i="9"/>
  <c r="M96" i="9"/>
  <c r="M142" i="9"/>
  <c r="M156" i="9"/>
  <c r="M171" i="9"/>
  <c r="M176" i="9"/>
  <c r="M191" i="9"/>
  <c r="M199" i="9"/>
  <c r="M65" i="9"/>
  <c r="M89" i="9"/>
  <c r="M113" i="9"/>
  <c r="M117" i="9"/>
  <c r="M121" i="9"/>
  <c r="M125" i="9"/>
  <c r="M129" i="9"/>
  <c r="M133" i="9"/>
  <c r="M139" i="9"/>
  <c r="M140" i="9"/>
  <c r="M141" i="9"/>
  <c r="M147" i="9"/>
  <c r="M148" i="9"/>
  <c r="M164" i="9"/>
  <c r="M175" i="9"/>
  <c r="M189" i="9"/>
  <c r="M190" i="9"/>
  <c r="M2" i="1"/>
  <c r="M181" i="3"/>
  <c r="M164" i="3"/>
  <c r="M173" i="3"/>
  <c r="M147" i="3"/>
  <c r="M136" i="3"/>
  <c r="M119" i="3"/>
  <c r="M108" i="3"/>
  <c r="M48" i="3"/>
  <c r="M77" i="3"/>
  <c r="M26" i="3"/>
  <c r="M20" i="3"/>
  <c r="M191" i="4"/>
  <c r="T15" i="5"/>
  <c r="T18" i="5" s="1"/>
  <c r="M195" i="3"/>
  <c r="M166" i="3"/>
  <c r="M199" i="3"/>
  <c r="M178" i="3"/>
  <c r="M154" i="3"/>
  <c r="M146" i="3"/>
  <c r="M124" i="3"/>
  <c r="M103" i="3"/>
  <c r="M115" i="3"/>
  <c r="M120" i="3"/>
  <c r="M131" i="3"/>
  <c r="M118" i="3"/>
  <c r="M107" i="3"/>
  <c r="M82" i="3"/>
  <c r="M51" i="3"/>
  <c r="M59" i="3"/>
  <c r="M45" i="3"/>
  <c r="M62" i="3"/>
  <c r="M25" i="3"/>
  <c r="M24" i="3"/>
  <c r="M151" i="4"/>
  <c r="M192" i="4"/>
  <c r="M156" i="4"/>
  <c r="M5" i="3"/>
  <c r="M188" i="3"/>
  <c r="M183" i="3"/>
  <c r="M179" i="3"/>
  <c r="M167" i="3"/>
  <c r="M184" i="3"/>
  <c r="M174" i="3"/>
  <c r="M152" i="3"/>
  <c r="M144" i="3"/>
  <c r="M135" i="3"/>
  <c r="M121" i="3"/>
  <c r="M122" i="3"/>
  <c r="M105" i="3"/>
  <c r="M109" i="3"/>
  <c r="M84" i="3"/>
  <c r="M73" i="3"/>
  <c r="M78" i="3"/>
  <c r="M97" i="3"/>
  <c r="M86" i="3"/>
  <c r="M40" i="3"/>
  <c r="M39" i="3"/>
  <c r="M3" i="3"/>
  <c r="M199" i="4"/>
  <c r="M181" i="4"/>
  <c r="M165" i="4"/>
  <c r="M162" i="1"/>
  <c r="M16" i="1"/>
  <c r="M100" i="1"/>
  <c r="M199" i="1"/>
  <c r="M7" i="1"/>
  <c r="M18" i="1"/>
  <c r="M26" i="1"/>
  <c r="M74" i="1"/>
  <c r="M73" i="7"/>
  <c r="M80" i="7"/>
  <c r="M83" i="7"/>
  <c r="M89" i="7"/>
  <c r="M96" i="7"/>
  <c r="M99" i="7"/>
  <c r="M105" i="7"/>
  <c r="M112" i="7"/>
  <c r="M115" i="7"/>
  <c r="M121" i="7"/>
  <c r="M128" i="7"/>
  <c r="M131" i="7"/>
  <c r="M137" i="7"/>
  <c r="M144" i="7"/>
  <c r="M147" i="7"/>
  <c r="M153" i="7"/>
  <c r="M160" i="7"/>
  <c r="M163" i="7"/>
  <c r="M184" i="7"/>
  <c r="E65" i="10"/>
  <c r="T17" i="9"/>
  <c r="M3" i="7"/>
  <c r="M5" i="7"/>
  <c r="M7" i="7"/>
  <c r="M9" i="7"/>
  <c r="M76" i="7"/>
  <c r="M92" i="7"/>
  <c r="M108" i="7"/>
  <c r="M124" i="7"/>
  <c r="M140" i="7"/>
  <c r="M156" i="7"/>
  <c r="M200" i="7"/>
  <c r="K28" i="7"/>
  <c r="L28" i="7" s="1"/>
  <c r="M28" i="7" s="1"/>
  <c r="T16" i="7"/>
  <c r="M70" i="9"/>
  <c r="T19" i="7"/>
  <c r="M32" i="7"/>
  <c r="M40" i="7"/>
  <c r="M48" i="7"/>
  <c r="M56" i="7"/>
  <c r="M64" i="7"/>
  <c r="M72" i="7"/>
  <c r="M88" i="7"/>
  <c r="M104" i="7"/>
  <c r="M120" i="7"/>
  <c r="M136" i="7"/>
  <c r="M152" i="7"/>
  <c r="D62" i="10"/>
  <c r="L25" i="9"/>
  <c r="M171" i="6"/>
  <c r="M175" i="6"/>
  <c r="M179" i="6"/>
  <c r="M183" i="6"/>
  <c r="M187" i="6"/>
  <c r="M191" i="6"/>
  <c r="M195" i="6"/>
  <c r="M199" i="6"/>
  <c r="M2" i="7"/>
  <c r="M4" i="7"/>
  <c r="M6" i="7"/>
  <c r="M8" i="7"/>
  <c r="M20" i="7"/>
  <c r="M22" i="7"/>
  <c r="M24" i="7"/>
  <c r="M26" i="7"/>
  <c r="M31" i="7"/>
  <c r="M39" i="7"/>
  <c r="M47" i="7"/>
  <c r="M55" i="7"/>
  <c r="M63" i="7"/>
  <c r="M71" i="7"/>
  <c r="M77" i="7"/>
  <c r="M84" i="7"/>
  <c r="M87" i="7"/>
  <c r="M93" i="7"/>
  <c r="M100" i="7"/>
  <c r="M103" i="7"/>
  <c r="M109" i="7"/>
  <c r="M116" i="7"/>
  <c r="M119" i="7"/>
  <c r="M125" i="7"/>
  <c r="M132" i="7"/>
  <c r="M135" i="7"/>
  <c r="M141" i="7"/>
  <c r="M148" i="7"/>
  <c r="M151" i="7"/>
  <c r="M157" i="7"/>
  <c r="M168" i="7"/>
  <c r="D48" i="10"/>
  <c r="L11" i="9"/>
  <c r="M9" i="9"/>
  <c r="D42" i="10"/>
  <c r="L5" i="9"/>
  <c r="M5" i="9" s="1"/>
  <c r="M166" i="7"/>
  <c r="M171" i="7"/>
  <c r="M182" i="7"/>
  <c r="M187" i="7"/>
  <c r="M198" i="7"/>
  <c r="D52" i="10"/>
  <c r="L15" i="9"/>
  <c r="M15" i="9" s="1"/>
  <c r="D63" i="10"/>
  <c r="L26" i="9"/>
  <c r="M26" i="9" s="1"/>
  <c r="D43" i="10"/>
  <c r="L6" i="9"/>
  <c r="M6" i="9" s="1"/>
  <c r="D61" i="10"/>
  <c r="L24" i="9"/>
  <c r="M25" i="9"/>
  <c r="M31" i="9"/>
  <c r="M56" i="9"/>
  <c r="M63" i="9"/>
  <c r="M88" i="9"/>
  <c r="M95" i="9"/>
  <c r="M110" i="9"/>
  <c r="M115" i="9"/>
  <c r="M119" i="9"/>
  <c r="M123" i="9"/>
  <c r="M127" i="9"/>
  <c r="M131" i="9"/>
  <c r="M170" i="7"/>
  <c r="M175" i="7"/>
  <c r="M186" i="7"/>
  <c r="M191" i="7"/>
  <c r="M16" i="9"/>
  <c r="M13" i="9"/>
  <c r="M7" i="9"/>
  <c r="M24" i="9"/>
  <c r="D57" i="10"/>
  <c r="L20" i="9"/>
  <c r="M48" i="9"/>
  <c r="M55" i="9"/>
  <c r="M80" i="9"/>
  <c r="M87" i="9"/>
  <c r="M99" i="9"/>
  <c r="M100" i="9"/>
  <c r="M174" i="7"/>
  <c r="M179" i="7"/>
  <c r="M190" i="7"/>
  <c r="M195" i="7"/>
  <c r="M21" i="9"/>
  <c r="D39" i="10"/>
  <c r="L2" i="9"/>
  <c r="M2" i="9" s="1"/>
  <c r="M23" i="9"/>
  <c r="M40" i="9"/>
  <c r="M47" i="9"/>
  <c r="M72" i="9"/>
  <c r="M79" i="9"/>
  <c r="M108" i="9"/>
  <c r="M11" i="9"/>
  <c r="D45" i="10"/>
  <c r="L8" i="9"/>
  <c r="M8" i="9" s="1"/>
  <c r="M22" i="9"/>
  <c r="M20" i="9"/>
  <c r="M28" i="9"/>
  <c r="M35" i="9"/>
  <c r="M36" i="9"/>
  <c r="M43" i="9"/>
  <c r="M44" i="9"/>
  <c r="M51" i="9"/>
  <c r="M52" i="9"/>
  <c r="M59" i="9"/>
  <c r="M60" i="9"/>
  <c r="M67" i="9"/>
  <c r="M68" i="9"/>
  <c r="M75" i="9"/>
  <c r="M76" i="9"/>
  <c r="M83" i="9"/>
  <c r="M84" i="9"/>
  <c r="M91" i="9"/>
  <c r="M92" i="9"/>
  <c r="M98" i="9"/>
  <c r="M103" i="9"/>
  <c r="M104" i="9"/>
  <c r="M114" i="9"/>
  <c r="M118" i="9"/>
  <c r="M122" i="9"/>
  <c r="M126" i="9"/>
  <c r="M130" i="9"/>
  <c r="M135" i="9"/>
  <c r="M143" i="9"/>
  <c r="M153" i="9"/>
  <c r="M154" i="9"/>
  <c r="M161" i="9"/>
  <c r="M162" i="9"/>
  <c r="M169" i="9"/>
  <c r="M170" i="9"/>
  <c r="M185" i="9"/>
  <c r="M186" i="9"/>
  <c r="M197" i="9"/>
  <c r="M198" i="9"/>
  <c r="L18" i="9"/>
  <c r="M18" i="9" s="1"/>
  <c r="L19" i="9"/>
  <c r="M19" i="9" s="1"/>
  <c r="M149" i="9"/>
  <c r="M181" i="9"/>
  <c r="M182" i="9"/>
  <c r="M193" i="9"/>
  <c r="M194" i="9"/>
  <c r="M157" i="9"/>
  <c r="M158" i="9"/>
  <c r="M165" i="9"/>
  <c r="M166" i="9"/>
  <c r="M177" i="9"/>
  <c r="M178" i="9"/>
  <c r="T17" i="1"/>
  <c r="T15" i="3" l="1"/>
  <c r="T18" i="3" s="1"/>
  <c r="G8" i="14"/>
  <c r="K8" i="14"/>
  <c r="I8" i="14"/>
  <c r="I9" i="14"/>
  <c r="G9" i="14"/>
  <c r="K9" i="14"/>
  <c r="I11" i="14"/>
  <c r="G11" i="14"/>
  <c r="K11" i="14"/>
  <c r="T15" i="4"/>
  <c r="T18" i="4" s="1"/>
  <c r="G4" i="14"/>
  <c r="K4" i="14"/>
  <c r="I4" i="14"/>
  <c r="G12" i="14"/>
  <c r="K12" i="14"/>
  <c r="I12" i="14"/>
  <c r="T15" i="6"/>
  <c r="T18" i="6" s="1"/>
  <c r="E5" i="14"/>
  <c r="F5" i="14"/>
  <c r="J5" i="14"/>
  <c r="H5" i="14"/>
  <c r="G10" i="14"/>
  <c r="K10" i="14"/>
  <c r="I10" i="14"/>
  <c r="T15" i="1"/>
  <c r="T18" i="1" s="1"/>
  <c r="T20" i="1" s="1"/>
  <c r="E7" i="14"/>
  <c r="F7" i="14"/>
  <c r="J7" i="14"/>
  <c r="H7" i="14"/>
  <c r="E13" i="14"/>
  <c r="F13" i="14"/>
  <c r="J13" i="14"/>
  <c r="H13" i="14"/>
  <c r="G6" i="14"/>
  <c r="K6" i="14"/>
  <c r="I6" i="14"/>
  <c r="T20" i="4"/>
  <c r="T21" i="4"/>
  <c r="T15" i="9"/>
  <c r="T18" i="9" s="1"/>
  <c r="T20" i="6"/>
  <c r="T21" i="6"/>
  <c r="V16" i="6"/>
  <c r="T21" i="3"/>
  <c r="T20" i="3"/>
  <c r="V16" i="3"/>
  <c r="T20" i="5"/>
  <c r="T21" i="5"/>
  <c r="V16" i="5"/>
  <c r="T15" i="7"/>
  <c r="T18" i="7" s="1"/>
  <c r="E63" i="12"/>
  <c r="T17" i="7"/>
  <c r="T21" i="1" l="1"/>
  <c r="I13" i="14"/>
  <c r="G13" i="14"/>
  <c r="K13" i="14"/>
  <c r="I7" i="14"/>
  <c r="G7" i="14"/>
  <c r="K7" i="14"/>
  <c r="I5" i="14"/>
  <c r="G5" i="14"/>
  <c r="K5" i="14"/>
  <c r="D67" i="14"/>
  <c r="E67" i="14" s="1"/>
  <c r="H18" i="14"/>
  <c r="E54" i="14" s="1"/>
  <c r="F54" i="14" s="1" a="1"/>
  <c r="F54" i="14" s="1"/>
  <c r="D68" i="14"/>
  <c r="E68" i="14" s="1"/>
  <c r="E18" i="14"/>
  <c r="E53" i="14" s="1"/>
  <c r="F53" i="14" s="1" a="1"/>
  <c r="F53" i="14" s="1"/>
  <c r="C18" i="14"/>
  <c r="E52" i="14" s="1"/>
  <c r="F52" i="14" s="1" a="1"/>
  <c r="F52" i="14" s="1"/>
  <c r="D69" i="14"/>
  <c r="E69" i="14" s="1"/>
  <c r="T20" i="9"/>
  <c r="T21" i="9"/>
  <c r="V16" i="9"/>
  <c r="T20" i="7"/>
  <c r="T21" i="7"/>
  <c r="V16"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An Nguyen</author>
  </authors>
  <commentList>
    <comment ref="J1" authorId="0" shapeId="0" xr:uid="{E31A14E8-6A73-4153-8188-05480A5A0A81}">
      <text>
        <r>
          <rPr>
            <sz val="11"/>
            <color theme="1"/>
            <rFont val="Aptos Narrow"/>
            <family val="2"/>
            <scheme val="minor"/>
          </rPr>
          <t>Thuy An Nguyen:
once done, sort by biggest to smallest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An Nguyen</author>
  </authors>
  <commentList>
    <comment ref="J1" authorId="0" shapeId="0" xr:uid="{A7E997AE-13EA-438F-9C61-4030430D9DEA}">
      <text>
        <r>
          <rPr>
            <sz val="11"/>
            <color theme="1"/>
            <rFont val="Aptos Narrow"/>
            <family val="2"/>
            <scheme val="minor"/>
          </rPr>
          <t>Thuy An Nguyen:
once done, sort by biggest to smallest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Thuy An Nguyen</author>
  </authors>
  <commentList>
    <comment ref="J1" authorId="0" shapeId="0" xr:uid="{0FAC22A8-B0DC-4D8E-9A0C-4AB4655FB943}">
      <text>
        <r>
          <rPr>
            <sz val="11"/>
            <color theme="1"/>
            <rFont val="Aptos Narrow"/>
            <family val="2"/>
            <scheme val="minor"/>
          </rPr>
          <t>Thuy An Nguyen:
once done, sort by biggest to smallest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Thuy An Nguyen</author>
  </authors>
  <commentList>
    <comment ref="J1" authorId="0" shapeId="0" xr:uid="{F658AC84-DD5F-4E24-A93F-49C1C2414DBD}">
      <text>
        <r>
          <rPr>
            <sz val="11"/>
            <color theme="1"/>
            <rFont val="Aptos Narrow"/>
            <family val="2"/>
            <scheme val="minor"/>
          </rPr>
          <t>Thuy An Nguyen:
once done, sort by biggest to smallest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Thuy An Nguyen</author>
  </authors>
  <commentList>
    <comment ref="J1" authorId="0" shapeId="0" xr:uid="{BFC50F0D-1A25-42DD-B549-BEEBB8301AC2}">
      <text>
        <r>
          <rPr>
            <sz val="11"/>
            <color theme="1"/>
            <rFont val="Aptos Narrow"/>
            <family val="2"/>
            <scheme val="minor"/>
          </rPr>
          <t>Thuy An Nguyen:
once done, sort by biggest to smallest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Thuy An Nguyen</author>
  </authors>
  <commentList>
    <comment ref="J1" authorId="0" shapeId="0" xr:uid="{B29CB3AA-669E-8F43-977C-CE03093E1B85}">
      <text>
        <r>
          <rPr>
            <sz val="11"/>
            <color theme="1"/>
            <rFont val="Aptos Narrow"/>
            <family val="2"/>
            <scheme val="minor"/>
          </rPr>
          <t>Thuy An Nguyen:
once done, sort by biggest to smallest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Thuy An Nguyen</author>
  </authors>
  <commentList>
    <comment ref="J1" authorId="0" shapeId="0" xr:uid="{E974E539-DBAF-447C-860B-E71A2E7197CC}">
      <text>
        <r>
          <rPr>
            <sz val="11"/>
            <color rgb="FF000000"/>
            <rFont val="Aptos Narrow"/>
            <family val="2"/>
          </rPr>
          <t xml:space="preserve">Thuy An Nguyen:
</t>
        </r>
        <r>
          <rPr>
            <sz val="11"/>
            <color rgb="FF000000"/>
            <rFont val="Aptos Narrow"/>
            <family val="2"/>
          </rPr>
          <t>once done, sort by biggest to smallest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<sst xmlns="http://schemas.openxmlformats.org/spreadsheetml/2006/main" count="6143" uniqueCount="970">
  <si>
    <t># Project 1 Part A: Transaction Cost Modeling Exercise</t>
  </si>
  <si>
    <t>Part 1: Build the Liquidity Ladder</t>
  </si>
  <si>
    <t>Level</t>
  </si>
  <si>
    <t>Frac of ADV</t>
  </si>
  <si>
    <t>Market Impact (bps)</t>
  </si>
  <si>
    <t>Cumulative Frac of ADV</t>
  </si>
  <si>
    <t>Cumulative Impact (bps)</t>
  </si>
  <si>
    <t>Cost = a × (Frac)^b</t>
  </si>
  <si>
    <t>SE</t>
  </si>
  <si>
    <t>Cost = a × / (Frac) + b</t>
  </si>
  <si>
    <t>a + b×ln(x)</t>
  </si>
  <si>
    <t>a</t>
  </si>
  <si>
    <t>b</t>
  </si>
  <si>
    <t xml:space="preserve">b </t>
  </si>
  <si>
    <t>SSE</t>
  </si>
  <si>
    <t>Part 2: Visualize the Cost Curve</t>
  </si>
  <si>
    <t>Create Two Scatter Plots</t>
  </si>
  <si>
    <t>Analysis Questions</t>
  </si>
  <si>
    <t>Shape Analysis: Describe the curve shape on the original scale. Is it linear? Where does cost accelerate noticeably?</t>
  </si>
  <si>
    <t>The curve shape on the original scale is non-linear and concave. It rises quickly at first and then gradually flattens out as it increases, meaning that this isn't linear. The cost accelerates noticeably as the cumulative impact moves from 0 to 0.2, and starts flatenning out after that, meaning the marginal cost of additional trades become higher.</t>
  </si>
  <si>
    <t>Log Scale Comparison: How does the curve look different on a log scale? Which visualization makes it easier to see the behavior at small trade sizes (0–1% ADV) vs large trade sizes? Which plot would you show a portfolio manager and why?</t>
  </si>
  <si>
    <t>The curve looks different on a log scale graph because it looks rather like a straight linear line and the points are more evenly spread out compared to the original scale. On the original scale, the curve rises quickly at first and then gradually flattens out as it increases. The log scale makes smaller trade sizes easier to see, while the original scale shows how costs increase more sharply as trade size increases. I would show a portfolio manager the original scale plot because it highlights how transaction costs accelerate as trade size increases, which is important for managing risk.</t>
  </si>
  <si>
    <t>Functional Form Hypothesis: Based on the visual shape, what type of function might fit? Consider: power law (x^b), square root (√x), logarithmic (ln(x)). Which makes economic sense for liquidity exhaustion?</t>
  </si>
  <si>
    <t>Based on the visual shape, the function that might be the best fit is the logarithmic (ln(x)). The yellow logarithmic curve closely overlaps with the blue original curve. The logarithmic (ln(x)) function also makes the most economic sense for liquidity exhaustion, as each additional share costs more than the previous one.</t>
  </si>
  <si>
    <t>Part 3: Fit Mathematical Models</t>
  </si>
  <si>
    <t>Comparison Table</t>
  </si>
  <si>
    <t>Model</t>
  </si>
  <si>
    <t>Formula</t>
  </si>
  <si>
    <t>R^2</t>
  </si>
  <si>
    <t>Power Law</t>
  </si>
  <si>
    <t>a×x^b</t>
  </si>
  <si>
    <t>Square Root</t>
  </si>
  <si>
    <t>a×√x + b</t>
  </si>
  <si>
    <t>Logarithmic</t>
  </si>
  <si>
    <t>Part 4: Model Selection &amp; Application</t>
  </si>
  <si>
    <t>Best Fit: Which model has lowest SSE and highest R²? Does it make economic sense?</t>
  </si>
  <si>
    <t>The logarithmic model has the lowest SSE (≈1577), meaning it fits the cumulative impact curve best. The square‑root model is the next closest, and the power‑law model performs worst. While the logarithmic model offers a superior statistical fit, it fails the economic reality test because its negative intercept predicts impossible price improvements for small trades rather than reflecting the positive, concave rise in cost as liquidity is exhausted.</t>
  </si>
  <si>
    <t>Parameter Interpretation: For your best model, what do the parameters a and b mean economically?</t>
  </si>
  <si>
    <t>a = 312.56. This represents the intercept, the impact we would get as x approches ADV.</t>
  </si>
  <si>
    <t>b = 48.98. This controls the impact as trade size grows. A and B positive means impact rises as you trade larger fractions of ADV.</t>
  </si>
  <si>
    <t>Practical Calculation: Using your best-fit formula, calculate market impact for</t>
  </si>
  <si>
    <t>Calculated Market Impact</t>
  </si>
  <si>
    <t>Actual Value</t>
  </si>
  <si>
    <t>Error</t>
  </si>
  <si>
    <t>How close?</t>
  </si>
  <si>
    <t>0.5% of ADV</t>
  </si>
  <si>
    <t>Slightly higher than the actual value</t>
  </si>
  <si>
    <t>2% of ADV</t>
  </si>
  <si>
    <t>10% of ADV</t>
  </si>
  <si>
    <t>Model Limitations: Where does your formula work well? Where does it break down? Look carefully at the log-scale plot—does your best model predict reasonable values across the full range? Are there regions where it gives economically impossible results (e.g., negative market impact)?</t>
  </si>
  <si>
    <t xml:space="preserve">The logarithmic model fits well across most of the range, especially between 0.5% and 20% of ADV, where the liquidity ladder behaves smoothly. However, at extremely small trade sizes (below 0.2% ADV), the log function can produce unrealistically low or even negative impact values because ln(x) becomes very large and negative. </t>
  </si>
  <si>
    <t>At very large sizes (approaching 100% of ADV), the model may understate the true convexity of market impact, since real‑world liquidity often becomes extremely thin. Thus, while the log model captures the middle of the curve well, it breaks down at the extremes.</t>
  </si>
  <si>
    <t>Symbol</t>
  </si>
  <si>
    <t>Fund Name</t>
  </si>
  <si>
    <t>Stock Price</t>
  </si>
  <si>
    <t>AUM</t>
  </si>
  <si>
    <t>Expense Ratio</t>
  </si>
  <si>
    <t>Beta</t>
  </si>
  <si>
    <t>Dollar Volume</t>
  </si>
  <si>
    <t>Tech</t>
  </si>
  <si>
    <t>Expected Return</t>
  </si>
  <si>
    <t>Investment</t>
  </si>
  <si>
    <t>Frac ADV</t>
  </si>
  <si>
    <t>Tcosts</t>
  </si>
  <si>
    <t>Exp Profit</t>
  </si>
  <si>
    <t>Just for Reference</t>
  </si>
  <si>
    <t>Part 2: Model Setup — Key Assumptions</t>
  </si>
  <si>
    <t>TQQQ</t>
  </si>
  <si>
    <t>ProShares UltraPro QQQ</t>
  </si>
  <si>
    <t>28.70B</t>
  </si>
  <si>
    <t>5.57B</t>
  </si>
  <si>
    <t>SMH</t>
  </si>
  <si>
    <t>VanEck Semiconductor ETF</t>
  </si>
  <si>
    <t>45.17B</t>
  </si>
  <si>
    <t>5.50B</t>
  </si>
  <si>
    <t>Assumptions</t>
  </si>
  <si>
    <t>SOXX</t>
  </si>
  <si>
    <t>iShares Semiconductor ETF</t>
  </si>
  <si>
    <t>22.09B</t>
  </si>
  <si>
    <t>79.90B</t>
  </si>
  <si>
    <t>Parameter</t>
  </si>
  <si>
    <t>Value</t>
  </si>
  <si>
    <t>Notes</t>
  </si>
  <si>
    <t>SOXL</t>
  </si>
  <si>
    <t>Direxion Daily Semiconductor Bull 3x Shares</t>
  </si>
  <si>
    <t>13.17B</t>
  </si>
  <si>
    <t>2.35B</t>
  </si>
  <si>
    <t>Starting Capital</t>
  </si>
  <si>
    <t>Fund equity</t>
  </si>
  <si>
    <t>FTEC</t>
  </si>
  <si>
    <t>Fidelity MSCI Information Technology Index ETF</t>
  </si>
  <si>
    <t>16.24B</t>
  </si>
  <si>
    <t>48.35B</t>
  </si>
  <si>
    <t>Market Return</t>
  </si>
  <si>
    <t>Expected S&amp;P 500 gain (annual)</t>
  </si>
  <si>
    <t>VGT</t>
  </si>
  <si>
    <t>Vanguard Information Technology ETF</t>
  </si>
  <si>
    <t>113.34B</t>
  </si>
  <si>
    <t>1.36B</t>
  </si>
  <si>
    <t>Tech Alpha</t>
  </si>
  <si>
    <t>Additional annual return for tech ETFs</t>
  </si>
  <si>
    <t>XLK</t>
  </si>
  <si>
    <t>State Street Technology Select Sector SPDR ETF</t>
  </si>
  <si>
    <t>90.52B</t>
  </si>
  <si>
    <t>1.02B</t>
  </si>
  <si>
    <t>Fed Funds Rate</t>
  </si>
  <si>
    <t>Look up current rate at Federal Reserve</t>
  </si>
  <si>
    <t>IYW</t>
  </si>
  <si>
    <t>iShares U.S. Technology ETF</t>
  </si>
  <si>
    <t>20.42B</t>
  </si>
  <si>
    <t>1.80B</t>
  </si>
  <si>
    <t>Margin Interest Rate</t>
  </si>
  <si>
    <t>Annual cost of borrowing</t>
  </si>
  <si>
    <t>QQQ</t>
  </si>
  <si>
    <t>Invesco QQQ Trust Series I</t>
  </si>
  <si>
    <t>402.60B</t>
  </si>
  <si>
    <t>9.21B</t>
  </si>
  <si>
    <t>Liquidity Cost Table</t>
  </si>
  <si>
    <t>Formula: a + b×ln(x)</t>
  </si>
  <si>
    <t>QQQM</t>
  </si>
  <si>
    <t>Invesco NASDAQ 100 ETF</t>
  </si>
  <si>
    <t>72.81B</t>
  </si>
  <si>
    <t>1.26B</t>
  </si>
  <si>
    <t>XLC</t>
  </si>
  <si>
    <t>State Street Communication Services Select Sector SPDR ETF</t>
  </si>
  <si>
    <t>26.69B</t>
  </si>
  <si>
    <t>736.29M</t>
  </si>
  <si>
    <t>JEPQ</t>
  </si>
  <si>
    <t>JPMorgan NASDAQ Equity Premium Income ETF</t>
  </si>
  <si>
    <t>34.13B</t>
  </si>
  <si>
    <t>1.78B</t>
  </si>
  <si>
    <t>IUSG</t>
  </si>
  <si>
    <t>iShares Core S&amp;P U.S. Growth ETF</t>
  </si>
  <si>
    <t>27.40B</t>
  </si>
  <si>
    <t>1.12B</t>
  </si>
  <si>
    <t>VOOG</t>
  </si>
  <si>
    <t>Vanguard S&amp;P 500 Growth ETF</t>
  </si>
  <si>
    <t>22.28B</t>
  </si>
  <si>
    <t>978.55M</t>
  </si>
  <si>
    <t>Gross Profit</t>
  </si>
  <si>
    <t>SCHG</t>
  </si>
  <si>
    <t>Schwab U.S. Large-Cap Growth ETF</t>
  </si>
  <si>
    <t>51.58B</t>
  </si>
  <si>
    <t>968.15M</t>
  </si>
  <si>
    <t>Total Investment</t>
  </si>
  <si>
    <t>IWY</t>
  </si>
  <si>
    <t>iShares Russell Top 200 Growth ETF</t>
  </si>
  <si>
    <t>15.85B</t>
  </si>
  <si>
    <t>582.85M</t>
  </si>
  <si>
    <t>Margin Interest</t>
  </si>
  <si>
    <t>IWF</t>
  </si>
  <si>
    <t>iShares Russell 1000 Growth ETF</t>
  </si>
  <si>
    <t>118.84B</t>
  </si>
  <si>
    <t>469.47M</t>
  </si>
  <si>
    <t>Net Profit</t>
  </si>
  <si>
    <t>VB</t>
  </si>
  <si>
    <t>Vanguard Small-Cap ETF</t>
  </si>
  <si>
    <t>74.53B</t>
  </si>
  <si>
    <t>1.87B</t>
  </si>
  <si>
    <t>Num Positions</t>
  </si>
  <si>
    <t>SPMO</t>
  </si>
  <si>
    <t>Invesco S&amp;P 500 Momentum ETF</t>
  </si>
  <si>
    <t>13.58B</t>
  </si>
  <si>
    <t>1.07B</t>
  </si>
  <si>
    <t>Final Portfolio Value</t>
  </si>
  <si>
    <t>CGGR</t>
  </si>
  <si>
    <t>Capital Group Growth ETF</t>
  </si>
  <si>
    <t>19.92B</t>
  </si>
  <si>
    <t>456.53M</t>
  </si>
  <si>
    <t xml:space="preserve">Return on Equity </t>
  </si>
  <si>
    <t>SPSM</t>
  </si>
  <si>
    <t>State Street SPDR Portfolio S&amp;P 600 Small Cap ETF</t>
  </si>
  <si>
    <t>14.76B</t>
  </si>
  <si>
    <t>1.22B</t>
  </si>
  <si>
    <t>MGK</t>
  </si>
  <si>
    <t>Vanguard Mega Cap Growth ETF</t>
  </si>
  <si>
    <t>30.78B</t>
  </si>
  <si>
    <t>309.82M</t>
  </si>
  <si>
    <t>SPYG</t>
  </si>
  <si>
    <t>State Street SPDR Portfolio S&amp;P 500 Growth ETF</t>
  </si>
  <si>
    <t>45.15B</t>
  </si>
  <si>
    <t>4.47B</t>
  </si>
  <si>
    <t>OEF</t>
  </si>
  <si>
    <t>iShares S&amp;P 100 ETF</t>
  </si>
  <si>
    <t>29.12B</t>
  </si>
  <si>
    <t>7.75B</t>
  </si>
  <si>
    <t>VUG</t>
  </si>
  <si>
    <t>Vanguard Growth ETF</t>
  </si>
  <si>
    <t>200.60B</t>
  </si>
  <si>
    <t>722.11M</t>
  </si>
  <si>
    <t>IVW</t>
  </si>
  <si>
    <t>iShares S&amp;P 500 Growth ETF</t>
  </si>
  <si>
    <t>65.70B</t>
  </si>
  <si>
    <t>1.29B</t>
  </si>
  <si>
    <t>VONG</t>
  </si>
  <si>
    <t>Vanguard Russell 1000 Growth ETF</t>
  </si>
  <si>
    <t>37.92B</t>
  </si>
  <si>
    <t>2.08B</t>
  </si>
  <si>
    <t>SCHA</t>
  </si>
  <si>
    <t>Schwab U.S. Small-Cap ETF</t>
  </si>
  <si>
    <t>20.87B</t>
  </si>
  <si>
    <t>12.25B</t>
  </si>
  <si>
    <t>VXF</t>
  </si>
  <si>
    <t>Vanguard Extended Market ETF</t>
  </si>
  <si>
    <t>26.36B</t>
  </si>
  <si>
    <t>3.07B</t>
  </si>
  <si>
    <t>SCHB</t>
  </si>
  <si>
    <t>Schwab U.S. Broad Market ETF</t>
  </si>
  <si>
    <t>39.10B</t>
  </si>
  <si>
    <t>236.14M</t>
  </si>
  <si>
    <t>VBK</t>
  </si>
  <si>
    <t>Vanguard Small-Cap Growth ETF</t>
  </si>
  <si>
    <t>21.33B</t>
  </si>
  <si>
    <t>341.00M</t>
  </si>
  <si>
    <t>IWP</t>
  </si>
  <si>
    <t>iShares Russell Mid-Cap Growth ETF</t>
  </si>
  <si>
    <t>20.00B</t>
  </si>
  <si>
    <t>434.61M</t>
  </si>
  <si>
    <t>ESGV</t>
  </si>
  <si>
    <t>Vanguard ESG U.S. Stock ETF</t>
  </si>
  <si>
    <t>11.92B</t>
  </si>
  <si>
    <t>1.64B</t>
  </si>
  <si>
    <t>MTUM</t>
  </si>
  <si>
    <t>iShares MSCI USA Momentum Factor ETF</t>
  </si>
  <si>
    <t>21.44B</t>
  </si>
  <si>
    <t>DFUS</t>
  </si>
  <si>
    <t>Dimensional U.S. Equity Market ETF</t>
  </si>
  <si>
    <t>18.62B</t>
  </si>
  <si>
    <t>862.90M</t>
  </si>
  <si>
    <t>IVV</t>
  </si>
  <si>
    <t>iShares Core S&amp;P 500 ETF</t>
  </si>
  <si>
    <t>765.13B</t>
  </si>
  <si>
    <t>480.43M</t>
  </si>
  <si>
    <t>VIG</t>
  </si>
  <si>
    <t>Vanguard Dividend Appreciation ETF</t>
  </si>
  <si>
    <t>105.79B</t>
  </si>
  <si>
    <t>701.15M</t>
  </si>
  <si>
    <t>XLG</t>
  </si>
  <si>
    <t>Invesco S&amp;P 500 Top 50 ETF</t>
  </si>
  <si>
    <t>11.35B</t>
  </si>
  <si>
    <t>892.49M</t>
  </si>
  <si>
    <t>VOO</t>
  </si>
  <si>
    <t>Vanguard S&amp;P 500 ETF</t>
  </si>
  <si>
    <t>874.56B</t>
  </si>
  <si>
    <t>866.99M</t>
  </si>
  <si>
    <t>SPY</t>
  </si>
  <si>
    <t>State Street SPDR S&amp;P 500 ETF</t>
  </si>
  <si>
    <t>707.51B</t>
  </si>
  <si>
    <t>379.34M</t>
  </si>
  <si>
    <t>VV</t>
  </si>
  <si>
    <t>Vanguard Large-Cap ETF</t>
  </si>
  <si>
    <t>47.96B</t>
  </si>
  <si>
    <t>381.36M</t>
  </si>
  <si>
    <t>SCHX</t>
  </si>
  <si>
    <t>Schwab U.S. Large-Cap ETF</t>
  </si>
  <si>
    <t>64.73B</t>
  </si>
  <si>
    <t>159.84M</t>
  </si>
  <si>
    <t>ITA</t>
  </si>
  <si>
    <t>iShares U.S. Aerospace &amp; Defense ETF</t>
  </si>
  <si>
    <t>15.16B</t>
  </si>
  <si>
    <t>4.88B</t>
  </si>
  <si>
    <t>ACWI</t>
  </si>
  <si>
    <t>iShares MSCI ACWI ETF</t>
  </si>
  <si>
    <t>27.38B</t>
  </si>
  <si>
    <t>2.30B</t>
  </si>
  <si>
    <t>XLY</t>
  </si>
  <si>
    <t>State Street Consumer Discretionary Select Sector SPDR ETF</t>
  </si>
  <si>
    <t>22.62B</t>
  </si>
  <si>
    <t>618.73M</t>
  </si>
  <si>
    <t>DYNF</t>
  </si>
  <si>
    <t>iShares U.S. Equity Factor Rotation Active ETF</t>
  </si>
  <si>
    <t>32.70B</t>
  </si>
  <si>
    <t>192.26M</t>
  </si>
  <si>
    <t>XLF</t>
  </si>
  <si>
    <t>State Street Financial Select Sector SPDR ETF</t>
  </si>
  <si>
    <t>55.03B</t>
  </si>
  <si>
    <t>516.09M</t>
  </si>
  <si>
    <t>SPTM</t>
  </si>
  <si>
    <t>State Street SPDR Portfolio S&amp;P 1500 Composite Stock Market ETF</t>
  </si>
  <si>
    <t>12.17B</t>
  </si>
  <si>
    <t>267.78M</t>
  </si>
  <si>
    <t>IWB</t>
  </si>
  <si>
    <t>iShares Russell 1000 ETF</t>
  </si>
  <si>
    <t>46.91B</t>
  </si>
  <si>
    <t>209.97M</t>
  </si>
  <si>
    <t>SPYM</t>
  </si>
  <si>
    <t>State Street SPDR Portfolio S&amp;P 500 ETF</t>
  </si>
  <si>
    <t>107.17B</t>
  </si>
  <si>
    <t>712.95M</t>
  </si>
  <si>
    <t>VXUS</t>
  </si>
  <si>
    <t>Vanguard Total International Stock ETF</t>
  </si>
  <si>
    <t>138.01B</t>
  </si>
  <si>
    <t>1.27B</t>
  </si>
  <si>
    <t>IUSV</t>
  </si>
  <si>
    <t>iShares Core S&amp;P US Value ETF</t>
  </si>
  <si>
    <t>24.85B</t>
  </si>
  <si>
    <t>IWO</t>
  </si>
  <si>
    <t>iShares Russell 2000 Growth ETF</t>
  </si>
  <si>
    <t>13.55B</t>
  </si>
  <si>
    <t>4.64B</t>
  </si>
  <si>
    <t>VFH</t>
  </si>
  <si>
    <t>Vanguard Financials ETF</t>
  </si>
  <si>
    <t>13.49B</t>
  </si>
  <si>
    <t>971.07M</t>
  </si>
  <si>
    <t>RSP</t>
  </si>
  <si>
    <t>Invesco S&amp;P 500 Equal Weight ETF</t>
  </si>
  <si>
    <t>86.09B</t>
  </si>
  <si>
    <t>4.29B</t>
  </si>
  <si>
    <t>IJR</t>
  </si>
  <si>
    <t>iShares Core S&amp;P Small Cap ETF</t>
  </si>
  <si>
    <t>97.22B</t>
  </si>
  <si>
    <t>416.43M</t>
  </si>
  <si>
    <t>AVUV</t>
  </si>
  <si>
    <t>Avantis U.S. Small Cap Value ETF</t>
  </si>
  <si>
    <t>23.45B</t>
  </si>
  <si>
    <t>195.49M</t>
  </si>
  <si>
    <t>GSLC</t>
  </si>
  <si>
    <t>TR Activebeta US Large Cap Equity ETF</t>
  </si>
  <si>
    <t>14.86B</t>
  </si>
  <si>
    <t>575.52M</t>
  </si>
  <si>
    <t>IWV</t>
  </si>
  <si>
    <t>iShares Russell 3000 ETF</t>
  </si>
  <si>
    <t>18.71B</t>
  </si>
  <si>
    <t>556.26M</t>
  </si>
  <si>
    <t>MGV</t>
  </si>
  <si>
    <t>Vanguard Mega Cap Value ETF</t>
  </si>
  <si>
    <t>11.74B</t>
  </si>
  <si>
    <t>343.90M</t>
  </si>
  <si>
    <t>ESGU</t>
  </si>
  <si>
    <t>iShares ESG Aware MSCI USA ETF</t>
  </si>
  <si>
    <t>15.82B</t>
  </si>
  <si>
    <t>123.34M</t>
  </si>
  <si>
    <t>VTWO</t>
  </si>
  <si>
    <t>Vanguard Russell 2000 ETF</t>
  </si>
  <si>
    <t>14.49B</t>
  </si>
  <si>
    <t>8.56B</t>
  </si>
  <si>
    <t>ITOT</t>
  </si>
  <si>
    <t>iShares Core S&amp;P Total U.S. Stock Market ETF</t>
  </si>
  <si>
    <t>83.18B</t>
  </si>
  <si>
    <t>3.03B</t>
  </si>
  <si>
    <t>DFAT</t>
  </si>
  <si>
    <t>Dimensional U.S. Targeted Value ETF</t>
  </si>
  <si>
    <t>13.47B</t>
  </si>
  <si>
    <t>384.71M</t>
  </si>
  <si>
    <t>MOAT</t>
  </si>
  <si>
    <t>VanEck Morningstar Wide Moat ETF</t>
  </si>
  <si>
    <t>12.99B</t>
  </si>
  <si>
    <t>236.76M</t>
  </si>
  <si>
    <t>IXUS</t>
  </si>
  <si>
    <t>iShares Core MSCI Total International Stock ETF</t>
  </si>
  <si>
    <t>56.39B</t>
  </si>
  <si>
    <t>181.70M</t>
  </si>
  <si>
    <t>VOE</t>
  </si>
  <si>
    <t>Vanguard Mid-Cap Value ETF</t>
  </si>
  <si>
    <t>21.92B</t>
  </si>
  <si>
    <t>355.81M</t>
  </si>
  <si>
    <t>AVUS</t>
  </si>
  <si>
    <t>Avantis U.S. Equity ETF</t>
  </si>
  <si>
    <t>11.33B</t>
  </si>
  <si>
    <t>166.56M</t>
  </si>
  <si>
    <t>SPHQ</t>
  </si>
  <si>
    <t>Invesco S&amp;P 500 Quality ETF</t>
  </si>
  <si>
    <t>16.39B</t>
  </si>
  <si>
    <t>377.50M</t>
  </si>
  <si>
    <t>VOT</t>
  </si>
  <si>
    <t>Vanguard Mid-Cap Growth ETF</t>
  </si>
  <si>
    <t>17.83B</t>
  </si>
  <si>
    <t>242.84M</t>
  </si>
  <si>
    <t>AVDE</t>
  </si>
  <si>
    <t>Avantis International Equity ETF</t>
  </si>
  <si>
    <t>14.08B</t>
  </si>
  <si>
    <t>345.32M</t>
  </si>
  <si>
    <t>PAVE</t>
  </si>
  <si>
    <t>Global X U.S. Infrastructure Development ETF</t>
  </si>
  <si>
    <t>11.97B</t>
  </si>
  <si>
    <t>3.64B</t>
  </si>
  <si>
    <t>VTI</t>
  </si>
  <si>
    <t>Vanguard Total Stock Market ETF</t>
  </si>
  <si>
    <t>590.73B</t>
  </si>
  <si>
    <t>696.25M</t>
  </si>
  <si>
    <t>IWM</t>
  </si>
  <si>
    <t>iShares Russell 2000 ETF</t>
  </si>
  <si>
    <t>77.90B</t>
  </si>
  <si>
    <t>160.27M</t>
  </si>
  <si>
    <t>DFAC</t>
  </si>
  <si>
    <t>Dimensional U.S. Core Equity 2 ETF</t>
  </si>
  <si>
    <t>42.43B</t>
  </si>
  <si>
    <t>106.96M</t>
  </si>
  <si>
    <t>IWR</t>
  </si>
  <si>
    <t>iShares Russell Midcap ETF</t>
  </si>
  <si>
    <t>48.85B</t>
  </si>
  <si>
    <t>121.42M</t>
  </si>
  <si>
    <t>SCHM</t>
  </si>
  <si>
    <t>Schwab U.S. Mid-Cap ETF</t>
  </si>
  <si>
    <t>13.37B</t>
  </si>
  <si>
    <t>378.65M</t>
  </si>
  <si>
    <t>XLI</t>
  </si>
  <si>
    <t>State Street Industrial Select Sector SPDR ETF</t>
  </si>
  <si>
    <t>30.26B</t>
  </si>
  <si>
    <t>199.20M</t>
  </si>
  <si>
    <t>VO</t>
  </si>
  <si>
    <t>Vanguard Mid-Cap ETF</t>
  </si>
  <si>
    <t>95.16B</t>
  </si>
  <si>
    <t>301.95M</t>
  </si>
  <si>
    <t>IJH</t>
  </si>
  <si>
    <t>iShares Core S&amp;P Mid-Cap ETF</t>
  </si>
  <si>
    <t>112.14B</t>
  </si>
  <si>
    <t>4.26B</t>
  </si>
  <si>
    <t>VSS</t>
  </si>
  <si>
    <t>Vanguard FTSE All-World ex-US Small-Cap ETF</t>
  </si>
  <si>
    <t>11.21B</t>
  </si>
  <si>
    <t>1.94B</t>
  </si>
  <si>
    <t>QUAL</t>
  </si>
  <si>
    <t>iShares MSCI USA Quality Factor ETF</t>
  </si>
  <si>
    <t>50.12B</t>
  </si>
  <si>
    <t>370.86M</t>
  </si>
  <si>
    <t>SPMD</t>
  </si>
  <si>
    <t>State Street SPDR Portfolio S&amp;P 400 Mid Cap ETF</t>
  </si>
  <si>
    <t>16.46B</t>
  </si>
  <si>
    <t>323.17M</t>
  </si>
  <si>
    <t>VYMI</t>
  </si>
  <si>
    <t>Vanguard International High Dividend Yield ETF</t>
  </si>
  <si>
    <t>17.94B</t>
  </si>
  <si>
    <t>220.46M</t>
  </si>
  <si>
    <t>SCHV</t>
  </si>
  <si>
    <t>Schwab U.S. Large-Cap Value ETF</t>
  </si>
  <si>
    <t>15.42B</t>
  </si>
  <si>
    <t>3.14B</t>
  </si>
  <si>
    <t>DFAS</t>
  </si>
  <si>
    <t>Dimensional U.S. Small Cap ETF</t>
  </si>
  <si>
    <t>13.41B</t>
  </si>
  <si>
    <t>292.39M</t>
  </si>
  <si>
    <t>VT</t>
  </si>
  <si>
    <t>Vanguard Total World Stock ETF</t>
  </si>
  <si>
    <t>64.55B</t>
  </si>
  <si>
    <t>4.42B</t>
  </si>
  <si>
    <t>IVE</t>
  </si>
  <si>
    <t>iShares S&amp;P 500 Value ETF</t>
  </si>
  <si>
    <t>50.16B</t>
  </si>
  <si>
    <t>220.29M</t>
  </si>
  <si>
    <t>MDY</t>
  </si>
  <si>
    <t>State Street SPDR S&amp;P MIDCAP 400 ETF Trust</t>
  </si>
  <si>
    <t>25.42B</t>
  </si>
  <si>
    <t>6.06B</t>
  </si>
  <si>
    <t>DIA</t>
  </si>
  <si>
    <t>SPDR Dow Jones Industrial Average ETF Trust</t>
  </si>
  <si>
    <t>46.12B</t>
  </si>
  <si>
    <t>131.54M</t>
  </si>
  <si>
    <t>SCZ</t>
  </si>
  <si>
    <t>iShares MSCI EAFE Small-Cap ETF</t>
  </si>
  <si>
    <t>14.06B</t>
  </si>
  <si>
    <t>171.25M</t>
  </si>
  <si>
    <t>EWY</t>
  </si>
  <si>
    <t>iShares MSCI South Korea ETF</t>
  </si>
  <si>
    <t>12.56B</t>
  </si>
  <si>
    <t>2.91B</t>
  </si>
  <si>
    <t>SLV</t>
  </si>
  <si>
    <t>iShares Silver Trust</t>
  </si>
  <si>
    <t>41.89B</t>
  </si>
  <si>
    <t>173.49M</t>
  </si>
  <si>
    <t>VBR</t>
  </si>
  <si>
    <t>Vanguard Small Cap Value ETF</t>
  </si>
  <si>
    <t>34.71B</t>
  </si>
  <si>
    <t>85.39M</t>
  </si>
  <si>
    <t>IEFA</t>
  </si>
  <si>
    <t>iShares Core MSCI EAFE ETF</t>
  </si>
  <si>
    <t>177.99B</t>
  </si>
  <si>
    <t>1.53B</t>
  </si>
  <si>
    <t>EFA</t>
  </si>
  <si>
    <t>iShares MSCI EAFE ETF</t>
  </si>
  <si>
    <t>76.73B</t>
  </si>
  <si>
    <t>334.30M</t>
  </si>
  <si>
    <t>EWJ</t>
  </si>
  <si>
    <t>iShares MSCI Japan ETF</t>
  </si>
  <si>
    <t>18.03B</t>
  </si>
  <si>
    <t>929.28M</t>
  </si>
  <si>
    <t>CGDV</t>
  </si>
  <si>
    <t>Capital Group Dividend Value ETF</t>
  </si>
  <si>
    <t>29.92B</t>
  </si>
  <si>
    <t>106.45M</t>
  </si>
  <si>
    <t>VYM</t>
  </si>
  <si>
    <t>Vanguard High Dividend Yield Index ETF</t>
  </si>
  <si>
    <t>75.16B</t>
  </si>
  <si>
    <t>458.21M</t>
  </si>
  <si>
    <t>SCHF</t>
  </si>
  <si>
    <t>Schwab International Equity ETF</t>
  </si>
  <si>
    <t>60.61B</t>
  </si>
  <si>
    <t>754.92M</t>
  </si>
  <si>
    <t>RDVY</t>
  </si>
  <si>
    <t>First Trust Rising Dividend Achievers ETF</t>
  </si>
  <si>
    <t>20.71B</t>
  </si>
  <si>
    <t>127.80M</t>
  </si>
  <si>
    <t>IWN</t>
  </si>
  <si>
    <t>iShares Russell 2000 Value ETF</t>
  </si>
  <si>
    <t>13.00B</t>
  </si>
  <si>
    <t>280.02M</t>
  </si>
  <si>
    <t>FBTC</t>
  </si>
  <si>
    <t>Fidelity Wise Origin Bitcoin Fund</t>
  </si>
  <si>
    <t>125.04M</t>
  </si>
  <si>
    <t>VTV</t>
  </si>
  <si>
    <t>Vanguard Value ETF</t>
  </si>
  <si>
    <t>170.99B</t>
  </si>
  <si>
    <t>224.41M</t>
  </si>
  <si>
    <t>VONV</t>
  </si>
  <si>
    <t>Vanguard Russell 1000 Value ETF</t>
  </si>
  <si>
    <t>15.58B</t>
  </si>
  <si>
    <t>153.36M</t>
  </si>
  <si>
    <t>IWD</t>
  </si>
  <si>
    <t>iShares Russell 1000 Value ETF</t>
  </si>
  <si>
    <t>69.73B</t>
  </si>
  <si>
    <t>511.88M</t>
  </si>
  <si>
    <t>VEU</t>
  </si>
  <si>
    <t>Vanguard FTSE All-World ex-US Index Fund</t>
  </si>
  <si>
    <t>60.96B</t>
  </si>
  <si>
    <t>98.13M</t>
  </si>
  <si>
    <t>FNDX</t>
  </si>
  <si>
    <t>Schwab Fundamental U.S. Large Company ETF</t>
  </si>
  <si>
    <t>24.23B</t>
  </si>
  <si>
    <t>1.90B</t>
  </si>
  <si>
    <t>BBJP</t>
  </si>
  <si>
    <t>JPMorgan BetaBuilders Japan ETF</t>
  </si>
  <si>
    <t>15.78B</t>
  </si>
  <si>
    <t>126.45M</t>
  </si>
  <si>
    <t>SPYV</t>
  </si>
  <si>
    <t>State Street SPDR Portfolio S&amp;P 500 Value ETF</t>
  </si>
  <si>
    <t>33.07B</t>
  </si>
  <si>
    <t>140.74M</t>
  </si>
  <si>
    <t>IWS</t>
  </si>
  <si>
    <t>iShares Russell Mid-Cap Value ETF</t>
  </si>
  <si>
    <t>15.19B</t>
  </si>
  <si>
    <t>3.31B</t>
  </si>
  <si>
    <t>DFAX</t>
  </si>
  <si>
    <t>Dimensional World ex U.S. Core Equity 2 ETF</t>
  </si>
  <si>
    <t>11.15B</t>
  </si>
  <si>
    <t>2.06B</t>
  </si>
  <si>
    <t>SCHE</t>
  </si>
  <si>
    <t>Schwab Emerging Markets Equity ETF</t>
  </si>
  <si>
    <t>12.28B</t>
  </si>
  <si>
    <t>70.21M</t>
  </si>
  <si>
    <t>VEA</t>
  </si>
  <si>
    <t>Vanguard FTSE Developed Markets ETF</t>
  </si>
  <si>
    <t>214.60B</t>
  </si>
  <si>
    <t>86.74M</t>
  </si>
  <si>
    <t>IDEV</t>
  </si>
  <si>
    <t>iShares Core MSCI International Developed Markets ETF</t>
  </si>
  <si>
    <t>28.41B</t>
  </si>
  <si>
    <t>45.87M</t>
  </si>
  <si>
    <t>IEMG</t>
  </si>
  <si>
    <t>iShares Core MSCI Emerging Markets ETF</t>
  </si>
  <si>
    <t>142.65B</t>
  </si>
  <si>
    <t>264.19M</t>
  </si>
  <si>
    <t>DGRW</t>
  </si>
  <si>
    <t>WisdomTree US Quality Dividend Growth Fund</t>
  </si>
  <si>
    <t>16.42B</t>
  </si>
  <si>
    <t>62.99M</t>
  </si>
  <si>
    <t>SPDW</t>
  </si>
  <si>
    <t>State Street SPDR Portfolio Developed World ex-US ETF</t>
  </si>
  <si>
    <t>37.78B</t>
  </si>
  <si>
    <t>103.25M</t>
  </si>
  <si>
    <t>VWO</t>
  </si>
  <si>
    <t>Vanguard FTSE Emerging Markets ETF</t>
  </si>
  <si>
    <t>115.34B</t>
  </si>
  <si>
    <t>125.69M</t>
  </si>
  <si>
    <t>XLV</t>
  </si>
  <si>
    <t>State Street Health Care Select Sector SPDR ETF</t>
  </si>
  <si>
    <t>41.74B</t>
  </si>
  <si>
    <t>327.52M</t>
  </si>
  <si>
    <t>DFAI</t>
  </si>
  <si>
    <t>Dimensional International Core Equity Market ETF</t>
  </si>
  <si>
    <t>14.48B</t>
  </si>
  <si>
    <t>253.22M</t>
  </si>
  <si>
    <t>DFUV</t>
  </si>
  <si>
    <t>Dimensional US Marketwide Value ETF</t>
  </si>
  <si>
    <t>13.94B</t>
  </si>
  <si>
    <t>135.25M</t>
  </si>
  <si>
    <t>SPEM</t>
  </si>
  <si>
    <t>State Street SPDR Portfolio Emerging Markets ETF</t>
  </si>
  <si>
    <t>16.69B</t>
  </si>
  <si>
    <t>161.37M</t>
  </si>
  <si>
    <t>VGK</t>
  </si>
  <si>
    <t>Vanguard FTSE Europe ETF</t>
  </si>
  <si>
    <t>31.98B</t>
  </si>
  <si>
    <t>132.77M</t>
  </si>
  <si>
    <t>AVEM</t>
  </si>
  <si>
    <t>Avantis Emerging Markets Equity ETF</t>
  </si>
  <si>
    <t>19.53B</t>
  </si>
  <si>
    <t>134.65M</t>
  </si>
  <si>
    <t>EMXC</t>
  </si>
  <si>
    <t>iShares MSCI Emerging Markets ex China ETF</t>
  </si>
  <si>
    <t>16.51B</t>
  </si>
  <si>
    <t>97.02M</t>
  </si>
  <si>
    <t>DGRO</t>
  </si>
  <si>
    <t>iShares Core Dividend Growth ETF</t>
  </si>
  <si>
    <t>38.66B</t>
  </si>
  <si>
    <t>55.38M</t>
  </si>
  <si>
    <t>AVDV</t>
  </si>
  <si>
    <t>Avantis International Small Cap Value ETF</t>
  </si>
  <si>
    <t>17.85B</t>
  </si>
  <si>
    <t>90.94M</t>
  </si>
  <si>
    <t>COWZ</t>
  </si>
  <si>
    <t>Pacer US Cash Cows 100 ETF</t>
  </si>
  <si>
    <t>956.44M</t>
  </si>
  <si>
    <t>ESGD</t>
  </si>
  <si>
    <t>iShares ESG Aware MSCI EAFE ETF</t>
  </si>
  <si>
    <t>11.54B</t>
  </si>
  <si>
    <t>392.54M</t>
  </si>
  <si>
    <t>DFIC</t>
  </si>
  <si>
    <t>Dimensional International Core Equity 2 ETF</t>
  </si>
  <si>
    <t>13.30B</t>
  </si>
  <si>
    <t>174.03M</t>
  </si>
  <si>
    <t>HDV</t>
  </si>
  <si>
    <t>iShares Core High Dividend ETF</t>
  </si>
  <si>
    <t>13.32B</t>
  </si>
  <si>
    <t>229.18M</t>
  </si>
  <si>
    <t>FNDF</t>
  </si>
  <si>
    <t>Schwab Fundamental International Equity ETF</t>
  </si>
  <si>
    <t>21.89B</t>
  </si>
  <si>
    <t>91.26M</t>
  </si>
  <si>
    <t>XLE</t>
  </si>
  <si>
    <t>State Street Energy Select Sector SPDR ETF</t>
  </si>
  <si>
    <t>35.77B</t>
  </si>
  <si>
    <t>96.95M</t>
  </si>
  <si>
    <t>IBIT</t>
  </si>
  <si>
    <t>iShares Bitcoin Trust ETF</t>
  </si>
  <si>
    <t>54.10B</t>
  </si>
  <si>
    <t>54.55M</t>
  </si>
  <si>
    <t>AMLP</t>
  </si>
  <si>
    <t>Alerian MLP ETF</t>
  </si>
  <si>
    <t>11.49B</t>
  </si>
  <si>
    <t>3.81B</t>
  </si>
  <si>
    <t>DVY</t>
  </si>
  <si>
    <t>iShares Select Dividend ETF</t>
  </si>
  <si>
    <t>22.63B</t>
  </si>
  <si>
    <t>96.50M</t>
  </si>
  <si>
    <t>IQLT</t>
  </si>
  <si>
    <t>iShares MSCI Intl Quality Factor ETF</t>
  </si>
  <si>
    <t>12.62B</t>
  </si>
  <si>
    <t>93.41M</t>
  </si>
  <si>
    <t>DFIV</t>
  </si>
  <si>
    <t>Dimensional International Value ETF</t>
  </si>
  <si>
    <t>18.27B</t>
  </si>
  <si>
    <t>437.94M</t>
  </si>
  <si>
    <t>JEPI</t>
  </si>
  <si>
    <t>JPMorgan Equity Premium Income ETF</t>
  </si>
  <si>
    <t>43.71B</t>
  </si>
  <si>
    <t>3.15B</t>
  </si>
  <si>
    <t>VHT</t>
  </si>
  <si>
    <t>Vanguard Health Care ETF</t>
  </si>
  <si>
    <t>17.32B</t>
  </si>
  <si>
    <t>273.11M</t>
  </si>
  <si>
    <t>EFV</t>
  </si>
  <si>
    <t>iShares MSCI EAFE Value ETF</t>
  </si>
  <si>
    <t>30.61B</t>
  </si>
  <si>
    <t>251.58M</t>
  </si>
  <si>
    <t>NOBL</t>
  </si>
  <si>
    <t>ProShares S&amp;P 500 Dividend Aristocrats ETF</t>
  </si>
  <si>
    <t>11.86B</t>
  </si>
  <si>
    <t>87.61M</t>
  </si>
  <si>
    <t>XLU</t>
  </si>
  <si>
    <t>State Street Utilities Select Sector SPDR ETF</t>
  </si>
  <si>
    <t>178.06M</t>
  </si>
  <si>
    <t>EEM</t>
  </si>
  <si>
    <t>iShares MSCI Emerging Markets ETF</t>
  </si>
  <si>
    <t>27.75B</t>
  </si>
  <si>
    <t>226.70M</t>
  </si>
  <si>
    <t>GDX</t>
  </si>
  <si>
    <t>VanEck Gold Miners ETF</t>
  </si>
  <si>
    <t>32.27B</t>
  </si>
  <si>
    <t>126.85M</t>
  </si>
  <si>
    <t>VNQ</t>
  </si>
  <si>
    <t>Vanguard Real Estate ETF</t>
  </si>
  <si>
    <t>35.73B</t>
  </si>
  <si>
    <t>61.79M</t>
  </si>
  <si>
    <t>SCHD</t>
  </si>
  <si>
    <t>Schwab US Dividend Equity ETF</t>
  </si>
  <si>
    <t>83.25B</t>
  </si>
  <si>
    <t>722.67M</t>
  </si>
  <si>
    <t>SDY</t>
  </si>
  <si>
    <t>State Street SPDR S&amp;P Dividend ETF</t>
  </si>
  <si>
    <t>21.68B</t>
  </si>
  <si>
    <t>102.79M</t>
  </si>
  <si>
    <t>USMV</t>
  </si>
  <si>
    <t>iShares MSCI USA Min Vol Factor ETF</t>
  </si>
  <si>
    <t>23.24B</t>
  </si>
  <si>
    <t>72.15M</t>
  </si>
  <si>
    <t>XLP</t>
  </si>
  <si>
    <t>State Street Consumer Staples Select Sector SPDR ETF</t>
  </si>
  <si>
    <t>16.55B</t>
  </si>
  <si>
    <t>157.24M</t>
  </si>
  <si>
    <t>HYG</t>
  </si>
  <si>
    <t>iShares iBoxx $ High Yield Corporate Bond ETF</t>
  </si>
  <si>
    <t>16.80B</t>
  </si>
  <si>
    <t>113.53M</t>
  </si>
  <si>
    <t>USHY</t>
  </si>
  <si>
    <t>iShares Broad USD High Yield Corporate Bond ETF</t>
  </si>
  <si>
    <t>26.20B</t>
  </si>
  <si>
    <t>112.70M</t>
  </si>
  <si>
    <t>JAAA</t>
  </si>
  <si>
    <t>Janus Henderson AAA CLO ETF</t>
  </si>
  <si>
    <t>26.84B</t>
  </si>
  <si>
    <t>76.13M</t>
  </si>
  <si>
    <t>BINC</t>
  </si>
  <si>
    <t>iShares Flexible Income Active ETF</t>
  </si>
  <si>
    <t>16.71B</t>
  </si>
  <si>
    <t>117.39M</t>
  </si>
  <si>
    <t>EMB</t>
  </si>
  <si>
    <t>iShares JP Morgan USD Emerging Markets Bond ETF</t>
  </si>
  <si>
    <t>16.08B</t>
  </si>
  <si>
    <t>202.27M</t>
  </si>
  <si>
    <t>PFF</t>
  </si>
  <si>
    <t>iShares Preferred &amp; Income Securities ETF</t>
  </si>
  <si>
    <t>14.01B</t>
  </si>
  <si>
    <t>150.78M</t>
  </si>
  <si>
    <t>SGOV</t>
  </si>
  <si>
    <t>iShares 0-3 Month Treasury Bond ETF</t>
  </si>
  <si>
    <t>72.94B</t>
  </si>
  <si>
    <t>34.70M</t>
  </si>
  <si>
    <t>IGSB</t>
  </si>
  <si>
    <t>iShares 1-5 Year Investment Grade Corporate Bond ETF</t>
  </si>
  <si>
    <t>22.34B</t>
  </si>
  <si>
    <t>61.09M</t>
  </si>
  <si>
    <t>USIG</t>
  </si>
  <si>
    <t>iShares Broad USD Investment Grade Corporate Bond ETF</t>
  </si>
  <si>
    <t>130.58M</t>
  </si>
  <si>
    <t>BIL</t>
  </si>
  <si>
    <t>State Street SPDR Bloomberg 1-3 Month T-Bill ETF</t>
  </si>
  <si>
    <t>42.81B</t>
  </si>
  <si>
    <t>462.55M</t>
  </si>
  <si>
    <t>STIP</t>
  </si>
  <si>
    <t>iShares 0-5 Year TIPS Bond ETF</t>
  </si>
  <si>
    <t>14.05B</t>
  </si>
  <si>
    <t>80.47M</t>
  </si>
  <si>
    <t>VCSH</t>
  </si>
  <si>
    <t>Vanguard Short-Term Corporate Bond ETF</t>
  </si>
  <si>
    <t>41.19B</t>
  </si>
  <si>
    <t>90.77M</t>
  </si>
  <si>
    <t>JPST</t>
  </si>
  <si>
    <t>JPMorgan Ultra-Short Income ETF</t>
  </si>
  <si>
    <t>36.65B</t>
  </si>
  <si>
    <t>IAGG</t>
  </si>
  <si>
    <t>iShares Core International Aggregate Bond ETF</t>
  </si>
  <si>
    <t>11.79B</t>
  </si>
  <si>
    <t>111.17M</t>
  </si>
  <si>
    <t>BNDX</t>
  </si>
  <si>
    <t>Vanguard Total International Bond ETF</t>
  </si>
  <si>
    <t>75.81B</t>
  </si>
  <si>
    <t>267.07M</t>
  </si>
  <si>
    <t>LQD</t>
  </si>
  <si>
    <t>iShares iBoxx $ Investment Grade Corporate Bond ETF</t>
  </si>
  <si>
    <t>29.50B</t>
  </si>
  <si>
    <t>117.95M</t>
  </si>
  <si>
    <t>GLD</t>
  </si>
  <si>
    <t>SPDR Gold Shares</t>
  </si>
  <si>
    <t>174.86B</t>
  </si>
  <si>
    <t>25.39M</t>
  </si>
  <si>
    <t>IEI</t>
  </si>
  <si>
    <t>iShares 3-7 Year Treasury Bond ETF</t>
  </si>
  <si>
    <t>18.02B</t>
  </si>
  <si>
    <t>125.67M</t>
  </si>
  <si>
    <t>FBND</t>
  </si>
  <si>
    <t>Fidelity Total Bond ETF</t>
  </si>
  <si>
    <t>24.46B</t>
  </si>
  <si>
    <t>177.21M</t>
  </si>
  <si>
    <t>VGSH</t>
  </si>
  <si>
    <t>Vanguard Short-Term Treasury ETF</t>
  </si>
  <si>
    <t>27.52B</t>
  </si>
  <si>
    <t>176.94M</t>
  </si>
  <si>
    <t>SHV</t>
  </si>
  <si>
    <t>iShares Trust iShares 0-1 Year Treasury Bond ETF</t>
  </si>
  <si>
    <t>20.10B</t>
  </si>
  <si>
    <t>203.90M</t>
  </si>
  <si>
    <t>SCHO</t>
  </si>
  <si>
    <t>Schwab Short-Term US Treasury ETF</t>
  </si>
  <si>
    <t>11.68B</t>
  </si>
  <si>
    <t>44.86M</t>
  </si>
  <si>
    <t>BIV</t>
  </si>
  <si>
    <t>Vanguard Intermediate-Term Bond ETF</t>
  </si>
  <si>
    <t>28.16B</t>
  </si>
  <si>
    <t>546.64M</t>
  </si>
  <si>
    <t>PYLD</t>
  </si>
  <si>
    <t>PIMCO Multisector Bond Active Exchange-Traded Fund</t>
  </si>
  <si>
    <t>11.95B</t>
  </si>
  <si>
    <t>42.74M</t>
  </si>
  <si>
    <t>IGIB</t>
  </si>
  <si>
    <t>iShares 5-10 Year Investment Grade Corporate Bond ETF</t>
  </si>
  <si>
    <t>17.97B</t>
  </si>
  <si>
    <t>45.53M</t>
  </si>
  <si>
    <t>USFR</t>
  </si>
  <si>
    <t>WisdomTree Floating Rate Treasury Fund</t>
  </si>
  <si>
    <t>16.32B</t>
  </si>
  <si>
    <t>99.42M</t>
  </si>
  <si>
    <t>MINT</t>
  </si>
  <si>
    <t>PIMCO Enhanced Short Maturity Active Exchange-Traded Fund</t>
  </si>
  <si>
    <t>14.98B</t>
  </si>
  <si>
    <t>35.92M</t>
  </si>
  <si>
    <t>SHY</t>
  </si>
  <si>
    <t>iShares 1-3 Year Treasury Bond ETF</t>
  </si>
  <si>
    <t>24.64B</t>
  </si>
  <si>
    <t>5.33B</t>
  </si>
  <si>
    <t>BSV</t>
  </si>
  <si>
    <t>Vanguard Short-Term Bond ETF</t>
  </si>
  <si>
    <t>43.44B</t>
  </si>
  <si>
    <t>152.89M</t>
  </si>
  <si>
    <t>VTIP</t>
  </si>
  <si>
    <t>Vanguard Short-Term Inflation-Protected Securities ETF</t>
  </si>
  <si>
    <t>16.16B</t>
  </si>
  <si>
    <t>113.37M</t>
  </si>
  <si>
    <t>MUB</t>
  </si>
  <si>
    <t>iShares National Muni Bond ETF</t>
  </si>
  <si>
    <t>42.63B</t>
  </si>
  <si>
    <t>83.69M</t>
  </si>
  <si>
    <t>IUSB</t>
  </si>
  <si>
    <t>iShares Core Total USD Bond Market ETF</t>
  </si>
  <si>
    <t>35.44B</t>
  </si>
  <si>
    <t>67.30M</t>
  </si>
  <si>
    <t>PULS</t>
  </si>
  <si>
    <t>PGIM Ultra Short Bond ETF</t>
  </si>
  <si>
    <t>13.85B</t>
  </si>
  <si>
    <t>2.16B</t>
  </si>
  <si>
    <t>VCIT</t>
  </si>
  <si>
    <t>Vanguard Intermediate-Term Corporate Bond ETF</t>
  </si>
  <si>
    <t>63.54B</t>
  </si>
  <si>
    <t>110.68M</t>
  </si>
  <si>
    <t>AGG</t>
  </si>
  <si>
    <t>iShares Core U.S. Aggregate Bond ETF</t>
  </si>
  <si>
    <t>138.68B</t>
  </si>
  <si>
    <t>103.19M</t>
  </si>
  <si>
    <t>VMBS</t>
  </si>
  <si>
    <t>Vanguard Mortgage-Backed Securities ETF</t>
  </si>
  <si>
    <t>14.79B</t>
  </si>
  <si>
    <t>51.21M</t>
  </si>
  <si>
    <t>GLDM</t>
  </si>
  <si>
    <t>SPDR Gold Minishares Trust of beneficial interest</t>
  </si>
  <si>
    <t>32.19B</t>
  </si>
  <si>
    <t>140.63M</t>
  </si>
  <si>
    <t>SCHP</t>
  </si>
  <si>
    <t>Schwab US TIPS ETF</t>
  </si>
  <si>
    <t>15.30B</t>
  </si>
  <si>
    <t>75.70M</t>
  </si>
  <si>
    <t>TIP</t>
  </si>
  <si>
    <t>iShares TIPS Bond ETF</t>
  </si>
  <si>
    <t>42.42M</t>
  </si>
  <si>
    <t>VGIT</t>
  </si>
  <si>
    <t>Vanguard Intermediate-Term Treasury ETF</t>
  </si>
  <si>
    <t>39.28B</t>
  </si>
  <si>
    <t>146.80M</t>
  </si>
  <si>
    <t>SCHR</t>
  </si>
  <si>
    <t>Schwab Intermediate-Term US Treasury ETF</t>
  </si>
  <si>
    <t>12.57B</t>
  </si>
  <si>
    <t>32.80M</t>
  </si>
  <si>
    <t>TLT</t>
  </si>
  <si>
    <t>iShares 20+ Year Treasury Bond ETF</t>
  </si>
  <si>
    <t>45.12B</t>
  </si>
  <si>
    <t>32.17M</t>
  </si>
  <si>
    <t>TLH</t>
  </si>
  <si>
    <t>iShares 10-20 Year Treasury Bond ETF</t>
  </si>
  <si>
    <t>12.39B</t>
  </si>
  <si>
    <t>66.08M</t>
  </si>
  <si>
    <t>IEF</t>
  </si>
  <si>
    <t>iShares 7-10 Year Treasury Bond ETF</t>
  </si>
  <si>
    <t>46.88B</t>
  </si>
  <si>
    <t>24.04M</t>
  </si>
  <si>
    <t>GOVT</t>
  </si>
  <si>
    <t>iShares U.S. Treasury Bond ETF</t>
  </si>
  <si>
    <t>35.61B</t>
  </si>
  <si>
    <t>84.26M</t>
  </si>
  <si>
    <t>BND</t>
  </si>
  <si>
    <t>Vanguard Total Bond Market ETF</t>
  </si>
  <si>
    <t>150.34B</t>
  </si>
  <si>
    <t>301.03M</t>
  </si>
  <si>
    <t>IAU</t>
  </si>
  <si>
    <t>iShares Gold Trust</t>
  </si>
  <si>
    <t>80.92B</t>
  </si>
  <si>
    <t>98.51M</t>
  </si>
  <si>
    <t>VTEB</t>
  </si>
  <si>
    <t>Vanguard Tax-Exempt Bond ETF</t>
  </si>
  <si>
    <t>64.05M</t>
  </si>
  <si>
    <t>MBB</t>
  </si>
  <si>
    <t>iShares MBS ETF</t>
  </si>
  <si>
    <t>24.62M</t>
  </si>
  <si>
    <t>Constraint</t>
  </si>
  <si>
    <t>Leverage</t>
  </si>
  <si>
    <t>Microsoft Excel 16.106 Sensitivity Report</t>
  </si>
  <si>
    <t>Worksheet: [ETF Data.xlsx]Model B Realism (26)</t>
  </si>
  <si>
    <t>Report Created: 3/5/26 9:52:53 AM</t>
  </si>
  <si>
    <t>Variable Cells</t>
  </si>
  <si>
    <t>Final</t>
  </si>
  <si>
    <t>Reduced</t>
  </si>
  <si>
    <t>Cell</t>
  </si>
  <si>
    <t>Name</t>
  </si>
  <si>
    <t>Gradient</t>
  </si>
  <si>
    <t>$J$2</t>
  </si>
  <si>
    <t>$J$3</t>
  </si>
  <si>
    <t>$J$4</t>
  </si>
  <si>
    <t>$J$5</t>
  </si>
  <si>
    <t>$J$6</t>
  </si>
  <si>
    <t>$J$7</t>
  </si>
  <si>
    <t>$J$8</t>
  </si>
  <si>
    <t>$J$9</t>
  </si>
  <si>
    <t>$J$10</t>
  </si>
  <si>
    <t>$J$11</t>
  </si>
  <si>
    <t>$J$12</t>
  </si>
  <si>
    <t>$J$13</t>
  </si>
  <si>
    <t>$J$14</t>
  </si>
  <si>
    <t>$J$15</t>
  </si>
  <si>
    <t>$J$16</t>
  </si>
  <si>
    <t>$J$17</t>
  </si>
  <si>
    <t>$J$18</t>
  </si>
  <si>
    <t>$J$19</t>
  </si>
  <si>
    <t>$J$20</t>
  </si>
  <si>
    <t>$J$21</t>
  </si>
  <si>
    <t>$J$22</t>
  </si>
  <si>
    <t>$J$23</t>
  </si>
  <si>
    <t>$J$24</t>
  </si>
  <si>
    <t>$J$25</t>
  </si>
  <si>
    <t>$J$26</t>
  </si>
  <si>
    <t>$J$27</t>
  </si>
  <si>
    <t>Constraints</t>
  </si>
  <si>
    <t>Lagrange</t>
  </si>
  <si>
    <t>Multiplier</t>
  </si>
  <si>
    <t>$K$2</t>
  </si>
  <si>
    <t>$K$3</t>
  </si>
  <si>
    <t>$K$4</t>
  </si>
  <si>
    <t>$K$5</t>
  </si>
  <si>
    <t>$K$6</t>
  </si>
  <si>
    <t>$K$7</t>
  </si>
  <si>
    <t>$K$8</t>
  </si>
  <si>
    <t>$K$9</t>
  </si>
  <si>
    <t>$K$10</t>
  </si>
  <si>
    <t>$K$11</t>
  </si>
  <si>
    <t>$K$12</t>
  </si>
  <si>
    <t>$K$13</t>
  </si>
  <si>
    <t>$K$14</t>
  </si>
  <si>
    <t>$K$15</t>
  </si>
  <si>
    <t>$K$16</t>
  </si>
  <si>
    <t>$K$17</t>
  </si>
  <si>
    <t>$K$18</t>
  </si>
  <si>
    <t>$K$19</t>
  </si>
  <si>
    <t>$K$20</t>
  </si>
  <si>
    <t>$K$21</t>
  </si>
  <si>
    <t>$K$22</t>
  </si>
  <si>
    <t>$K$23</t>
  </si>
  <si>
    <t>$K$24</t>
  </si>
  <si>
    <t>$K$25</t>
  </si>
  <si>
    <t>$K$26</t>
  </si>
  <si>
    <t>$K$27</t>
  </si>
  <si>
    <t>$T$16</t>
  </si>
  <si>
    <t>Total Investment Value</t>
  </si>
  <si>
    <t>Worksheet: [ETF Data.xlsx]Model B Realism (25)</t>
  </si>
  <si>
    <t>Report Created: 3/5/26 3:12:02 PM</t>
  </si>
  <si>
    <t>Shadow Price of Leverage:</t>
  </si>
  <si>
    <t>What is the shadow price (multiplier) on your leverage constraint (Total Invested ≤ 3 × Starting Capital)?</t>
  </si>
  <si>
    <t>Shadow Price (Multiplier): 0.02618 (rounded from $0.02617950364947319$); The shadow price represents the marginal increase in Net Profit for every additional dollar of capital the fund is allowed to invest, meaning that every extra dollar of investment capacity increases expected net profit by about 2.6 cents.</t>
  </si>
  <si>
    <t>Interpretation: If the prime broker allowed you to invest $3.001B instead of $3B, how much additional net profit would you earn?</t>
  </si>
  <si>
    <t>If the prime broker allowed the fund to invest $3.001B instead of $3B (an increase of $1,000,000 in the constraint's right-hand side), the fund would earn an additional $26,179.50 in net profit.</t>
  </si>
  <si>
    <t>Shadow Price of Liquidity — Ranking:</t>
  </si>
  <si>
    <t>Which ETFs have the highest shadow prices on their liquidity constraints?</t>
  </si>
  <si>
    <t>Rank</t>
  </si>
  <si>
    <t>Shadow Price (Lagrange Multiplier)</t>
  </si>
  <si>
    <t>Communication Services Select Sector SPDR Fund</t>
  </si>
  <si>
    <t>List the top 5 ETFs by shadow price and their values.</t>
  </si>
  <si>
    <t>ETF Symbol</t>
  </si>
  <si>
    <t>AUM (Identifier)</t>
  </si>
  <si>
    <t>Shadow Price (Value)</t>
  </si>
  <si>
    <t>Shadow Price of Liquidity — Interpretation:</t>
  </si>
  <si>
    <t>You will likely find that a broad market ETF (like QQQ) has a higher shadow price than a sector ETF with a higher expected return (like a semiconductor ETF). Why? Think about what the shadow price actually measures — it's not just about the ETF's return. What role does the ETF's dollar volume play in determining how valuable it is to relax the constraint by 1%?</t>
  </si>
  <si>
    <t>While sector ETFs (like SOXX) may have higher individual expected returns, QQQ has a much higher shadow price because of its massive Dollar Volume. The shadow price measures the benefit of relaxing the constraint by one unit (in this case, 100% of the ADV). Therefore, relaxing the 2% limit by just 1% for QQQ allows the fund to deploy an additional ~$483 Million into a high-alpha asset. For a smaller ETF, a 1% relaxation might only unlock $10–20 Million. The shadow price reflects this scale: the ability to move "big blocks" of capital into QQQ is more valuable to total portfolio profit than the slightly higher percentage return of a smaller, less liquid ETF.</t>
  </si>
  <si>
    <t>Discussion (no additional modeling required):</t>
  </si>
  <si>
    <t>Model A showed the optimizer wants infinite leverage. In reality, why would a fund never use infinite leverage even if a broker allowed it? Consider: what happens if the market drops 10% instead of rising 10% when you're at 100× leverage? Discuss the concept of risk of ruin — this model maximizes expected return but completely ignores the probability of catastrophic loss.</t>
  </si>
  <si>
    <t>Model A suggests infinite leverage because it is risk-blind, it only tries to maximize expected return based on a single 10% growth scenario. In reality, a fund would never use infinite leverage due to the Risk of Ruin. At 100x leverage, a mere 1% market dip would result in a 100% loss of the fund's equity ($1B), leading to an immediate margin call and bankruptcy. This model ignores volatility, the probability of loss, and the fact that borrowing costs rise as a fund becomes riskier. Real-world managers must limit leverage to ensure they can survive short-term market noise to reach the long-term rally.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</si>
</sst>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3" formatCode="_(* #,##0.00_);_(* \(#,##0.00\);_(* &quot;-&quot;??_);_(@_)"/>
    <numFmt numFmtId="164" formatCode="0.0000%"/>
    <numFmt numFmtId="165" formatCode="&quot;$&quot;#,##0.00"/>
    <numFmt numFmtId="166" formatCode="0.000%"/>
    <numFmt numFmtId="167" formatCode="0.00000000%"/>
    <numFmt numFmtId="168" formatCode="&quot;$&quot;#,##0.000000000000"/>
  </numFmts>
  <fonts count="27" x14ac:knownFonts="1">
    <font>
      <sz val="11"/>
      <color theme="1"/>
      <name val="Aptos Narrow"/>
      <family val="2"/>
      <scheme val="minor"/>
    </font>
    <font>
      <sz val="11"/>
      <color theme="1"/>
      <name val="Aptos Narrow"/>
      <family val="2"/>
      <scheme val="minor"/>
    </font>
    <font>
      <u/>
      <sz val="11"/>
      <color theme="10"/>
      <name val="Aptos Narrow"/>
      <family val="2"/>
      <scheme val="minor"/>
    </font>
    <font>
      <u/>
      <sz val="11"/>
      <color theme="10"/>
      <name val="Times New Roman"/>
      <family val="1"/>
    </font>
    <font>
      <sz val="11"/>
      <color rgb="FF111827"/>
      <name val="Times New Roman"/>
      <family val="1"/>
    </font>
    <font>
      <sz val="11"/>
      <color rgb="FF242424"/>
      <name val="Aptos Narrow"/>
      <family val="2"/>
    </font>
    <font>
      <sz val="11"/>
      <color rgb="FF3F3F76"/>
      <name val="Aptos Narrow"/>
      <family val="2"/>
      <scheme val="minor"/>
    </font>
    <font>
      <sz val="12"/>
      <color rgb="FF3F3F76"/>
      <name val="Aptos Narrow"/>
      <family val="2"/>
    </font>
    <font>
      <sz val="11"/>
      <name val="Aptos Narrow"/>
      <family val="2"/>
      <scheme val="minor"/>
    </font>
    <font>
      <b/>
      <sz val="11"/>
      <color rgb="FF3F3F3F"/>
      <name val="Aptos Narrow"/>
      <family val="2"/>
      <scheme val="minor"/>
    </font>
    <font>
      <b/>
      <sz val="11"/>
      <color rgb="FFFA7D00"/>
      <name val="Aptos Narrow"/>
      <family val="2"/>
      <scheme val="minor"/>
    </font>
    <font>
      <sz val="11"/>
      <name val="Aptos Narrow"/>
      <family val="2"/>
    </font>
    <font>
      <b/>
      <sz val="11"/>
      <color theme="1"/>
      <name val="Aptos Narrow"/>
      <family val="2"/>
      <scheme val="minor"/>
    </font>
    <font>
      <b/>
      <sz val="11"/>
      <color indexed="18"/>
      <name val="Aptos Narrow"/>
      <family val="2"/>
      <scheme val="minor"/>
    </font>
    <font>
      <sz val="11"/>
      <color rgb="FF000000"/>
      <name val="Aptos Narrow"/>
      <family val="2"/>
    </font>
    <font>
      <b/>
      <sz val="11"/>
      <color theme="1"/>
      <name val="Times New Roman"/>
      <family val="1"/>
    </font>
    <font>
      <sz val="11"/>
      <color theme="1"/>
      <name val="Times New Roman"/>
      <family val="1"/>
    </font>
    <font>
      <sz val="11"/>
      <color rgb="FF000000"/>
      <name val="Times New Roman"/>
      <family val="1"/>
    </font>
    <font>
      <b/>
      <sz val="11"/>
      <color rgb="FF1F1F1F"/>
      <name val="Times New Roman"/>
      <family val="1"/>
    </font>
    <font>
      <sz val="11"/>
      <color rgb="FF1F1F1F"/>
      <name val="Times New Roman"/>
      <family val="1"/>
    </font>
    <font>
      <sz val="11"/>
      <color rgb="FF000000"/>
      <name val="Aptos Narrow"/>
      <family val="2"/>
      <scheme val="minor"/>
    </font>
    <font>
      <sz val="12"/>
      <color theme="1"/>
      <name val="Times New Roman"/>
      <family val="1"/>
    </font>
    <font>
      <b/>
      <sz val="12"/>
      <color theme="1"/>
      <name val="Times New Roman"/>
      <family val="1"/>
    </font>
    <font>
      <sz val="12"/>
      <color rgb="FF000000"/>
      <name val="Times New Roman"/>
      <family val="1"/>
    </font>
    <font>
      <b/>
      <sz val="12"/>
      <color rgb="FF000000"/>
      <name val="Times New Roman"/>
      <family val="1"/>
    </font>
    <font>
      <b/>
      <sz val="12"/>
      <name val="Times New Roman"/>
      <family val="1"/>
    </font>
    <font>
      <sz val="12"/>
      <name val="Times New Roman"/>
      <family val="1"/>
    </font>
  </fonts>
  <fills count="11">
    <fill>
      <patternFill patternType="none"/>
    </fill>
    <fill>
      <patternFill patternType="gray125"/>
    </fill>
    <fill>
      <patternFill patternType="solid">
        <fgColor rgb="FFFFFFFF"/>
        <bgColor indexed="64"/>
      </patternFill>
    </fill>
    <fill>
      <patternFill patternType="solid">
        <fgColor rgb="FFF6F7F8"/>
        <bgColor indexed="64"/>
      </patternFill>
    </fill>
    <fill>
      <patternFill patternType="solid">
        <fgColor theme="4" tint="0.79998168889431442"/>
        <bgColor indexed="65"/>
      </patternFill>
    </fill>
    <fill>
      <patternFill patternType="solid">
        <fgColor rgb="FFFFCC99"/>
      </patternFill>
    </fill>
    <fill>
      <patternFill patternType="solid">
        <fgColor rgb="FFFFCC99"/>
        <bgColor rgb="FF000000"/>
      </patternFill>
    </fill>
    <fill>
      <patternFill patternType="solid">
        <fgColor rgb="FFF2F2F2"/>
      </patternFill>
    </fill>
    <fill>
      <patternFill patternType="solid">
        <fgColor rgb="FFF6F7F8"/>
        <bgColor rgb="FF000000"/>
      </patternFill>
    </fill>
    <fill>
      <patternFill patternType="solid">
        <fgColor rgb="FFFFFFFF"/>
        <bgColor rgb="FF000000"/>
      </patternFill>
    </fill>
    <fill>
      <patternFill patternType="solid">
        <fgColor rgb="FFFFFF00"/>
        <bgColor indexed="64"/>
      </patternFill>
    </fill>
  </fills>
  <borders count="34">
    <border>
      <left/>
      <right/>
      <top/>
      <bottom/>
      <diagonal/>
    </border>
    <border>
      <left/>
      <right/>
      <top style="medium">
        <color rgb="FFE5E7EB"/>
      </top>
      <bottom style="medium">
        <color rgb="FFE5E7EB"/>
      </bottom>
      <diagonal/>
    </border>
    <border>
      <left/>
      <right/>
      <top/>
      <bottom style="medium">
        <color rgb="FFE5E7EB"/>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indexed="64"/>
      </bottom>
      <diagonal/>
    </border>
    <border>
      <left style="thin">
        <color rgb="FF3F3F3F"/>
      </left>
      <right style="thin">
        <color rgb="FF3F3F3F"/>
      </right>
      <top style="thin">
        <color rgb="FF3F3F3F"/>
      </top>
      <bottom style="thin">
        <color rgb="FF3F3F3F"/>
      </bottom>
      <diagonal/>
    </border>
    <border>
      <left/>
      <right/>
      <top style="thin">
        <color rgb="FF44B3E1"/>
      </top>
      <bottom style="thin">
        <color rgb="FF44B3E1"/>
      </bottom>
      <diagonal/>
    </border>
    <border>
      <left/>
      <right/>
      <top style="thin">
        <color rgb="FF44B3E1"/>
      </top>
      <bottom style="thin">
        <color indexed="64"/>
      </bottom>
      <diagonal/>
    </border>
    <border>
      <left/>
      <right/>
      <top style="thin">
        <color rgb="FF44B3E1"/>
      </top>
      <bottom style="thin">
        <color rgb="FF000000"/>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style="thin">
        <color rgb="FF7F7F7F"/>
      </left>
      <right style="thin">
        <color rgb="FF7F7F7F"/>
      </right>
      <top style="thin">
        <color rgb="FF7F7F7F"/>
      </top>
      <bottom style="thin">
        <color rgb="FF000000"/>
      </bottom>
      <diagonal/>
    </border>
    <border>
      <left/>
      <right/>
      <top style="medium">
        <color indexed="23"/>
      </top>
      <bottom/>
      <diagonal/>
    </border>
    <border>
      <left/>
      <right/>
      <top/>
      <bottom style="medium">
        <color indexed="23"/>
      </bottom>
      <diagonal/>
    </border>
    <border>
      <left/>
      <right/>
      <top style="thin">
        <color indexed="23"/>
      </top>
      <bottom/>
      <diagonal/>
    </border>
    <border>
      <left/>
      <right/>
      <top style="thin">
        <color indexed="23"/>
      </top>
      <bottom style="medium">
        <color indexed="23"/>
      </bottom>
      <diagonal/>
    </border>
    <border>
      <left style="thin">
        <color rgb="FF1F1F1F"/>
      </left>
      <right style="thin">
        <color rgb="FF1F1F1F"/>
      </right>
      <top style="thin">
        <color rgb="FF1F1F1F"/>
      </top>
      <bottom style="thin">
        <color rgb="FF1F1F1F"/>
      </bottom>
      <diagonal/>
    </border>
    <border>
      <left style="thin">
        <color rgb="FF000000"/>
      </left>
      <right/>
      <top style="thin">
        <color rgb="FF000000"/>
      </top>
      <bottom style="thin">
        <color rgb="FF000000"/>
      </bottom>
      <diagonal/>
    </border>
    <border>
      <left/>
      <right/>
      <top/>
      <bottom style="thin">
        <color rgb="FF000000"/>
      </bottom>
      <diagonal/>
    </border>
    <border>
      <left/>
      <right/>
      <top/>
      <bottom style="thin">
        <color indexed="64"/>
      </bottom>
      <diagonal/>
    </border>
  </borders>
  <cellStyleXfs count="8">
    <xf numFmtId="0" fontId="0" fillId="0" borderId="0"/>
    <xf numFmtId="0" fontId="2" fillId="0" borderId="0" applyNumberFormat="0" applyFill="0" applyBorder="0" applyAlignment="0" applyProtection="0"/>
    <xf numFmtId="0" fontId="1" fillId="4" borderId="0" applyNumberFormat="0" applyBorder="0" applyAlignment="0" applyProtection="0"/>
    <xf numFmtId="0" fontId="6" fillId="5" borderId="15" applyNumberFormat="0" applyAlignment="0" applyProtection="0"/>
    <xf numFmtId="43" fontId="1" fillId="0" borderId="0" applyFont="0" applyFill="0" applyBorder="0" applyAlignment="0" applyProtection="0"/>
    <xf numFmtId="0" fontId="9" fillId="7" borderId="17" applyNumberFormat="0" applyAlignment="0" applyProtection="0"/>
    <xf numFmtId="0" fontId="10" fillId="7" borderId="15" applyNumberFormat="0" applyAlignment="0" applyProtection="0"/>
    <xf numFmtId="9" fontId="1" fillId="0" borderId="0" applyFont="0" applyFill="0" applyBorder="0" applyAlignment="0" applyProtection="0"/>
  </cellStyleXfs>
  <cellXfs count="155">
    <xf numFmtId="0" fontId="0" fillId="0" borderId="0" xfId="0"/>
    <xf numFmtId="0" fontId="4" fillId="2" borderId="1" xfId="0" applyFont="1" applyFill="1" applyBorder="1" applyAlignment="1">
      <alignment horizontal="right" vertical="center"/>
    </xf>
    <xf numFmtId="0" fontId="3" fillId="3" borderId="7" xfId="1" applyFont="1" applyFill="1" applyBorder="1" applyAlignment="1">
      <alignment horizontal="left" vertical="center"/>
    </xf>
    <xf numFmtId="0" fontId="4" fillId="2" borderId="8" xfId="0" applyFont="1" applyFill="1" applyBorder="1" applyAlignment="1">
      <alignment horizontal="right" vertical="center"/>
    </xf>
    <xf numFmtId="0" fontId="3" fillId="2" borderId="7" xfId="1" applyFont="1" applyFill="1" applyBorder="1" applyAlignment="1">
      <alignment horizontal="left" vertical="center"/>
    </xf>
    <xf numFmtId="0" fontId="4" fillId="2" borderId="11" xfId="0" applyFont="1" applyFill="1" applyBorder="1" applyAlignment="1">
      <alignment horizontal="right" vertical="center"/>
    </xf>
    <xf numFmtId="0" fontId="4" fillId="2" borderId="3" xfId="0" applyFont="1" applyFill="1" applyBorder="1" applyAlignment="1">
      <alignment horizontal="right" vertical="center"/>
    </xf>
    <xf numFmtId="0" fontId="4" fillId="2" borderId="4" xfId="0" applyFont="1" applyFill="1" applyBorder="1" applyAlignment="1">
      <alignment vertical="center"/>
    </xf>
    <xf numFmtId="0" fontId="4" fillId="2" borderId="5" xfId="0" applyFont="1" applyFill="1" applyBorder="1" applyAlignment="1">
      <alignment vertical="center"/>
    </xf>
    <xf numFmtId="0" fontId="4" fillId="2" borderId="6" xfId="0" applyFont="1" applyFill="1" applyBorder="1" applyAlignment="1">
      <alignment vertical="center"/>
    </xf>
    <xf numFmtId="0" fontId="4" fillId="3" borderId="3" xfId="0" applyFont="1" applyFill="1" applyBorder="1" applyAlignment="1">
      <alignment horizontal="left" vertical="center"/>
    </xf>
    <xf numFmtId="0" fontId="4" fillId="3" borderId="3" xfId="0" applyFont="1" applyFill="1" applyBorder="1" applyAlignment="1">
      <alignment horizontal="right" vertical="center"/>
    </xf>
    <xf numFmtId="10" fontId="4" fillId="3" borderId="3" xfId="0" applyNumberFormat="1" applyFont="1" applyFill="1" applyBorder="1" applyAlignment="1">
      <alignment horizontal="right" vertical="center"/>
    </xf>
    <xf numFmtId="0" fontId="4" fillId="3" borderId="2" xfId="0" applyFont="1" applyFill="1" applyBorder="1" applyAlignment="1">
      <alignment horizontal="right" vertical="center"/>
    </xf>
    <xf numFmtId="0" fontId="4" fillId="2" borderId="3" xfId="0" applyFont="1" applyFill="1" applyBorder="1" applyAlignment="1">
      <alignment horizontal="left" vertical="center"/>
    </xf>
    <xf numFmtId="10" fontId="4" fillId="2" borderId="3" xfId="0" applyNumberFormat="1" applyFont="1" applyFill="1" applyBorder="1" applyAlignment="1">
      <alignment horizontal="right" vertical="center"/>
    </xf>
    <xf numFmtId="0" fontId="4" fillId="2" borderId="2" xfId="0" applyFont="1" applyFill="1" applyBorder="1" applyAlignment="1">
      <alignment horizontal="right" vertical="center"/>
    </xf>
    <xf numFmtId="6" fontId="1" fillId="4" borderId="12" xfId="2" applyNumberFormat="1" applyBorder="1"/>
    <xf numFmtId="9" fontId="1" fillId="4" borderId="12" xfId="2" applyNumberFormat="1" applyBorder="1"/>
    <xf numFmtId="10" fontId="1" fillId="4" borderId="12" xfId="2" applyNumberFormat="1" applyBorder="1"/>
    <xf numFmtId="0" fontId="1" fillId="4" borderId="12" xfId="2" applyBorder="1"/>
    <xf numFmtId="16" fontId="0" fillId="0" borderId="0" xfId="0" applyNumberFormat="1"/>
    <xf numFmtId="0" fontId="5" fillId="0" borderId="0" xfId="0" applyFont="1"/>
    <xf numFmtId="0" fontId="4" fillId="2" borderId="12" xfId="0" applyFont="1" applyFill="1" applyBorder="1" applyAlignment="1">
      <alignment vertical="center"/>
    </xf>
    <xf numFmtId="0" fontId="4" fillId="2" borderId="12" xfId="0" applyFont="1" applyFill="1" applyBorder="1" applyAlignment="1">
      <alignment horizontal="right" vertical="center"/>
    </xf>
    <xf numFmtId="0" fontId="4" fillId="2" borderId="6" xfId="0" applyFont="1" applyFill="1" applyBorder="1" applyAlignment="1">
      <alignment horizontal="right" vertical="center"/>
    </xf>
    <xf numFmtId="10" fontId="4" fillId="2" borderId="12" xfId="0" applyNumberFormat="1" applyFont="1" applyFill="1" applyBorder="1" applyAlignment="1">
      <alignment horizontal="right" vertical="center"/>
    </xf>
    <xf numFmtId="0" fontId="4" fillId="2" borderId="13" xfId="0" applyFont="1" applyFill="1" applyBorder="1" applyAlignment="1">
      <alignment horizontal="right" vertical="center"/>
    </xf>
    <xf numFmtId="0" fontId="4" fillId="2" borderId="14" xfId="0" applyFont="1" applyFill="1" applyBorder="1" applyAlignment="1">
      <alignment horizontal="right" vertical="center"/>
    </xf>
    <xf numFmtId="0" fontId="3" fillId="3" borderId="9" xfId="1" applyFont="1" applyFill="1" applyBorder="1" applyAlignment="1">
      <alignment horizontal="left" vertical="center"/>
    </xf>
    <xf numFmtId="0" fontId="4" fillId="3" borderId="10" xfId="0" applyFont="1" applyFill="1" applyBorder="1" applyAlignment="1">
      <alignment horizontal="left" vertical="center"/>
    </xf>
    <xf numFmtId="0" fontId="4" fillId="3" borderId="10" xfId="0" applyFont="1" applyFill="1" applyBorder="1" applyAlignment="1">
      <alignment horizontal="right" vertical="center"/>
    </xf>
    <xf numFmtId="10" fontId="4" fillId="3" borderId="10" xfId="0" applyNumberFormat="1" applyFont="1" applyFill="1" applyBorder="1" applyAlignment="1">
      <alignment horizontal="right" vertical="center"/>
    </xf>
    <xf numFmtId="164" fontId="4" fillId="2" borderId="12" xfId="0" quotePrefix="1" applyNumberFormat="1" applyFont="1" applyFill="1" applyBorder="1" applyAlignment="1">
      <alignment horizontal="right" vertical="center"/>
    </xf>
    <xf numFmtId="164" fontId="4" fillId="2" borderId="12" xfId="0" applyNumberFormat="1" applyFont="1" applyFill="1" applyBorder="1" applyAlignment="1">
      <alignment horizontal="right" vertical="center"/>
    </xf>
    <xf numFmtId="0" fontId="6" fillId="5" borderId="15" xfId="3" applyAlignment="1">
      <alignment vertical="center"/>
    </xf>
    <xf numFmtId="10" fontId="4" fillId="2" borderId="14" xfId="0" applyNumberFormat="1" applyFont="1" applyFill="1" applyBorder="1" applyAlignment="1">
      <alignment horizontal="right" vertical="center"/>
    </xf>
    <xf numFmtId="164" fontId="4" fillId="2" borderId="14" xfId="0" applyNumberFormat="1" applyFont="1" applyFill="1" applyBorder="1" applyAlignment="1">
      <alignment horizontal="right" vertical="center"/>
    </xf>
    <xf numFmtId="0" fontId="4" fillId="2" borderId="0" xfId="0" applyFont="1" applyFill="1" applyAlignment="1">
      <alignment horizontal="right" vertical="center"/>
    </xf>
    <xf numFmtId="43" fontId="0" fillId="0" borderId="0" xfId="4" applyFont="1"/>
    <xf numFmtId="165" fontId="0" fillId="0" borderId="0" xfId="0" applyNumberFormat="1"/>
    <xf numFmtId="165" fontId="0" fillId="0" borderId="0" xfId="4" applyNumberFormat="1" applyFont="1"/>
    <xf numFmtId="8" fontId="11" fillId="6" borderId="18" xfId="0" applyNumberFormat="1" applyFont="1" applyFill="1" applyBorder="1"/>
    <xf numFmtId="8" fontId="11" fillId="6" borderId="19" xfId="0" applyNumberFormat="1" applyFont="1" applyFill="1" applyBorder="1"/>
    <xf numFmtId="165" fontId="4" fillId="2" borderId="5" xfId="0" applyNumberFormat="1" applyFont="1" applyFill="1" applyBorder="1" applyAlignment="1">
      <alignment vertical="center"/>
    </xf>
    <xf numFmtId="165" fontId="4" fillId="2" borderId="13" xfId="0" applyNumberFormat="1" applyFont="1" applyFill="1" applyBorder="1" applyAlignment="1">
      <alignment horizontal="right" vertical="center"/>
    </xf>
    <xf numFmtId="165" fontId="4" fillId="2" borderId="12" xfId="0" applyNumberFormat="1" applyFont="1" applyFill="1" applyBorder="1" applyAlignment="1">
      <alignment horizontal="right" vertical="center"/>
    </xf>
    <xf numFmtId="165" fontId="4" fillId="2" borderId="14" xfId="0" applyNumberFormat="1" applyFont="1" applyFill="1" applyBorder="1" applyAlignment="1">
      <alignment horizontal="right" vertical="center"/>
    </xf>
    <xf numFmtId="165" fontId="9" fillId="7" borderId="17" xfId="5" applyNumberFormat="1"/>
    <xf numFmtId="0" fontId="9" fillId="7" borderId="17" xfId="5"/>
    <xf numFmtId="165" fontId="10" fillId="7" borderId="15" xfId="6" applyNumberFormat="1"/>
    <xf numFmtId="166" fontId="4" fillId="2" borderId="12" xfId="0" applyNumberFormat="1" applyFont="1" applyFill="1" applyBorder="1" applyAlignment="1">
      <alignment vertical="center"/>
    </xf>
    <xf numFmtId="166" fontId="4" fillId="2" borderId="12" xfId="0" applyNumberFormat="1" applyFont="1" applyFill="1" applyBorder="1" applyAlignment="1">
      <alignment horizontal="right" vertical="center"/>
    </xf>
    <xf numFmtId="166" fontId="4" fillId="2" borderId="14" xfId="0" applyNumberFormat="1" applyFont="1" applyFill="1" applyBorder="1" applyAlignment="1">
      <alignment horizontal="right" vertical="center"/>
    </xf>
    <xf numFmtId="166" fontId="0" fillId="0" borderId="0" xfId="0" applyNumberFormat="1"/>
    <xf numFmtId="167" fontId="4" fillId="2" borderId="12" xfId="0" applyNumberFormat="1" applyFont="1" applyFill="1" applyBorder="1" applyAlignment="1">
      <alignment vertical="center"/>
    </xf>
    <xf numFmtId="167" fontId="4" fillId="2" borderId="12" xfId="0" applyNumberFormat="1" applyFont="1" applyFill="1" applyBorder="1" applyAlignment="1">
      <alignment horizontal="right" vertical="center"/>
    </xf>
    <xf numFmtId="167" fontId="4" fillId="2" borderId="14" xfId="0" applyNumberFormat="1" applyFont="1" applyFill="1" applyBorder="1" applyAlignment="1">
      <alignment horizontal="right" vertical="center"/>
    </xf>
    <xf numFmtId="167" fontId="0" fillId="0" borderId="0" xfId="0" applyNumberFormat="1"/>
    <xf numFmtId="8" fontId="11" fillId="6" borderId="20" xfId="0" applyNumberFormat="1" applyFont="1" applyFill="1" applyBorder="1"/>
    <xf numFmtId="10" fontId="4" fillId="2" borderId="12" xfId="4" applyNumberFormat="1" applyFont="1" applyFill="1" applyBorder="1" applyAlignment="1">
      <alignment vertical="center"/>
    </xf>
    <xf numFmtId="10" fontId="4" fillId="2" borderId="12" xfId="4" applyNumberFormat="1" applyFont="1" applyFill="1" applyBorder="1" applyAlignment="1">
      <alignment horizontal="right" vertical="center"/>
    </xf>
    <xf numFmtId="10" fontId="4" fillId="2" borderId="14" xfId="4" applyNumberFormat="1" applyFont="1" applyFill="1" applyBorder="1" applyAlignment="1">
      <alignment horizontal="right" vertical="center"/>
    </xf>
    <xf numFmtId="10" fontId="0" fillId="0" borderId="0" xfId="4" applyNumberFormat="1" applyFont="1"/>
    <xf numFmtId="8" fontId="7" fillId="6" borderId="15" xfId="0" applyNumberFormat="1" applyFont="1" applyFill="1" applyBorder="1"/>
    <xf numFmtId="8" fontId="7" fillId="6" borderId="16" xfId="0" applyNumberFormat="1" applyFont="1" applyFill="1" applyBorder="1"/>
    <xf numFmtId="165" fontId="4" fillId="2" borderId="5" xfId="4" applyNumberFormat="1" applyFont="1" applyFill="1" applyBorder="1" applyAlignment="1">
      <alignment vertical="center"/>
    </xf>
    <xf numFmtId="165" fontId="4" fillId="2" borderId="13" xfId="4" applyNumberFormat="1" applyFont="1" applyFill="1" applyBorder="1" applyAlignment="1">
      <alignment horizontal="right" vertical="center"/>
    </xf>
    <xf numFmtId="165" fontId="4" fillId="2" borderId="12" xfId="4" applyNumberFormat="1" applyFont="1" applyFill="1" applyBorder="1" applyAlignment="1">
      <alignment horizontal="right" vertical="center"/>
    </xf>
    <xf numFmtId="165" fontId="4" fillId="2" borderId="14" xfId="4" applyNumberFormat="1" applyFont="1" applyFill="1" applyBorder="1" applyAlignment="1">
      <alignment horizontal="right" vertical="center"/>
    </xf>
    <xf numFmtId="168" fontId="8" fillId="5" borderId="15" xfId="3" applyNumberFormat="1" applyFont="1" applyAlignment="1">
      <alignment vertical="center"/>
    </xf>
    <xf numFmtId="168" fontId="8" fillId="0" borderId="0" xfId="0" applyNumberFormat="1" applyFont="1"/>
    <xf numFmtId="0" fontId="4" fillId="2" borderId="6" xfId="0" applyFont="1" applyFill="1" applyBorder="1" applyAlignment="1">
      <alignment vertical="center" wrapText="1"/>
    </xf>
    <xf numFmtId="0" fontId="4" fillId="8" borderId="3" xfId="0" applyFont="1" applyFill="1" applyBorder="1"/>
    <xf numFmtId="0" fontId="4" fillId="9" borderId="3" xfId="0" applyFont="1" applyFill="1" applyBorder="1"/>
    <xf numFmtId="10" fontId="4" fillId="8" borderId="3" xfId="0" applyNumberFormat="1" applyFont="1" applyFill="1" applyBorder="1"/>
    <xf numFmtId="10" fontId="4" fillId="9" borderId="3" xfId="0" applyNumberFormat="1" applyFont="1" applyFill="1" applyBorder="1"/>
    <xf numFmtId="0" fontId="2" fillId="8" borderId="21" xfId="1" applyFill="1" applyBorder="1" applyAlignment="1"/>
    <xf numFmtId="0" fontId="4" fillId="9" borderId="8" xfId="0" applyFont="1" applyFill="1" applyBorder="1"/>
    <xf numFmtId="0" fontId="2" fillId="9" borderId="21" xfId="1" applyFill="1" applyBorder="1" applyAlignment="1"/>
    <xf numFmtId="0" fontId="2" fillId="8" borderId="22" xfId="1" applyFill="1" applyBorder="1" applyAlignment="1"/>
    <xf numFmtId="0" fontId="4" fillId="8" borderId="23" xfId="0" applyFont="1" applyFill="1" applyBorder="1"/>
    <xf numFmtId="10" fontId="4" fillId="8" borderId="23" xfId="0" applyNumberFormat="1" applyFont="1" applyFill="1" applyBorder="1"/>
    <xf numFmtId="0" fontId="4" fillId="9" borderId="24" xfId="0" applyFont="1" applyFill="1" applyBorder="1"/>
    <xf numFmtId="0" fontId="4" fillId="2" borderId="5" xfId="0" applyFont="1" applyFill="1" applyBorder="1" applyAlignment="1">
      <alignment horizontal="right" vertical="center"/>
    </xf>
    <xf numFmtId="0" fontId="4" fillId="8" borderId="3" xfId="0" applyFont="1" applyFill="1" applyBorder="1" applyAlignment="1">
      <alignment horizontal="right"/>
    </xf>
    <xf numFmtId="0" fontId="4" fillId="9" borderId="3" xfId="0" applyFont="1" applyFill="1" applyBorder="1" applyAlignment="1">
      <alignment horizontal="right"/>
    </xf>
    <xf numFmtId="0" fontId="4" fillId="8" borderId="23" xfId="0" applyFont="1" applyFill="1" applyBorder="1" applyAlignment="1">
      <alignment horizontal="right"/>
    </xf>
    <xf numFmtId="0" fontId="0" fillId="0" borderId="0" xfId="0" applyAlignment="1">
      <alignment horizontal="right"/>
    </xf>
    <xf numFmtId="8" fontId="7" fillId="6" borderId="25" xfId="0" applyNumberFormat="1" applyFont="1" applyFill="1" applyBorder="1"/>
    <xf numFmtId="0" fontId="12" fillId="0" borderId="0" xfId="0" applyFont="1"/>
    <xf numFmtId="0" fontId="0" fillId="0" borderId="28" xfId="0" applyBorder="1"/>
    <xf numFmtId="0" fontId="0" fillId="0" borderId="29" xfId="0" applyBorder="1"/>
    <xf numFmtId="0" fontId="13" fillId="0" borderId="26" xfId="0" applyFont="1" applyBorder="1" applyAlignment="1">
      <alignment horizontal="center"/>
    </xf>
    <xf numFmtId="0" fontId="13" fillId="0" borderId="27" xfId="0" applyFont="1" applyBorder="1" applyAlignment="1">
      <alignment horizontal="center"/>
    </xf>
    <xf numFmtId="0" fontId="0" fillId="0" borderId="0" xfId="0" applyAlignment="1">
      <alignment vertical="center" wrapText="1"/>
    </xf>
    <xf numFmtId="0" fontId="14" fillId="0" borderId="0" xfId="0" applyFont="1" applyAlignment="1">
      <alignment horizontal="left" wrapText="1"/>
    </xf>
    <xf numFmtId="0" fontId="15" fillId="0" borderId="0" xfId="0" applyFont="1" applyAlignment="1">
      <alignment vertical="center"/>
    </xf>
    <xf numFmtId="0" fontId="16" fillId="0" borderId="0" xfId="0" applyFont="1"/>
    <xf numFmtId="0" fontId="16" fillId="0" borderId="0" xfId="0" applyFont="1" applyAlignment="1">
      <alignment vertical="center"/>
    </xf>
    <xf numFmtId="0" fontId="16" fillId="0" borderId="0" xfId="0" applyFont="1" applyAlignment="1">
      <alignment vertical="center" wrapText="1"/>
    </xf>
    <xf numFmtId="0" fontId="17" fillId="0" borderId="0" xfId="0" applyFont="1" applyAlignment="1">
      <alignment horizontal="left" wrapText="1"/>
    </xf>
    <xf numFmtId="0" fontId="16" fillId="0" borderId="0" xfId="0" applyFont="1" applyAlignment="1">
      <alignment horizontal="left" vertical="center" wrapText="1"/>
    </xf>
    <xf numFmtId="0" fontId="18" fillId="0" borderId="30" xfId="0" applyFont="1" applyBorder="1" applyAlignment="1">
      <alignment readingOrder="1"/>
    </xf>
    <xf numFmtId="0" fontId="19" fillId="0" borderId="30" xfId="0" applyFont="1" applyBorder="1" applyAlignment="1">
      <alignment readingOrder="1"/>
    </xf>
    <xf numFmtId="3" fontId="18" fillId="0" borderId="30" xfId="0" applyNumberFormat="1" applyFont="1" applyBorder="1" applyAlignment="1">
      <alignment readingOrder="1"/>
    </xf>
    <xf numFmtId="0" fontId="19" fillId="0" borderId="0" xfId="0" applyFont="1" applyAlignment="1">
      <alignment readingOrder="1"/>
    </xf>
    <xf numFmtId="0" fontId="18" fillId="0" borderId="0" xfId="0" applyFont="1" applyAlignment="1">
      <alignment readingOrder="1"/>
    </xf>
    <xf numFmtId="3" fontId="18" fillId="0" borderId="0" xfId="0" applyNumberFormat="1" applyFont="1" applyAlignment="1">
      <alignment readingOrder="1"/>
    </xf>
    <xf numFmtId="0" fontId="17" fillId="0" borderId="0" xfId="0" applyFont="1" applyAlignment="1">
      <alignment wrapText="1"/>
    </xf>
    <xf numFmtId="0" fontId="14" fillId="0" borderId="0" xfId="0" applyFont="1" applyAlignment="1">
      <alignment wrapText="1"/>
    </xf>
    <xf numFmtId="0" fontId="19" fillId="2" borderId="0" xfId="0" applyFont="1" applyFill="1" applyAlignment="1">
      <alignment vertical="center" wrapText="1"/>
    </xf>
    <xf numFmtId="8" fontId="0" fillId="0" borderId="28" xfId="0" applyNumberFormat="1" applyBorder="1"/>
    <xf numFmtId="10" fontId="0" fillId="0" borderId="0" xfId="0" applyNumberFormat="1"/>
    <xf numFmtId="10" fontId="0" fillId="0" borderId="28" xfId="0" applyNumberFormat="1" applyBorder="1"/>
    <xf numFmtId="6" fontId="0" fillId="0" borderId="28" xfId="0" applyNumberFormat="1" applyBorder="1"/>
    <xf numFmtId="0" fontId="0" fillId="10" borderId="29" xfId="0" applyFill="1" applyBorder="1"/>
    <xf numFmtId="0" fontId="0" fillId="10" borderId="28" xfId="0" applyFill="1" applyBorder="1"/>
    <xf numFmtId="10" fontId="0" fillId="10" borderId="28" xfId="0" applyNumberFormat="1" applyFill="1" applyBorder="1"/>
    <xf numFmtId="0" fontId="20" fillId="0" borderId="0" xfId="0" applyFont="1"/>
    <xf numFmtId="9" fontId="0" fillId="0" borderId="0" xfId="7" applyFont="1"/>
    <xf numFmtId="10" fontId="0" fillId="0" borderId="0" xfId="7" applyNumberFormat="1" applyFont="1"/>
    <xf numFmtId="0" fontId="21" fillId="0" borderId="0" xfId="0" applyFont="1"/>
    <xf numFmtId="0" fontId="21" fillId="0" borderId="0" xfId="0" applyFont="1" applyAlignment="1">
      <alignment wrapText="1"/>
    </xf>
    <xf numFmtId="0" fontId="0" fillId="0" borderId="0" xfId="0" applyAlignment="1">
      <alignment wrapText="1"/>
    </xf>
    <xf numFmtId="0" fontId="21" fillId="0" borderId="0" xfId="0" applyFont="1" applyAlignment="1">
      <alignment horizontal="left" vertical="center" wrapText="1"/>
    </xf>
    <xf numFmtId="0" fontId="22" fillId="0" borderId="0" xfId="0" applyFont="1" applyAlignment="1">
      <alignment horizontal="left" vertical="center" wrapText="1"/>
    </xf>
    <xf numFmtId="0" fontId="21" fillId="0" borderId="0" xfId="0" applyFont="1" applyAlignment="1">
      <alignment horizontal="left" vertical="center"/>
    </xf>
    <xf numFmtId="0" fontId="22" fillId="0" borderId="0" xfId="0" applyFont="1" applyAlignment="1">
      <alignment horizontal="left" vertical="center"/>
    </xf>
    <xf numFmtId="0" fontId="23" fillId="0" borderId="0" xfId="0" applyFont="1" applyAlignment="1">
      <alignment horizontal="left" vertical="center" wrapText="1"/>
    </xf>
    <xf numFmtId="0" fontId="21" fillId="0" borderId="12" xfId="0" applyFont="1" applyBorder="1"/>
    <xf numFmtId="0" fontId="21" fillId="0" borderId="12" xfId="0" applyFont="1" applyBorder="1" applyAlignment="1">
      <alignment wrapText="1"/>
    </xf>
    <xf numFmtId="0" fontId="25" fillId="0" borderId="0" xfId="0" applyFont="1" applyAlignment="1">
      <alignment horizontal="center" vertical="center"/>
    </xf>
    <xf numFmtId="0" fontId="23" fillId="0" borderId="0" xfId="0" applyFont="1" applyAlignment="1">
      <alignment wrapText="1"/>
    </xf>
    <xf numFmtId="0" fontId="23" fillId="0" borderId="0" xfId="0" quotePrefix="1" applyFont="1" applyAlignment="1">
      <alignment wrapText="1"/>
    </xf>
    <xf numFmtId="0" fontId="21" fillId="0" borderId="32" xfId="0" applyFont="1" applyBorder="1"/>
    <xf numFmtId="0" fontId="21" fillId="0" borderId="32" xfId="0" applyFont="1" applyBorder="1" applyAlignment="1">
      <alignment wrapText="1"/>
    </xf>
    <xf numFmtId="0" fontId="26" fillId="0" borderId="33" xfId="0" applyFont="1" applyBorder="1"/>
    <xf numFmtId="0" fontId="21" fillId="0" borderId="33" xfId="0" applyFont="1" applyBorder="1"/>
    <xf numFmtId="0" fontId="0" fillId="0" borderId="0" xfId="0" applyAlignment="1">
      <alignment horizontal="left" vertical="center"/>
    </xf>
    <xf numFmtId="0" fontId="25" fillId="0" borderId="0" xfId="0" applyFont="1" applyAlignment="1">
      <alignment horizontal="left" vertical="center"/>
    </xf>
    <xf numFmtId="0" fontId="12" fillId="0" borderId="0" xfId="0" applyFont="1" applyAlignment="1">
      <alignment horizontal="left" vertical="center" wrapText="1"/>
    </xf>
    <xf numFmtId="0" fontId="25" fillId="0" borderId="0" xfId="0" applyFont="1" applyAlignment="1">
      <alignment horizontal="left" vertical="center" wrapText="1"/>
    </xf>
    <xf numFmtId="0" fontId="22" fillId="0" borderId="0" xfId="0" applyFont="1" applyAlignment="1">
      <alignment horizontal="left" vertical="center" wrapText="1"/>
    </xf>
    <xf numFmtId="0" fontId="24" fillId="0" borderId="0" xfId="0" applyFont="1" applyAlignment="1">
      <alignment horizontal="left" vertical="center"/>
    </xf>
    <xf numFmtId="0" fontId="21" fillId="0" borderId="0" xfId="0" applyFont="1" applyAlignment="1">
      <alignment horizontal="left" vertical="center"/>
    </xf>
    <xf numFmtId="0" fontId="21" fillId="0" borderId="0" xfId="0" applyFont="1" applyAlignment="1">
      <alignment horizontal="left" vertical="center" wrapText="1"/>
    </xf>
    <xf numFmtId="0" fontId="21" fillId="0" borderId="31" xfId="0" applyFont="1" applyBorder="1" applyAlignment="1">
      <alignment horizontal="center" vertical="center" wrapText="1"/>
    </xf>
    <xf numFmtId="0" fontId="22" fillId="0" borderId="0" xfId="0" applyFont="1" applyAlignment="1">
      <alignment horizontal="left" vertical="center"/>
    </xf>
    <xf numFmtId="0" fontId="23" fillId="0" borderId="0" xfId="0" applyFont="1" applyAlignment="1">
      <alignment horizontal="left" vertical="center" wrapText="1"/>
    </xf>
    <xf numFmtId="0" fontId="19" fillId="2" borderId="0" xfId="0" applyFont="1" applyFill="1" applyAlignment="1">
      <alignment horizontal="left" vertical="center" wrapText="1"/>
    </xf>
    <xf numFmtId="0" fontId="15" fillId="0" borderId="0" xfId="0" applyFont="1" applyAlignment="1">
      <alignment horizontal="left" vertical="center" wrapText="1"/>
    </xf>
    <xf numFmtId="0" fontId="16" fillId="0" borderId="0" xfId="0" applyFont="1" applyAlignment="1">
      <alignment horizontal="left" vertical="center" wrapText="1"/>
    </xf>
    <xf numFmtId="0" fontId="18" fillId="0" borderId="0" xfId="0" applyFont="1" applyAlignment="1">
      <alignment horizontal="left" vertical="center" wrapText="1"/>
    </xf>
    <xf numFmtId="0" fontId="17" fillId="0" borderId="0" xfId="0" applyFont="1" applyAlignment="1">
      <alignment horizontal="left" vertical="center" wrapText="1"/>
    </xf>
  </cellXfs>
  <cellStyles count="8">
    <cellStyle name="20% - Accent1" xfId="2" builtinId="30"/>
    <cellStyle name="Calculation" xfId="6" builtinId="22"/>
    <cellStyle name="Comma" xfId="4" builtinId="3"/>
    <cellStyle name="Hyperlink" xfId="1" builtinId="8"/>
    <cellStyle name="Input" xfId="3" builtinId="20"/>
    <cellStyle name="Normal" xfId="0" builtinId="0"/>
    <cellStyle name="Output" xfId="5" builtinId="21"/>
    <cellStyle name="Percent" xfId="7" builtinId="5"/>
  </cellStyles>
  <dxfs count="95">
    <dxf>
      <font>
        <b val="0"/>
        <i val="0"/>
        <strike val="0"/>
        <condense val="0"/>
        <extend val="0"/>
        <outline val="0"/>
        <shadow val="0"/>
        <u val="none"/>
        <vertAlign val="baseline"/>
        <sz val="11"/>
        <color rgb="FF111827"/>
        <name val="Times New Roman"/>
        <family val="1"/>
        <scheme val="none"/>
      </font>
      <numFmt numFmtId="165" formatCode="&quot;$&quot;#,##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64" formatCode="0.0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4" formatCode="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4" formatCode="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0" formatCode="General"/>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right" vertical="center" textRotation="0" wrapText="0" indent="0" justifyLastLine="0" shrinkToFit="0" readingOrder="0"/>
    </dxf>
    <dxf>
      <border>
        <bottom style="thin">
          <color indexed="64"/>
        </bottom>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11827"/>
        <name val="Times New Roman"/>
        <family val="1"/>
        <scheme val="none"/>
      </font>
      <numFmt numFmtId="165" formatCode="&quot;$&quot;#,##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64" formatCode="0.0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4" formatCode="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4" formatCode="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0" formatCode="General"/>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111827"/>
        <name val="Times New Roman"/>
        <family val="1"/>
        <scheme val="none"/>
      </font>
      <fill>
        <patternFill patternType="solid">
          <fgColor rgb="FF000000"/>
          <bgColor rgb="FFFFFFFF"/>
        </patternFill>
      </fill>
      <alignment horizontal="right"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11827"/>
        <name val="Times New Roman"/>
        <family val="1"/>
        <scheme val="none"/>
      </font>
      <numFmt numFmtId="165" formatCode="&quot;$&quot;#,##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64" formatCode="0.0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4" formatCode="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4" formatCode="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0" formatCode="General"/>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right" vertical="center" textRotation="0" wrapText="0" indent="0" justifyLastLine="0" shrinkToFit="0" readingOrder="0"/>
    </dxf>
    <dxf>
      <border>
        <bottom style="thin">
          <color indexed="64"/>
        </bottom>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11827"/>
        <name val="Times New Roman"/>
        <family val="1"/>
        <scheme val="none"/>
      </font>
      <numFmt numFmtId="165" formatCode="&quot;$&quot;#,##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64" formatCode="0.0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4" formatCode="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4" formatCode="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0" formatCode="General"/>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right" vertical="center" textRotation="0" wrapText="0" indent="0" justifyLastLine="0" shrinkToFit="0" readingOrder="0"/>
    </dxf>
    <dxf>
      <border>
        <bottom style="thin">
          <color indexed="64"/>
        </bottom>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11827"/>
        <name val="Times New Roman"/>
        <family val="1"/>
        <scheme val="none"/>
      </font>
      <numFmt numFmtId="165" formatCode="&quot;$&quot;#,##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64" formatCode="0.0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4" formatCode="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4" formatCode="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0" formatCode="General"/>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11827"/>
        <name val="Times New Roman"/>
        <family val="1"/>
        <scheme val="none"/>
      </font>
      <numFmt numFmtId="0" formatCode="General"/>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11827"/>
        <name val="Times New Roman"/>
        <family val="1"/>
        <scheme val="none"/>
      </font>
      <numFmt numFmtId="14" formatCode="0.00%"/>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ertAlign val="baseline"/>
        <sz val="11"/>
        <color theme="10"/>
        <name val="Times New Roman"/>
        <family val="1"/>
        <scheme val="none"/>
      </font>
      <fill>
        <patternFill patternType="solid">
          <fgColor indexed="64"/>
          <bgColor rgb="FFFFFFFF"/>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right" vertical="center" textRotation="0" wrapText="0" indent="0" justifyLastLine="0" shrinkToFit="0" readingOrder="0"/>
    </dxf>
    <dxf>
      <border>
        <bottom style="thin">
          <color indexed="64"/>
        </bottom>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11827"/>
        <name val="Times New Roman"/>
        <family val="1"/>
        <scheme val="none"/>
      </font>
      <numFmt numFmtId="165" formatCode="&quot;$&quot;#,##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64" formatCode="0.0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66" formatCode="0.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4" formatCode="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0" formatCode="General"/>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11827"/>
        <name val="Times New Roman"/>
        <family val="1"/>
        <scheme val="none"/>
      </font>
      <numFmt numFmtId="0" formatCode="General"/>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11827"/>
        <name val="Times New Roman"/>
        <family val="1"/>
        <scheme val="none"/>
      </font>
      <numFmt numFmtId="14" formatCode="0.00%"/>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ertAlign val="baseline"/>
        <sz val="11"/>
        <color theme="10"/>
        <name val="Times New Roman"/>
        <family val="1"/>
        <scheme val="none"/>
      </font>
      <fill>
        <patternFill patternType="solid">
          <fgColor indexed="64"/>
          <bgColor rgb="FFFFFFFF"/>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right" vertical="center" textRotation="0" wrapText="0" indent="0" justifyLastLine="0" shrinkToFit="0" readingOrder="0"/>
    </dxf>
    <dxf>
      <border>
        <bottom style="thin">
          <color indexed="64"/>
        </bottom>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11827"/>
        <name val="Times New Roman"/>
        <family val="1"/>
        <scheme val="none"/>
      </font>
      <numFmt numFmtId="0" formatCode="General"/>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64" formatCode="0.0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67" formatCode="0.00000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14" formatCode="0.00%"/>
      <fill>
        <patternFill patternType="solid">
          <fgColor indexed="64"/>
          <bgColor rgb="FFFFFFFF"/>
        </patternFill>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111827"/>
        <name val="Times New Roman"/>
        <family val="1"/>
        <scheme val="none"/>
      </font>
      <numFmt numFmtId="0" formatCode="General"/>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11827"/>
        <name val="Times New Roman"/>
        <family val="1"/>
        <scheme val="none"/>
      </font>
      <numFmt numFmtId="0" formatCode="General"/>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11827"/>
        <name val="Times New Roman"/>
        <family val="1"/>
        <scheme val="none"/>
      </font>
      <numFmt numFmtId="14" formatCode="0.00%"/>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ertAlign val="baseline"/>
        <sz val="11"/>
        <color theme="10"/>
        <name val="Times New Roman"/>
        <family val="1"/>
        <scheme val="none"/>
      </font>
      <fill>
        <patternFill patternType="solid">
          <fgColor indexed="64"/>
          <bgColor rgb="FFFFFFFF"/>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right" vertical="center" textRotation="0" wrapText="0" indent="0" justifyLastLine="0" shrinkToFit="0" readingOrder="0"/>
    </dxf>
    <dxf>
      <border>
        <bottom style="thin">
          <color indexed="64"/>
        </bottom>
      </border>
    </dxf>
    <dxf>
      <font>
        <b val="0"/>
        <i val="0"/>
        <strike val="0"/>
        <condense val="0"/>
        <extend val="0"/>
        <outline val="0"/>
        <shadow val="0"/>
        <u val="none"/>
        <vertAlign val="baseline"/>
        <sz val="11"/>
        <color rgb="FF111827"/>
        <name val="Times New Roman"/>
        <family val="1"/>
        <scheme val="none"/>
      </font>
      <fill>
        <patternFill patternType="solid">
          <fgColor indexed="64"/>
          <bgColor rgb="FFFFFFFF"/>
        </patternFill>
      </fill>
      <alignment horizontal="general"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Plot A — Original scale</a:t>
            </a:r>
          </a:p>
        </c:rich>
      </c:tx>
      <c:layout>
        <c:manualLayout>
          <c:xMode val="edge"/>
          <c:yMode val="edge"/>
          <c:x val="0.30084141667350173"/>
          <c:y val="3.04226345486111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'Liquidity Ladder'!$E$3</c:f>
              <c:strCache>
                <c:ptCount val="1"/>
                <c:pt idx="0">
                  <c:v>Cumulative Impact (bps)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'Liquidity Ladder'!$D$4:$D$13</c:f>
              <c:numCache>
                <c:formatCode>General</c:formatCode>
                <c:ptCount val="10"/>
                <c:pt idx="0">
                  <c:v>1E-3</c:v>
                </c:pt>
                <c:pt idx="1">
                  <c:v>3.0000000000000001E-3</c:v>
                </c:pt>
                <c:pt idx="2">
                  <c:v>7.0000000000000001E-3</c:v>
                </c:pt>
                <c:pt idx="3">
                  <c:v>1.4999999999999999E-2</c:v>
                </c:pt>
                <c:pt idx="4">
                  <c:v>3.1E-2</c:v>
                </c:pt>
                <c:pt idx="5">
                  <c:v>6.3E-2</c:v>
                </c:pt>
                <c:pt idx="6">
                  <c:v>0.127</c:v>
                </c:pt>
                <c:pt idx="7">
                  <c:v>0.255</c:v>
                </c:pt>
                <c:pt idx="8">
                  <c:v>0.51100000000000001</c:v>
                </c:pt>
                <c:pt idx="9">
                  <c:v>1.0230000000000001</c:v>
                </c:pt>
              </c:numCache>
            </c:numRef>
          </c:xVal>
          <c:yVal>
            <c:numRef>
              <c:f>'Liquidity Ladder'!$E$4:$E$13</c:f>
              <c:numCache>
                <c:formatCode>General</c:formatCode>
                <c:ptCount val="10"/>
                <c:pt idx="0">
                  <c:v>1</c:v>
                </c:pt>
                <c:pt idx="1">
                  <c:v>27.666666666666668</c:v>
                </c:pt>
                <c:pt idx="2">
                  <c:v>58.714285714285715</c:v>
                </c:pt>
                <c:pt idx="3">
                  <c:v>93</c:v>
                </c:pt>
                <c:pt idx="4">
                  <c:v>129.64516129032259</c:v>
                </c:pt>
                <c:pt idx="5">
                  <c:v>167.92063492063494</c:v>
                </c:pt>
                <c:pt idx="6">
                  <c:v>207.26771653543307</c:v>
                </c:pt>
                <c:pt idx="7">
                  <c:v>247.29019607843139</c:v>
                </c:pt>
                <c:pt idx="8">
                  <c:v>287.72407045009788</c:v>
                </c:pt>
                <c:pt idx="9">
                  <c:v>328.40175953079176</c:v>
                </c:pt>
              </c:numCache>
            </c:numRef>
          </c:yVal>
          <c:smooth val="1"/>
          <c:extLst>
            <c:ext xmlns:c16="http://schemas.microsoft.com/office/drawing/2014/chart" uri="{C3380CC4-5D6E-409C-BE32-E72D297353CC}">
              <c16:uniqueId val="{00000000-FAF3-4164-92D3-AD9CE9702E45}"/>
            </c:ext>
          </c:extLst>
        </c:ser>
        <c:ser>
          <c:idx val="1"/>
          <c:order val="1"/>
          <c:tx>
            <c:strRef>
              <c:f>{"Power "}</c:f>
              <c:strCache>
                <c:ptCount val="1"/>
                <c:pt idx="0">
                  <c:v>Power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'Liquidity Ladder'!$D$4:$D$13</c:f>
              <c:numCache>
                <c:formatCode>General</c:formatCode>
                <c:ptCount val="10"/>
                <c:pt idx="0">
                  <c:v>1E-3</c:v>
                </c:pt>
                <c:pt idx="1">
                  <c:v>3.0000000000000001E-3</c:v>
                </c:pt>
                <c:pt idx="2">
                  <c:v>7.0000000000000001E-3</c:v>
                </c:pt>
                <c:pt idx="3">
                  <c:v>1.4999999999999999E-2</c:v>
                </c:pt>
                <c:pt idx="4">
                  <c:v>3.1E-2</c:v>
                </c:pt>
                <c:pt idx="5">
                  <c:v>6.3E-2</c:v>
                </c:pt>
                <c:pt idx="6">
                  <c:v>0.127</c:v>
                </c:pt>
                <c:pt idx="7">
                  <c:v>0.255</c:v>
                </c:pt>
                <c:pt idx="8">
                  <c:v>0.51100000000000001</c:v>
                </c:pt>
                <c:pt idx="9">
                  <c:v>1.0230000000000001</c:v>
                </c:pt>
              </c:numCache>
            </c:numRef>
          </c:xVal>
          <c:yVal>
            <c:numRef>
              <c:f>'Liquidity Ladder'!$F$4:$F$13</c:f>
              <c:numCache>
                <c:formatCode>General</c:formatCode>
                <c:ptCount val="10"/>
                <c:pt idx="0">
                  <c:v>40.755839543204296</c:v>
                </c:pt>
                <c:pt idx="1">
                  <c:v>57.393876846678594</c:v>
                </c:pt>
                <c:pt idx="2">
                  <c:v>74.73615995893752</c:v>
                </c:pt>
                <c:pt idx="3">
                  <c:v>94.770146327512023</c:v>
                </c:pt>
                <c:pt idx="4">
                  <c:v>118.82640204938562</c:v>
                </c:pt>
                <c:pt idx="5">
                  <c:v>148.21160659048138</c:v>
                </c:pt>
                <c:pt idx="6">
                  <c:v>184.39789566596616</c:v>
                </c:pt>
                <c:pt idx="7">
                  <c:v>229.13511269712961</c:v>
                </c:pt>
                <c:pt idx="8">
                  <c:v>284.55136525196997</c:v>
                </c:pt>
                <c:pt idx="9">
                  <c:v>353.26202993121183</c:v>
                </c:pt>
              </c:numCache>
            </c:numRef>
          </c:yVal>
          <c:smooth val="1"/>
          <c:extLst>
            <c:ext xmlns:c16="http://schemas.microsoft.com/office/drawing/2014/chart" uri="{C3380CC4-5D6E-409C-BE32-E72D297353CC}">
              <c16:uniqueId val="{00000001-FAF3-4164-92D3-AD9CE9702E45}"/>
            </c:ext>
          </c:extLst>
        </c:ser>
        <c:ser>
          <c:idx val="2"/>
          <c:order val="2"/>
          <c:tx>
            <c:strRef>
              <c:f>{"Square Root"}</c:f>
              <c:strCache>
                <c:ptCount val="1"/>
                <c:pt idx="0">
                  <c:v>Square Root</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'Liquidity Ladder'!$D$4:$D$13</c:f>
              <c:numCache>
                <c:formatCode>General</c:formatCode>
                <c:ptCount val="10"/>
                <c:pt idx="0">
                  <c:v>1E-3</c:v>
                </c:pt>
                <c:pt idx="1">
                  <c:v>3.0000000000000001E-3</c:v>
                </c:pt>
                <c:pt idx="2">
                  <c:v>7.0000000000000001E-3</c:v>
                </c:pt>
                <c:pt idx="3">
                  <c:v>1.4999999999999999E-2</c:v>
                </c:pt>
                <c:pt idx="4">
                  <c:v>3.1E-2</c:v>
                </c:pt>
                <c:pt idx="5">
                  <c:v>6.3E-2</c:v>
                </c:pt>
                <c:pt idx="6">
                  <c:v>0.127</c:v>
                </c:pt>
                <c:pt idx="7">
                  <c:v>0.255</c:v>
                </c:pt>
                <c:pt idx="8">
                  <c:v>0.51100000000000001</c:v>
                </c:pt>
                <c:pt idx="9">
                  <c:v>1.0230000000000001</c:v>
                </c:pt>
              </c:numCache>
            </c:numRef>
          </c:xVal>
          <c:yVal>
            <c:numRef>
              <c:f>'Liquidity Ladder'!$H$4:$H$13</c:f>
              <c:numCache>
                <c:formatCode>General</c:formatCode>
                <c:ptCount val="10"/>
                <c:pt idx="0">
                  <c:v>31.380357310078999</c:v>
                </c:pt>
                <c:pt idx="1">
                  <c:v>43.259798345696979</c:v>
                </c:pt>
                <c:pt idx="2">
                  <c:v>58.086981299757888</c:v>
                </c:pt>
                <c:pt idx="3">
                  <c:v>78.002034254779673</c:v>
                </c:pt>
                <c:pt idx="4">
                  <c:v>105.5042935885468</c:v>
                </c:pt>
                <c:pt idx="5">
                  <c:v>143.9554657539426</c:v>
                </c:pt>
                <c:pt idx="6">
                  <c:v>198.02870904882934</c:v>
                </c:pt>
                <c:pt idx="7">
                  <c:v>274.28702160414525</c:v>
                </c:pt>
                <c:pt idx="8">
                  <c:v>381.98306546331276</c:v>
                </c:pt>
                <c:pt idx="9">
                  <c:v>534.18290420124151</c:v>
                </c:pt>
              </c:numCache>
            </c:numRef>
          </c:yVal>
          <c:smooth val="1"/>
          <c:extLst>
            <c:ext xmlns:c16="http://schemas.microsoft.com/office/drawing/2014/chart" uri="{C3380CC4-5D6E-409C-BE32-E72D297353CC}">
              <c16:uniqueId val="{00000002-FAF3-4164-92D3-AD9CE9702E45}"/>
            </c:ext>
          </c:extLst>
        </c:ser>
        <c:ser>
          <c:idx val="3"/>
          <c:order val="3"/>
          <c:tx>
            <c:strRef>
              <c:f>{"Log"}</c:f>
              <c:strCache>
                <c:ptCount val="1"/>
                <c:pt idx="0">
                  <c:v>Log</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'Liquidity Ladder'!$D$4:$D$13</c:f>
              <c:numCache>
                <c:formatCode>General</c:formatCode>
                <c:ptCount val="10"/>
                <c:pt idx="0">
                  <c:v>1E-3</c:v>
                </c:pt>
                <c:pt idx="1">
                  <c:v>3.0000000000000001E-3</c:v>
                </c:pt>
                <c:pt idx="2">
                  <c:v>7.0000000000000001E-3</c:v>
                </c:pt>
                <c:pt idx="3">
                  <c:v>1.4999999999999999E-2</c:v>
                </c:pt>
                <c:pt idx="4">
                  <c:v>3.1E-2</c:v>
                </c:pt>
                <c:pt idx="5">
                  <c:v>6.3E-2</c:v>
                </c:pt>
                <c:pt idx="6">
                  <c:v>0.127</c:v>
                </c:pt>
                <c:pt idx="7">
                  <c:v>0.255</c:v>
                </c:pt>
                <c:pt idx="8">
                  <c:v>0.51100000000000001</c:v>
                </c:pt>
                <c:pt idx="9">
                  <c:v>1.0230000000000001</c:v>
                </c:pt>
              </c:numCache>
            </c:numRef>
          </c:xVal>
          <c:yVal>
            <c:numRef>
              <c:f>'Liquidity Ladder'!$J$4:$J$13</c:f>
              <c:numCache>
                <c:formatCode>General</c:formatCode>
                <c:ptCount val="10"/>
                <c:pt idx="0">
                  <c:v>-25.792616263071636</c:v>
                </c:pt>
                <c:pt idx="1">
                  <c:v>28.019672271964907</c:v>
                </c:pt>
                <c:pt idx="2">
                  <c:v>69.522063432682728</c:v>
                </c:pt>
                <c:pt idx="3">
                  <c:v>106.85325006502634</c:v>
                </c:pt>
                <c:pt idx="4">
                  <c:v>142.41113694399215</c:v>
                </c:pt>
                <c:pt idx="5">
                  <c:v>177.14664050275582</c:v>
                </c:pt>
                <c:pt idx="6">
                  <c:v>211.48562639179286</c:v>
                </c:pt>
                <c:pt idx="7">
                  <c:v>245.62986445781104</c:v>
                </c:pt>
                <c:pt idx="8">
                  <c:v>279.67758761205721</c:v>
                </c:pt>
                <c:pt idx="9">
                  <c:v>313.67726577155059</c:v>
                </c:pt>
              </c:numCache>
            </c:numRef>
          </c:yVal>
          <c:smooth val="1"/>
          <c:extLst>
            <c:ext xmlns:c16="http://schemas.microsoft.com/office/drawing/2014/chart" uri="{C3380CC4-5D6E-409C-BE32-E72D297353CC}">
              <c16:uniqueId val="{00000003-FAF3-4164-92D3-AD9CE9702E45}"/>
            </c:ext>
          </c:extLst>
        </c:ser>
        <c:dLbls>
          <c:showLegendKey val="0"/>
          <c:showVal val="0"/>
          <c:showCatName val="0"/>
          <c:showSerName val="0"/>
          <c:showPercent val="0"/>
          <c:showBubbleSize val="0"/>
        </c:dLbls>
        <c:axId val="819264007"/>
        <c:axId val="846948871"/>
      </c:scatterChart>
      <c:valAx>
        <c:axId val="819264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48871"/>
        <c:crosses val="autoZero"/>
        <c:crossBetween val="midCat"/>
      </c:valAx>
      <c:valAx>
        <c:axId val="846948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2640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Plot B — Log scale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'Liquidity Ladder'!$E$3</c:f>
              <c:strCache>
                <c:ptCount val="1"/>
                <c:pt idx="0">
                  <c:v>Cumulative Impact (bps)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'Liquidity Ladder'!$D$4:$D$13</c:f>
              <c:numCache>
                <c:formatCode>General</c:formatCode>
                <c:ptCount val="10"/>
                <c:pt idx="0">
                  <c:v>1E-3</c:v>
                </c:pt>
                <c:pt idx="1">
                  <c:v>3.0000000000000001E-3</c:v>
                </c:pt>
                <c:pt idx="2">
                  <c:v>7.0000000000000001E-3</c:v>
                </c:pt>
                <c:pt idx="3">
                  <c:v>1.4999999999999999E-2</c:v>
                </c:pt>
                <c:pt idx="4">
                  <c:v>3.1E-2</c:v>
                </c:pt>
                <c:pt idx="5">
                  <c:v>6.3E-2</c:v>
                </c:pt>
                <c:pt idx="6">
                  <c:v>0.127</c:v>
                </c:pt>
                <c:pt idx="7">
                  <c:v>0.255</c:v>
                </c:pt>
                <c:pt idx="8">
                  <c:v>0.51100000000000001</c:v>
                </c:pt>
                <c:pt idx="9">
                  <c:v>1.0230000000000001</c:v>
                </c:pt>
              </c:numCache>
            </c:numRef>
          </c:xVal>
          <c:yVal>
            <c:numRef>
              <c:f>'Liquidity Ladder'!$E$4:$E$13</c:f>
              <c:numCache>
                <c:formatCode>General</c:formatCode>
                <c:ptCount val="10"/>
                <c:pt idx="0">
                  <c:v>1</c:v>
                </c:pt>
                <c:pt idx="1">
                  <c:v>27.666666666666668</c:v>
                </c:pt>
                <c:pt idx="2">
                  <c:v>58.714285714285715</c:v>
                </c:pt>
                <c:pt idx="3">
                  <c:v>93</c:v>
                </c:pt>
                <c:pt idx="4">
                  <c:v>129.64516129032259</c:v>
                </c:pt>
                <c:pt idx="5">
                  <c:v>167.92063492063494</c:v>
                </c:pt>
                <c:pt idx="6">
                  <c:v>207.26771653543307</c:v>
                </c:pt>
                <c:pt idx="7">
                  <c:v>247.29019607843139</c:v>
                </c:pt>
                <c:pt idx="8">
                  <c:v>287.72407045009788</c:v>
                </c:pt>
                <c:pt idx="9">
                  <c:v>328.40175953079176</c:v>
                </c:pt>
              </c:numCache>
            </c:numRef>
          </c:yVal>
          <c:smooth val="1"/>
          <c:extLst>
            <c:ext xmlns:c16="http://schemas.microsoft.com/office/drawing/2014/chart" uri="{C3380CC4-5D6E-409C-BE32-E72D297353CC}">
              <c16:uniqueId val="{00000000-C4B2-4BB8-8E29-D2F355BA98C5}"/>
            </c:ext>
          </c:extLst>
        </c:ser>
        <c:dLbls>
          <c:showLegendKey val="0"/>
          <c:showVal val="0"/>
          <c:showCatName val="0"/>
          <c:showSerName val="0"/>
          <c:showPercent val="0"/>
          <c:showBubbleSize val="0"/>
        </c:dLbls>
        <c:axId val="819264007"/>
        <c:axId val="846948871"/>
      </c:scatterChart>
      <c:valAx>
        <c:axId val="819264007"/>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48871"/>
        <c:crosses val="autoZero"/>
        <c:crossBetween val="midCat"/>
      </c:valAx>
      <c:valAx>
        <c:axId val="846948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2640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hyperlink" Target="https://apps.apple.com/us/app/stock-analysis-app/id6751272467" TargetMode="External"/><Relationship Id="rId2" Type="http://schemas.openxmlformats.org/officeDocument/2006/relationships/hyperlink" Target="https://x.com/stock_analysisx" TargetMode="External"/><Relationship Id="rId1" Type="http://schemas.openxmlformats.org/officeDocument/2006/relationships/hyperlink" Target="https://www.facebook.com/stockanalysisoff/" TargetMode="External"/><Relationship Id="rId4" Type="http://schemas.openxmlformats.org/officeDocument/2006/relationships/hyperlink" Target="https://play.google.com/store/apps/details?id=com.stockanalysis.app" TargetMode="External"/></Relationships>
</file>

<file path=xl/drawings/_rels/drawing3.xml.rels><?xml version="1.0" encoding="UTF-8" standalone="yes"?>
<Relationships xmlns="http://schemas.openxmlformats.org/package/2006/relationships"><Relationship Id="rId3" Type="http://schemas.openxmlformats.org/officeDocument/2006/relationships/hyperlink" Target="https://apps.apple.com/us/app/stock-analysis-app/id6751272467" TargetMode="External"/><Relationship Id="rId2" Type="http://schemas.openxmlformats.org/officeDocument/2006/relationships/hyperlink" Target="https://x.com/stock_analysisx" TargetMode="External"/><Relationship Id="rId1" Type="http://schemas.openxmlformats.org/officeDocument/2006/relationships/hyperlink" Target="https://www.facebook.com/stockanalysisoff/" TargetMode="External"/><Relationship Id="rId4" Type="http://schemas.openxmlformats.org/officeDocument/2006/relationships/hyperlink" Target="https://play.google.com/store/apps/details?id=com.stockanalysis.app" TargetMode="External"/></Relationships>
</file>

<file path=xl/drawings/_rels/drawing4.xml.rels><?xml version="1.0" encoding="UTF-8" standalone="yes"?>
<Relationships xmlns="http://schemas.openxmlformats.org/package/2006/relationships"><Relationship Id="rId3" Type="http://schemas.openxmlformats.org/officeDocument/2006/relationships/hyperlink" Target="https://apps.apple.com/us/app/stock-analysis-app/id6751272467" TargetMode="External"/><Relationship Id="rId2" Type="http://schemas.openxmlformats.org/officeDocument/2006/relationships/hyperlink" Target="https://x.com/stock_analysisx" TargetMode="External"/><Relationship Id="rId1" Type="http://schemas.openxmlformats.org/officeDocument/2006/relationships/hyperlink" Target="https://www.facebook.com/stockanalysisoff/" TargetMode="External"/><Relationship Id="rId4" Type="http://schemas.openxmlformats.org/officeDocument/2006/relationships/hyperlink" Target="https://play.google.com/store/apps/details?id=com.stockanalysis.app" TargetMode="External"/></Relationships>
</file>

<file path=xl/drawings/_rels/drawing5.xml.rels><?xml version="1.0" encoding="UTF-8" standalone="yes"?>
<Relationships xmlns="http://schemas.openxmlformats.org/package/2006/relationships"><Relationship Id="rId3" Type="http://schemas.openxmlformats.org/officeDocument/2006/relationships/hyperlink" Target="https://apps.apple.com/us/app/stock-analysis-app/id6751272467" TargetMode="External"/><Relationship Id="rId2" Type="http://schemas.openxmlformats.org/officeDocument/2006/relationships/hyperlink" Target="https://x.com/stock_analysisx" TargetMode="External"/><Relationship Id="rId1" Type="http://schemas.openxmlformats.org/officeDocument/2006/relationships/hyperlink" Target="https://www.facebook.com/stockanalysisoff/" TargetMode="External"/><Relationship Id="rId4" Type="http://schemas.openxmlformats.org/officeDocument/2006/relationships/hyperlink" Target="https://play.google.com/store/apps/details?id=com.stockanalysis.app" TargetMode="External"/></Relationships>
</file>

<file path=xl/drawings/_rels/drawing6.xml.rels><?xml version="1.0" encoding="UTF-8" standalone="yes"?>
<Relationships xmlns="http://schemas.openxmlformats.org/package/2006/relationships"><Relationship Id="rId3" Type="http://schemas.openxmlformats.org/officeDocument/2006/relationships/hyperlink" Target="https://apps.apple.com/us/app/stock-analysis-app/id6751272467" TargetMode="External"/><Relationship Id="rId2" Type="http://schemas.openxmlformats.org/officeDocument/2006/relationships/hyperlink" Target="https://x.com/stock_analysisx" TargetMode="External"/><Relationship Id="rId1" Type="http://schemas.openxmlformats.org/officeDocument/2006/relationships/hyperlink" Target="https://www.facebook.com/stockanalysisoff/" TargetMode="External"/><Relationship Id="rId4" Type="http://schemas.openxmlformats.org/officeDocument/2006/relationships/hyperlink" Target="https://play.google.com/store/apps/details?id=com.stockanalysis.app" TargetMode="External"/></Relationships>
</file>

<file path=xl/drawings/_rels/drawing7.xml.rels><?xml version="1.0" encoding="UTF-8" standalone="yes"?>
<Relationships xmlns="http://schemas.openxmlformats.org/package/2006/relationships"><Relationship Id="rId3" Type="http://schemas.openxmlformats.org/officeDocument/2006/relationships/hyperlink" Target="https://apps.apple.com/us/app/stock-analysis-app/id6751272467" TargetMode="External"/><Relationship Id="rId2" Type="http://schemas.openxmlformats.org/officeDocument/2006/relationships/hyperlink" Target="https://x.com/stock_analysisx" TargetMode="External"/><Relationship Id="rId1" Type="http://schemas.openxmlformats.org/officeDocument/2006/relationships/hyperlink" Target="https://www.facebook.com/stockanalysisoff/" TargetMode="External"/><Relationship Id="rId4" Type="http://schemas.openxmlformats.org/officeDocument/2006/relationships/hyperlink" Target="https://play.google.com/store/apps/details?id=com.stockanalysis.app" TargetMode="External"/></Relationships>
</file>

<file path=xl/drawings/_rels/drawing8.xml.rels><?xml version="1.0" encoding="UTF-8" standalone="yes"?>
<Relationships xmlns="http://schemas.openxmlformats.org/package/2006/relationships"><Relationship Id="rId3" Type="http://schemas.openxmlformats.org/officeDocument/2006/relationships/hyperlink" Target="https://apps.apple.com/us/app/stock-analysis-app/id6751272467" TargetMode="External"/><Relationship Id="rId2" Type="http://schemas.openxmlformats.org/officeDocument/2006/relationships/hyperlink" Target="https://x.com/stock_analysisx" TargetMode="External"/><Relationship Id="rId1" Type="http://schemas.openxmlformats.org/officeDocument/2006/relationships/hyperlink" Target="https://www.facebook.com/stockanalysisoff/" TargetMode="External"/><Relationship Id="rId4" Type="http://schemas.openxmlformats.org/officeDocument/2006/relationships/hyperlink" Target="https://play.google.com/store/apps/details?id=com.stockanalysis.app" TargetMode="External"/></Relationships>
</file>

<file path=xl/drawings/drawing1.xml><?xml version="1.0" encoding="utf-8"?>
<xdr:wsDr xmlns:xdr="http://schemas.openxmlformats.org/drawingml/2006/spreadsheetDrawing" xmlns:a="http://schemas.openxmlformats.org/drawingml/2006/main">
  <xdr:twoCellAnchor>
    <xdr:from>
      <xdr:col>0</xdr:col>
      <xdr:colOff>133350</xdr:colOff>
      <xdr:row>22</xdr:row>
      <xdr:rowOff>66675</xdr:rowOff>
    </xdr:from>
    <xdr:to>
      <xdr:col>3</xdr:col>
      <xdr:colOff>885825</xdr:colOff>
      <xdr:row>38</xdr:row>
      <xdr:rowOff>104775</xdr:rowOff>
    </xdr:to>
    <xdr:graphicFrame macro="">
      <xdr:nvGraphicFramePr>
        <xdr:cNvPr id="2" name="Chart 2">
          <a:extLst>
            <a:ext uri="{FF2B5EF4-FFF2-40B4-BE49-F238E27FC236}">
              <a16:creationId xmlns:a16="http://schemas.microsoft.com/office/drawing/2014/main" id="{A653F9B2-AE1A-418F-AE56-17583335961A}"/>
            </a:ext>
            <a:ext uri="{147F2762-F138-4A5C-976F-8EAC2B608ADB}">
              <a16:predDERef xmlns:a16="http://schemas.microsoft.com/office/drawing/2014/main" pred="{1347AF9F-D08A-4619-ACFA-8E5DA1833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1733550</xdr:colOff>
      <xdr:row>22</xdr:row>
      <xdr:rowOff>57150</xdr:rowOff>
    </xdr:from>
    <xdr:to>
      <xdr:col>7</xdr:col>
      <xdr:colOff>1066800</xdr:colOff>
      <xdr:row>36</xdr:row>
      <xdr:rowOff>114300</xdr:rowOff>
    </xdr:to>
    <xdr:graphicFrame macro="">
      <xdr:nvGraphicFramePr>
        <xdr:cNvPr id="3" name="Chart 3">
          <a:extLst>
            <a:ext uri="{FF2B5EF4-FFF2-40B4-BE49-F238E27FC236}">
              <a16:creationId xmlns:a16="http://schemas.microsoft.com/office/drawing/2014/main" id="{0C7A5856-09BD-4416-9053-74221F67E337}"/>
            </a:ext>
            <a:ext uri="{147F2762-F138-4A5C-976F-8EAC2B608ADB}">
              <a16:predDERef xmlns:a16="http://schemas.microsoft.com/office/drawing/2014/main" pred="{E13EB6B3-A8E2-7156-82CC-581FCF47D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153</xdr:row>
      <xdr:rowOff>0</xdr:rowOff>
    </xdr:from>
    <xdr:to>
      <xdr:col>0</xdr:col>
      <xdr:colOff>304800</xdr:colOff>
      <xdr:row>154</xdr:row>
      <xdr:rowOff>104775</xdr:rowOff>
    </xdr:to>
    <xdr:sp macro="" textlink="">
      <xdr:nvSpPr>
        <xdr:cNvPr id="1025" name="AutoShape 1" descr="Facebook">
          <a:hlinkClick xmlns:r="http://schemas.openxmlformats.org/officeDocument/2006/relationships" r:id="rId1" tgtFrame="_blank"/>
          <a:extLst>
            <a:ext uri="{FF2B5EF4-FFF2-40B4-BE49-F238E27FC236}">
              <a16:creationId xmlns:a16="http://schemas.microsoft.com/office/drawing/2014/main" id="{78741D0C-683A-36F4-939B-AA83DA2BDD77}"/>
            </a:ext>
          </a:extLst>
        </xdr:cNvPr>
        <xdr:cNvSpPr>
          <a:spLocks noChangeAspect="1" noChangeArrowheads="1"/>
        </xdr:cNvSpPr>
      </xdr:nvSpPr>
      <xdr:spPr bwMode="auto">
        <a:xfrm>
          <a:off x="0" y="29878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312420</xdr:colOff>
      <xdr:row>153</xdr:row>
      <xdr:rowOff>0</xdr:rowOff>
    </xdr:from>
    <xdr:to>
      <xdr:col>0</xdr:col>
      <xdr:colOff>617220</xdr:colOff>
      <xdr:row>154</xdr:row>
      <xdr:rowOff>104775</xdr:rowOff>
    </xdr:to>
    <xdr:sp macro="" textlink="">
      <xdr:nvSpPr>
        <xdr:cNvPr id="1026" name="AutoShape 2" descr="X (Twitter)">
          <a:hlinkClick xmlns:r="http://schemas.openxmlformats.org/officeDocument/2006/relationships" r:id="rId2" tgtFrame="_blank"/>
          <a:extLst>
            <a:ext uri="{FF2B5EF4-FFF2-40B4-BE49-F238E27FC236}">
              <a16:creationId xmlns:a16="http://schemas.microsoft.com/office/drawing/2014/main" id="{363D8C8B-4595-590F-B2CB-674F50488CA0}"/>
            </a:ext>
          </a:extLst>
        </xdr:cNvPr>
        <xdr:cNvSpPr>
          <a:spLocks noChangeAspect="1" noChangeArrowheads="1"/>
        </xdr:cNvSpPr>
      </xdr:nvSpPr>
      <xdr:spPr bwMode="auto">
        <a:xfrm>
          <a:off x="312420" y="29878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15240</xdr:colOff>
      <xdr:row>153</xdr:row>
      <xdr:rowOff>0</xdr:rowOff>
    </xdr:from>
    <xdr:to>
      <xdr:col>1</xdr:col>
      <xdr:colOff>320040</xdr:colOff>
      <xdr:row>154</xdr:row>
      <xdr:rowOff>104775</xdr:rowOff>
    </xdr:to>
    <xdr:sp macro="" textlink="">
      <xdr:nvSpPr>
        <xdr:cNvPr id="1027" name="AutoShape 3" descr="Download on the App Store">
          <a:hlinkClick xmlns:r="http://schemas.openxmlformats.org/officeDocument/2006/relationships" r:id="rId3" tgtFrame="_blank"/>
          <a:extLst>
            <a:ext uri="{FF2B5EF4-FFF2-40B4-BE49-F238E27FC236}">
              <a16:creationId xmlns:a16="http://schemas.microsoft.com/office/drawing/2014/main" id="{345BFE19-3DF7-C643-78C1-A772DBFE90E0}"/>
            </a:ext>
          </a:extLst>
        </xdr:cNvPr>
        <xdr:cNvSpPr>
          <a:spLocks noChangeAspect="1" noChangeArrowheads="1"/>
        </xdr:cNvSpPr>
      </xdr:nvSpPr>
      <xdr:spPr bwMode="auto">
        <a:xfrm>
          <a:off x="624840" y="29878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327660</xdr:colOff>
      <xdr:row>153</xdr:row>
      <xdr:rowOff>0</xdr:rowOff>
    </xdr:from>
    <xdr:to>
      <xdr:col>1</xdr:col>
      <xdr:colOff>632460</xdr:colOff>
      <xdr:row>154</xdr:row>
      <xdr:rowOff>104775</xdr:rowOff>
    </xdr:to>
    <xdr:sp macro="" textlink="">
      <xdr:nvSpPr>
        <xdr:cNvPr id="1028" name="AutoShape 4" descr="Get it on Google Play">
          <a:hlinkClick xmlns:r="http://schemas.openxmlformats.org/officeDocument/2006/relationships" r:id="rId4" tgtFrame="_blank"/>
          <a:extLst>
            <a:ext uri="{FF2B5EF4-FFF2-40B4-BE49-F238E27FC236}">
              <a16:creationId xmlns:a16="http://schemas.microsoft.com/office/drawing/2014/main" id="{A600BA5C-CF0E-B3C9-EA3F-203B4C2F6F34}"/>
            </a:ext>
          </a:extLst>
        </xdr:cNvPr>
        <xdr:cNvSpPr>
          <a:spLocks noChangeAspect="1" noChangeArrowheads="1"/>
        </xdr:cNvSpPr>
      </xdr:nvSpPr>
      <xdr:spPr bwMode="auto">
        <a:xfrm>
          <a:off x="937260" y="29878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194</xdr:row>
      <xdr:rowOff>0</xdr:rowOff>
    </xdr:from>
    <xdr:to>
      <xdr:col>0</xdr:col>
      <xdr:colOff>304800</xdr:colOff>
      <xdr:row>195</xdr:row>
      <xdr:rowOff>104775</xdr:rowOff>
    </xdr:to>
    <xdr:sp macro="" textlink="">
      <xdr:nvSpPr>
        <xdr:cNvPr id="2" name="AutoShape 1" descr="Facebook">
          <a:hlinkClick xmlns:r="http://schemas.openxmlformats.org/officeDocument/2006/relationships" r:id="rId1" tgtFrame="_blank"/>
          <a:extLst>
            <a:ext uri="{FF2B5EF4-FFF2-40B4-BE49-F238E27FC236}">
              <a16:creationId xmlns:a16="http://schemas.microsoft.com/office/drawing/2014/main" id="{D93FDF4F-25F8-401D-A646-B23A5BFFDA39}"/>
            </a:ext>
          </a:extLst>
        </xdr:cNvPr>
        <xdr:cNvSpPr>
          <a:spLocks noChangeAspect="1" noChangeArrowheads="1"/>
        </xdr:cNvSpPr>
      </xdr:nvSpPr>
      <xdr:spPr bwMode="auto">
        <a:xfrm>
          <a:off x="0" y="9144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312420</xdr:colOff>
      <xdr:row>194</xdr:row>
      <xdr:rowOff>0</xdr:rowOff>
    </xdr:from>
    <xdr:to>
      <xdr:col>1</xdr:col>
      <xdr:colOff>7620</xdr:colOff>
      <xdr:row>195</xdr:row>
      <xdr:rowOff>104775</xdr:rowOff>
    </xdr:to>
    <xdr:sp macro="" textlink="">
      <xdr:nvSpPr>
        <xdr:cNvPr id="3" name="AutoShape 2" descr="X (Twitter)">
          <a:hlinkClick xmlns:r="http://schemas.openxmlformats.org/officeDocument/2006/relationships" r:id="rId2" tgtFrame="_blank"/>
          <a:extLst>
            <a:ext uri="{FF2B5EF4-FFF2-40B4-BE49-F238E27FC236}">
              <a16:creationId xmlns:a16="http://schemas.microsoft.com/office/drawing/2014/main" id="{A37341BC-B569-417F-AE1A-582081D345B1}"/>
            </a:ext>
            <a:ext uri="{147F2762-F138-4A5C-976F-8EAC2B608ADB}">
              <a16:predDERef xmlns:a16="http://schemas.microsoft.com/office/drawing/2014/main" pred="{D93FDF4F-25F8-401D-A646-B23A5BFFDA39}"/>
            </a:ext>
          </a:extLst>
        </xdr:cNvPr>
        <xdr:cNvSpPr>
          <a:spLocks noChangeAspect="1" noChangeArrowheads="1"/>
        </xdr:cNvSpPr>
      </xdr:nvSpPr>
      <xdr:spPr bwMode="auto">
        <a:xfrm>
          <a:off x="312420" y="9144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15240</xdr:colOff>
      <xdr:row>194</xdr:row>
      <xdr:rowOff>0</xdr:rowOff>
    </xdr:from>
    <xdr:to>
      <xdr:col>1</xdr:col>
      <xdr:colOff>320040</xdr:colOff>
      <xdr:row>195</xdr:row>
      <xdr:rowOff>104775</xdr:rowOff>
    </xdr:to>
    <xdr:sp macro="" textlink="">
      <xdr:nvSpPr>
        <xdr:cNvPr id="4" name="AutoShape 3" descr="Download on the App Store">
          <a:hlinkClick xmlns:r="http://schemas.openxmlformats.org/officeDocument/2006/relationships" r:id="rId3" tgtFrame="_blank"/>
          <a:extLst>
            <a:ext uri="{FF2B5EF4-FFF2-40B4-BE49-F238E27FC236}">
              <a16:creationId xmlns:a16="http://schemas.microsoft.com/office/drawing/2014/main" id="{E10A07B3-5084-4940-BB7D-E7E6009761D5}"/>
            </a:ext>
            <a:ext uri="{147F2762-F138-4A5C-976F-8EAC2B608ADB}">
              <a16:predDERef xmlns:a16="http://schemas.microsoft.com/office/drawing/2014/main" pred="{A37341BC-B569-417F-AE1A-582081D345B1}"/>
            </a:ext>
          </a:extLst>
        </xdr:cNvPr>
        <xdr:cNvSpPr>
          <a:spLocks noChangeAspect="1" noChangeArrowheads="1"/>
        </xdr:cNvSpPr>
      </xdr:nvSpPr>
      <xdr:spPr bwMode="auto">
        <a:xfrm>
          <a:off x="796290" y="9144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327660</xdr:colOff>
      <xdr:row>194</xdr:row>
      <xdr:rowOff>0</xdr:rowOff>
    </xdr:from>
    <xdr:to>
      <xdr:col>1</xdr:col>
      <xdr:colOff>632460</xdr:colOff>
      <xdr:row>195</xdr:row>
      <xdr:rowOff>104775</xdr:rowOff>
    </xdr:to>
    <xdr:sp macro="" textlink="">
      <xdr:nvSpPr>
        <xdr:cNvPr id="5" name="AutoShape 4" descr="Get it on Google Play">
          <a:hlinkClick xmlns:r="http://schemas.openxmlformats.org/officeDocument/2006/relationships" r:id="rId4" tgtFrame="_blank"/>
          <a:extLst>
            <a:ext uri="{FF2B5EF4-FFF2-40B4-BE49-F238E27FC236}">
              <a16:creationId xmlns:a16="http://schemas.microsoft.com/office/drawing/2014/main" id="{038646D6-DFEB-4B0C-A12C-DC5204D09F63}"/>
            </a:ext>
            <a:ext uri="{147F2762-F138-4A5C-976F-8EAC2B608ADB}">
              <a16:predDERef xmlns:a16="http://schemas.microsoft.com/office/drawing/2014/main" pred="{E10A07B3-5084-4940-BB7D-E7E6009761D5}"/>
            </a:ext>
          </a:extLst>
        </xdr:cNvPr>
        <xdr:cNvSpPr>
          <a:spLocks noChangeAspect="1" noChangeArrowheads="1"/>
        </xdr:cNvSpPr>
      </xdr:nvSpPr>
      <xdr:spPr bwMode="auto">
        <a:xfrm>
          <a:off x="1108710" y="9144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171</xdr:row>
      <xdr:rowOff>0</xdr:rowOff>
    </xdr:from>
    <xdr:to>
      <xdr:col>0</xdr:col>
      <xdr:colOff>304800</xdr:colOff>
      <xdr:row>172</xdr:row>
      <xdr:rowOff>104775</xdr:rowOff>
    </xdr:to>
    <xdr:sp macro="" textlink="">
      <xdr:nvSpPr>
        <xdr:cNvPr id="6" name="AutoShape 1" descr="Facebook">
          <a:hlinkClick xmlns:r="http://schemas.openxmlformats.org/officeDocument/2006/relationships" r:id="rId1" tgtFrame="_blank"/>
          <a:extLst>
            <a:ext uri="{FF2B5EF4-FFF2-40B4-BE49-F238E27FC236}">
              <a16:creationId xmlns:a16="http://schemas.microsoft.com/office/drawing/2014/main" id="{26302B38-E9F1-4A20-86FD-5DB4FE91A863}"/>
            </a:ext>
            <a:ext uri="{147F2762-F138-4A5C-976F-8EAC2B608ADB}">
              <a16:predDERef xmlns:a16="http://schemas.microsoft.com/office/drawing/2014/main" pred="{038646D6-DFEB-4B0C-A12C-DC5204D09F63}"/>
            </a:ext>
          </a:extLst>
        </xdr:cNvPr>
        <xdr:cNvSpPr>
          <a:spLocks noChangeAspect="1" noChangeArrowheads="1"/>
        </xdr:cNvSpPr>
      </xdr:nvSpPr>
      <xdr:spPr bwMode="auto">
        <a:xfrm>
          <a:off x="0" y="9144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312420</xdr:colOff>
      <xdr:row>171</xdr:row>
      <xdr:rowOff>0</xdr:rowOff>
    </xdr:from>
    <xdr:to>
      <xdr:col>1</xdr:col>
      <xdr:colOff>7620</xdr:colOff>
      <xdr:row>172</xdr:row>
      <xdr:rowOff>104775</xdr:rowOff>
    </xdr:to>
    <xdr:sp macro="" textlink="">
      <xdr:nvSpPr>
        <xdr:cNvPr id="7" name="AutoShape 2" descr="X (Twitter)">
          <a:hlinkClick xmlns:r="http://schemas.openxmlformats.org/officeDocument/2006/relationships" r:id="rId2" tgtFrame="_blank"/>
          <a:extLst>
            <a:ext uri="{FF2B5EF4-FFF2-40B4-BE49-F238E27FC236}">
              <a16:creationId xmlns:a16="http://schemas.microsoft.com/office/drawing/2014/main" id="{DC422C2E-ED83-429F-8481-85EE2B42E537}"/>
            </a:ext>
            <a:ext uri="{147F2762-F138-4A5C-976F-8EAC2B608ADB}">
              <a16:predDERef xmlns:a16="http://schemas.microsoft.com/office/drawing/2014/main" pred="{26302B38-E9F1-4A20-86FD-5DB4FE91A863}"/>
            </a:ext>
          </a:extLst>
        </xdr:cNvPr>
        <xdr:cNvSpPr>
          <a:spLocks noChangeAspect="1" noChangeArrowheads="1"/>
        </xdr:cNvSpPr>
      </xdr:nvSpPr>
      <xdr:spPr bwMode="auto">
        <a:xfrm>
          <a:off x="312420" y="9144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15240</xdr:colOff>
      <xdr:row>171</xdr:row>
      <xdr:rowOff>0</xdr:rowOff>
    </xdr:from>
    <xdr:to>
      <xdr:col>1</xdr:col>
      <xdr:colOff>320040</xdr:colOff>
      <xdr:row>172</xdr:row>
      <xdr:rowOff>104775</xdr:rowOff>
    </xdr:to>
    <xdr:sp macro="" textlink="">
      <xdr:nvSpPr>
        <xdr:cNvPr id="8" name="AutoShape 3" descr="Download on the App Store">
          <a:hlinkClick xmlns:r="http://schemas.openxmlformats.org/officeDocument/2006/relationships" r:id="rId3" tgtFrame="_blank"/>
          <a:extLst>
            <a:ext uri="{FF2B5EF4-FFF2-40B4-BE49-F238E27FC236}">
              <a16:creationId xmlns:a16="http://schemas.microsoft.com/office/drawing/2014/main" id="{939D8A21-9341-4A72-A115-72D87EE86764}"/>
            </a:ext>
            <a:ext uri="{147F2762-F138-4A5C-976F-8EAC2B608ADB}">
              <a16:predDERef xmlns:a16="http://schemas.microsoft.com/office/drawing/2014/main" pred="{DC422C2E-ED83-429F-8481-85EE2B42E537}"/>
            </a:ext>
          </a:extLst>
        </xdr:cNvPr>
        <xdr:cNvSpPr>
          <a:spLocks noChangeAspect="1" noChangeArrowheads="1"/>
        </xdr:cNvSpPr>
      </xdr:nvSpPr>
      <xdr:spPr bwMode="auto">
        <a:xfrm>
          <a:off x="796290" y="9144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327660</xdr:colOff>
      <xdr:row>171</xdr:row>
      <xdr:rowOff>0</xdr:rowOff>
    </xdr:from>
    <xdr:to>
      <xdr:col>1</xdr:col>
      <xdr:colOff>632460</xdr:colOff>
      <xdr:row>172</xdr:row>
      <xdr:rowOff>104775</xdr:rowOff>
    </xdr:to>
    <xdr:sp macro="" textlink="">
      <xdr:nvSpPr>
        <xdr:cNvPr id="9" name="AutoShape 4" descr="Get it on Google Play">
          <a:hlinkClick xmlns:r="http://schemas.openxmlformats.org/officeDocument/2006/relationships" r:id="rId4" tgtFrame="_blank"/>
          <a:extLst>
            <a:ext uri="{FF2B5EF4-FFF2-40B4-BE49-F238E27FC236}">
              <a16:creationId xmlns:a16="http://schemas.microsoft.com/office/drawing/2014/main" id="{8AF979F6-916E-4CAC-98CD-228E0F7F978D}"/>
            </a:ext>
            <a:ext uri="{147F2762-F138-4A5C-976F-8EAC2B608ADB}">
              <a16:predDERef xmlns:a16="http://schemas.microsoft.com/office/drawing/2014/main" pred="{939D8A21-9341-4A72-A115-72D87EE86764}"/>
            </a:ext>
          </a:extLst>
        </xdr:cNvPr>
        <xdr:cNvSpPr>
          <a:spLocks noChangeAspect="1" noChangeArrowheads="1"/>
        </xdr:cNvSpPr>
      </xdr:nvSpPr>
      <xdr:spPr bwMode="auto">
        <a:xfrm>
          <a:off x="1108710" y="9144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85</xdr:row>
      <xdr:rowOff>0</xdr:rowOff>
    </xdr:from>
    <xdr:to>
      <xdr:col>0</xdr:col>
      <xdr:colOff>304800</xdr:colOff>
      <xdr:row>86</xdr:row>
      <xdr:rowOff>95250</xdr:rowOff>
    </xdr:to>
    <xdr:sp macro="" textlink="">
      <xdr:nvSpPr>
        <xdr:cNvPr id="2" name="AutoShape 1" descr="Facebook">
          <a:hlinkClick xmlns:r="http://schemas.openxmlformats.org/officeDocument/2006/relationships" r:id="rId1" tgtFrame="_blank"/>
          <a:extLst>
            <a:ext uri="{FF2B5EF4-FFF2-40B4-BE49-F238E27FC236}">
              <a16:creationId xmlns:a16="http://schemas.microsoft.com/office/drawing/2014/main" id="{A71A343D-B902-4DEB-A77F-289215C83465}"/>
            </a:ext>
          </a:extLst>
        </xdr:cNvPr>
        <xdr:cNvSpPr>
          <a:spLocks noChangeAspect="1" noChangeArrowheads="1"/>
        </xdr:cNvSpPr>
      </xdr:nvSpPr>
      <xdr:spPr bwMode="auto">
        <a:xfrm>
          <a:off x="0" y="91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312420</xdr:colOff>
      <xdr:row>85</xdr:row>
      <xdr:rowOff>0</xdr:rowOff>
    </xdr:from>
    <xdr:to>
      <xdr:col>0</xdr:col>
      <xdr:colOff>617220</xdr:colOff>
      <xdr:row>86</xdr:row>
      <xdr:rowOff>95250</xdr:rowOff>
    </xdr:to>
    <xdr:sp macro="" textlink="">
      <xdr:nvSpPr>
        <xdr:cNvPr id="3" name="AutoShape 2" descr="X (Twitter)">
          <a:hlinkClick xmlns:r="http://schemas.openxmlformats.org/officeDocument/2006/relationships" r:id="rId2" tgtFrame="_blank"/>
          <a:extLst>
            <a:ext uri="{FF2B5EF4-FFF2-40B4-BE49-F238E27FC236}">
              <a16:creationId xmlns:a16="http://schemas.microsoft.com/office/drawing/2014/main" id="{38DF322B-AC6F-4F84-8B0D-6C48F69FFB5C}"/>
            </a:ext>
            <a:ext uri="{147F2762-F138-4A5C-976F-8EAC2B608ADB}">
              <a16:predDERef xmlns:a16="http://schemas.microsoft.com/office/drawing/2014/main" pred="{A71A343D-B902-4DEB-A77F-289215C83465}"/>
            </a:ext>
          </a:extLst>
        </xdr:cNvPr>
        <xdr:cNvSpPr>
          <a:spLocks noChangeAspect="1" noChangeArrowheads="1"/>
        </xdr:cNvSpPr>
      </xdr:nvSpPr>
      <xdr:spPr bwMode="auto">
        <a:xfrm>
          <a:off x="312420" y="91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15240</xdr:colOff>
      <xdr:row>85</xdr:row>
      <xdr:rowOff>0</xdr:rowOff>
    </xdr:from>
    <xdr:to>
      <xdr:col>1</xdr:col>
      <xdr:colOff>320040</xdr:colOff>
      <xdr:row>86</xdr:row>
      <xdr:rowOff>95250</xdr:rowOff>
    </xdr:to>
    <xdr:sp macro="" textlink="">
      <xdr:nvSpPr>
        <xdr:cNvPr id="4" name="AutoShape 3" descr="Download on the App Store">
          <a:hlinkClick xmlns:r="http://schemas.openxmlformats.org/officeDocument/2006/relationships" r:id="rId3" tgtFrame="_blank"/>
          <a:extLst>
            <a:ext uri="{FF2B5EF4-FFF2-40B4-BE49-F238E27FC236}">
              <a16:creationId xmlns:a16="http://schemas.microsoft.com/office/drawing/2014/main" id="{3AD327DE-BF03-49C9-812C-0DCDF09EC2CB}"/>
            </a:ext>
            <a:ext uri="{147F2762-F138-4A5C-976F-8EAC2B608ADB}">
              <a16:predDERef xmlns:a16="http://schemas.microsoft.com/office/drawing/2014/main" pred="{38DF322B-AC6F-4F84-8B0D-6C48F69FFB5C}"/>
            </a:ext>
          </a:extLst>
        </xdr:cNvPr>
        <xdr:cNvSpPr>
          <a:spLocks noChangeAspect="1" noChangeArrowheads="1"/>
        </xdr:cNvSpPr>
      </xdr:nvSpPr>
      <xdr:spPr bwMode="auto">
        <a:xfrm>
          <a:off x="796290" y="91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327660</xdr:colOff>
      <xdr:row>85</xdr:row>
      <xdr:rowOff>0</xdr:rowOff>
    </xdr:from>
    <xdr:to>
      <xdr:col>1</xdr:col>
      <xdr:colOff>632460</xdr:colOff>
      <xdr:row>86</xdr:row>
      <xdr:rowOff>95250</xdr:rowOff>
    </xdr:to>
    <xdr:sp macro="" textlink="">
      <xdr:nvSpPr>
        <xdr:cNvPr id="5" name="AutoShape 4" descr="Get it on Google Play">
          <a:hlinkClick xmlns:r="http://schemas.openxmlformats.org/officeDocument/2006/relationships" r:id="rId4" tgtFrame="_blank"/>
          <a:extLst>
            <a:ext uri="{FF2B5EF4-FFF2-40B4-BE49-F238E27FC236}">
              <a16:creationId xmlns:a16="http://schemas.microsoft.com/office/drawing/2014/main" id="{48D4B089-2385-43F6-A107-8A5A049829AD}"/>
            </a:ext>
            <a:ext uri="{147F2762-F138-4A5C-976F-8EAC2B608ADB}">
              <a16:predDERef xmlns:a16="http://schemas.microsoft.com/office/drawing/2014/main" pred="{3AD327DE-BF03-49C9-812C-0DCDF09EC2CB}"/>
            </a:ext>
          </a:extLst>
        </xdr:cNvPr>
        <xdr:cNvSpPr>
          <a:spLocks noChangeAspect="1" noChangeArrowheads="1"/>
        </xdr:cNvSpPr>
      </xdr:nvSpPr>
      <xdr:spPr bwMode="auto">
        <a:xfrm>
          <a:off x="1108710" y="91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0</xdr:col>
      <xdr:colOff>304800</xdr:colOff>
      <xdr:row>15</xdr:row>
      <xdr:rowOff>104775</xdr:rowOff>
    </xdr:to>
    <xdr:sp macro="" textlink="">
      <xdr:nvSpPr>
        <xdr:cNvPr id="2" name="AutoShape 1" descr="Facebook">
          <a:hlinkClick xmlns:r="http://schemas.openxmlformats.org/officeDocument/2006/relationships" r:id="rId1" tgtFrame="_blank"/>
          <a:extLst>
            <a:ext uri="{FF2B5EF4-FFF2-40B4-BE49-F238E27FC236}">
              <a16:creationId xmlns:a16="http://schemas.microsoft.com/office/drawing/2014/main" id="{C8E864CA-ED84-478C-B760-A241376819FF}"/>
            </a:ext>
          </a:extLst>
        </xdr:cNvPr>
        <xdr:cNvSpPr>
          <a:spLocks noChangeAspect="1" noChangeArrowheads="1"/>
        </xdr:cNvSpPr>
      </xdr:nvSpPr>
      <xdr:spPr bwMode="auto">
        <a:xfrm>
          <a:off x="0" y="16764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312420</xdr:colOff>
      <xdr:row>14</xdr:row>
      <xdr:rowOff>0</xdr:rowOff>
    </xdr:from>
    <xdr:to>
      <xdr:col>0</xdr:col>
      <xdr:colOff>617220</xdr:colOff>
      <xdr:row>15</xdr:row>
      <xdr:rowOff>104775</xdr:rowOff>
    </xdr:to>
    <xdr:sp macro="" textlink="">
      <xdr:nvSpPr>
        <xdr:cNvPr id="3" name="AutoShape 2" descr="X (Twitter)">
          <a:hlinkClick xmlns:r="http://schemas.openxmlformats.org/officeDocument/2006/relationships" r:id="rId2" tgtFrame="_blank"/>
          <a:extLst>
            <a:ext uri="{FF2B5EF4-FFF2-40B4-BE49-F238E27FC236}">
              <a16:creationId xmlns:a16="http://schemas.microsoft.com/office/drawing/2014/main" id="{7DD9393F-E53C-46C6-9473-B351112FB64F}"/>
            </a:ext>
            <a:ext uri="{147F2762-F138-4A5C-976F-8EAC2B608ADB}">
              <a16:predDERef xmlns:a16="http://schemas.microsoft.com/office/drawing/2014/main" pred="{C8E864CA-ED84-478C-B760-A241376819FF}"/>
            </a:ext>
          </a:extLst>
        </xdr:cNvPr>
        <xdr:cNvSpPr>
          <a:spLocks noChangeAspect="1" noChangeArrowheads="1"/>
        </xdr:cNvSpPr>
      </xdr:nvSpPr>
      <xdr:spPr bwMode="auto">
        <a:xfrm>
          <a:off x="312420" y="16764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15240</xdr:colOff>
      <xdr:row>14</xdr:row>
      <xdr:rowOff>0</xdr:rowOff>
    </xdr:from>
    <xdr:to>
      <xdr:col>1</xdr:col>
      <xdr:colOff>320040</xdr:colOff>
      <xdr:row>15</xdr:row>
      <xdr:rowOff>104775</xdr:rowOff>
    </xdr:to>
    <xdr:sp macro="" textlink="">
      <xdr:nvSpPr>
        <xdr:cNvPr id="4" name="AutoShape 3" descr="Download on the App Store">
          <a:hlinkClick xmlns:r="http://schemas.openxmlformats.org/officeDocument/2006/relationships" r:id="rId3" tgtFrame="_blank"/>
          <a:extLst>
            <a:ext uri="{FF2B5EF4-FFF2-40B4-BE49-F238E27FC236}">
              <a16:creationId xmlns:a16="http://schemas.microsoft.com/office/drawing/2014/main" id="{9DD9E1C7-F091-4563-BA2E-A8745A26B42D}"/>
            </a:ext>
            <a:ext uri="{147F2762-F138-4A5C-976F-8EAC2B608ADB}">
              <a16:predDERef xmlns:a16="http://schemas.microsoft.com/office/drawing/2014/main" pred="{7DD9393F-E53C-46C6-9473-B351112FB64F}"/>
            </a:ext>
          </a:extLst>
        </xdr:cNvPr>
        <xdr:cNvSpPr>
          <a:spLocks noChangeAspect="1" noChangeArrowheads="1"/>
        </xdr:cNvSpPr>
      </xdr:nvSpPr>
      <xdr:spPr bwMode="auto">
        <a:xfrm>
          <a:off x="796290" y="16764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327660</xdr:colOff>
      <xdr:row>14</xdr:row>
      <xdr:rowOff>0</xdr:rowOff>
    </xdr:from>
    <xdr:to>
      <xdr:col>1</xdr:col>
      <xdr:colOff>632460</xdr:colOff>
      <xdr:row>15</xdr:row>
      <xdr:rowOff>104775</xdr:rowOff>
    </xdr:to>
    <xdr:sp macro="" textlink="">
      <xdr:nvSpPr>
        <xdr:cNvPr id="5" name="AutoShape 4" descr="Get it on Google Play">
          <a:hlinkClick xmlns:r="http://schemas.openxmlformats.org/officeDocument/2006/relationships" r:id="rId4" tgtFrame="_blank"/>
          <a:extLst>
            <a:ext uri="{FF2B5EF4-FFF2-40B4-BE49-F238E27FC236}">
              <a16:creationId xmlns:a16="http://schemas.microsoft.com/office/drawing/2014/main" id="{047E1640-950A-4468-951B-E96691C4491D}"/>
            </a:ext>
            <a:ext uri="{147F2762-F138-4A5C-976F-8EAC2B608ADB}">
              <a16:predDERef xmlns:a16="http://schemas.microsoft.com/office/drawing/2014/main" pred="{9DD9E1C7-F091-4563-BA2E-A8745A26B42D}"/>
            </a:ext>
          </a:extLst>
        </xdr:cNvPr>
        <xdr:cNvSpPr>
          <a:spLocks noChangeAspect="1" noChangeArrowheads="1"/>
        </xdr:cNvSpPr>
      </xdr:nvSpPr>
      <xdr:spPr bwMode="auto">
        <a:xfrm>
          <a:off x="1108710" y="16764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0</xdr:col>
      <xdr:colOff>304800</xdr:colOff>
      <xdr:row>15</xdr:row>
      <xdr:rowOff>104775</xdr:rowOff>
    </xdr:to>
    <xdr:sp macro="" textlink="">
      <xdr:nvSpPr>
        <xdr:cNvPr id="2" name="AutoShape 1" descr="Facebook">
          <a:hlinkClick xmlns:r="http://schemas.openxmlformats.org/officeDocument/2006/relationships" r:id="rId1" tgtFrame="_blank"/>
          <a:extLst>
            <a:ext uri="{FF2B5EF4-FFF2-40B4-BE49-F238E27FC236}">
              <a16:creationId xmlns:a16="http://schemas.microsoft.com/office/drawing/2014/main" id="{13AAAB06-1DC5-40E4-8F83-78FC7CB1001C}"/>
            </a:ext>
          </a:extLst>
        </xdr:cNvPr>
        <xdr:cNvSpPr>
          <a:spLocks noChangeAspect="1" noChangeArrowheads="1"/>
        </xdr:cNvSpPr>
      </xdr:nvSpPr>
      <xdr:spPr bwMode="auto">
        <a:xfrm>
          <a:off x="0" y="2667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312420</xdr:colOff>
      <xdr:row>14</xdr:row>
      <xdr:rowOff>0</xdr:rowOff>
    </xdr:from>
    <xdr:to>
      <xdr:col>0</xdr:col>
      <xdr:colOff>617220</xdr:colOff>
      <xdr:row>15</xdr:row>
      <xdr:rowOff>104775</xdr:rowOff>
    </xdr:to>
    <xdr:sp macro="" textlink="">
      <xdr:nvSpPr>
        <xdr:cNvPr id="3" name="AutoShape 2" descr="X (Twitter)">
          <a:hlinkClick xmlns:r="http://schemas.openxmlformats.org/officeDocument/2006/relationships" r:id="rId2" tgtFrame="_blank"/>
          <a:extLst>
            <a:ext uri="{FF2B5EF4-FFF2-40B4-BE49-F238E27FC236}">
              <a16:creationId xmlns:a16="http://schemas.microsoft.com/office/drawing/2014/main" id="{612CC136-9482-4419-8C42-BD97A1177584}"/>
            </a:ext>
            <a:ext uri="{147F2762-F138-4A5C-976F-8EAC2B608ADB}">
              <a16:predDERef xmlns:a16="http://schemas.microsoft.com/office/drawing/2014/main" pred="{13AAAB06-1DC5-40E4-8F83-78FC7CB1001C}"/>
            </a:ext>
          </a:extLst>
        </xdr:cNvPr>
        <xdr:cNvSpPr>
          <a:spLocks noChangeAspect="1" noChangeArrowheads="1"/>
        </xdr:cNvSpPr>
      </xdr:nvSpPr>
      <xdr:spPr bwMode="auto">
        <a:xfrm>
          <a:off x="312420" y="2667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15240</xdr:colOff>
      <xdr:row>14</xdr:row>
      <xdr:rowOff>0</xdr:rowOff>
    </xdr:from>
    <xdr:to>
      <xdr:col>1</xdr:col>
      <xdr:colOff>320040</xdr:colOff>
      <xdr:row>15</xdr:row>
      <xdr:rowOff>104775</xdr:rowOff>
    </xdr:to>
    <xdr:sp macro="" textlink="">
      <xdr:nvSpPr>
        <xdr:cNvPr id="4" name="AutoShape 3" descr="Download on the App Store">
          <a:hlinkClick xmlns:r="http://schemas.openxmlformats.org/officeDocument/2006/relationships" r:id="rId3" tgtFrame="_blank"/>
          <a:extLst>
            <a:ext uri="{FF2B5EF4-FFF2-40B4-BE49-F238E27FC236}">
              <a16:creationId xmlns:a16="http://schemas.microsoft.com/office/drawing/2014/main" id="{1EE4B83A-75FB-49AE-9BC6-F7465FFD7824}"/>
            </a:ext>
            <a:ext uri="{147F2762-F138-4A5C-976F-8EAC2B608ADB}">
              <a16:predDERef xmlns:a16="http://schemas.microsoft.com/office/drawing/2014/main" pred="{612CC136-9482-4419-8C42-BD97A1177584}"/>
            </a:ext>
          </a:extLst>
        </xdr:cNvPr>
        <xdr:cNvSpPr>
          <a:spLocks noChangeAspect="1" noChangeArrowheads="1"/>
        </xdr:cNvSpPr>
      </xdr:nvSpPr>
      <xdr:spPr bwMode="auto">
        <a:xfrm>
          <a:off x="796290" y="2667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327660</xdr:colOff>
      <xdr:row>14</xdr:row>
      <xdr:rowOff>0</xdr:rowOff>
    </xdr:from>
    <xdr:to>
      <xdr:col>1</xdr:col>
      <xdr:colOff>632460</xdr:colOff>
      <xdr:row>15</xdr:row>
      <xdr:rowOff>104775</xdr:rowOff>
    </xdr:to>
    <xdr:sp macro="" textlink="">
      <xdr:nvSpPr>
        <xdr:cNvPr id="5" name="AutoShape 4" descr="Get it on Google Play">
          <a:hlinkClick xmlns:r="http://schemas.openxmlformats.org/officeDocument/2006/relationships" r:id="rId4" tgtFrame="_blank"/>
          <a:extLst>
            <a:ext uri="{FF2B5EF4-FFF2-40B4-BE49-F238E27FC236}">
              <a16:creationId xmlns:a16="http://schemas.microsoft.com/office/drawing/2014/main" id="{3EDB5A7C-FFAA-46A6-9D70-D707113AEAD4}"/>
            </a:ext>
            <a:ext uri="{147F2762-F138-4A5C-976F-8EAC2B608ADB}">
              <a16:predDERef xmlns:a16="http://schemas.microsoft.com/office/drawing/2014/main" pred="{1EE4B83A-75FB-49AE-9BC6-F7465FFD7824}"/>
            </a:ext>
          </a:extLst>
        </xdr:cNvPr>
        <xdr:cNvSpPr>
          <a:spLocks noChangeAspect="1" noChangeArrowheads="1"/>
        </xdr:cNvSpPr>
      </xdr:nvSpPr>
      <xdr:spPr bwMode="auto">
        <a:xfrm>
          <a:off x="1108710" y="2667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0</xdr:col>
      <xdr:colOff>304800</xdr:colOff>
      <xdr:row>13</xdr:row>
      <xdr:rowOff>104776</xdr:rowOff>
    </xdr:to>
    <xdr:sp macro="" textlink="">
      <xdr:nvSpPr>
        <xdr:cNvPr id="2" name="AutoShape 1" descr="Facebook">
          <a:hlinkClick xmlns:r="http://schemas.openxmlformats.org/officeDocument/2006/relationships" r:id="rId1" tgtFrame="_blank"/>
          <a:extLst>
            <a:ext uri="{FF2B5EF4-FFF2-40B4-BE49-F238E27FC236}">
              <a16:creationId xmlns:a16="http://schemas.microsoft.com/office/drawing/2014/main" id="{63DB4DAD-3156-E34B-9B3A-C54DA504BCD2}"/>
            </a:ext>
          </a:extLst>
        </xdr:cNvPr>
        <xdr:cNvSpPr>
          <a:spLocks noChangeAspect="1" noChangeArrowheads="1"/>
        </xdr:cNvSpPr>
      </xdr:nvSpPr>
      <xdr:spPr bwMode="auto">
        <a:xfrm>
          <a:off x="0" y="2667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312420</xdr:colOff>
      <xdr:row>12</xdr:row>
      <xdr:rowOff>0</xdr:rowOff>
    </xdr:from>
    <xdr:to>
      <xdr:col>0</xdr:col>
      <xdr:colOff>617220</xdr:colOff>
      <xdr:row>13</xdr:row>
      <xdr:rowOff>104776</xdr:rowOff>
    </xdr:to>
    <xdr:sp macro="" textlink="">
      <xdr:nvSpPr>
        <xdr:cNvPr id="3" name="AutoShape 2" descr="X (Twitter)">
          <a:hlinkClick xmlns:r="http://schemas.openxmlformats.org/officeDocument/2006/relationships" r:id="rId2" tgtFrame="_blank"/>
          <a:extLst>
            <a:ext uri="{FF2B5EF4-FFF2-40B4-BE49-F238E27FC236}">
              <a16:creationId xmlns:a16="http://schemas.microsoft.com/office/drawing/2014/main" id="{0D0B177B-848F-5548-8462-05082A6F1176}"/>
            </a:ext>
            <a:ext uri="{147F2762-F138-4A5C-976F-8EAC2B608ADB}">
              <a16:predDERef xmlns:a16="http://schemas.microsoft.com/office/drawing/2014/main" pred="{13AAAB06-1DC5-40E4-8F83-78FC7CB1001C}"/>
            </a:ext>
          </a:extLst>
        </xdr:cNvPr>
        <xdr:cNvSpPr>
          <a:spLocks noChangeAspect="1" noChangeArrowheads="1"/>
        </xdr:cNvSpPr>
      </xdr:nvSpPr>
      <xdr:spPr bwMode="auto">
        <a:xfrm>
          <a:off x="312420" y="2667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15240</xdr:colOff>
      <xdr:row>12</xdr:row>
      <xdr:rowOff>0</xdr:rowOff>
    </xdr:from>
    <xdr:to>
      <xdr:col>1</xdr:col>
      <xdr:colOff>320040</xdr:colOff>
      <xdr:row>13</xdr:row>
      <xdr:rowOff>104776</xdr:rowOff>
    </xdr:to>
    <xdr:sp macro="" textlink="">
      <xdr:nvSpPr>
        <xdr:cNvPr id="4" name="AutoShape 3" descr="Download on the App Store">
          <a:hlinkClick xmlns:r="http://schemas.openxmlformats.org/officeDocument/2006/relationships" r:id="rId3" tgtFrame="_blank"/>
          <a:extLst>
            <a:ext uri="{FF2B5EF4-FFF2-40B4-BE49-F238E27FC236}">
              <a16:creationId xmlns:a16="http://schemas.microsoft.com/office/drawing/2014/main" id="{243F0477-0B83-A442-BB16-A61603461DCA}"/>
            </a:ext>
            <a:ext uri="{147F2762-F138-4A5C-976F-8EAC2B608ADB}">
              <a16:predDERef xmlns:a16="http://schemas.microsoft.com/office/drawing/2014/main" pred="{612CC136-9482-4419-8C42-BD97A1177584}"/>
            </a:ext>
          </a:extLst>
        </xdr:cNvPr>
        <xdr:cNvSpPr>
          <a:spLocks noChangeAspect="1" noChangeArrowheads="1"/>
        </xdr:cNvSpPr>
      </xdr:nvSpPr>
      <xdr:spPr bwMode="auto">
        <a:xfrm>
          <a:off x="904240" y="2667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327660</xdr:colOff>
      <xdr:row>12</xdr:row>
      <xdr:rowOff>0</xdr:rowOff>
    </xdr:from>
    <xdr:to>
      <xdr:col>1</xdr:col>
      <xdr:colOff>632460</xdr:colOff>
      <xdr:row>13</xdr:row>
      <xdr:rowOff>104776</xdr:rowOff>
    </xdr:to>
    <xdr:sp macro="" textlink="">
      <xdr:nvSpPr>
        <xdr:cNvPr id="5" name="AutoShape 4" descr="Get it on Google Play">
          <a:hlinkClick xmlns:r="http://schemas.openxmlformats.org/officeDocument/2006/relationships" r:id="rId4" tgtFrame="_blank"/>
          <a:extLst>
            <a:ext uri="{FF2B5EF4-FFF2-40B4-BE49-F238E27FC236}">
              <a16:creationId xmlns:a16="http://schemas.microsoft.com/office/drawing/2014/main" id="{D63D9C48-5E32-034C-B8B3-7C1C1AC63FE3}"/>
            </a:ext>
            <a:ext uri="{147F2762-F138-4A5C-976F-8EAC2B608ADB}">
              <a16:predDERef xmlns:a16="http://schemas.microsoft.com/office/drawing/2014/main" pred="{1EE4B83A-75FB-49AE-9BC6-F7465FFD7824}"/>
            </a:ext>
          </a:extLst>
        </xdr:cNvPr>
        <xdr:cNvSpPr>
          <a:spLocks noChangeAspect="1" noChangeArrowheads="1"/>
        </xdr:cNvSpPr>
      </xdr:nvSpPr>
      <xdr:spPr bwMode="auto">
        <a:xfrm>
          <a:off x="1216660" y="2667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0</xdr:col>
      <xdr:colOff>304800</xdr:colOff>
      <xdr:row>15</xdr:row>
      <xdr:rowOff>104775</xdr:rowOff>
    </xdr:to>
    <xdr:sp macro="" textlink="">
      <xdr:nvSpPr>
        <xdr:cNvPr id="2" name="AutoShape 1" descr="Facebook">
          <a:hlinkClick xmlns:r="http://schemas.openxmlformats.org/officeDocument/2006/relationships" r:id="rId1" tgtFrame="_blank"/>
          <a:extLst>
            <a:ext uri="{FF2B5EF4-FFF2-40B4-BE49-F238E27FC236}">
              <a16:creationId xmlns:a16="http://schemas.microsoft.com/office/drawing/2014/main" id="{80D6048E-D8A2-494F-987C-15F7EF195ACF}"/>
            </a:ext>
          </a:extLst>
        </xdr:cNvPr>
        <xdr:cNvSpPr>
          <a:spLocks noChangeAspect="1" noChangeArrowheads="1"/>
        </xdr:cNvSpPr>
      </xdr:nvSpPr>
      <xdr:spPr bwMode="auto">
        <a:xfrm>
          <a:off x="0" y="2667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312420</xdr:colOff>
      <xdr:row>14</xdr:row>
      <xdr:rowOff>0</xdr:rowOff>
    </xdr:from>
    <xdr:to>
      <xdr:col>0</xdr:col>
      <xdr:colOff>617220</xdr:colOff>
      <xdr:row>15</xdr:row>
      <xdr:rowOff>104775</xdr:rowOff>
    </xdr:to>
    <xdr:sp macro="" textlink="">
      <xdr:nvSpPr>
        <xdr:cNvPr id="3" name="AutoShape 2" descr="X (Twitter)">
          <a:hlinkClick xmlns:r="http://schemas.openxmlformats.org/officeDocument/2006/relationships" r:id="rId2" tgtFrame="_blank"/>
          <a:extLst>
            <a:ext uri="{FF2B5EF4-FFF2-40B4-BE49-F238E27FC236}">
              <a16:creationId xmlns:a16="http://schemas.microsoft.com/office/drawing/2014/main" id="{51B027A0-0507-46F3-9B08-CC3A9EC5FF4F}"/>
            </a:ext>
            <a:ext uri="{147F2762-F138-4A5C-976F-8EAC2B608ADB}">
              <a16:predDERef xmlns:a16="http://schemas.microsoft.com/office/drawing/2014/main" pred="{80D6048E-D8A2-494F-987C-15F7EF195ACF}"/>
            </a:ext>
          </a:extLst>
        </xdr:cNvPr>
        <xdr:cNvSpPr>
          <a:spLocks noChangeAspect="1" noChangeArrowheads="1"/>
        </xdr:cNvSpPr>
      </xdr:nvSpPr>
      <xdr:spPr bwMode="auto">
        <a:xfrm>
          <a:off x="312420" y="2667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15240</xdr:colOff>
      <xdr:row>14</xdr:row>
      <xdr:rowOff>0</xdr:rowOff>
    </xdr:from>
    <xdr:to>
      <xdr:col>1</xdr:col>
      <xdr:colOff>320040</xdr:colOff>
      <xdr:row>15</xdr:row>
      <xdr:rowOff>104775</xdr:rowOff>
    </xdr:to>
    <xdr:sp macro="" textlink="">
      <xdr:nvSpPr>
        <xdr:cNvPr id="4" name="AutoShape 3" descr="Download on the App Store">
          <a:hlinkClick xmlns:r="http://schemas.openxmlformats.org/officeDocument/2006/relationships" r:id="rId3" tgtFrame="_blank"/>
          <a:extLst>
            <a:ext uri="{FF2B5EF4-FFF2-40B4-BE49-F238E27FC236}">
              <a16:creationId xmlns:a16="http://schemas.microsoft.com/office/drawing/2014/main" id="{6ED107E3-1F6D-4EE5-A573-EA7663CF7E82}"/>
            </a:ext>
            <a:ext uri="{147F2762-F138-4A5C-976F-8EAC2B608ADB}">
              <a16:predDERef xmlns:a16="http://schemas.microsoft.com/office/drawing/2014/main" pred="{51B027A0-0507-46F3-9B08-CC3A9EC5FF4F}"/>
            </a:ext>
          </a:extLst>
        </xdr:cNvPr>
        <xdr:cNvSpPr>
          <a:spLocks noChangeAspect="1" noChangeArrowheads="1"/>
        </xdr:cNvSpPr>
      </xdr:nvSpPr>
      <xdr:spPr bwMode="auto">
        <a:xfrm>
          <a:off x="796290" y="2667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327660</xdr:colOff>
      <xdr:row>14</xdr:row>
      <xdr:rowOff>0</xdr:rowOff>
    </xdr:from>
    <xdr:to>
      <xdr:col>1</xdr:col>
      <xdr:colOff>632460</xdr:colOff>
      <xdr:row>15</xdr:row>
      <xdr:rowOff>104775</xdr:rowOff>
    </xdr:to>
    <xdr:sp macro="" textlink="">
      <xdr:nvSpPr>
        <xdr:cNvPr id="5" name="AutoShape 4" descr="Get it on Google Play">
          <a:hlinkClick xmlns:r="http://schemas.openxmlformats.org/officeDocument/2006/relationships" r:id="rId4" tgtFrame="_blank"/>
          <a:extLst>
            <a:ext uri="{FF2B5EF4-FFF2-40B4-BE49-F238E27FC236}">
              <a16:creationId xmlns:a16="http://schemas.microsoft.com/office/drawing/2014/main" id="{686D009A-B8C4-40E2-9A7C-9363D6FD6B78}"/>
            </a:ext>
            <a:ext uri="{147F2762-F138-4A5C-976F-8EAC2B608ADB}">
              <a16:predDERef xmlns:a16="http://schemas.microsoft.com/office/drawing/2014/main" pred="{6ED107E3-1F6D-4EE5-A573-EA7663CF7E82}"/>
            </a:ext>
          </a:extLst>
        </xdr:cNvPr>
        <xdr:cNvSpPr>
          <a:spLocks noChangeAspect="1" noChangeArrowheads="1"/>
        </xdr:cNvSpPr>
      </xdr:nvSpPr>
      <xdr:spPr bwMode="auto">
        <a:xfrm>
          <a:off x="1108710" y="26670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1FE4C9-5B5B-4B2C-AB77-A347FE79CC51}" name="Table1" displayName="Table1" ref="A1:M201" totalsRowShown="0" headerRowDxfId="94" dataDxfId="92" headerRowBorderDxfId="93" tableBorderDxfId="91" totalsRowBorderDxfId="90">
  <autoFilter ref="A1:M201" xr:uid="{991FE4C9-5B5B-4B2C-AB77-A347FE79CC51}"/>
  <sortState xmlns:xlrd2="http://schemas.microsoft.com/office/spreadsheetml/2017/richdata2" ref="A2:M201">
    <sortCondition descending="1" ref="J1:J201"/>
  </sortState>
  <tableColumns count="13">
    <tableColumn id="1" xr3:uid="{F2EFC242-215F-4E54-AE3E-B7C30AB017A8}" name="Symbol" dataDxfId="89" dataCellStyle="Hyperlink"/>
    <tableColumn id="2" xr3:uid="{C615A21A-8A85-4E2D-B444-25D77051FC1B}" name="Fund Name" dataDxfId="88"/>
    <tableColumn id="3" xr3:uid="{D4BFBCDD-D4A7-4864-AC05-C797A1595626}" name="Stock Price" dataDxfId="87"/>
    <tableColumn id="4" xr3:uid="{123EC79D-7333-4398-B6ED-07062D23005C}" name="AUM" dataDxfId="86"/>
    <tableColumn id="5" xr3:uid="{573C129D-5F23-4D7D-9CEC-DB64EF8A285D}" name="Expense Ratio" dataDxfId="85"/>
    <tableColumn id="6" xr3:uid="{428F930E-619A-4D9D-81D1-817C4469C881}" name="Beta" dataDxfId="84"/>
    <tableColumn id="8" xr3:uid="{46BCD13D-2ED1-4D25-B537-072FE089844D}" name="Dollar Volume" dataDxfId="83">
      <calculatedColumnFormula>IF(RIGHT(Q2,1)="B", VALUE(SUBSTITUTE(Q2,"B",""))*1000000000,
 IF(RIGHT(Q2,1)="M", VALUE(SUBSTITUTE(Q2,"M",""))*1000000, VALUE(Q2)))</calculatedColumnFormula>
    </tableColumn>
    <tableColumn id="7" xr3:uid="{8F52C782-4D86-4EFE-8269-308185A47459}" name="Tech" dataDxfId="82">
      <calculatedColumnFormula>OR(
  ISNUMBER(SEARCH("technology",B2)),
  ISNUMBER(SEARCH("tech",B2)),
  ISNUMBER(SEARCH("qqq",B2)),
  ISNUMBER(SEARCH("semiconductor",B2)),
  ISNUMBER(SEARCH("information technology",B2)),
  ISNUMBER(SEARCH("nasdaq",B2)),
  ISNUMBER(SEARCH("communication",B2))
)</calculatedColumnFormula>
    </tableColumn>
    <tableColumn id="9" xr3:uid="{5DC92749-B974-4C72-8D0C-3DA80F384403}" name="Expected Return" dataDxfId="81">
      <calculatedColumnFormula>Table1[[#This Row],[Tech]]*$T$7+Table1[[#This Row],[Beta]]*($T$6-$T$8)+$T$8</calculatedColumnFormula>
    </tableColumn>
    <tableColumn id="10" xr3:uid="{8DD60ADF-0965-4AEF-925D-8176DDD752E0}" name="Investment"/>
    <tableColumn id="11" xr3:uid="{F68CEBBD-4B53-4A23-B236-35763EAB90B4}" name="Frac ADV" dataDxfId="80">
      <calculatedColumnFormula>Table1[[#This Row],[Investment]]/Table1[[#This Row],[Dollar Volume]]</calculatedColumnFormula>
    </tableColumn>
    <tableColumn id="12" xr3:uid="{BB8F790E-D8CF-466E-8146-6B09F2E4A8D5}" name="Tcosts" dataDxfId="79">
      <calculatedColumnFormula>IFERROR(MAX($T$11+$T$12*LN(Table1[[#This Row],[Frac ADV]]),0),0)*0.0001+0.005/Table1[[#This Row],[Stock Price]]+Table1[[#This Row],[Expense Ratio]]</calculatedColumnFormula>
    </tableColumn>
    <tableColumn id="13" xr3:uid="{0B08294E-989E-4131-BB0F-CA07BE1BB725}" name="Exp Profit" dataDxfId="78">
      <calculatedColumnFormula>(Table1[[#This Row],[Expected Return]]-Table1[[#This Row],[Tcosts]])*Table1[[#This Row],[Investment]]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D11AB2-A84B-49AE-9906-1B1B867244FC}" name="Table14" displayName="Table14" ref="A1:M201" totalsRowShown="0" headerRowDxfId="77" dataDxfId="75" headerRowBorderDxfId="76" tableBorderDxfId="74" totalsRowBorderDxfId="73">
  <autoFilter ref="A1:M201" xr:uid="{22D11AB2-A84B-49AE-9906-1B1B867244FC}"/>
  <sortState xmlns:xlrd2="http://schemas.microsoft.com/office/spreadsheetml/2017/richdata2" ref="A2:M201">
    <sortCondition descending="1" ref="J1:J201"/>
  </sortState>
  <tableColumns count="13">
    <tableColumn id="1" xr3:uid="{CDFC8D56-28EA-4214-A5BE-F35D7E1BD5A1}" name="Symbol" dataDxfId="72" dataCellStyle="Hyperlink"/>
    <tableColumn id="2" xr3:uid="{814E4CC2-E7C0-444D-846A-F3753DD2ED2D}" name="Fund Name" dataDxfId="71"/>
    <tableColumn id="3" xr3:uid="{482E454C-3371-46C2-8F42-6E7686631C7A}" name="Stock Price" dataDxfId="70"/>
    <tableColumn id="4" xr3:uid="{EA723993-6AFE-482E-A743-7DEA6412DE8C}" name="AUM" dataDxfId="69"/>
    <tableColumn id="5" xr3:uid="{4B7CEE72-DECB-4BB4-B2A1-46386342E8DE}" name="Expense Ratio" dataDxfId="68"/>
    <tableColumn id="6" xr3:uid="{3DC89A8B-F380-4640-A1E9-CB7542DD9929}" name="Beta" dataDxfId="67"/>
    <tableColumn id="8" xr3:uid="{893DA5D7-C9BD-4FB0-A39B-66F1241BADC5}" name="Dollar Volume" dataDxfId="66">
      <calculatedColumnFormula>IF(RIGHT(Q2,1)="B", VALUE(SUBSTITUTE(Q2,"B",""))*1000000000,
 IF(RIGHT(Q2,1)="M", VALUE(SUBSTITUTE(Q2,"M",""))*1000000, VALUE(Q2)))</calculatedColumnFormula>
    </tableColumn>
    <tableColumn id="7" xr3:uid="{326D8121-0154-4D80-A9CE-D97C63325CDB}" name="Tech" dataDxfId="65">
      <calculatedColumnFormula>OR(
  ISNUMBER(SEARCH("technology",B2)),
  ISNUMBER(SEARCH("tech",B2)),
  ISNUMBER(SEARCH("qqq",B2)),
  ISNUMBER(SEARCH("semiconductor",B2)),
  ISNUMBER(SEARCH("information technology",B2)),
  ISNUMBER(SEARCH("nasdaq",B2)),
  ISNUMBER(SEARCH("communication",B2))
)</calculatedColumnFormula>
    </tableColumn>
    <tableColumn id="9" xr3:uid="{FBBA46D4-C56E-4F0D-B5C4-50A1D0D78871}" name="Expected Return" dataDxfId="64">
      <calculatedColumnFormula>Table14[[#This Row],[Tech]]*$T$7+Table14[[#This Row],[Beta]]*($T$6-$T$8)+$T$8</calculatedColumnFormula>
    </tableColumn>
    <tableColumn id="10" xr3:uid="{33950303-06AD-43DC-A6DB-7307D721888D}" name="Investment"/>
    <tableColumn id="11" xr3:uid="{65E23D20-2590-4995-8694-57FF6970A60F}" name="Frac ADV" dataDxfId="63">
      <calculatedColumnFormula>Table14[[#This Row],[Investment]]/Table14[[#This Row],[Dollar Volume]]</calculatedColumnFormula>
    </tableColumn>
    <tableColumn id="12" xr3:uid="{778E46F1-44BB-4A81-AB08-76B073FAD09C}" name="Tcosts" dataDxfId="62">
      <calculatedColumnFormula>IFERROR(MAX($T$11+$T$12*LN(Table14[[#This Row],[Frac ADV]]),0),0)*0.0001+0.005/Table14[[#This Row],[Stock Price]]+Table14[[#This Row],[Expense Ratio]]</calculatedColumnFormula>
    </tableColumn>
    <tableColumn id="13" xr3:uid="{68F1674B-EB10-492B-B320-1ECAA8D10753}" name="Exp Profit" dataDxfId="61">
      <calculatedColumnFormula>(Table14[[#This Row],[Expected Return]]-Table14[[#This Row],[Tcosts]])*Table14[[#This Row],[Investment]]</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4807F5-039D-47F1-BFBF-E4559737E9AC}" name="Table13" displayName="Table13" ref="A1:M201" totalsRowShown="0" headerRowDxfId="60" dataDxfId="58" headerRowBorderDxfId="59" tableBorderDxfId="57" totalsRowBorderDxfId="56">
  <autoFilter ref="A1:M201" xr:uid="{991FE4C9-5B5B-4B2C-AB77-A347FE79CC51}"/>
  <sortState xmlns:xlrd2="http://schemas.microsoft.com/office/spreadsheetml/2017/richdata2" ref="A2:M201">
    <sortCondition descending="1" ref="J1:J201"/>
  </sortState>
  <tableColumns count="13">
    <tableColumn id="1" xr3:uid="{8CA3CBA2-AB9C-4003-AA85-7FE51A7A923C}" name="Symbol" dataDxfId="55" dataCellStyle="Hyperlink"/>
    <tableColumn id="2" xr3:uid="{CC850B6C-1869-4429-8CF8-B007FD4AEFB6}" name="Fund Name" dataDxfId="54"/>
    <tableColumn id="3" xr3:uid="{7556B422-601A-4FA7-8939-CBC53F5A7C25}" name="Stock Price" dataDxfId="53"/>
    <tableColumn id="4" xr3:uid="{5F1105EB-AA2E-4368-8CC0-487E6DA30B65}" name="AUM" dataDxfId="52"/>
    <tableColumn id="5" xr3:uid="{0CB3873F-47A7-4E2F-B6E2-C11961214EB2}" name="Expense Ratio" dataDxfId="51"/>
    <tableColumn id="6" xr3:uid="{82C4514C-6FAC-486E-9E71-98B93E570C0B}" name="Beta" dataDxfId="50"/>
    <tableColumn id="8" xr3:uid="{4E34E41A-1798-431B-BB76-7E66F42CA85D}" name="Dollar Volume" dataDxfId="49">
      <calculatedColumnFormula>IF(RIGHT(Q2,1)="B", VALUE(SUBSTITUTE(Q2,"B",""))*1000000000,
 IF(RIGHT(Q2,1)="M", VALUE(SUBSTITUTE(Q2,"M",""))*1000000, VALUE(Q2)))</calculatedColumnFormula>
    </tableColumn>
    <tableColumn id="7" xr3:uid="{CD3F07FC-42CD-40AE-B7DE-E6ACB467F1F1}" name="Tech" dataDxfId="48">
      <calculatedColumnFormula>OR(
  ISNUMBER(SEARCH("technology",B2)),
  ISNUMBER(SEARCH("tech",B2)),
  ISNUMBER(SEARCH("qqq",B2)),
  ISNUMBER(SEARCH("semiconductor",B2)),
  ISNUMBER(SEARCH("information technology",B2)),
  ISNUMBER(SEARCH("nasdaq",B2)),
  ISNUMBER(SEARCH("communication",B2))
)</calculatedColumnFormula>
    </tableColumn>
    <tableColumn id="9" xr3:uid="{58299543-6EFC-4A4A-8633-63F211365F2D}" name="Expected Return" dataDxfId="47">
      <calculatedColumnFormula>Table13[[#This Row],[Tech]]*$T$7+Table13[[#This Row],[Beta]]*($T$6-$T$8)+$T$8</calculatedColumnFormula>
    </tableColumn>
    <tableColumn id="10" xr3:uid="{B43B67C5-8A04-41E0-8249-DD2F185EADD2}" name="Investment"/>
    <tableColumn id="11" xr3:uid="{11D6E048-AA9E-42A6-8848-EAD4B26817C1}" name="Frac ADV" dataDxfId="46" dataCellStyle="Comma">
      <calculatedColumnFormula>Table13[[#This Row],[Investment]]/Table13[[#This Row],[Dollar Volume]]</calculatedColumnFormula>
    </tableColumn>
    <tableColumn id="12" xr3:uid="{47F3B9EB-6A34-4F94-A4AE-AABD77DD68CE}" name="Tcosts" dataDxfId="45">
      <calculatedColumnFormula>IFERROR(MAX($T$11+$T$12*LN(Table13[[#This Row],[Frac ADV]]),0),0)*0.0001+0.005/Table13[[#This Row],[Stock Price]]+Table13[[#This Row],[Expense Ratio]]</calculatedColumnFormula>
    </tableColumn>
    <tableColumn id="13" xr3:uid="{4A5A5538-6158-4FEE-88C8-C348FB8D40EA}" name="Exp Profit" dataDxfId="44" dataCellStyle="Comma">
      <calculatedColumnFormula>(Table13[[#This Row],[Expected Return]]-Table13[[#This Row],[Tcosts]])*Table13[[#This Row],[Investment]]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DCE627-E5F9-4167-BEE8-127231A88BC7}" name="Table135" displayName="Table135" ref="A1:M201" totalsRowShown="0" headerRowDxfId="43" dataDxfId="41" headerRowBorderDxfId="42" tableBorderDxfId="40" totalsRowBorderDxfId="39">
  <autoFilter ref="A1:M201" xr:uid="{991FE4C9-5B5B-4B2C-AB77-A347FE79CC51}"/>
  <sortState xmlns:xlrd2="http://schemas.microsoft.com/office/spreadsheetml/2017/richdata2" ref="A2:M201">
    <sortCondition descending="1" ref="J1:J201"/>
  </sortState>
  <tableColumns count="13">
    <tableColumn id="1" xr3:uid="{EF19B5B0-F151-441E-87C7-83C000E83081}" name="Symbol"/>
    <tableColumn id="2" xr3:uid="{D8E6D44C-8FFB-46B5-96EF-7DA4A2D7AD27}" name="Fund Name"/>
    <tableColumn id="3" xr3:uid="{A28B7E11-072B-4B7B-B211-11FF6F2ECB42}" name="Stock Price"/>
    <tableColumn id="4" xr3:uid="{420FC240-6933-437C-8136-00EEF5E5BD18}" name="AUM" dataDxfId="38"/>
    <tableColumn id="5" xr3:uid="{0DCBB258-883D-4359-B300-60CE1C3B5A9A}" name="Expense Ratio"/>
    <tableColumn id="6" xr3:uid="{B7AAB67F-F212-4076-9FDA-6AF894D0F61D}" name="Beta"/>
    <tableColumn id="8" xr3:uid="{7C3CCA89-1EFF-4AC2-BF19-ED2146DBFD73}" name="Dollar Volume"/>
    <tableColumn id="7" xr3:uid="{876D0C2E-73E4-428D-8A15-F407065877E3}" name="Tech" dataDxfId="37">
      <calculatedColumnFormula>OR(
  ISNUMBER(SEARCH("technology",B2)),
  ISNUMBER(SEARCH("tech",B2)),
  ISNUMBER(SEARCH("qqq",B2)),
  ISNUMBER(SEARCH("semiconductor",B2)),
  ISNUMBER(SEARCH("information technology",B2)),
  ISNUMBER(SEARCH("nasdaq",B2)),
  ISNUMBER(SEARCH("communication",B2))
)</calculatedColumnFormula>
    </tableColumn>
    <tableColumn id="9" xr3:uid="{515FF76A-18FE-40D0-9F6F-C052BAB594C2}" name="Expected Return" dataDxfId="36">
      <calculatedColumnFormula>Table135[[#This Row],[Tech]]*$T$7+Table135[[#This Row],[Beta]]*($T$6-$T$8)+$T$8</calculatedColumnFormula>
    </tableColumn>
    <tableColumn id="10" xr3:uid="{98454CD9-C75D-4BC6-BF7C-71CCA1A28CFA}" name="Investment"/>
    <tableColumn id="11" xr3:uid="{18CB150C-FC47-4052-A780-739B5611F203}" name="Frac ADV" dataDxfId="35" dataCellStyle="Comma">
      <calculatedColumnFormula>Table135[[#This Row],[Investment]]/Table135[[#This Row],[Dollar Volume]]</calculatedColumnFormula>
    </tableColumn>
    <tableColumn id="12" xr3:uid="{F6A04AF5-ABAF-4F80-B233-0E1B798F7E83}" name="Tcosts" dataDxfId="34">
      <calculatedColumnFormula>IFERROR(MAX($T$11+$T$12*LN(Table135[[#This Row],[Frac ADV]]),0),0)*0.0001+0.005/Table135[[#This Row],[Stock Price]]+Table135[[#This Row],[Expense Ratio]]</calculatedColumnFormula>
    </tableColumn>
    <tableColumn id="13" xr3:uid="{51509D89-EABD-4302-A3E1-BB49FCA226DC}" name="Exp Profit" dataDxfId="33" dataCellStyle="Comma">
      <calculatedColumnFormula>(Table135[[#This Row],[Expected Return]]-Table135[[#This Row],[Tcosts]])*Table135[[#This Row],[Investment]]</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1745F06-8FE6-401D-A77D-FAF776C0E7AC}" name="Table1356" displayName="Table1356" ref="A1:M201" totalsRowShown="0" headerRowDxfId="32" dataDxfId="30" headerRowBorderDxfId="31" tableBorderDxfId="29" totalsRowBorderDxfId="28">
  <autoFilter ref="A1:M201" xr:uid="{991FE4C9-5B5B-4B2C-AB77-A347FE79CC51}"/>
  <sortState xmlns:xlrd2="http://schemas.microsoft.com/office/spreadsheetml/2017/richdata2" ref="A2:M201">
    <sortCondition descending="1" ref="J1:J201"/>
  </sortState>
  <tableColumns count="13">
    <tableColumn id="1" xr3:uid="{68429F62-51F7-4024-9E8A-C013F9765CBF}" name="Symbol"/>
    <tableColumn id="2" xr3:uid="{82187DCB-9F07-4672-8189-25FE38506623}" name="Fund Name"/>
    <tableColumn id="3" xr3:uid="{160D42B6-0CD2-406F-A6D6-20464E9EE2A8}" name="Stock Price"/>
    <tableColumn id="4" xr3:uid="{2F80764E-9FBC-435B-9CCF-2A4911E655D3}" name="AUM" dataDxfId="27"/>
    <tableColumn id="5" xr3:uid="{54ADF64A-5880-428D-BE7B-E3401E46A6FE}" name="Expense Ratio"/>
    <tableColumn id="6" xr3:uid="{4B6140EC-630A-409A-BEA2-35CD29D31841}" name="Beta"/>
    <tableColumn id="8" xr3:uid="{31A990C7-BDB6-4CE0-BFBB-74159B62AA70}" name="Dollar Volume"/>
    <tableColumn id="7" xr3:uid="{BB57CCA5-9FA9-4533-8E2A-FED45181C135}" name="Tech" dataDxfId="26">
      <calculatedColumnFormula>OR(
  ISNUMBER(SEARCH("technology",B2)),
  ISNUMBER(SEARCH("tech",B2)),
  ISNUMBER(SEARCH("qqq",B2)),
  ISNUMBER(SEARCH("semiconductor",B2)),
  ISNUMBER(SEARCH("information technology",B2)),
  ISNUMBER(SEARCH("nasdaq",B2)),
  ISNUMBER(SEARCH("communication",B2))
)</calculatedColumnFormula>
    </tableColumn>
    <tableColumn id="9" xr3:uid="{7EF8A47C-C85F-4BED-9C79-74F337BA79D1}" name="Expected Return" dataDxfId="25">
      <calculatedColumnFormula>Table1356[[#This Row],[Tech]]*$T$7+Table1356[[#This Row],[Beta]]*($T$6-$T$8)+$T$8</calculatedColumnFormula>
    </tableColumn>
    <tableColumn id="10" xr3:uid="{FF6A68B9-2049-4AA2-9516-8A767FF78529}" name="Investment"/>
    <tableColumn id="11" xr3:uid="{4CFEB6DE-53C2-4A4E-849E-345A6E05CBBC}" name="Frac ADV" dataDxfId="24" dataCellStyle="Comma">
      <calculatedColumnFormula>Table1356[[#This Row],[Investment]]/Table1356[[#This Row],[Dollar Volume]]</calculatedColumnFormula>
    </tableColumn>
    <tableColumn id="12" xr3:uid="{E2F09829-7C0F-4A0D-95C5-BBB60AD967D3}" name="Tcosts" dataDxfId="23">
      <calculatedColumnFormula>IFERROR(MAX($T$11+$T$12*LN(Table1356[[#This Row],[Frac ADV]]),0),0)*0.0001+0.005/Table1356[[#This Row],[Stock Price]]+Table1356[[#This Row],[Expense Ratio]]</calculatedColumnFormula>
    </tableColumn>
    <tableColumn id="13" xr3:uid="{B5CCDBF1-0E7D-440C-BB20-DC87931A573B}" name="Exp Profit" dataDxfId="22" dataCellStyle="Comma">
      <calculatedColumnFormula>(Table1356[[#This Row],[Expected Return]]-Table1356[[#This Row],[Tcosts]])*Table1356[[#This Row],[Investment]]</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AE4F620-0CD1-3A4F-B615-68CA3895AE71}" name="Table13568" displayName="Table13568" ref="A1:M201" totalsRowShown="0" headerRowDxfId="21" dataDxfId="19" headerRowBorderDxfId="20" tableBorderDxfId="18" totalsRowBorderDxfId="17">
  <autoFilter ref="A1:M201" xr:uid="{991FE4C9-5B5B-4B2C-AB77-A347FE79CC51}"/>
  <sortState xmlns:xlrd2="http://schemas.microsoft.com/office/spreadsheetml/2017/richdata2" ref="A2:M201">
    <sortCondition descending="1" ref="J1:J201"/>
  </sortState>
  <tableColumns count="13">
    <tableColumn id="1" xr3:uid="{3B0C4E3B-FFF5-9F48-AFE3-AFAE92804B4F}" name="Symbol"/>
    <tableColumn id="2" xr3:uid="{A264A565-D785-8645-BECA-3CDD6321C197}" name="Fund Name"/>
    <tableColumn id="3" xr3:uid="{9247D498-7417-3247-8B47-A14B4C1591BB}" name="Stock Price"/>
    <tableColumn id="4" xr3:uid="{C582BD75-F844-8F49-A9C2-6DA8927E34F7}" name="AUM" dataDxfId="16"/>
    <tableColumn id="5" xr3:uid="{DC65DF2C-8EE2-0949-8437-A721B0F7A73D}" name="Expense Ratio"/>
    <tableColumn id="6" xr3:uid="{F387C1C2-6755-3D44-9863-5F0C9F465639}" name="Beta"/>
    <tableColumn id="8" xr3:uid="{9ED94B12-CADD-CD4B-BD70-1A8E5172291E}" name="Dollar Volume"/>
    <tableColumn id="7" xr3:uid="{CFF8F635-345D-714B-9BF5-F553D91786A7}" name="Tech" dataDxfId="15">
      <calculatedColumnFormula>OR(
  ISNUMBER(SEARCH("technology",B2)),
  ISNUMBER(SEARCH("tech",B2)),
  ISNUMBER(SEARCH("qqq",B2)),
  ISNUMBER(SEARCH("semiconductor",B2)),
  ISNUMBER(SEARCH("information technology",B2)),
  ISNUMBER(SEARCH("nasdaq",B2)),
  ISNUMBER(SEARCH("communication",B2))
)</calculatedColumnFormula>
    </tableColumn>
    <tableColumn id="9" xr3:uid="{64B80967-74C3-7640-AE6B-62F670A47ED2}" name="Expected Return" dataDxfId="14">
      <calculatedColumnFormula>Table13568[[#This Row],[Tech]]*$T$7+Table13568[[#This Row],[Beta]]*($T$6-$T$8)+$T$8</calculatedColumnFormula>
    </tableColumn>
    <tableColumn id="10" xr3:uid="{F0FB2672-B452-0D49-B038-0A16C1276803}" name="Investment"/>
    <tableColumn id="11" xr3:uid="{C1298B4C-BC4F-5C42-B895-6B7F8B170ACA}" name="Frac ADV" dataDxfId="13" dataCellStyle="Comma">
      <calculatedColumnFormula>Table13568[[#This Row],[Investment]]/Table13568[[#This Row],[Dollar Volume]]</calculatedColumnFormula>
    </tableColumn>
    <tableColumn id="12" xr3:uid="{BC52F982-2DE0-A44C-BFDB-7D03C358E549}" name="Tcosts" dataDxfId="12">
      <calculatedColumnFormula>IFERROR(MAX($T$11+$T$12*LN(Table13568[[#This Row],[Frac ADV]]),0),0)*0.0001+0.005/Table13568[[#This Row],[Stock Price]]+Table13568[[#This Row],[Expense Ratio]]</calculatedColumnFormula>
    </tableColumn>
    <tableColumn id="13" xr3:uid="{6D862677-1A95-EC41-81C0-A91CD9589073}" name="Exp Profit" dataDxfId="11" dataCellStyle="Comma">
      <calculatedColumnFormula>(Table13568[[#This Row],[Expected Return]]-Table13568[[#This Row],[Tcosts]])*Table13568[[#This Row],[Investment]]</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C42E156-671A-4641-9509-54CDA1ECF303}" name="Table13567" displayName="Table13567" ref="A1:M201" totalsRowShown="0" headerRowDxfId="10" dataDxfId="8" headerRowBorderDxfId="9" tableBorderDxfId="7" totalsRowBorderDxfId="6">
  <autoFilter ref="A1:M201" xr:uid="{991FE4C9-5B5B-4B2C-AB77-A347FE79CC51}"/>
  <sortState xmlns:xlrd2="http://schemas.microsoft.com/office/spreadsheetml/2017/richdata2" ref="A2:M201">
    <sortCondition descending="1" ref="J1:J201"/>
  </sortState>
  <tableColumns count="13">
    <tableColumn id="1" xr3:uid="{BDC9B323-BD2E-4018-AFB4-23028E34BAD2}" name="Symbol"/>
    <tableColumn id="2" xr3:uid="{EBE91407-3530-454C-838A-5EC2264FE755}" name="Fund Name"/>
    <tableColumn id="3" xr3:uid="{1F0E2F74-EA41-46DB-BA31-0BAD494741C0}" name="Stock Price"/>
    <tableColumn id="4" xr3:uid="{90976BBA-7467-46DC-A8D9-E89AB0202E7D}" name="AUM" dataDxfId="5"/>
    <tableColumn id="5" xr3:uid="{FAC9BEA3-3331-4235-B80D-1D576F352F15}" name="Expense Ratio"/>
    <tableColumn id="6" xr3:uid="{4A07814A-D7BE-48E6-B09A-F000CE9E6070}" name="Beta"/>
    <tableColumn id="8" xr3:uid="{C6DDC04A-FBB8-4F27-9AC3-ECF4256BFC52}" name="Dollar Volume"/>
    <tableColumn id="7" xr3:uid="{8E428F5D-5E1B-4320-B168-A8F2674B83C5}" name="Tech" dataDxfId="4">
      <calculatedColumnFormula>OR(
  ISNUMBER(SEARCH("technology",B2)),
  ISNUMBER(SEARCH("tech",B2)),
  ISNUMBER(SEARCH("qqq",B2)),
  ISNUMBER(SEARCH("semiconductor",B2)),
  ISNUMBER(SEARCH("information technology",B2)),
  ISNUMBER(SEARCH("nasdaq",B2)),
  ISNUMBER(SEARCH("communication",B2))
)</calculatedColumnFormula>
    </tableColumn>
    <tableColumn id="9" xr3:uid="{31E31A0D-2C37-4265-9E9F-7BC0750D4ED3}" name="Expected Return" dataDxfId="3">
      <calculatedColumnFormula>Table13567[[#This Row],[Tech]]*$T$7+Table13567[[#This Row],[Beta]]*($T$6-$T$8)+$T$8</calculatedColumnFormula>
    </tableColumn>
    <tableColumn id="10" xr3:uid="{6DFC255C-0BAA-4FA2-8127-68BBEC0E20BD}" name="Investment"/>
    <tableColumn id="11" xr3:uid="{4C7DA01B-14CD-456A-9989-ED10D8ABB243}" name="Frac ADV" dataDxfId="2" dataCellStyle="Comma">
      <calculatedColumnFormula>Table13567[[#This Row],[Investment]]/Table13567[[#This Row],[Dollar Volume]]</calculatedColumnFormula>
    </tableColumn>
    <tableColumn id="12" xr3:uid="{E160B417-E850-4984-AC43-D375F7D83237}" name="Tcosts" dataDxfId="1">
      <calculatedColumnFormula>IFERROR(MAX($T$11+$T$12*LN(Table13567[[#This Row],[Frac ADV]]),0),0)*0.0001+0.005/Table13567[[#This Row],[Stock Price]]+Table13567[[#This Row],[Expense Ratio]]</calculatedColumnFormula>
    </tableColumn>
    <tableColumn id="13" xr3:uid="{17E80F84-3A38-4187-9F86-BAEF9BF1E42F}" name="Exp Profit" dataDxfId="0" dataCellStyle="Comma">
      <calculatedColumnFormula>(Table13567[[#This Row],[Expected Return]]-Table13567[[#This Row],[Tcosts]])*Table13567[[#This Row],[Investment]]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stockanalysis.com/etf/vbk/" TargetMode="External"/><Relationship Id="rId21" Type="http://schemas.openxmlformats.org/officeDocument/2006/relationships/hyperlink" Target="https://stockanalysis.com/etf/ijr/" TargetMode="External"/><Relationship Id="rId42" Type="http://schemas.openxmlformats.org/officeDocument/2006/relationships/hyperlink" Target="https://stockanalysis.com/etf/ixus/" TargetMode="External"/><Relationship Id="rId63" Type="http://schemas.openxmlformats.org/officeDocument/2006/relationships/hyperlink" Target="https://stockanalysis.com/etf/xlv/" TargetMode="External"/><Relationship Id="rId84" Type="http://schemas.openxmlformats.org/officeDocument/2006/relationships/hyperlink" Target="https://stockanalysis.com/etf/efv/" TargetMode="External"/><Relationship Id="rId138" Type="http://schemas.openxmlformats.org/officeDocument/2006/relationships/hyperlink" Target="https://stockanalysis.com/etf/usig/" TargetMode="External"/><Relationship Id="rId159" Type="http://schemas.openxmlformats.org/officeDocument/2006/relationships/hyperlink" Target="https://stockanalysis.com/etf/vmbs/" TargetMode="External"/><Relationship Id="rId170" Type="http://schemas.openxmlformats.org/officeDocument/2006/relationships/hyperlink" Target="https://stockanalysis.com/etf/spmo/" TargetMode="External"/><Relationship Id="rId191" Type="http://schemas.openxmlformats.org/officeDocument/2006/relationships/hyperlink" Target="https://stockanalysis.com/etf/nobl/" TargetMode="External"/><Relationship Id="rId107" Type="http://schemas.openxmlformats.org/officeDocument/2006/relationships/hyperlink" Target="https://stockanalysis.com/etf/dvy/" TargetMode="External"/><Relationship Id="rId11" Type="http://schemas.openxmlformats.org/officeDocument/2006/relationships/hyperlink" Target="https://stockanalysis.com/etf/bnd/" TargetMode="External"/><Relationship Id="rId32" Type="http://schemas.openxmlformats.org/officeDocument/2006/relationships/hyperlink" Target="https://stockanalysis.com/etf/vb/" TargetMode="External"/><Relationship Id="rId53" Type="http://schemas.openxmlformats.org/officeDocument/2006/relationships/hyperlink" Target="https://stockanalysis.com/etf/smh/" TargetMode="External"/><Relationship Id="rId74" Type="http://schemas.openxmlformats.org/officeDocument/2006/relationships/hyperlink" Target="https://stockanalysis.com/etf/govt/" TargetMode="External"/><Relationship Id="rId128" Type="http://schemas.openxmlformats.org/officeDocument/2006/relationships/hyperlink" Target="https://stockanalysis.com/etf/dfiv/" TargetMode="External"/><Relationship Id="rId149" Type="http://schemas.openxmlformats.org/officeDocument/2006/relationships/hyperlink" Target="https://stockanalysis.com/etf/iwy/" TargetMode="External"/><Relationship Id="rId5" Type="http://schemas.openxmlformats.org/officeDocument/2006/relationships/hyperlink" Target="https://stockanalysis.com/etf/qqq/" TargetMode="External"/><Relationship Id="rId95" Type="http://schemas.openxmlformats.org/officeDocument/2006/relationships/hyperlink" Target="https://stockanalysis.com/etf/acwi/" TargetMode="External"/><Relationship Id="rId160" Type="http://schemas.openxmlformats.org/officeDocument/2006/relationships/hyperlink" Target="https://stockanalysis.com/etf/spsm/" TargetMode="External"/><Relationship Id="rId181" Type="http://schemas.openxmlformats.org/officeDocument/2006/relationships/hyperlink" Target="https://stockanalysis.com/etf/moat/" TargetMode="External"/><Relationship Id="rId22" Type="http://schemas.openxmlformats.org/officeDocument/2006/relationships/hyperlink" Target="https://stockanalysis.com/etf/vo/" TargetMode="External"/><Relationship Id="rId43" Type="http://schemas.openxmlformats.org/officeDocument/2006/relationships/hyperlink" Target="https://stockanalysis.com/etf/xlf/" TargetMode="External"/><Relationship Id="rId64" Type="http://schemas.openxmlformats.org/officeDocument/2006/relationships/hyperlink" Target="https://stockanalysis.com/etf/vcsh/" TargetMode="External"/><Relationship Id="rId118" Type="http://schemas.openxmlformats.org/officeDocument/2006/relationships/hyperlink" Target="https://stockanalysis.com/etf/scha/" TargetMode="External"/><Relationship Id="rId139" Type="http://schemas.openxmlformats.org/officeDocument/2006/relationships/hyperlink" Target="https://stockanalysis.com/etf/spem/" TargetMode="External"/><Relationship Id="rId85" Type="http://schemas.openxmlformats.org/officeDocument/2006/relationships/hyperlink" Target="https://stockanalysis.com/etf/xli/" TargetMode="External"/><Relationship Id="rId150" Type="http://schemas.openxmlformats.org/officeDocument/2006/relationships/hyperlink" Target="https://stockanalysis.com/etf/esgu/" TargetMode="External"/><Relationship Id="rId171" Type="http://schemas.openxmlformats.org/officeDocument/2006/relationships/hyperlink" Target="https://stockanalysis.com/etf/iwo/" TargetMode="External"/><Relationship Id="rId192" Type="http://schemas.openxmlformats.org/officeDocument/2006/relationships/hyperlink" Target="https://stockanalysis.com/etf/iagg/" TargetMode="External"/><Relationship Id="rId12" Type="http://schemas.openxmlformats.org/officeDocument/2006/relationships/hyperlink" Target="https://stockanalysis.com/etf/iemg/" TargetMode="External"/><Relationship Id="rId33" Type="http://schemas.openxmlformats.org/officeDocument/2006/relationships/hyperlink" Target="https://stockanalysis.com/etf/sgov/" TargetMode="External"/><Relationship Id="rId108" Type="http://schemas.openxmlformats.org/officeDocument/2006/relationships/hyperlink" Target="https://stockanalysis.com/etf/xly/" TargetMode="External"/><Relationship Id="rId129" Type="http://schemas.openxmlformats.org/officeDocument/2006/relationships/hyperlink" Target="https://stockanalysis.com/etf/ewj/" TargetMode="External"/><Relationship Id="rId54" Type="http://schemas.openxmlformats.org/officeDocument/2006/relationships/hyperlink" Target="https://stockanalysis.com/etf/spyg/" TargetMode="External"/><Relationship Id="rId75" Type="http://schemas.openxmlformats.org/officeDocument/2006/relationships/hyperlink" Target="https://stockanalysis.com/etf/iusb/" TargetMode="External"/><Relationship Id="rId96" Type="http://schemas.openxmlformats.org/officeDocument/2006/relationships/hyperlink" Target="https://stockanalysis.com/etf/jaaa/" TargetMode="External"/><Relationship Id="rId140" Type="http://schemas.openxmlformats.org/officeDocument/2006/relationships/hyperlink" Target="https://stockanalysis.com/etf/xlp/" TargetMode="External"/><Relationship Id="rId161" Type="http://schemas.openxmlformats.org/officeDocument/2006/relationships/hyperlink" Target="https://stockanalysis.com/etf/vtwo/" TargetMode="External"/><Relationship Id="rId182" Type="http://schemas.openxmlformats.org/officeDocument/2006/relationships/hyperlink" Target="https://stockanalysis.com/etf/iqlt/" TargetMode="External"/><Relationship Id="rId6" Type="http://schemas.openxmlformats.org/officeDocument/2006/relationships/hyperlink" Target="https://stockanalysis.com/etf/vea/" TargetMode="External"/><Relationship Id="rId23" Type="http://schemas.openxmlformats.org/officeDocument/2006/relationships/hyperlink" Target="https://stockanalysis.com/etf/xlk/" TargetMode="External"/><Relationship Id="rId119" Type="http://schemas.openxmlformats.org/officeDocument/2006/relationships/hyperlink" Target="https://stockanalysis.com/etf/rdvy/" TargetMode="External"/><Relationship Id="rId44" Type="http://schemas.openxmlformats.org/officeDocument/2006/relationships/hyperlink" Target="https://stockanalysis.com/etf/ibit/" TargetMode="External"/><Relationship Id="rId65" Type="http://schemas.openxmlformats.org/officeDocument/2006/relationships/hyperlink" Target="https://stockanalysis.com/etf/mbb/" TargetMode="External"/><Relationship Id="rId86" Type="http://schemas.openxmlformats.org/officeDocument/2006/relationships/hyperlink" Target="https://stockanalysis.com/etf/cgdv/" TargetMode="External"/><Relationship Id="rId130" Type="http://schemas.openxmlformats.org/officeDocument/2006/relationships/hyperlink" Target="https://stockanalysis.com/etf/iei/" TargetMode="External"/><Relationship Id="rId151" Type="http://schemas.openxmlformats.org/officeDocument/2006/relationships/hyperlink" Target="https://stockanalysis.com/etf/bbjp/" TargetMode="External"/><Relationship Id="rId172" Type="http://schemas.openxmlformats.org/officeDocument/2006/relationships/hyperlink" Target="https://stockanalysis.com/etf/vfh/" TargetMode="External"/><Relationship Id="rId193" Type="http://schemas.openxmlformats.org/officeDocument/2006/relationships/hyperlink" Target="https://stockanalysis.com/etf/mgv/" TargetMode="External"/><Relationship Id="rId13" Type="http://schemas.openxmlformats.org/officeDocument/2006/relationships/hyperlink" Target="https://stockanalysis.com/etf/agg/" TargetMode="External"/><Relationship Id="rId109" Type="http://schemas.openxmlformats.org/officeDocument/2006/relationships/hyperlink" Target="https://stockanalysis.com/etf/igsb/" TargetMode="External"/><Relationship Id="rId34" Type="http://schemas.openxmlformats.org/officeDocument/2006/relationships/hyperlink" Target="https://stockanalysis.com/etf/qqqm/" TargetMode="External"/><Relationship Id="rId55" Type="http://schemas.openxmlformats.org/officeDocument/2006/relationships/hyperlink" Target="https://stockanalysis.com/etf/tlt/" TargetMode="External"/><Relationship Id="rId76" Type="http://schemas.openxmlformats.org/officeDocument/2006/relationships/hyperlink" Target="https://stockanalysis.com/etf/vbr/" TargetMode="External"/><Relationship Id="rId97" Type="http://schemas.openxmlformats.org/officeDocument/2006/relationships/hyperlink" Target="https://stockanalysis.com/etf/xlc/" TargetMode="External"/><Relationship Id="rId120" Type="http://schemas.openxmlformats.org/officeDocument/2006/relationships/hyperlink" Target="https://stockanalysis.com/etf/iyw/" TargetMode="External"/><Relationship Id="rId141" Type="http://schemas.openxmlformats.org/officeDocument/2006/relationships/hyperlink" Target="https://stockanalysis.com/etf/emxc/" TargetMode="External"/><Relationship Id="rId7" Type="http://schemas.openxmlformats.org/officeDocument/2006/relationships/hyperlink" Target="https://stockanalysis.com/etf/vug/" TargetMode="External"/><Relationship Id="rId162" Type="http://schemas.openxmlformats.org/officeDocument/2006/relationships/hyperlink" Target="https://stockanalysis.com/etf/dfai/" TargetMode="External"/><Relationship Id="rId183" Type="http://schemas.openxmlformats.org/officeDocument/2006/relationships/hyperlink" Target="https://stockanalysis.com/etf/schr/" TargetMode="External"/><Relationship Id="rId2" Type="http://schemas.openxmlformats.org/officeDocument/2006/relationships/hyperlink" Target="https://stockanalysis.com/etf/ivv/" TargetMode="External"/><Relationship Id="rId29" Type="http://schemas.openxmlformats.org/officeDocument/2006/relationships/hyperlink" Target="https://stockanalysis.com/etf/efa/" TargetMode="External"/><Relationship Id="rId24" Type="http://schemas.openxmlformats.org/officeDocument/2006/relationships/hyperlink" Target="https://stockanalysis.com/etf/rsp/" TargetMode="External"/><Relationship Id="rId40" Type="http://schemas.openxmlformats.org/officeDocument/2006/relationships/hyperlink" Target="https://stockanalysis.com/etf/veu/" TargetMode="External"/><Relationship Id="rId45" Type="http://schemas.openxmlformats.org/officeDocument/2006/relationships/hyperlink" Target="https://stockanalysis.com/etf/schg/" TargetMode="External"/><Relationship Id="rId66" Type="http://schemas.openxmlformats.org/officeDocument/2006/relationships/hyperlink" Target="https://stockanalysis.com/etf/vgit/" TargetMode="External"/><Relationship Id="rId87" Type="http://schemas.openxmlformats.org/officeDocument/2006/relationships/hyperlink" Target="https://stockanalysis.com/etf/lqd/" TargetMode="External"/><Relationship Id="rId110" Type="http://schemas.openxmlformats.org/officeDocument/2006/relationships/hyperlink" Target="https://stockanalysis.com/etf/voog/" TargetMode="External"/><Relationship Id="rId115" Type="http://schemas.openxmlformats.org/officeDocument/2006/relationships/hyperlink" Target="https://stockanalysis.com/etf/sdy/" TargetMode="External"/><Relationship Id="rId131" Type="http://schemas.openxmlformats.org/officeDocument/2006/relationships/hyperlink" Target="https://stockanalysis.com/etf/igib/" TargetMode="External"/><Relationship Id="rId136" Type="http://schemas.openxmlformats.org/officeDocument/2006/relationships/hyperlink" Target="https://stockanalysis.com/etf/hyg/" TargetMode="External"/><Relationship Id="rId157" Type="http://schemas.openxmlformats.org/officeDocument/2006/relationships/hyperlink" Target="https://stockanalysis.com/etf/mint/" TargetMode="External"/><Relationship Id="rId178" Type="http://schemas.openxmlformats.org/officeDocument/2006/relationships/hyperlink" Target="https://stockanalysis.com/etf/dfic/" TargetMode="External"/><Relationship Id="rId61" Type="http://schemas.openxmlformats.org/officeDocument/2006/relationships/hyperlink" Target="https://stockanalysis.com/etf/dfac/" TargetMode="External"/><Relationship Id="rId82" Type="http://schemas.openxmlformats.org/officeDocument/2006/relationships/hyperlink" Target="https://stockanalysis.com/etf/vgk/" TargetMode="External"/><Relationship Id="rId152" Type="http://schemas.openxmlformats.org/officeDocument/2006/relationships/hyperlink" Target="https://stockanalysis.com/etf/vonv/" TargetMode="External"/><Relationship Id="rId173" Type="http://schemas.openxmlformats.org/officeDocument/2006/relationships/hyperlink" Target="https://stockanalysis.com/etf/dfat/" TargetMode="External"/><Relationship Id="rId194" Type="http://schemas.openxmlformats.org/officeDocument/2006/relationships/hyperlink" Target="https://stockanalysis.com/etf/scho/" TargetMode="External"/><Relationship Id="rId199" Type="http://schemas.openxmlformats.org/officeDocument/2006/relationships/hyperlink" Target="https://stockanalysis.com/etf/vss/" TargetMode="External"/><Relationship Id="rId203" Type="http://schemas.openxmlformats.org/officeDocument/2006/relationships/table" Target="../tables/table1.xml"/><Relationship Id="rId19" Type="http://schemas.openxmlformats.org/officeDocument/2006/relationships/hyperlink" Target="https://stockanalysis.com/etf/spym/" TargetMode="External"/><Relationship Id="rId14" Type="http://schemas.openxmlformats.org/officeDocument/2006/relationships/hyperlink" Target="https://stockanalysis.com/etf/vxus/" TargetMode="External"/><Relationship Id="rId30" Type="http://schemas.openxmlformats.org/officeDocument/2006/relationships/hyperlink" Target="https://stockanalysis.com/etf/bndx/" TargetMode="External"/><Relationship Id="rId35" Type="http://schemas.openxmlformats.org/officeDocument/2006/relationships/hyperlink" Target="https://stockanalysis.com/etf/iwd/" TargetMode="External"/><Relationship Id="rId56" Type="http://schemas.openxmlformats.org/officeDocument/2006/relationships/hyperlink" Target="https://stockanalysis.com/etf/jepi/" TargetMode="External"/><Relationship Id="rId77" Type="http://schemas.openxmlformats.org/officeDocument/2006/relationships/hyperlink" Target="https://stockanalysis.com/etf/jepq/" TargetMode="External"/><Relationship Id="rId100" Type="http://schemas.openxmlformats.org/officeDocument/2006/relationships/hyperlink" Target="https://stockanalysis.com/etf/mdy/" TargetMode="External"/><Relationship Id="rId105" Type="http://schemas.openxmlformats.org/officeDocument/2006/relationships/hyperlink" Target="https://stockanalysis.com/etf/avuv/" TargetMode="External"/><Relationship Id="rId126" Type="http://schemas.openxmlformats.org/officeDocument/2006/relationships/hyperlink" Target="https://stockanalysis.com/etf/cowz/" TargetMode="External"/><Relationship Id="rId147" Type="http://schemas.openxmlformats.org/officeDocument/2006/relationships/hyperlink" Target="https://stockanalysis.com/etf/vtip/" TargetMode="External"/><Relationship Id="rId168" Type="http://schemas.openxmlformats.org/officeDocument/2006/relationships/hyperlink" Target="https://stockanalysis.com/etf/dfuv/" TargetMode="External"/><Relationship Id="rId8" Type="http://schemas.openxmlformats.org/officeDocument/2006/relationships/hyperlink" Target="https://stockanalysis.com/etf/iefa/" TargetMode="External"/><Relationship Id="rId51" Type="http://schemas.openxmlformats.org/officeDocument/2006/relationships/hyperlink" Target="https://stockanalysis.com/etf/ief/" TargetMode="External"/><Relationship Id="rId72" Type="http://schemas.openxmlformats.org/officeDocument/2006/relationships/hyperlink" Target="https://stockanalysis.com/etf/xle/" TargetMode="External"/><Relationship Id="rId93" Type="http://schemas.openxmlformats.org/officeDocument/2006/relationships/hyperlink" Target="https://stockanalysis.com/etf/vgsh/" TargetMode="External"/><Relationship Id="rId98" Type="http://schemas.openxmlformats.org/officeDocument/2006/relationships/hyperlink" Target="https://stockanalysis.com/etf/vxf/" TargetMode="External"/><Relationship Id="rId121" Type="http://schemas.openxmlformats.org/officeDocument/2006/relationships/hyperlink" Target="https://stockanalysis.com/etf/shv/" TargetMode="External"/><Relationship Id="rId142" Type="http://schemas.openxmlformats.org/officeDocument/2006/relationships/hyperlink" Target="https://stockanalysis.com/etf/spmd/" TargetMode="External"/><Relationship Id="rId163" Type="http://schemas.openxmlformats.org/officeDocument/2006/relationships/hyperlink" Target="https://stockanalysis.com/etf/avde/" TargetMode="External"/><Relationship Id="rId184" Type="http://schemas.openxmlformats.org/officeDocument/2006/relationships/hyperlink" Target="https://stockanalysis.com/etf/ewy/" TargetMode="External"/><Relationship Id="rId189" Type="http://schemas.openxmlformats.org/officeDocument/2006/relationships/hyperlink" Target="https://stockanalysis.com/etf/pyld/" TargetMode="External"/><Relationship Id="rId3" Type="http://schemas.openxmlformats.org/officeDocument/2006/relationships/hyperlink" Target="https://stockanalysis.com/etf/spy/" TargetMode="External"/><Relationship Id="rId25" Type="http://schemas.openxmlformats.org/officeDocument/2006/relationships/hyperlink" Target="https://stockanalysis.com/etf/schd/" TargetMode="External"/><Relationship Id="rId46" Type="http://schemas.openxmlformats.org/officeDocument/2006/relationships/hyperlink" Target="https://stockanalysis.com/etf/ive/" TargetMode="External"/><Relationship Id="rId67" Type="http://schemas.openxmlformats.org/officeDocument/2006/relationships/hyperlink" Target="https://stockanalysis.com/etf/schb/" TargetMode="External"/><Relationship Id="rId116" Type="http://schemas.openxmlformats.org/officeDocument/2006/relationships/hyperlink" Target="https://stockanalysis.com/etf/mtum/" TargetMode="External"/><Relationship Id="rId137" Type="http://schemas.openxmlformats.org/officeDocument/2006/relationships/hyperlink" Target="https://stockanalysis.com/etf/binc/" TargetMode="External"/><Relationship Id="rId158" Type="http://schemas.openxmlformats.org/officeDocument/2006/relationships/hyperlink" Target="https://stockanalysis.com/etf/gslc/" TargetMode="External"/><Relationship Id="rId20" Type="http://schemas.openxmlformats.org/officeDocument/2006/relationships/hyperlink" Target="https://stockanalysis.com/etf/vig/" TargetMode="External"/><Relationship Id="rId41" Type="http://schemas.openxmlformats.org/officeDocument/2006/relationships/hyperlink" Target="https://stockanalysis.com/etf/schf/" TargetMode="External"/><Relationship Id="rId62" Type="http://schemas.openxmlformats.org/officeDocument/2006/relationships/hyperlink" Target="https://stockanalysis.com/etf/slv/" TargetMode="External"/><Relationship Id="rId83" Type="http://schemas.openxmlformats.org/officeDocument/2006/relationships/hyperlink" Target="https://stockanalysis.com/etf/mgk/" TargetMode="External"/><Relationship Id="rId88" Type="http://schemas.openxmlformats.org/officeDocument/2006/relationships/hyperlink" Target="https://stockanalysis.com/etf/oef/" TargetMode="External"/><Relationship Id="rId111" Type="http://schemas.openxmlformats.org/officeDocument/2006/relationships/hyperlink" Target="https://stockanalysis.com/etf/soxx/" TargetMode="External"/><Relationship Id="rId132" Type="http://schemas.openxmlformats.org/officeDocument/2006/relationships/hyperlink" Target="https://stockanalysis.com/etf/vymi/" TargetMode="External"/><Relationship Id="rId153" Type="http://schemas.openxmlformats.org/officeDocument/2006/relationships/hyperlink" Target="https://stockanalysis.com/etf/schv/" TargetMode="External"/><Relationship Id="rId174" Type="http://schemas.openxmlformats.org/officeDocument/2006/relationships/hyperlink" Target="https://stockanalysis.com/etf/fbtc/" TargetMode="External"/><Relationship Id="rId179" Type="http://schemas.openxmlformats.org/officeDocument/2006/relationships/hyperlink" Target="https://stockanalysis.com/etf/soxl/" TargetMode="External"/><Relationship Id="rId195" Type="http://schemas.openxmlformats.org/officeDocument/2006/relationships/hyperlink" Target="https://stockanalysis.com/etf/esgd/" TargetMode="External"/><Relationship Id="rId190" Type="http://schemas.openxmlformats.org/officeDocument/2006/relationships/hyperlink" Target="https://stockanalysis.com/etf/esgv/" TargetMode="External"/><Relationship Id="rId204" Type="http://schemas.openxmlformats.org/officeDocument/2006/relationships/comments" Target="../comments1.xml"/><Relationship Id="rId15" Type="http://schemas.openxmlformats.org/officeDocument/2006/relationships/hyperlink" Target="https://stockanalysis.com/etf/iwf/" TargetMode="External"/><Relationship Id="rId36" Type="http://schemas.openxmlformats.org/officeDocument/2006/relationships/hyperlink" Target="https://stockanalysis.com/etf/ivw/" TargetMode="External"/><Relationship Id="rId57" Type="http://schemas.openxmlformats.org/officeDocument/2006/relationships/hyperlink" Target="https://stockanalysis.com/etf/bsv/" TargetMode="External"/><Relationship Id="rId106" Type="http://schemas.openxmlformats.org/officeDocument/2006/relationships/hyperlink" Target="https://stockanalysis.com/etf/usmv/" TargetMode="External"/><Relationship Id="rId127" Type="http://schemas.openxmlformats.org/officeDocument/2006/relationships/hyperlink" Target="https://stockanalysis.com/etf/dfus/" TargetMode="External"/><Relationship Id="rId10" Type="http://schemas.openxmlformats.org/officeDocument/2006/relationships/hyperlink" Target="https://stockanalysis.com/etf/vtv/" TargetMode="External"/><Relationship Id="rId31" Type="http://schemas.openxmlformats.org/officeDocument/2006/relationships/hyperlink" Target="https://stockanalysis.com/etf/vym/" TargetMode="External"/><Relationship Id="rId52" Type="http://schemas.openxmlformats.org/officeDocument/2006/relationships/hyperlink" Target="https://stockanalysis.com/etf/dia/" TargetMode="External"/><Relationship Id="rId73" Type="http://schemas.openxmlformats.org/officeDocument/2006/relationships/hyperlink" Target="https://stockanalysis.com/etf/vnq/" TargetMode="External"/><Relationship Id="rId78" Type="http://schemas.openxmlformats.org/officeDocument/2006/relationships/hyperlink" Target="https://stockanalysis.com/etf/spyv/" TargetMode="External"/><Relationship Id="rId94" Type="http://schemas.openxmlformats.org/officeDocument/2006/relationships/hyperlink" Target="https://stockanalysis.com/etf/iusg/" TargetMode="External"/><Relationship Id="rId99" Type="http://schemas.openxmlformats.org/officeDocument/2006/relationships/hyperlink" Target="https://stockanalysis.com/etf/ushy/" TargetMode="External"/><Relationship Id="rId101" Type="http://schemas.openxmlformats.org/officeDocument/2006/relationships/hyperlink" Target="https://stockanalysis.com/etf/iusv/" TargetMode="External"/><Relationship Id="rId122" Type="http://schemas.openxmlformats.org/officeDocument/2006/relationships/hyperlink" Target="https://stockanalysis.com/etf/iwp/" TargetMode="External"/><Relationship Id="rId143" Type="http://schemas.openxmlformats.org/officeDocument/2006/relationships/hyperlink" Target="https://stockanalysis.com/etf/dgrw/" TargetMode="External"/><Relationship Id="rId148" Type="http://schemas.openxmlformats.org/officeDocument/2006/relationships/hyperlink" Target="https://stockanalysis.com/etf/emb/" TargetMode="External"/><Relationship Id="rId164" Type="http://schemas.openxmlformats.org/officeDocument/2006/relationships/hyperlink" Target="https://stockanalysis.com/etf/scz/" TargetMode="External"/><Relationship Id="rId169" Type="http://schemas.openxmlformats.org/officeDocument/2006/relationships/hyperlink" Target="https://stockanalysis.com/etf/puls/" TargetMode="External"/><Relationship Id="rId185" Type="http://schemas.openxmlformats.org/officeDocument/2006/relationships/hyperlink" Target="https://stockanalysis.com/etf/tlh/" TargetMode="External"/><Relationship Id="rId4" Type="http://schemas.openxmlformats.org/officeDocument/2006/relationships/hyperlink" Target="https://stockanalysis.com/etf/vti/" TargetMode="External"/><Relationship Id="rId9" Type="http://schemas.openxmlformats.org/officeDocument/2006/relationships/hyperlink" Target="https://stockanalysis.com/etf/gld/" TargetMode="External"/><Relationship Id="rId180" Type="http://schemas.openxmlformats.org/officeDocument/2006/relationships/hyperlink" Target="https://stockanalysis.com/etf/iwn/" TargetMode="External"/><Relationship Id="rId26" Type="http://schemas.openxmlformats.org/officeDocument/2006/relationships/hyperlink" Target="https://stockanalysis.com/etf/itot/" TargetMode="External"/><Relationship Id="rId47" Type="http://schemas.openxmlformats.org/officeDocument/2006/relationships/hyperlink" Target="https://stockanalysis.com/etf/qual/" TargetMode="External"/><Relationship Id="rId68" Type="http://schemas.openxmlformats.org/officeDocument/2006/relationships/hyperlink" Target="https://stockanalysis.com/etf/dgro/" TargetMode="External"/><Relationship Id="rId89" Type="http://schemas.openxmlformats.org/officeDocument/2006/relationships/hyperlink" Target="https://stockanalysis.com/etf/tqqq/" TargetMode="External"/><Relationship Id="rId112" Type="http://schemas.openxmlformats.org/officeDocument/2006/relationships/hyperlink" Target="https://stockanalysis.com/etf/xlu/" TargetMode="External"/><Relationship Id="rId133" Type="http://schemas.openxmlformats.org/officeDocument/2006/relationships/hyperlink" Target="https://stockanalysis.com/etf/avdv/" TargetMode="External"/><Relationship Id="rId154" Type="http://schemas.openxmlformats.org/officeDocument/2006/relationships/hyperlink" Target="https://stockanalysis.com/etf/schp/" TargetMode="External"/><Relationship Id="rId175" Type="http://schemas.openxmlformats.org/officeDocument/2006/relationships/hyperlink" Target="https://stockanalysis.com/etf/dfas/" TargetMode="External"/><Relationship Id="rId196" Type="http://schemas.openxmlformats.org/officeDocument/2006/relationships/hyperlink" Target="https://stockanalysis.com/etf/amlp/" TargetMode="External"/><Relationship Id="rId200" Type="http://schemas.openxmlformats.org/officeDocument/2006/relationships/hyperlink" Target="https://stockanalysis.com/etf/dfax/" TargetMode="External"/><Relationship Id="rId16" Type="http://schemas.openxmlformats.org/officeDocument/2006/relationships/hyperlink" Target="https://stockanalysis.com/etf/vwo/" TargetMode="External"/><Relationship Id="rId37" Type="http://schemas.openxmlformats.org/officeDocument/2006/relationships/hyperlink" Target="https://stockanalysis.com/etf/schx/" TargetMode="External"/><Relationship Id="rId58" Type="http://schemas.openxmlformats.org/officeDocument/2006/relationships/hyperlink" Target="https://stockanalysis.com/etf/bil/" TargetMode="External"/><Relationship Id="rId79" Type="http://schemas.openxmlformats.org/officeDocument/2006/relationships/hyperlink" Target="https://stockanalysis.com/etf/dynf/" TargetMode="External"/><Relationship Id="rId102" Type="http://schemas.openxmlformats.org/officeDocument/2006/relationships/hyperlink" Target="https://stockanalysis.com/etf/shy/" TargetMode="External"/><Relationship Id="rId123" Type="http://schemas.openxmlformats.org/officeDocument/2006/relationships/hyperlink" Target="https://stockanalysis.com/etf/cggr/" TargetMode="External"/><Relationship Id="rId144" Type="http://schemas.openxmlformats.org/officeDocument/2006/relationships/hyperlink" Target="https://stockanalysis.com/etf/sphq/" TargetMode="External"/><Relationship Id="rId90" Type="http://schemas.openxmlformats.org/officeDocument/2006/relationships/hyperlink" Target="https://stockanalysis.com/etf/idev/" TargetMode="External"/><Relationship Id="rId165" Type="http://schemas.openxmlformats.org/officeDocument/2006/relationships/hyperlink" Target="https://stockanalysis.com/etf/stip/" TargetMode="External"/><Relationship Id="rId186" Type="http://schemas.openxmlformats.org/officeDocument/2006/relationships/hyperlink" Target="https://stockanalysis.com/etf/sche/" TargetMode="External"/><Relationship Id="rId27" Type="http://schemas.openxmlformats.org/officeDocument/2006/relationships/hyperlink" Target="https://stockanalysis.com/etf/iau/" TargetMode="External"/><Relationship Id="rId48" Type="http://schemas.openxmlformats.org/officeDocument/2006/relationships/hyperlink" Target="https://stockanalysis.com/etf/iwr/" TargetMode="External"/><Relationship Id="rId69" Type="http://schemas.openxmlformats.org/officeDocument/2006/relationships/hyperlink" Target="https://stockanalysis.com/etf/vong/" TargetMode="External"/><Relationship Id="rId113" Type="http://schemas.openxmlformats.org/officeDocument/2006/relationships/hyperlink" Target="https://stockanalysis.com/etf/voe/" TargetMode="External"/><Relationship Id="rId134" Type="http://schemas.openxmlformats.org/officeDocument/2006/relationships/hyperlink" Target="https://stockanalysis.com/etf/vot/" TargetMode="External"/><Relationship Id="rId80" Type="http://schemas.openxmlformats.org/officeDocument/2006/relationships/hyperlink" Target="https://stockanalysis.com/etf/gdx/" TargetMode="External"/><Relationship Id="rId155" Type="http://schemas.openxmlformats.org/officeDocument/2006/relationships/hyperlink" Target="https://stockanalysis.com/etf/iws/" TargetMode="External"/><Relationship Id="rId176" Type="http://schemas.openxmlformats.org/officeDocument/2006/relationships/hyperlink" Target="https://stockanalysis.com/etf/schm/" TargetMode="External"/><Relationship Id="rId197" Type="http://schemas.openxmlformats.org/officeDocument/2006/relationships/hyperlink" Target="https://stockanalysis.com/etf/xlg/" TargetMode="External"/><Relationship Id="rId201" Type="http://schemas.openxmlformats.org/officeDocument/2006/relationships/drawing" Target="../drawings/drawing2.xml"/><Relationship Id="rId17" Type="http://schemas.openxmlformats.org/officeDocument/2006/relationships/hyperlink" Target="https://stockanalysis.com/etf/vgt/" TargetMode="External"/><Relationship Id="rId38" Type="http://schemas.openxmlformats.org/officeDocument/2006/relationships/hyperlink" Target="https://stockanalysis.com/etf/vt/" TargetMode="External"/><Relationship Id="rId59" Type="http://schemas.openxmlformats.org/officeDocument/2006/relationships/hyperlink" Target="https://stockanalysis.com/etf/vteb/" TargetMode="External"/><Relationship Id="rId103" Type="http://schemas.openxmlformats.org/officeDocument/2006/relationships/hyperlink" Target="https://stockanalysis.com/etf/fbnd/" TargetMode="External"/><Relationship Id="rId124" Type="http://schemas.openxmlformats.org/officeDocument/2006/relationships/hyperlink" Target="https://stockanalysis.com/etf/avem/" TargetMode="External"/><Relationship Id="rId70" Type="http://schemas.openxmlformats.org/officeDocument/2006/relationships/hyperlink" Target="https://stockanalysis.com/etf/spdw/" TargetMode="External"/><Relationship Id="rId91" Type="http://schemas.openxmlformats.org/officeDocument/2006/relationships/hyperlink" Target="https://stockanalysis.com/etf/biv/" TargetMode="External"/><Relationship Id="rId145" Type="http://schemas.openxmlformats.org/officeDocument/2006/relationships/hyperlink" Target="https://stockanalysis.com/etf/usfr/" TargetMode="External"/><Relationship Id="rId166" Type="http://schemas.openxmlformats.org/officeDocument/2006/relationships/hyperlink" Target="https://stockanalysis.com/etf/tip/" TargetMode="External"/><Relationship Id="rId187" Type="http://schemas.openxmlformats.org/officeDocument/2006/relationships/hyperlink" Target="https://stockanalysis.com/etf/sptm/" TargetMode="External"/><Relationship Id="rId1" Type="http://schemas.openxmlformats.org/officeDocument/2006/relationships/hyperlink" Target="https://stockanalysis.com/etf/voo/" TargetMode="External"/><Relationship Id="rId28" Type="http://schemas.openxmlformats.org/officeDocument/2006/relationships/hyperlink" Target="https://stockanalysis.com/etf/iwm/" TargetMode="External"/><Relationship Id="rId49" Type="http://schemas.openxmlformats.org/officeDocument/2006/relationships/hyperlink" Target="https://stockanalysis.com/etf/vv/" TargetMode="External"/><Relationship Id="rId114" Type="http://schemas.openxmlformats.org/officeDocument/2006/relationships/hyperlink" Target="https://stockanalysis.com/etf/fndf/" TargetMode="External"/><Relationship Id="rId60" Type="http://schemas.openxmlformats.org/officeDocument/2006/relationships/hyperlink" Target="https://stockanalysis.com/etf/mub/" TargetMode="External"/><Relationship Id="rId81" Type="http://schemas.openxmlformats.org/officeDocument/2006/relationships/hyperlink" Target="https://stockanalysis.com/etf/gldm/" TargetMode="External"/><Relationship Id="rId135" Type="http://schemas.openxmlformats.org/officeDocument/2006/relationships/hyperlink" Target="https://stockanalysis.com/etf/vht/" TargetMode="External"/><Relationship Id="rId156" Type="http://schemas.openxmlformats.org/officeDocument/2006/relationships/hyperlink" Target="https://stockanalysis.com/etf/ita/" TargetMode="External"/><Relationship Id="rId177" Type="http://schemas.openxmlformats.org/officeDocument/2006/relationships/hyperlink" Target="https://stockanalysis.com/etf/hdv/" TargetMode="External"/><Relationship Id="rId198" Type="http://schemas.openxmlformats.org/officeDocument/2006/relationships/hyperlink" Target="https://stockanalysis.com/etf/avus/" TargetMode="External"/><Relationship Id="rId202" Type="http://schemas.openxmlformats.org/officeDocument/2006/relationships/vmlDrawing" Target="../drawings/vmlDrawing1.vml"/><Relationship Id="rId18" Type="http://schemas.openxmlformats.org/officeDocument/2006/relationships/hyperlink" Target="https://stockanalysis.com/etf/ijh/" TargetMode="External"/><Relationship Id="rId39" Type="http://schemas.openxmlformats.org/officeDocument/2006/relationships/hyperlink" Target="https://stockanalysis.com/etf/vcit/" TargetMode="External"/><Relationship Id="rId50" Type="http://schemas.openxmlformats.org/officeDocument/2006/relationships/hyperlink" Target="https://stockanalysis.com/etf/iwb/" TargetMode="External"/><Relationship Id="rId104" Type="http://schemas.openxmlformats.org/officeDocument/2006/relationships/hyperlink" Target="https://stockanalysis.com/etf/fndx/" TargetMode="External"/><Relationship Id="rId125" Type="http://schemas.openxmlformats.org/officeDocument/2006/relationships/hyperlink" Target="https://stockanalysis.com/etf/iwv/" TargetMode="External"/><Relationship Id="rId146" Type="http://schemas.openxmlformats.org/officeDocument/2006/relationships/hyperlink" Target="https://stockanalysis.com/etf/ftec/" TargetMode="External"/><Relationship Id="rId167" Type="http://schemas.openxmlformats.org/officeDocument/2006/relationships/hyperlink" Target="https://stockanalysis.com/etf/pff/" TargetMode="External"/><Relationship Id="rId188" Type="http://schemas.openxmlformats.org/officeDocument/2006/relationships/hyperlink" Target="https://stockanalysis.com/etf/pave/" TargetMode="External"/><Relationship Id="rId71" Type="http://schemas.openxmlformats.org/officeDocument/2006/relationships/hyperlink" Target="https://stockanalysis.com/etf/jpst/" TargetMode="External"/><Relationship Id="rId92" Type="http://schemas.openxmlformats.org/officeDocument/2006/relationships/hyperlink" Target="https://stockanalysis.com/etf/eem/"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stockanalysis.com/etf/vbk/" TargetMode="External"/><Relationship Id="rId21" Type="http://schemas.openxmlformats.org/officeDocument/2006/relationships/hyperlink" Target="https://stockanalysis.com/etf/ijr/" TargetMode="External"/><Relationship Id="rId42" Type="http://schemas.openxmlformats.org/officeDocument/2006/relationships/hyperlink" Target="https://stockanalysis.com/etf/ixus/" TargetMode="External"/><Relationship Id="rId63" Type="http://schemas.openxmlformats.org/officeDocument/2006/relationships/hyperlink" Target="https://stockanalysis.com/etf/xlv/" TargetMode="External"/><Relationship Id="rId84" Type="http://schemas.openxmlformats.org/officeDocument/2006/relationships/hyperlink" Target="https://stockanalysis.com/etf/efv/" TargetMode="External"/><Relationship Id="rId138" Type="http://schemas.openxmlformats.org/officeDocument/2006/relationships/hyperlink" Target="https://stockanalysis.com/etf/usig/" TargetMode="External"/><Relationship Id="rId159" Type="http://schemas.openxmlformats.org/officeDocument/2006/relationships/hyperlink" Target="https://stockanalysis.com/etf/vmbs/" TargetMode="External"/><Relationship Id="rId170" Type="http://schemas.openxmlformats.org/officeDocument/2006/relationships/hyperlink" Target="https://stockanalysis.com/etf/spmo/" TargetMode="External"/><Relationship Id="rId191" Type="http://schemas.openxmlformats.org/officeDocument/2006/relationships/hyperlink" Target="https://stockanalysis.com/etf/nobl/" TargetMode="External"/><Relationship Id="rId107" Type="http://schemas.openxmlformats.org/officeDocument/2006/relationships/hyperlink" Target="https://stockanalysis.com/etf/dvy/" TargetMode="External"/><Relationship Id="rId11" Type="http://schemas.openxmlformats.org/officeDocument/2006/relationships/hyperlink" Target="https://stockanalysis.com/etf/bnd/" TargetMode="External"/><Relationship Id="rId32" Type="http://schemas.openxmlformats.org/officeDocument/2006/relationships/hyperlink" Target="https://stockanalysis.com/etf/vb/" TargetMode="External"/><Relationship Id="rId53" Type="http://schemas.openxmlformats.org/officeDocument/2006/relationships/hyperlink" Target="https://stockanalysis.com/etf/smh/" TargetMode="External"/><Relationship Id="rId74" Type="http://schemas.openxmlformats.org/officeDocument/2006/relationships/hyperlink" Target="https://stockanalysis.com/etf/govt/" TargetMode="External"/><Relationship Id="rId128" Type="http://schemas.openxmlformats.org/officeDocument/2006/relationships/hyperlink" Target="https://stockanalysis.com/etf/dfiv/" TargetMode="External"/><Relationship Id="rId149" Type="http://schemas.openxmlformats.org/officeDocument/2006/relationships/hyperlink" Target="https://stockanalysis.com/etf/iwy/" TargetMode="External"/><Relationship Id="rId5" Type="http://schemas.openxmlformats.org/officeDocument/2006/relationships/hyperlink" Target="https://stockanalysis.com/etf/qqq/" TargetMode="External"/><Relationship Id="rId95" Type="http://schemas.openxmlformats.org/officeDocument/2006/relationships/hyperlink" Target="https://stockanalysis.com/etf/acwi/" TargetMode="External"/><Relationship Id="rId160" Type="http://schemas.openxmlformats.org/officeDocument/2006/relationships/hyperlink" Target="https://stockanalysis.com/etf/spsm/" TargetMode="External"/><Relationship Id="rId181" Type="http://schemas.openxmlformats.org/officeDocument/2006/relationships/hyperlink" Target="https://stockanalysis.com/etf/moat/" TargetMode="External"/><Relationship Id="rId22" Type="http://schemas.openxmlformats.org/officeDocument/2006/relationships/hyperlink" Target="https://stockanalysis.com/etf/vo/" TargetMode="External"/><Relationship Id="rId43" Type="http://schemas.openxmlformats.org/officeDocument/2006/relationships/hyperlink" Target="https://stockanalysis.com/etf/xlf/" TargetMode="External"/><Relationship Id="rId64" Type="http://schemas.openxmlformats.org/officeDocument/2006/relationships/hyperlink" Target="https://stockanalysis.com/etf/vcsh/" TargetMode="External"/><Relationship Id="rId118" Type="http://schemas.openxmlformats.org/officeDocument/2006/relationships/hyperlink" Target="https://stockanalysis.com/etf/scha/" TargetMode="External"/><Relationship Id="rId139" Type="http://schemas.openxmlformats.org/officeDocument/2006/relationships/hyperlink" Target="https://stockanalysis.com/etf/spem/" TargetMode="External"/><Relationship Id="rId85" Type="http://schemas.openxmlformats.org/officeDocument/2006/relationships/hyperlink" Target="https://stockanalysis.com/etf/xli/" TargetMode="External"/><Relationship Id="rId150" Type="http://schemas.openxmlformats.org/officeDocument/2006/relationships/hyperlink" Target="https://stockanalysis.com/etf/esgu/" TargetMode="External"/><Relationship Id="rId171" Type="http://schemas.openxmlformats.org/officeDocument/2006/relationships/hyperlink" Target="https://stockanalysis.com/etf/iwo/" TargetMode="External"/><Relationship Id="rId192" Type="http://schemas.openxmlformats.org/officeDocument/2006/relationships/hyperlink" Target="https://stockanalysis.com/etf/iagg/" TargetMode="External"/><Relationship Id="rId12" Type="http://schemas.openxmlformats.org/officeDocument/2006/relationships/hyperlink" Target="https://stockanalysis.com/etf/iemg/" TargetMode="External"/><Relationship Id="rId33" Type="http://schemas.openxmlformats.org/officeDocument/2006/relationships/hyperlink" Target="https://stockanalysis.com/etf/sgov/" TargetMode="External"/><Relationship Id="rId108" Type="http://schemas.openxmlformats.org/officeDocument/2006/relationships/hyperlink" Target="https://stockanalysis.com/etf/xly/" TargetMode="External"/><Relationship Id="rId129" Type="http://schemas.openxmlformats.org/officeDocument/2006/relationships/hyperlink" Target="https://stockanalysis.com/etf/ewj/" TargetMode="External"/><Relationship Id="rId54" Type="http://schemas.openxmlformats.org/officeDocument/2006/relationships/hyperlink" Target="https://stockanalysis.com/etf/spyg/" TargetMode="External"/><Relationship Id="rId75" Type="http://schemas.openxmlformats.org/officeDocument/2006/relationships/hyperlink" Target="https://stockanalysis.com/etf/iusb/" TargetMode="External"/><Relationship Id="rId96" Type="http://schemas.openxmlformats.org/officeDocument/2006/relationships/hyperlink" Target="https://stockanalysis.com/etf/jaaa/" TargetMode="External"/><Relationship Id="rId140" Type="http://schemas.openxmlformats.org/officeDocument/2006/relationships/hyperlink" Target="https://stockanalysis.com/etf/xlp/" TargetMode="External"/><Relationship Id="rId161" Type="http://schemas.openxmlformats.org/officeDocument/2006/relationships/hyperlink" Target="https://stockanalysis.com/etf/vtwo/" TargetMode="External"/><Relationship Id="rId182" Type="http://schemas.openxmlformats.org/officeDocument/2006/relationships/hyperlink" Target="https://stockanalysis.com/etf/iqlt/" TargetMode="External"/><Relationship Id="rId6" Type="http://schemas.openxmlformats.org/officeDocument/2006/relationships/hyperlink" Target="https://stockanalysis.com/etf/vea/" TargetMode="External"/><Relationship Id="rId23" Type="http://schemas.openxmlformats.org/officeDocument/2006/relationships/hyperlink" Target="https://stockanalysis.com/etf/xlk/" TargetMode="External"/><Relationship Id="rId119" Type="http://schemas.openxmlformats.org/officeDocument/2006/relationships/hyperlink" Target="https://stockanalysis.com/etf/rdvy/" TargetMode="External"/><Relationship Id="rId44" Type="http://schemas.openxmlformats.org/officeDocument/2006/relationships/hyperlink" Target="https://stockanalysis.com/etf/ibit/" TargetMode="External"/><Relationship Id="rId65" Type="http://schemas.openxmlformats.org/officeDocument/2006/relationships/hyperlink" Target="https://stockanalysis.com/etf/mbb/" TargetMode="External"/><Relationship Id="rId86" Type="http://schemas.openxmlformats.org/officeDocument/2006/relationships/hyperlink" Target="https://stockanalysis.com/etf/cgdv/" TargetMode="External"/><Relationship Id="rId130" Type="http://schemas.openxmlformats.org/officeDocument/2006/relationships/hyperlink" Target="https://stockanalysis.com/etf/iei/" TargetMode="External"/><Relationship Id="rId151" Type="http://schemas.openxmlformats.org/officeDocument/2006/relationships/hyperlink" Target="https://stockanalysis.com/etf/bbjp/" TargetMode="External"/><Relationship Id="rId172" Type="http://schemas.openxmlformats.org/officeDocument/2006/relationships/hyperlink" Target="https://stockanalysis.com/etf/vfh/" TargetMode="External"/><Relationship Id="rId193" Type="http://schemas.openxmlformats.org/officeDocument/2006/relationships/hyperlink" Target="https://stockanalysis.com/etf/mgv/" TargetMode="External"/><Relationship Id="rId13" Type="http://schemas.openxmlformats.org/officeDocument/2006/relationships/hyperlink" Target="https://stockanalysis.com/etf/agg/" TargetMode="External"/><Relationship Id="rId109" Type="http://schemas.openxmlformats.org/officeDocument/2006/relationships/hyperlink" Target="https://stockanalysis.com/etf/igsb/" TargetMode="External"/><Relationship Id="rId34" Type="http://schemas.openxmlformats.org/officeDocument/2006/relationships/hyperlink" Target="https://stockanalysis.com/etf/qqqm/" TargetMode="External"/><Relationship Id="rId55" Type="http://schemas.openxmlformats.org/officeDocument/2006/relationships/hyperlink" Target="https://stockanalysis.com/etf/tlt/" TargetMode="External"/><Relationship Id="rId76" Type="http://schemas.openxmlformats.org/officeDocument/2006/relationships/hyperlink" Target="https://stockanalysis.com/etf/vbr/" TargetMode="External"/><Relationship Id="rId97" Type="http://schemas.openxmlformats.org/officeDocument/2006/relationships/hyperlink" Target="https://stockanalysis.com/etf/xlc/" TargetMode="External"/><Relationship Id="rId120" Type="http://schemas.openxmlformats.org/officeDocument/2006/relationships/hyperlink" Target="https://stockanalysis.com/etf/iyw/" TargetMode="External"/><Relationship Id="rId141" Type="http://schemas.openxmlformats.org/officeDocument/2006/relationships/hyperlink" Target="https://stockanalysis.com/etf/emxc/" TargetMode="External"/><Relationship Id="rId7" Type="http://schemas.openxmlformats.org/officeDocument/2006/relationships/hyperlink" Target="https://stockanalysis.com/etf/vug/" TargetMode="External"/><Relationship Id="rId162" Type="http://schemas.openxmlformats.org/officeDocument/2006/relationships/hyperlink" Target="https://stockanalysis.com/etf/dfai/" TargetMode="External"/><Relationship Id="rId183" Type="http://schemas.openxmlformats.org/officeDocument/2006/relationships/hyperlink" Target="https://stockanalysis.com/etf/schr/" TargetMode="External"/><Relationship Id="rId2" Type="http://schemas.openxmlformats.org/officeDocument/2006/relationships/hyperlink" Target="https://stockanalysis.com/etf/ivv/" TargetMode="External"/><Relationship Id="rId29" Type="http://schemas.openxmlformats.org/officeDocument/2006/relationships/hyperlink" Target="https://stockanalysis.com/etf/efa/" TargetMode="External"/><Relationship Id="rId24" Type="http://schemas.openxmlformats.org/officeDocument/2006/relationships/hyperlink" Target="https://stockanalysis.com/etf/rsp/" TargetMode="External"/><Relationship Id="rId40" Type="http://schemas.openxmlformats.org/officeDocument/2006/relationships/hyperlink" Target="https://stockanalysis.com/etf/veu/" TargetMode="External"/><Relationship Id="rId45" Type="http://schemas.openxmlformats.org/officeDocument/2006/relationships/hyperlink" Target="https://stockanalysis.com/etf/schg/" TargetMode="External"/><Relationship Id="rId66" Type="http://schemas.openxmlformats.org/officeDocument/2006/relationships/hyperlink" Target="https://stockanalysis.com/etf/vgit/" TargetMode="External"/><Relationship Id="rId87" Type="http://schemas.openxmlformats.org/officeDocument/2006/relationships/hyperlink" Target="https://stockanalysis.com/etf/lqd/" TargetMode="External"/><Relationship Id="rId110" Type="http://schemas.openxmlformats.org/officeDocument/2006/relationships/hyperlink" Target="https://stockanalysis.com/etf/voog/" TargetMode="External"/><Relationship Id="rId115" Type="http://schemas.openxmlformats.org/officeDocument/2006/relationships/hyperlink" Target="https://stockanalysis.com/etf/sdy/" TargetMode="External"/><Relationship Id="rId131" Type="http://schemas.openxmlformats.org/officeDocument/2006/relationships/hyperlink" Target="https://stockanalysis.com/etf/igib/" TargetMode="External"/><Relationship Id="rId136" Type="http://schemas.openxmlformats.org/officeDocument/2006/relationships/hyperlink" Target="https://stockanalysis.com/etf/hyg/" TargetMode="External"/><Relationship Id="rId157" Type="http://schemas.openxmlformats.org/officeDocument/2006/relationships/hyperlink" Target="https://stockanalysis.com/etf/mint/" TargetMode="External"/><Relationship Id="rId178" Type="http://schemas.openxmlformats.org/officeDocument/2006/relationships/hyperlink" Target="https://stockanalysis.com/etf/dfic/" TargetMode="External"/><Relationship Id="rId61" Type="http://schemas.openxmlformats.org/officeDocument/2006/relationships/hyperlink" Target="https://stockanalysis.com/etf/dfac/" TargetMode="External"/><Relationship Id="rId82" Type="http://schemas.openxmlformats.org/officeDocument/2006/relationships/hyperlink" Target="https://stockanalysis.com/etf/vgk/" TargetMode="External"/><Relationship Id="rId152" Type="http://schemas.openxmlformats.org/officeDocument/2006/relationships/hyperlink" Target="https://stockanalysis.com/etf/vonv/" TargetMode="External"/><Relationship Id="rId173" Type="http://schemas.openxmlformats.org/officeDocument/2006/relationships/hyperlink" Target="https://stockanalysis.com/etf/dfat/" TargetMode="External"/><Relationship Id="rId194" Type="http://schemas.openxmlformats.org/officeDocument/2006/relationships/hyperlink" Target="https://stockanalysis.com/etf/scho/" TargetMode="External"/><Relationship Id="rId199" Type="http://schemas.openxmlformats.org/officeDocument/2006/relationships/hyperlink" Target="https://stockanalysis.com/etf/vss/" TargetMode="External"/><Relationship Id="rId203" Type="http://schemas.openxmlformats.org/officeDocument/2006/relationships/table" Target="../tables/table2.xml"/><Relationship Id="rId19" Type="http://schemas.openxmlformats.org/officeDocument/2006/relationships/hyperlink" Target="https://stockanalysis.com/etf/spym/" TargetMode="External"/><Relationship Id="rId14" Type="http://schemas.openxmlformats.org/officeDocument/2006/relationships/hyperlink" Target="https://stockanalysis.com/etf/vxus/" TargetMode="External"/><Relationship Id="rId30" Type="http://schemas.openxmlformats.org/officeDocument/2006/relationships/hyperlink" Target="https://stockanalysis.com/etf/bndx/" TargetMode="External"/><Relationship Id="rId35" Type="http://schemas.openxmlformats.org/officeDocument/2006/relationships/hyperlink" Target="https://stockanalysis.com/etf/iwd/" TargetMode="External"/><Relationship Id="rId56" Type="http://schemas.openxmlformats.org/officeDocument/2006/relationships/hyperlink" Target="https://stockanalysis.com/etf/jepi/" TargetMode="External"/><Relationship Id="rId77" Type="http://schemas.openxmlformats.org/officeDocument/2006/relationships/hyperlink" Target="https://stockanalysis.com/etf/jepq/" TargetMode="External"/><Relationship Id="rId100" Type="http://schemas.openxmlformats.org/officeDocument/2006/relationships/hyperlink" Target="https://stockanalysis.com/etf/mdy/" TargetMode="External"/><Relationship Id="rId105" Type="http://schemas.openxmlformats.org/officeDocument/2006/relationships/hyperlink" Target="https://stockanalysis.com/etf/avuv/" TargetMode="External"/><Relationship Id="rId126" Type="http://schemas.openxmlformats.org/officeDocument/2006/relationships/hyperlink" Target="https://stockanalysis.com/etf/cowz/" TargetMode="External"/><Relationship Id="rId147" Type="http://schemas.openxmlformats.org/officeDocument/2006/relationships/hyperlink" Target="https://stockanalysis.com/etf/vtip/" TargetMode="External"/><Relationship Id="rId168" Type="http://schemas.openxmlformats.org/officeDocument/2006/relationships/hyperlink" Target="https://stockanalysis.com/etf/dfuv/" TargetMode="External"/><Relationship Id="rId8" Type="http://schemas.openxmlformats.org/officeDocument/2006/relationships/hyperlink" Target="https://stockanalysis.com/etf/iefa/" TargetMode="External"/><Relationship Id="rId51" Type="http://schemas.openxmlformats.org/officeDocument/2006/relationships/hyperlink" Target="https://stockanalysis.com/etf/ief/" TargetMode="External"/><Relationship Id="rId72" Type="http://schemas.openxmlformats.org/officeDocument/2006/relationships/hyperlink" Target="https://stockanalysis.com/etf/xle/" TargetMode="External"/><Relationship Id="rId93" Type="http://schemas.openxmlformats.org/officeDocument/2006/relationships/hyperlink" Target="https://stockanalysis.com/etf/vgsh/" TargetMode="External"/><Relationship Id="rId98" Type="http://schemas.openxmlformats.org/officeDocument/2006/relationships/hyperlink" Target="https://stockanalysis.com/etf/vxf/" TargetMode="External"/><Relationship Id="rId121" Type="http://schemas.openxmlformats.org/officeDocument/2006/relationships/hyperlink" Target="https://stockanalysis.com/etf/shv/" TargetMode="External"/><Relationship Id="rId142" Type="http://schemas.openxmlformats.org/officeDocument/2006/relationships/hyperlink" Target="https://stockanalysis.com/etf/spmd/" TargetMode="External"/><Relationship Id="rId163" Type="http://schemas.openxmlformats.org/officeDocument/2006/relationships/hyperlink" Target="https://stockanalysis.com/etf/avde/" TargetMode="External"/><Relationship Id="rId184" Type="http://schemas.openxmlformats.org/officeDocument/2006/relationships/hyperlink" Target="https://stockanalysis.com/etf/ewy/" TargetMode="External"/><Relationship Id="rId189" Type="http://schemas.openxmlformats.org/officeDocument/2006/relationships/hyperlink" Target="https://stockanalysis.com/etf/pyld/" TargetMode="External"/><Relationship Id="rId3" Type="http://schemas.openxmlformats.org/officeDocument/2006/relationships/hyperlink" Target="https://stockanalysis.com/etf/spy/" TargetMode="External"/><Relationship Id="rId25" Type="http://schemas.openxmlformats.org/officeDocument/2006/relationships/hyperlink" Target="https://stockanalysis.com/etf/schd/" TargetMode="External"/><Relationship Id="rId46" Type="http://schemas.openxmlformats.org/officeDocument/2006/relationships/hyperlink" Target="https://stockanalysis.com/etf/ive/" TargetMode="External"/><Relationship Id="rId67" Type="http://schemas.openxmlformats.org/officeDocument/2006/relationships/hyperlink" Target="https://stockanalysis.com/etf/schb/" TargetMode="External"/><Relationship Id="rId116" Type="http://schemas.openxmlformats.org/officeDocument/2006/relationships/hyperlink" Target="https://stockanalysis.com/etf/mtum/" TargetMode="External"/><Relationship Id="rId137" Type="http://schemas.openxmlformats.org/officeDocument/2006/relationships/hyperlink" Target="https://stockanalysis.com/etf/binc/" TargetMode="External"/><Relationship Id="rId158" Type="http://schemas.openxmlformats.org/officeDocument/2006/relationships/hyperlink" Target="https://stockanalysis.com/etf/gslc/" TargetMode="External"/><Relationship Id="rId20" Type="http://schemas.openxmlformats.org/officeDocument/2006/relationships/hyperlink" Target="https://stockanalysis.com/etf/vig/" TargetMode="External"/><Relationship Id="rId41" Type="http://schemas.openxmlformats.org/officeDocument/2006/relationships/hyperlink" Target="https://stockanalysis.com/etf/schf/" TargetMode="External"/><Relationship Id="rId62" Type="http://schemas.openxmlformats.org/officeDocument/2006/relationships/hyperlink" Target="https://stockanalysis.com/etf/slv/" TargetMode="External"/><Relationship Id="rId83" Type="http://schemas.openxmlformats.org/officeDocument/2006/relationships/hyperlink" Target="https://stockanalysis.com/etf/mgk/" TargetMode="External"/><Relationship Id="rId88" Type="http://schemas.openxmlformats.org/officeDocument/2006/relationships/hyperlink" Target="https://stockanalysis.com/etf/oef/" TargetMode="External"/><Relationship Id="rId111" Type="http://schemas.openxmlformats.org/officeDocument/2006/relationships/hyperlink" Target="https://stockanalysis.com/etf/soxx/" TargetMode="External"/><Relationship Id="rId132" Type="http://schemas.openxmlformats.org/officeDocument/2006/relationships/hyperlink" Target="https://stockanalysis.com/etf/vymi/" TargetMode="External"/><Relationship Id="rId153" Type="http://schemas.openxmlformats.org/officeDocument/2006/relationships/hyperlink" Target="https://stockanalysis.com/etf/schv/" TargetMode="External"/><Relationship Id="rId174" Type="http://schemas.openxmlformats.org/officeDocument/2006/relationships/hyperlink" Target="https://stockanalysis.com/etf/fbtc/" TargetMode="External"/><Relationship Id="rId179" Type="http://schemas.openxmlformats.org/officeDocument/2006/relationships/hyperlink" Target="https://stockanalysis.com/etf/soxl/" TargetMode="External"/><Relationship Id="rId195" Type="http://schemas.openxmlformats.org/officeDocument/2006/relationships/hyperlink" Target="https://stockanalysis.com/etf/esgd/" TargetMode="External"/><Relationship Id="rId190" Type="http://schemas.openxmlformats.org/officeDocument/2006/relationships/hyperlink" Target="https://stockanalysis.com/etf/esgv/" TargetMode="External"/><Relationship Id="rId204" Type="http://schemas.openxmlformats.org/officeDocument/2006/relationships/comments" Target="../comments2.xml"/><Relationship Id="rId15" Type="http://schemas.openxmlformats.org/officeDocument/2006/relationships/hyperlink" Target="https://stockanalysis.com/etf/iwf/" TargetMode="External"/><Relationship Id="rId36" Type="http://schemas.openxmlformats.org/officeDocument/2006/relationships/hyperlink" Target="https://stockanalysis.com/etf/ivw/" TargetMode="External"/><Relationship Id="rId57" Type="http://schemas.openxmlformats.org/officeDocument/2006/relationships/hyperlink" Target="https://stockanalysis.com/etf/bsv/" TargetMode="External"/><Relationship Id="rId106" Type="http://schemas.openxmlformats.org/officeDocument/2006/relationships/hyperlink" Target="https://stockanalysis.com/etf/usmv/" TargetMode="External"/><Relationship Id="rId127" Type="http://schemas.openxmlformats.org/officeDocument/2006/relationships/hyperlink" Target="https://stockanalysis.com/etf/dfus/" TargetMode="External"/><Relationship Id="rId10" Type="http://schemas.openxmlformats.org/officeDocument/2006/relationships/hyperlink" Target="https://stockanalysis.com/etf/vtv/" TargetMode="External"/><Relationship Id="rId31" Type="http://schemas.openxmlformats.org/officeDocument/2006/relationships/hyperlink" Target="https://stockanalysis.com/etf/vym/" TargetMode="External"/><Relationship Id="rId52" Type="http://schemas.openxmlformats.org/officeDocument/2006/relationships/hyperlink" Target="https://stockanalysis.com/etf/dia/" TargetMode="External"/><Relationship Id="rId73" Type="http://schemas.openxmlformats.org/officeDocument/2006/relationships/hyperlink" Target="https://stockanalysis.com/etf/vnq/" TargetMode="External"/><Relationship Id="rId78" Type="http://schemas.openxmlformats.org/officeDocument/2006/relationships/hyperlink" Target="https://stockanalysis.com/etf/spyv/" TargetMode="External"/><Relationship Id="rId94" Type="http://schemas.openxmlformats.org/officeDocument/2006/relationships/hyperlink" Target="https://stockanalysis.com/etf/iusg/" TargetMode="External"/><Relationship Id="rId99" Type="http://schemas.openxmlformats.org/officeDocument/2006/relationships/hyperlink" Target="https://stockanalysis.com/etf/ushy/" TargetMode="External"/><Relationship Id="rId101" Type="http://schemas.openxmlformats.org/officeDocument/2006/relationships/hyperlink" Target="https://stockanalysis.com/etf/iusv/" TargetMode="External"/><Relationship Id="rId122" Type="http://schemas.openxmlformats.org/officeDocument/2006/relationships/hyperlink" Target="https://stockanalysis.com/etf/iwp/" TargetMode="External"/><Relationship Id="rId143" Type="http://schemas.openxmlformats.org/officeDocument/2006/relationships/hyperlink" Target="https://stockanalysis.com/etf/dgrw/" TargetMode="External"/><Relationship Id="rId148" Type="http://schemas.openxmlformats.org/officeDocument/2006/relationships/hyperlink" Target="https://stockanalysis.com/etf/emb/" TargetMode="External"/><Relationship Id="rId164" Type="http://schemas.openxmlformats.org/officeDocument/2006/relationships/hyperlink" Target="https://stockanalysis.com/etf/scz/" TargetMode="External"/><Relationship Id="rId169" Type="http://schemas.openxmlformats.org/officeDocument/2006/relationships/hyperlink" Target="https://stockanalysis.com/etf/puls/" TargetMode="External"/><Relationship Id="rId185" Type="http://schemas.openxmlformats.org/officeDocument/2006/relationships/hyperlink" Target="https://stockanalysis.com/etf/tlh/" TargetMode="External"/><Relationship Id="rId4" Type="http://schemas.openxmlformats.org/officeDocument/2006/relationships/hyperlink" Target="https://stockanalysis.com/etf/vti/" TargetMode="External"/><Relationship Id="rId9" Type="http://schemas.openxmlformats.org/officeDocument/2006/relationships/hyperlink" Target="https://stockanalysis.com/etf/gld/" TargetMode="External"/><Relationship Id="rId180" Type="http://schemas.openxmlformats.org/officeDocument/2006/relationships/hyperlink" Target="https://stockanalysis.com/etf/iwn/" TargetMode="External"/><Relationship Id="rId26" Type="http://schemas.openxmlformats.org/officeDocument/2006/relationships/hyperlink" Target="https://stockanalysis.com/etf/itot/" TargetMode="External"/><Relationship Id="rId47" Type="http://schemas.openxmlformats.org/officeDocument/2006/relationships/hyperlink" Target="https://stockanalysis.com/etf/qual/" TargetMode="External"/><Relationship Id="rId68" Type="http://schemas.openxmlformats.org/officeDocument/2006/relationships/hyperlink" Target="https://stockanalysis.com/etf/dgro/" TargetMode="External"/><Relationship Id="rId89" Type="http://schemas.openxmlformats.org/officeDocument/2006/relationships/hyperlink" Target="https://stockanalysis.com/etf/tqqq/" TargetMode="External"/><Relationship Id="rId112" Type="http://schemas.openxmlformats.org/officeDocument/2006/relationships/hyperlink" Target="https://stockanalysis.com/etf/xlu/" TargetMode="External"/><Relationship Id="rId133" Type="http://schemas.openxmlformats.org/officeDocument/2006/relationships/hyperlink" Target="https://stockanalysis.com/etf/avdv/" TargetMode="External"/><Relationship Id="rId154" Type="http://schemas.openxmlformats.org/officeDocument/2006/relationships/hyperlink" Target="https://stockanalysis.com/etf/schp/" TargetMode="External"/><Relationship Id="rId175" Type="http://schemas.openxmlformats.org/officeDocument/2006/relationships/hyperlink" Target="https://stockanalysis.com/etf/dfas/" TargetMode="External"/><Relationship Id="rId196" Type="http://schemas.openxmlformats.org/officeDocument/2006/relationships/hyperlink" Target="https://stockanalysis.com/etf/amlp/" TargetMode="External"/><Relationship Id="rId200" Type="http://schemas.openxmlformats.org/officeDocument/2006/relationships/hyperlink" Target="https://stockanalysis.com/etf/dfax/" TargetMode="External"/><Relationship Id="rId16" Type="http://schemas.openxmlformats.org/officeDocument/2006/relationships/hyperlink" Target="https://stockanalysis.com/etf/vwo/" TargetMode="External"/><Relationship Id="rId37" Type="http://schemas.openxmlformats.org/officeDocument/2006/relationships/hyperlink" Target="https://stockanalysis.com/etf/schx/" TargetMode="External"/><Relationship Id="rId58" Type="http://schemas.openxmlformats.org/officeDocument/2006/relationships/hyperlink" Target="https://stockanalysis.com/etf/bil/" TargetMode="External"/><Relationship Id="rId79" Type="http://schemas.openxmlformats.org/officeDocument/2006/relationships/hyperlink" Target="https://stockanalysis.com/etf/dynf/" TargetMode="External"/><Relationship Id="rId102" Type="http://schemas.openxmlformats.org/officeDocument/2006/relationships/hyperlink" Target="https://stockanalysis.com/etf/shy/" TargetMode="External"/><Relationship Id="rId123" Type="http://schemas.openxmlformats.org/officeDocument/2006/relationships/hyperlink" Target="https://stockanalysis.com/etf/cggr/" TargetMode="External"/><Relationship Id="rId144" Type="http://schemas.openxmlformats.org/officeDocument/2006/relationships/hyperlink" Target="https://stockanalysis.com/etf/sphq/" TargetMode="External"/><Relationship Id="rId90" Type="http://schemas.openxmlformats.org/officeDocument/2006/relationships/hyperlink" Target="https://stockanalysis.com/etf/idev/" TargetMode="External"/><Relationship Id="rId165" Type="http://schemas.openxmlformats.org/officeDocument/2006/relationships/hyperlink" Target="https://stockanalysis.com/etf/stip/" TargetMode="External"/><Relationship Id="rId186" Type="http://schemas.openxmlformats.org/officeDocument/2006/relationships/hyperlink" Target="https://stockanalysis.com/etf/sche/" TargetMode="External"/><Relationship Id="rId27" Type="http://schemas.openxmlformats.org/officeDocument/2006/relationships/hyperlink" Target="https://stockanalysis.com/etf/iau/" TargetMode="External"/><Relationship Id="rId48" Type="http://schemas.openxmlformats.org/officeDocument/2006/relationships/hyperlink" Target="https://stockanalysis.com/etf/iwr/" TargetMode="External"/><Relationship Id="rId69" Type="http://schemas.openxmlformats.org/officeDocument/2006/relationships/hyperlink" Target="https://stockanalysis.com/etf/vong/" TargetMode="External"/><Relationship Id="rId113" Type="http://schemas.openxmlformats.org/officeDocument/2006/relationships/hyperlink" Target="https://stockanalysis.com/etf/voe/" TargetMode="External"/><Relationship Id="rId134" Type="http://schemas.openxmlformats.org/officeDocument/2006/relationships/hyperlink" Target="https://stockanalysis.com/etf/vot/" TargetMode="External"/><Relationship Id="rId80" Type="http://schemas.openxmlformats.org/officeDocument/2006/relationships/hyperlink" Target="https://stockanalysis.com/etf/gdx/" TargetMode="External"/><Relationship Id="rId155" Type="http://schemas.openxmlformats.org/officeDocument/2006/relationships/hyperlink" Target="https://stockanalysis.com/etf/iws/" TargetMode="External"/><Relationship Id="rId176" Type="http://schemas.openxmlformats.org/officeDocument/2006/relationships/hyperlink" Target="https://stockanalysis.com/etf/schm/" TargetMode="External"/><Relationship Id="rId197" Type="http://schemas.openxmlformats.org/officeDocument/2006/relationships/hyperlink" Target="https://stockanalysis.com/etf/xlg/" TargetMode="External"/><Relationship Id="rId201" Type="http://schemas.openxmlformats.org/officeDocument/2006/relationships/drawing" Target="../drawings/drawing3.xml"/><Relationship Id="rId17" Type="http://schemas.openxmlformats.org/officeDocument/2006/relationships/hyperlink" Target="https://stockanalysis.com/etf/vgt/" TargetMode="External"/><Relationship Id="rId38" Type="http://schemas.openxmlformats.org/officeDocument/2006/relationships/hyperlink" Target="https://stockanalysis.com/etf/vt/" TargetMode="External"/><Relationship Id="rId59" Type="http://schemas.openxmlformats.org/officeDocument/2006/relationships/hyperlink" Target="https://stockanalysis.com/etf/vteb/" TargetMode="External"/><Relationship Id="rId103" Type="http://schemas.openxmlformats.org/officeDocument/2006/relationships/hyperlink" Target="https://stockanalysis.com/etf/fbnd/" TargetMode="External"/><Relationship Id="rId124" Type="http://schemas.openxmlformats.org/officeDocument/2006/relationships/hyperlink" Target="https://stockanalysis.com/etf/avem/" TargetMode="External"/><Relationship Id="rId70" Type="http://schemas.openxmlformats.org/officeDocument/2006/relationships/hyperlink" Target="https://stockanalysis.com/etf/spdw/" TargetMode="External"/><Relationship Id="rId91" Type="http://schemas.openxmlformats.org/officeDocument/2006/relationships/hyperlink" Target="https://stockanalysis.com/etf/biv/" TargetMode="External"/><Relationship Id="rId145" Type="http://schemas.openxmlformats.org/officeDocument/2006/relationships/hyperlink" Target="https://stockanalysis.com/etf/usfr/" TargetMode="External"/><Relationship Id="rId166" Type="http://schemas.openxmlformats.org/officeDocument/2006/relationships/hyperlink" Target="https://stockanalysis.com/etf/tip/" TargetMode="External"/><Relationship Id="rId187" Type="http://schemas.openxmlformats.org/officeDocument/2006/relationships/hyperlink" Target="https://stockanalysis.com/etf/sptm/" TargetMode="External"/><Relationship Id="rId1" Type="http://schemas.openxmlformats.org/officeDocument/2006/relationships/hyperlink" Target="https://stockanalysis.com/etf/voo/" TargetMode="External"/><Relationship Id="rId28" Type="http://schemas.openxmlformats.org/officeDocument/2006/relationships/hyperlink" Target="https://stockanalysis.com/etf/iwm/" TargetMode="External"/><Relationship Id="rId49" Type="http://schemas.openxmlformats.org/officeDocument/2006/relationships/hyperlink" Target="https://stockanalysis.com/etf/vv/" TargetMode="External"/><Relationship Id="rId114" Type="http://schemas.openxmlformats.org/officeDocument/2006/relationships/hyperlink" Target="https://stockanalysis.com/etf/fndf/" TargetMode="External"/><Relationship Id="rId60" Type="http://schemas.openxmlformats.org/officeDocument/2006/relationships/hyperlink" Target="https://stockanalysis.com/etf/mub/" TargetMode="External"/><Relationship Id="rId81" Type="http://schemas.openxmlformats.org/officeDocument/2006/relationships/hyperlink" Target="https://stockanalysis.com/etf/gldm/" TargetMode="External"/><Relationship Id="rId135" Type="http://schemas.openxmlformats.org/officeDocument/2006/relationships/hyperlink" Target="https://stockanalysis.com/etf/vht/" TargetMode="External"/><Relationship Id="rId156" Type="http://schemas.openxmlformats.org/officeDocument/2006/relationships/hyperlink" Target="https://stockanalysis.com/etf/ita/" TargetMode="External"/><Relationship Id="rId177" Type="http://schemas.openxmlformats.org/officeDocument/2006/relationships/hyperlink" Target="https://stockanalysis.com/etf/hdv/" TargetMode="External"/><Relationship Id="rId198" Type="http://schemas.openxmlformats.org/officeDocument/2006/relationships/hyperlink" Target="https://stockanalysis.com/etf/avus/" TargetMode="External"/><Relationship Id="rId202" Type="http://schemas.openxmlformats.org/officeDocument/2006/relationships/vmlDrawing" Target="../drawings/vmlDrawing2.vml"/><Relationship Id="rId18" Type="http://schemas.openxmlformats.org/officeDocument/2006/relationships/hyperlink" Target="https://stockanalysis.com/etf/ijh/" TargetMode="External"/><Relationship Id="rId39" Type="http://schemas.openxmlformats.org/officeDocument/2006/relationships/hyperlink" Target="https://stockanalysis.com/etf/vcit/" TargetMode="External"/><Relationship Id="rId50" Type="http://schemas.openxmlformats.org/officeDocument/2006/relationships/hyperlink" Target="https://stockanalysis.com/etf/iwb/" TargetMode="External"/><Relationship Id="rId104" Type="http://schemas.openxmlformats.org/officeDocument/2006/relationships/hyperlink" Target="https://stockanalysis.com/etf/fndx/" TargetMode="External"/><Relationship Id="rId125" Type="http://schemas.openxmlformats.org/officeDocument/2006/relationships/hyperlink" Target="https://stockanalysis.com/etf/iwv/" TargetMode="External"/><Relationship Id="rId146" Type="http://schemas.openxmlformats.org/officeDocument/2006/relationships/hyperlink" Target="https://stockanalysis.com/etf/ftec/" TargetMode="External"/><Relationship Id="rId167" Type="http://schemas.openxmlformats.org/officeDocument/2006/relationships/hyperlink" Target="https://stockanalysis.com/etf/pff/" TargetMode="External"/><Relationship Id="rId188" Type="http://schemas.openxmlformats.org/officeDocument/2006/relationships/hyperlink" Target="https://stockanalysis.com/etf/pave/" TargetMode="External"/><Relationship Id="rId71" Type="http://schemas.openxmlformats.org/officeDocument/2006/relationships/hyperlink" Target="https://stockanalysis.com/etf/jpst/" TargetMode="External"/><Relationship Id="rId92" Type="http://schemas.openxmlformats.org/officeDocument/2006/relationships/hyperlink" Target="https://stockanalysis.com/etf/eem/"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stockanalysis.com/etf/vbk/" TargetMode="External"/><Relationship Id="rId21" Type="http://schemas.openxmlformats.org/officeDocument/2006/relationships/hyperlink" Target="https://stockanalysis.com/etf/ijr/" TargetMode="External"/><Relationship Id="rId42" Type="http://schemas.openxmlformats.org/officeDocument/2006/relationships/hyperlink" Target="https://stockanalysis.com/etf/ixus/" TargetMode="External"/><Relationship Id="rId63" Type="http://schemas.openxmlformats.org/officeDocument/2006/relationships/hyperlink" Target="https://stockanalysis.com/etf/xlv/" TargetMode="External"/><Relationship Id="rId84" Type="http://schemas.openxmlformats.org/officeDocument/2006/relationships/hyperlink" Target="https://stockanalysis.com/etf/efv/" TargetMode="External"/><Relationship Id="rId138" Type="http://schemas.openxmlformats.org/officeDocument/2006/relationships/hyperlink" Target="https://stockanalysis.com/etf/usig/" TargetMode="External"/><Relationship Id="rId159" Type="http://schemas.openxmlformats.org/officeDocument/2006/relationships/hyperlink" Target="https://stockanalysis.com/etf/vmbs/" TargetMode="External"/><Relationship Id="rId170" Type="http://schemas.openxmlformats.org/officeDocument/2006/relationships/hyperlink" Target="https://stockanalysis.com/etf/spmo/" TargetMode="External"/><Relationship Id="rId191" Type="http://schemas.openxmlformats.org/officeDocument/2006/relationships/hyperlink" Target="https://stockanalysis.com/etf/nobl/" TargetMode="External"/><Relationship Id="rId107" Type="http://schemas.openxmlformats.org/officeDocument/2006/relationships/hyperlink" Target="https://stockanalysis.com/etf/dvy/" TargetMode="External"/><Relationship Id="rId11" Type="http://schemas.openxmlformats.org/officeDocument/2006/relationships/hyperlink" Target="https://stockanalysis.com/etf/bnd/" TargetMode="External"/><Relationship Id="rId32" Type="http://schemas.openxmlformats.org/officeDocument/2006/relationships/hyperlink" Target="https://stockanalysis.com/etf/vb/" TargetMode="External"/><Relationship Id="rId53" Type="http://schemas.openxmlformats.org/officeDocument/2006/relationships/hyperlink" Target="https://stockanalysis.com/etf/smh/" TargetMode="External"/><Relationship Id="rId74" Type="http://schemas.openxmlformats.org/officeDocument/2006/relationships/hyperlink" Target="https://stockanalysis.com/etf/govt/" TargetMode="External"/><Relationship Id="rId128" Type="http://schemas.openxmlformats.org/officeDocument/2006/relationships/hyperlink" Target="https://stockanalysis.com/etf/dfiv/" TargetMode="External"/><Relationship Id="rId149" Type="http://schemas.openxmlformats.org/officeDocument/2006/relationships/hyperlink" Target="https://stockanalysis.com/etf/iwy/" TargetMode="External"/><Relationship Id="rId5" Type="http://schemas.openxmlformats.org/officeDocument/2006/relationships/hyperlink" Target="https://stockanalysis.com/etf/qqq/" TargetMode="External"/><Relationship Id="rId95" Type="http://schemas.openxmlformats.org/officeDocument/2006/relationships/hyperlink" Target="https://stockanalysis.com/etf/acwi/" TargetMode="External"/><Relationship Id="rId160" Type="http://schemas.openxmlformats.org/officeDocument/2006/relationships/hyperlink" Target="https://stockanalysis.com/etf/spsm/" TargetMode="External"/><Relationship Id="rId181" Type="http://schemas.openxmlformats.org/officeDocument/2006/relationships/hyperlink" Target="https://stockanalysis.com/etf/moat/" TargetMode="External"/><Relationship Id="rId22" Type="http://schemas.openxmlformats.org/officeDocument/2006/relationships/hyperlink" Target="https://stockanalysis.com/etf/vo/" TargetMode="External"/><Relationship Id="rId43" Type="http://schemas.openxmlformats.org/officeDocument/2006/relationships/hyperlink" Target="https://stockanalysis.com/etf/xlf/" TargetMode="External"/><Relationship Id="rId64" Type="http://schemas.openxmlformats.org/officeDocument/2006/relationships/hyperlink" Target="https://stockanalysis.com/etf/vcsh/" TargetMode="External"/><Relationship Id="rId118" Type="http://schemas.openxmlformats.org/officeDocument/2006/relationships/hyperlink" Target="https://stockanalysis.com/etf/scha/" TargetMode="External"/><Relationship Id="rId139" Type="http://schemas.openxmlformats.org/officeDocument/2006/relationships/hyperlink" Target="https://stockanalysis.com/etf/spem/" TargetMode="External"/><Relationship Id="rId85" Type="http://schemas.openxmlformats.org/officeDocument/2006/relationships/hyperlink" Target="https://stockanalysis.com/etf/xli/" TargetMode="External"/><Relationship Id="rId150" Type="http://schemas.openxmlformats.org/officeDocument/2006/relationships/hyperlink" Target="https://stockanalysis.com/etf/esgu/" TargetMode="External"/><Relationship Id="rId171" Type="http://schemas.openxmlformats.org/officeDocument/2006/relationships/hyperlink" Target="https://stockanalysis.com/etf/iwo/" TargetMode="External"/><Relationship Id="rId192" Type="http://schemas.openxmlformats.org/officeDocument/2006/relationships/hyperlink" Target="https://stockanalysis.com/etf/iagg/" TargetMode="External"/><Relationship Id="rId12" Type="http://schemas.openxmlformats.org/officeDocument/2006/relationships/hyperlink" Target="https://stockanalysis.com/etf/iemg/" TargetMode="External"/><Relationship Id="rId33" Type="http://schemas.openxmlformats.org/officeDocument/2006/relationships/hyperlink" Target="https://stockanalysis.com/etf/sgov/" TargetMode="External"/><Relationship Id="rId108" Type="http://schemas.openxmlformats.org/officeDocument/2006/relationships/hyperlink" Target="https://stockanalysis.com/etf/xly/" TargetMode="External"/><Relationship Id="rId129" Type="http://schemas.openxmlformats.org/officeDocument/2006/relationships/hyperlink" Target="https://stockanalysis.com/etf/ewj/" TargetMode="External"/><Relationship Id="rId54" Type="http://schemas.openxmlformats.org/officeDocument/2006/relationships/hyperlink" Target="https://stockanalysis.com/etf/spyg/" TargetMode="External"/><Relationship Id="rId75" Type="http://schemas.openxmlformats.org/officeDocument/2006/relationships/hyperlink" Target="https://stockanalysis.com/etf/iusb/" TargetMode="External"/><Relationship Id="rId96" Type="http://schemas.openxmlformats.org/officeDocument/2006/relationships/hyperlink" Target="https://stockanalysis.com/etf/jaaa/" TargetMode="External"/><Relationship Id="rId140" Type="http://schemas.openxmlformats.org/officeDocument/2006/relationships/hyperlink" Target="https://stockanalysis.com/etf/xlp/" TargetMode="External"/><Relationship Id="rId161" Type="http://schemas.openxmlformats.org/officeDocument/2006/relationships/hyperlink" Target="https://stockanalysis.com/etf/vtwo/" TargetMode="External"/><Relationship Id="rId182" Type="http://schemas.openxmlformats.org/officeDocument/2006/relationships/hyperlink" Target="https://stockanalysis.com/etf/iqlt/" TargetMode="External"/><Relationship Id="rId6" Type="http://schemas.openxmlformats.org/officeDocument/2006/relationships/hyperlink" Target="https://stockanalysis.com/etf/vea/" TargetMode="External"/><Relationship Id="rId23" Type="http://schemas.openxmlformats.org/officeDocument/2006/relationships/hyperlink" Target="https://stockanalysis.com/etf/xlk/" TargetMode="External"/><Relationship Id="rId119" Type="http://schemas.openxmlformats.org/officeDocument/2006/relationships/hyperlink" Target="https://stockanalysis.com/etf/rdvy/" TargetMode="External"/><Relationship Id="rId44" Type="http://schemas.openxmlformats.org/officeDocument/2006/relationships/hyperlink" Target="https://stockanalysis.com/etf/ibit/" TargetMode="External"/><Relationship Id="rId65" Type="http://schemas.openxmlformats.org/officeDocument/2006/relationships/hyperlink" Target="https://stockanalysis.com/etf/mbb/" TargetMode="External"/><Relationship Id="rId86" Type="http://schemas.openxmlformats.org/officeDocument/2006/relationships/hyperlink" Target="https://stockanalysis.com/etf/cgdv/" TargetMode="External"/><Relationship Id="rId130" Type="http://schemas.openxmlformats.org/officeDocument/2006/relationships/hyperlink" Target="https://stockanalysis.com/etf/iei/" TargetMode="External"/><Relationship Id="rId151" Type="http://schemas.openxmlformats.org/officeDocument/2006/relationships/hyperlink" Target="https://stockanalysis.com/etf/bbjp/" TargetMode="External"/><Relationship Id="rId172" Type="http://schemas.openxmlformats.org/officeDocument/2006/relationships/hyperlink" Target="https://stockanalysis.com/etf/vfh/" TargetMode="External"/><Relationship Id="rId193" Type="http://schemas.openxmlformats.org/officeDocument/2006/relationships/hyperlink" Target="https://stockanalysis.com/etf/mgv/" TargetMode="External"/><Relationship Id="rId13" Type="http://schemas.openxmlformats.org/officeDocument/2006/relationships/hyperlink" Target="https://stockanalysis.com/etf/agg/" TargetMode="External"/><Relationship Id="rId109" Type="http://schemas.openxmlformats.org/officeDocument/2006/relationships/hyperlink" Target="https://stockanalysis.com/etf/igsb/" TargetMode="External"/><Relationship Id="rId34" Type="http://schemas.openxmlformats.org/officeDocument/2006/relationships/hyperlink" Target="https://stockanalysis.com/etf/qqqm/" TargetMode="External"/><Relationship Id="rId55" Type="http://schemas.openxmlformats.org/officeDocument/2006/relationships/hyperlink" Target="https://stockanalysis.com/etf/tlt/" TargetMode="External"/><Relationship Id="rId76" Type="http://schemas.openxmlformats.org/officeDocument/2006/relationships/hyperlink" Target="https://stockanalysis.com/etf/vbr/" TargetMode="External"/><Relationship Id="rId97" Type="http://schemas.openxmlformats.org/officeDocument/2006/relationships/hyperlink" Target="https://stockanalysis.com/etf/xlc/" TargetMode="External"/><Relationship Id="rId120" Type="http://schemas.openxmlformats.org/officeDocument/2006/relationships/hyperlink" Target="https://stockanalysis.com/etf/iyw/" TargetMode="External"/><Relationship Id="rId141" Type="http://schemas.openxmlformats.org/officeDocument/2006/relationships/hyperlink" Target="https://stockanalysis.com/etf/emxc/" TargetMode="External"/><Relationship Id="rId7" Type="http://schemas.openxmlformats.org/officeDocument/2006/relationships/hyperlink" Target="https://stockanalysis.com/etf/vug/" TargetMode="External"/><Relationship Id="rId162" Type="http://schemas.openxmlformats.org/officeDocument/2006/relationships/hyperlink" Target="https://stockanalysis.com/etf/dfai/" TargetMode="External"/><Relationship Id="rId183" Type="http://schemas.openxmlformats.org/officeDocument/2006/relationships/hyperlink" Target="https://stockanalysis.com/etf/schr/" TargetMode="External"/><Relationship Id="rId2" Type="http://schemas.openxmlformats.org/officeDocument/2006/relationships/hyperlink" Target="https://stockanalysis.com/etf/ivv/" TargetMode="External"/><Relationship Id="rId29" Type="http://schemas.openxmlformats.org/officeDocument/2006/relationships/hyperlink" Target="https://stockanalysis.com/etf/efa/" TargetMode="External"/><Relationship Id="rId24" Type="http://schemas.openxmlformats.org/officeDocument/2006/relationships/hyperlink" Target="https://stockanalysis.com/etf/rsp/" TargetMode="External"/><Relationship Id="rId40" Type="http://schemas.openxmlformats.org/officeDocument/2006/relationships/hyperlink" Target="https://stockanalysis.com/etf/veu/" TargetMode="External"/><Relationship Id="rId45" Type="http://schemas.openxmlformats.org/officeDocument/2006/relationships/hyperlink" Target="https://stockanalysis.com/etf/schg/" TargetMode="External"/><Relationship Id="rId66" Type="http://schemas.openxmlformats.org/officeDocument/2006/relationships/hyperlink" Target="https://stockanalysis.com/etf/vgit/" TargetMode="External"/><Relationship Id="rId87" Type="http://schemas.openxmlformats.org/officeDocument/2006/relationships/hyperlink" Target="https://stockanalysis.com/etf/lqd/" TargetMode="External"/><Relationship Id="rId110" Type="http://schemas.openxmlformats.org/officeDocument/2006/relationships/hyperlink" Target="https://stockanalysis.com/etf/voog/" TargetMode="External"/><Relationship Id="rId115" Type="http://schemas.openxmlformats.org/officeDocument/2006/relationships/hyperlink" Target="https://stockanalysis.com/etf/sdy/" TargetMode="External"/><Relationship Id="rId131" Type="http://schemas.openxmlformats.org/officeDocument/2006/relationships/hyperlink" Target="https://stockanalysis.com/etf/igib/" TargetMode="External"/><Relationship Id="rId136" Type="http://schemas.openxmlformats.org/officeDocument/2006/relationships/hyperlink" Target="https://stockanalysis.com/etf/hyg/" TargetMode="External"/><Relationship Id="rId157" Type="http://schemas.openxmlformats.org/officeDocument/2006/relationships/hyperlink" Target="https://stockanalysis.com/etf/mint/" TargetMode="External"/><Relationship Id="rId178" Type="http://schemas.openxmlformats.org/officeDocument/2006/relationships/hyperlink" Target="https://stockanalysis.com/etf/dfic/" TargetMode="External"/><Relationship Id="rId61" Type="http://schemas.openxmlformats.org/officeDocument/2006/relationships/hyperlink" Target="https://stockanalysis.com/etf/dfac/" TargetMode="External"/><Relationship Id="rId82" Type="http://schemas.openxmlformats.org/officeDocument/2006/relationships/hyperlink" Target="https://stockanalysis.com/etf/vgk/" TargetMode="External"/><Relationship Id="rId152" Type="http://schemas.openxmlformats.org/officeDocument/2006/relationships/hyperlink" Target="https://stockanalysis.com/etf/vonv/" TargetMode="External"/><Relationship Id="rId173" Type="http://schemas.openxmlformats.org/officeDocument/2006/relationships/hyperlink" Target="https://stockanalysis.com/etf/dfat/" TargetMode="External"/><Relationship Id="rId194" Type="http://schemas.openxmlformats.org/officeDocument/2006/relationships/hyperlink" Target="https://stockanalysis.com/etf/scho/" TargetMode="External"/><Relationship Id="rId199" Type="http://schemas.openxmlformats.org/officeDocument/2006/relationships/hyperlink" Target="https://stockanalysis.com/etf/vss/" TargetMode="External"/><Relationship Id="rId203" Type="http://schemas.openxmlformats.org/officeDocument/2006/relationships/table" Target="../tables/table3.xml"/><Relationship Id="rId19" Type="http://schemas.openxmlformats.org/officeDocument/2006/relationships/hyperlink" Target="https://stockanalysis.com/etf/spym/" TargetMode="External"/><Relationship Id="rId14" Type="http://schemas.openxmlformats.org/officeDocument/2006/relationships/hyperlink" Target="https://stockanalysis.com/etf/vxus/" TargetMode="External"/><Relationship Id="rId30" Type="http://schemas.openxmlformats.org/officeDocument/2006/relationships/hyperlink" Target="https://stockanalysis.com/etf/bndx/" TargetMode="External"/><Relationship Id="rId35" Type="http://schemas.openxmlformats.org/officeDocument/2006/relationships/hyperlink" Target="https://stockanalysis.com/etf/iwd/" TargetMode="External"/><Relationship Id="rId56" Type="http://schemas.openxmlformats.org/officeDocument/2006/relationships/hyperlink" Target="https://stockanalysis.com/etf/jepi/" TargetMode="External"/><Relationship Id="rId77" Type="http://schemas.openxmlformats.org/officeDocument/2006/relationships/hyperlink" Target="https://stockanalysis.com/etf/jepq/" TargetMode="External"/><Relationship Id="rId100" Type="http://schemas.openxmlformats.org/officeDocument/2006/relationships/hyperlink" Target="https://stockanalysis.com/etf/mdy/" TargetMode="External"/><Relationship Id="rId105" Type="http://schemas.openxmlformats.org/officeDocument/2006/relationships/hyperlink" Target="https://stockanalysis.com/etf/avuv/" TargetMode="External"/><Relationship Id="rId126" Type="http://schemas.openxmlformats.org/officeDocument/2006/relationships/hyperlink" Target="https://stockanalysis.com/etf/cowz/" TargetMode="External"/><Relationship Id="rId147" Type="http://schemas.openxmlformats.org/officeDocument/2006/relationships/hyperlink" Target="https://stockanalysis.com/etf/vtip/" TargetMode="External"/><Relationship Id="rId168" Type="http://schemas.openxmlformats.org/officeDocument/2006/relationships/hyperlink" Target="https://stockanalysis.com/etf/dfuv/" TargetMode="External"/><Relationship Id="rId8" Type="http://schemas.openxmlformats.org/officeDocument/2006/relationships/hyperlink" Target="https://stockanalysis.com/etf/iefa/" TargetMode="External"/><Relationship Id="rId51" Type="http://schemas.openxmlformats.org/officeDocument/2006/relationships/hyperlink" Target="https://stockanalysis.com/etf/ief/" TargetMode="External"/><Relationship Id="rId72" Type="http://schemas.openxmlformats.org/officeDocument/2006/relationships/hyperlink" Target="https://stockanalysis.com/etf/xle/" TargetMode="External"/><Relationship Id="rId93" Type="http://schemas.openxmlformats.org/officeDocument/2006/relationships/hyperlink" Target="https://stockanalysis.com/etf/vgsh/" TargetMode="External"/><Relationship Id="rId98" Type="http://schemas.openxmlformats.org/officeDocument/2006/relationships/hyperlink" Target="https://stockanalysis.com/etf/vxf/" TargetMode="External"/><Relationship Id="rId121" Type="http://schemas.openxmlformats.org/officeDocument/2006/relationships/hyperlink" Target="https://stockanalysis.com/etf/shv/" TargetMode="External"/><Relationship Id="rId142" Type="http://schemas.openxmlformats.org/officeDocument/2006/relationships/hyperlink" Target="https://stockanalysis.com/etf/spmd/" TargetMode="External"/><Relationship Id="rId163" Type="http://schemas.openxmlformats.org/officeDocument/2006/relationships/hyperlink" Target="https://stockanalysis.com/etf/avde/" TargetMode="External"/><Relationship Id="rId184" Type="http://schemas.openxmlformats.org/officeDocument/2006/relationships/hyperlink" Target="https://stockanalysis.com/etf/ewy/" TargetMode="External"/><Relationship Id="rId189" Type="http://schemas.openxmlformats.org/officeDocument/2006/relationships/hyperlink" Target="https://stockanalysis.com/etf/pyld/" TargetMode="External"/><Relationship Id="rId3" Type="http://schemas.openxmlformats.org/officeDocument/2006/relationships/hyperlink" Target="https://stockanalysis.com/etf/spy/" TargetMode="External"/><Relationship Id="rId25" Type="http://schemas.openxmlformats.org/officeDocument/2006/relationships/hyperlink" Target="https://stockanalysis.com/etf/schd/" TargetMode="External"/><Relationship Id="rId46" Type="http://schemas.openxmlformats.org/officeDocument/2006/relationships/hyperlink" Target="https://stockanalysis.com/etf/ive/" TargetMode="External"/><Relationship Id="rId67" Type="http://schemas.openxmlformats.org/officeDocument/2006/relationships/hyperlink" Target="https://stockanalysis.com/etf/schb/" TargetMode="External"/><Relationship Id="rId116" Type="http://schemas.openxmlformats.org/officeDocument/2006/relationships/hyperlink" Target="https://stockanalysis.com/etf/mtum/" TargetMode="External"/><Relationship Id="rId137" Type="http://schemas.openxmlformats.org/officeDocument/2006/relationships/hyperlink" Target="https://stockanalysis.com/etf/binc/" TargetMode="External"/><Relationship Id="rId158" Type="http://schemas.openxmlformats.org/officeDocument/2006/relationships/hyperlink" Target="https://stockanalysis.com/etf/gslc/" TargetMode="External"/><Relationship Id="rId20" Type="http://schemas.openxmlformats.org/officeDocument/2006/relationships/hyperlink" Target="https://stockanalysis.com/etf/vig/" TargetMode="External"/><Relationship Id="rId41" Type="http://schemas.openxmlformats.org/officeDocument/2006/relationships/hyperlink" Target="https://stockanalysis.com/etf/schf/" TargetMode="External"/><Relationship Id="rId62" Type="http://schemas.openxmlformats.org/officeDocument/2006/relationships/hyperlink" Target="https://stockanalysis.com/etf/slv/" TargetMode="External"/><Relationship Id="rId83" Type="http://schemas.openxmlformats.org/officeDocument/2006/relationships/hyperlink" Target="https://stockanalysis.com/etf/mgk/" TargetMode="External"/><Relationship Id="rId88" Type="http://schemas.openxmlformats.org/officeDocument/2006/relationships/hyperlink" Target="https://stockanalysis.com/etf/oef/" TargetMode="External"/><Relationship Id="rId111" Type="http://schemas.openxmlformats.org/officeDocument/2006/relationships/hyperlink" Target="https://stockanalysis.com/etf/soxx/" TargetMode="External"/><Relationship Id="rId132" Type="http://schemas.openxmlformats.org/officeDocument/2006/relationships/hyperlink" Target="https://stockanalysis.com/etf/vymi/" TargetMode="External"/><Relationship Id="rId153" Type="http://schemas.openxmlformats.org/officeDocument/2006/relationships/hyperlink" Target="https://stockanalysis.com/etf/schv/" TargetMode="External"/><Relationship Id="rId174" Type="http://schemas.openxmlformats.org/officeDocument/2006/relationships/hyperlink" Target="https://stockanalysis.com/etf/fbtc/" TargetMode="External"/><Relationship Id="rId179" Type="http://schemas.openxmlformats.org/officeDocument/2006/relationships/hyperlink" Target="https://stockanalysis.com/etf/soxl/" TargetMode="External"/><Relationship Id="rId195" Type="http://schemas.openxmlformats.org/officeDocument/2006/relationships/hyperlink" Target="https://stockanalysis.com/etf/esgd/" TargetMode="External"/><Relationship Id="rId190" Type="http://schemas.openxmlformats.org/officeDocument/2006/relationships/hyperlink" Target="https://stockanalysis.com/etf/esgv/" TargetMode="External"/><Relationship Id="rId204" Type="http://schemas.openxmlformats.org/officeDocument/2006/relationships/comments" Target="../comments3.xml"/><Relationship Id="rId15" Type="http://schemas.openxmlformats.org/officeDocument/2006/relationships/hyperlink" Target="https://stockanalysis.com/etf/iwf/" TargetMode="External"/><Relationship Id="rId36" Type="http://schemas.openxmlformats.org/officeDocument/2006/relationships/hyperlink" Target="https://stockanalysis.com/etf/ivw/" TargetMode="External"/><Relationship Id="rId57" Type="http://schemas.openxmlformats.org/officeDocument/2006/relationships/hyperlink" Target="https://stockanalysis.com/etf/bsv/" TargetMode="External"/><Relationship Id="rId106" Type="http://schemas.openxmlformats.org/officeDocument/2006/relationships/hyperlink" Target="https://stockanalysis.com/etf/usmv/" TargetMode="External"/><Relationship Id="rId127" Type="http://schemas.openxmlformats.org/officeDocument/2006/relationships/hyperlink" Target="https://stockanalysis.com/etf/dfus/" TargetMode="External"/><Relationship Id="rId10" Type="http://schemas.openxmlformats.org/officeDocument/2006/relationships/hyperlink" Target="https://stockanalysis.com/etf/vtv/" TargetMode="External"/><Relationship Id="rId31" Type="http://schemas.openxmlformats.org/officeDocument/2006/relationships/hyperlink" Target="https://stockanalysis.com/etf/vym/" TargetMode="External"/><Relationship Id="rId52" Type="http://schemas.openxmlformats.org/officeDocument/2006/relationships/hyperlink" Target="https://stockanalysis.com/etf/dia/" TargetMode="External"/><Relationship Id="rId73" Type="http://schemas.openxmlformats.org/officeDocument/2006/relationships/hyperlink" Target="https://stockanalysis.com/etf/vnq/" TargetMode="External"/><Relationship Id="rId78" Type="http://schemas.openxmlformats.org/officeDocument/2006/relationships/hyperlink" Target="https://stockanalysis.com/etf/spyv/" TargetMode="External"/><Relationship Id="rId94" Type="http://schemas.openxmlformats.org/officeDocument/2006/relationships/hyperlink" Target="https://stockanalysis.com/etf/iusg/" TargetMode="External"/><Relationship Id="rId99" Type="http://schemas.openxmlformats.org/officeDocument/2006/relationships/hyperlink" Target="https://stockanalysis.com/etf/ushy/" TargetMode="External"/><Relationship Id="rId101" Type="http://schemas.openxmlformats.org/officeDocument/2006/relationships/hyperlink" Target="https://stockanalysis.com/etf/iusv/" TargetMode="External"/><Relationship Id="rId122" Type="http://schemas.openxmlformats.org/officeDocument/2006/relationships/hyperlink" Target="https://stockanalysis.com/etf/iwp/" TargetMode="External"/><Relationship Id="rId143" Type="http://schemas.openxmlformats.org/officeDocument/2006/relationships/hyperlink" Target="https://stockanalysis.com/etf/dgrw/" TargetMode="External"/><Relationship Id="rId148" Type="http://schemas.openxmlformats.org/officeDocument/2006/relationships/hyperlink" Target="https://stockanalysis.com/etf/emb/" TargetMode="External"/><Relationship Id="rId164" Type="http://schemas.openxmlformats.org/officeDocument/2006/relationships/hyperlink" Target="https://stockanalysis.com/etf/scz/" TargetMode="External"/><Relationship Id="rId169" Type="http://schemas.openxmlformats.org/officeDocument/2006/relationships/hyperlink" Target="https://stockanalysis.com/etf/puls/" TargetMode="External"/><Relationship Id="rId185" Type="http://schemas.openxmlformats.org/officeDocument/2006/relationships/hyperlink" Target="https://stockanalysis.com/etf/tlh/" TargetMode="External"/><Relationship Id="rId4" Type="http://schemas.openxmlformats.org/officeDocument/2006/relationships/hyperlink" Target="https://stockanalysis.com/etf/vti/" TargetMode="External"/><Relationship Id="rId9" Type="http://schemas.openxmlformats.org/officeDocument/2006/relationships/hyperlink" Target="https://stockanalysis.com/etf/gld/" TargetMode="External"/><Relationship Id="rId180" Type="http://schemas.openxmlformats.org/officeDocument/2006/relationships/hyperlink" Target="https://stockanalysis.com/etf/iwn/" TargetMode="External"/><Relationship Id="rId26" Type="http://schemas.openxmlformats.org/officeDocument/2006/relationships/hyperlink" Target="https://stockanalysis.com/etf/itot/" TargetMode="External"/><Relationship Id="rId47" Type="http://schemas.openxmlformats.org/officeDocument/2006/relationships/hyperlink" Target="https://stockanalysis.com/etf/qual/" TargetMode="External"/><Relationship Id="rId68" Type="http://schemas.openxmlformats.org/officeDocument/2006/relationships/hyperlink" Target="https://stockanalysis.com/etf/dgro/" TargetMode="External"/><Relationship Id="rId89" Type="http://schemas.openxmlformats.org/officeDocument/2006/relationships/hyperlink" Target="https://stockanalysis.com/etf/tqqq/" TargetMode="External"/><Relationship Id="rId112" Type="http://schemas.openxmlformats.org/officeDocument/2006/relationships/hyperlink" Target="https://stockanalysis.com/etf/xlu/" TargetMode="External"/><Relationship Id="rId133" Type="http://schemas.openxmlformats.org/officeDocument/2006/relationships/hyperlink" Target="https://stockanalysis.com/etf/avdv/" TargetMode="External"/><Relationship Id="rId154" Type="http://schemas.openxmlformats.org/officeDocument/2006/relationships/hyperlink" Target="https://stockanalysis.com/etf/schp/" TargetMode="External"/><Relationship Id="rId175" Type="http://schemas.openxmlformats.org/officeDocument/2006/relationships/hyperlink" Target="https://stockanalysis.com/etf/dfas/" TargetMode="External"/><Relationship Id="rId196" Type="http://schemas.openxmlformats.org/officeDocument/2006/relationships/hyperlink" Target="https://stockanalysis.com/etf/amlp/" TargetMode="External"/><Relationship Id="rId200" Type="http://schemas.openxmlformats.org/officeDocument/2006/relationships/hyperlink" Target="https://stockanalysis.com/etf/dfax/" TargetMode="External"/><Relationship Id="rId16" Type="http://schemas.openxmlformats.org/officeDocument/2006/relationships/hyperlink" Target="https://stockanalysis.com/etf/vwo/" TargetMode="External"/><Relationship Id="rId37" Type="http://schemas.openxmlformats.org/officeDocument/2006/relationships/hyperlink" Target="https://stockanalysis.com/etf/schx/" TargetMode="External"/><Relationship Id="rId58" Type="http://schemas.openxmlformats.org/officeDocument/2006/relationships/hyperlink" Target="https://stockanalysis.com/etf/bil/" TargetMode="External"/><Relationship Id="rId79" Type="http://schemas.openxmlformats.org/officeDocument/2006/relationships/hyperlink" Target="https://stockanalysis.com/etf/dynf/" TargetMode="External"/><Relationship Id="rId102" Type="http://schemas.openxmlformats.org/officeDocument/2006/relationships/hyperlink" Target="https://stockanalysis.com/etf/shy/" TargetMode="External"/><Relationship Id="rId123" Type="http://schemas.openxmlformats.org/officeDocument/2006/relationships/hyperlink" Target="https://stockanalysis.com/etf/cggr/" TargetMode="External"/><Relationship Id="rId144" Type="http://schemas.openxmlformats.org/officeDocument/2006/relationships/hyperlink" Target="https://stockanalysis.com/etf/sphq/" TargetMode="External"/><Relationship Id="rId90" Type="http://schemas.openxmlformats.org/officeDocument/2006/relationships/hyperlink" Target="https://stockanalysis.com/etf/idev/" TargetMode="External"/><Relationship Id="rId165" Type="http://schemas.openxmlformats.org/officeDocument/2006/relationships/hyperlink" Target="https://stockanalysis.com/etf/stip/" TargetMode="External"/><Relationship Id="rId186" Type="http://schemas.openxmlformats.org/officeDocument/2006/relationships/hyperlink" Target="https://stockanalysis.com/etf/sche/" TargetMode="External"/><Relationship Id="rId27" Type="http://schemas.openxmlformats.org/officeDocument/2006/relationships/hyperlink" Target="https://stockanalysis.com/etf/iau/" TargetMode="External"/><Relationship Id="rId48" Type="http://schemas.openxmlformats.org/officeDocument/2006/relationships/hyperlink" Target="https://stockanalysis.com/etf/iwr/" TargetMode="External"/><Relationship Id="rId69" Type="http://schemas.openxmlformats.org/officeDocument/2006/relationships/hyperlink" Target="https://stockanalysis.com/etf/vong/" TargetMode="External"/><Relationship Id="rId113" Type="http://schemas.openxmlformats.org/officeDocument/2006/relationships/hyperlink" Target="https://stockanalysis.com/etf/voe/" TargetMode="External"/><Relationship Id="rId134" Type="http://schemas.openxmlformats.org/officeDocument/2006/relationships/hyperlink" Target="https://stockanalysis.com/etf/vot/" TargetMode="External"/><Relationship Id="rId80" Type="http://schemas.openxmlformats.org/officeDocument/2006/relationships/hyperlink" Target="https://stockanalysis.com/etf/gdx/" TargetMode="External"/><Relationship Id="rId155" Type="http://schemas.openxmlformats.org/officeDocument/2006/relationships/hyperlink" Target="https://stockanalysis.com/etf/iws/" TargetMode="External"/><Relationship Id="rId176" Type="http://schemas.openxmlformats.org/officeDocument/2006/relationships/hyperlink" Target="https://stockanalysis.com/etf/schm/" TargetMode="External"/><Relationship Id="rId197" Type="http://schemas.openxmlformats.org/officeDocument/2006/relationships/hyperlink" Target="https://stockanalysis.com/etf/xlg/" TargetMode="External"/><Relationship Id="rId201" Type="http://schemas.openxmlformats.org/officeDocument/2006/relationships/drawing" Target="../drawings/drawing4.xml"/><Relationship Id="rId17" Type="http://schemas.openxmlformats.org/officeDocument/2006/relationships/hyperlink" Target="https://stockanalysis.com/etf/vgt/" TargetMode="External"/><Relationship Id="rId38" Type="http://schemas.openxmlformats.org/officeDocument/2006/relationships/hyperlink" Target="https://stockanalysis.com/etf/vt/" TargetMode="External"/><Relationship Id="rId59" Type="http://schemas.openxmlformats.org/officeDocument/2006/relationships/hyperlink" Target="https://stockanalysis.com/etf/vteb/" TargetMode="External"/><Relationship Id="rId103" Type="http://schemas.openxmlformats.org/officeDocument/2006/relationships/hyperlink" Target="https://stockanalysis.com/etf/fbnd/" TargetMode="External"/><Relationship Id="rId124" Type="http://schemas.openxmlformats.org/officeDocument/2006/relationships/hyperlink" Target="https://stockanalysis.com/etf/avem/" TargetMode="External"/><Relationship Id="rId70" Type="http://schemas.openxmlformats.org/officeDocument/2006/relationships/hyperlink" Target="https://stockanalysis.com/etf/spdw/" TargetMode="External"/><Relationship Id="rId91" Type="http://schemas.openxmlformats.org/officeDocument/2006/relationships/hyperlink" Target="https://stockanalysis.com/etf/biv/" TargetMode="External"/><Relationship Id="rId145" Type="http://schemas.openxmlformats.org/officeDocument/2006/relationships/hyperlink" Target="https://stockanalysis.com/etf/usfr/" TargetMode="External"/><Relationship Id="rId166" Type="http://schemas.openxmlformats.org/officeDocument/2006/relationships/hyperlink" Target="https://stockanalysis.com/etf/tip/" TargetMode="External"/><Relationship Id="rId187" Type="http://schemas.openxmlformats.org/officeDocument/2006/relationships/hyperlink" Target="https://stockanalysis.com/etf/sptm/" TargetMode="External"/><Relationship Id="rId1" Type="http://schemas.openxmlformats.org/officeDocument/2006/relationships/hyperlink" Target="https://stockanalysis.com/etf/voo/" TargetMode="External"/><Relationship Id="rId28" Type="http://schemas.openxmlformats.org/officeDocument/2006/relationships/hyperlink" Target="https://stockanalysis.com/etf/iwm/" TargetMode="External"/><Relationship Id="rId49" Type="http://schemas.openxmlformats.org/officeDocument/2006/relationships/hyperlink" Target="https://stockanalysis.com/etf/vv/" TargetMode="External"/><Relationship Id="rId114" Type="http://schemas.openxmlformats.org/officeDocument/2006/relationships/hyperlink" Target="https://stockanalysis.com/etf/fndf/" TargetMode="External"/><Relationship Id="rId60" Type="http://schemas.openxmlformats.org/officeDocument/2006/relationships/hyperlink" Target="https://stockanalysis.com/etf/mub/" TargetMode="External"/><Relationship Id="rId81" Type="http://schemas.openxmlformats.org/officeDocument/2006/relationships/hyperlink" Target="https://stockanalysis.com/etf/gldm/" TargetMode="External"/><Relationship Id="rId135" Type="http://schemas.openxmlformats.org/officeDocument/2006/relationships/hyperlink" Target="https://stockanalysis.com/etf/vht/" TargetMode="External"/><Relationship Id="rId156" Type="http://schemas.openxmlformats.org/officeDocument/2006/relationships/hyperlink" Target="https://stockanalysis.com/etf/ita/" TargetMode="External"/><Relationship Id="rId177" Type="http://schemas.openxmlformats.org/officeDocument/2006/relationships/hyperlink" Target="https://stockanalysis.com/etf/hdv/" TargetMode="External"/><Relationship Id="rId198" Type="http://schemas.openxmlformats.org/officeDocument/2006/relationships/hyperlink" Target="https://stockanalysis.com/etf/avus/" TargetMode="External"/><Relationship Id="rId202" Type="http://schemas.openxmlformats.org/officeDocument/2006/relationships/vmlDrawing" Target="../drawings/vmlDrawing3.vml"/><Relationship Id="rId18" Type="http://schemas.openxmlformats.org/officeDocument/2006/relationships/hyperlink" Target="https://stockanalysis.com/etf/ijh/" TargetMode="External"/><Relationship Id="rId39" Type="http://schemas.openxmlformats.org/officeDocument/2006/relationships/hyperlink" Target="https://stockanalysis.com/etf/vcit/" TargetMode="External"/><Relationship Id="rId50" Type="http://schemas.openxmlformats.org/officeDocument/2006/relationships/hyperlink" Target="https://stockanalysis.com/etf/iwb/" TargetMode="External"/><Relationship Id="rId104" Type="http://schemas.openxmlformats.org/officeDocument/2006/relationships/hyperlink" Target="https://stockanalysis.com/etf/fndx/" TargetMode="External"/><Relationship Id="rId125" Type="http://schemas.openxmlformats.org/officeDocument/2006/relationships/hyperlink" Target="https://stockanalysis.com/etf/iwv/" TargetMode="External"/><Relationship Id="rId146" Type="http://schemas.openxmlformats.org/officeDocument/2006/relationships/hyperlink" Target="https://stockanalysis.com/etf/ftec/" TargetMode="External"/><Relationship Id="rId167" Type="http://schemas.openxmlformats.org/officeDocument/2006/relationships/hyperlink" Target="https://stockanalysis.com/etf/pff/" TargetMode="External"/><Relationship Id="rId188" Type="http://schemas.openxmlformats.org/officeDocument/2006/relationships/hyperlink" Target="https://stockanalysis.com/etf/pave/" TargetMode="External"/><Relationship Id="rId71" Type="http://schemas.openxmlformats.org/officeDocument/2006/relationships/hyperlink" Target="https://stockanalysis.com/etf/jpst/" TargetMode="External"/><Relationship Id="rId92" Type="http://schemas.openxmlformats.org/officeDocument/2006/relationships/hyperlink" Target="https://stockanalysis.com/etf/eem/"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stockanalysis.com/etf/vonv/" TargetMode="External"/><Relationship Id="rId21" Type="http://schemas.openxmlformats.org/officeDocument/2006/relationships/hyperlink" Target="https://stockanalysis.com/etf/iwp/" TargetMode="External"/><Relationship Id="rId42" Type="http://schemas.openxmlformats.org/officeDocument/2006/relationships/hyperlink" Target="https://stockanalysis.com/etf/itot/" TargetMode="External"/><Relationship Id="rId63" Type="http://schemas.openxmlformats.org/officeDocument/2006/relationships/hyperlink" Target="https://stockanalysis.com/etf/dgro/" TargetMode="External"/><Relationship Id="rId84" Type="http://schemas.openxmlformats.org/officeDocument/2006/relationships/hyperlink" Target="https://stockanalysis.com/etf/ijr/" TargetMode="External"/><Relationship Id="rId138" Type="http://schemas.openxmlformats.org/officeDocument/2006/relationships/hyperlink" Target="https://stockanalysis.com/etf/xle/" TargetMode="External"/><Relationship Id="rId159" Type="http://schemas.openxmlformats.org/officeDocument/2006/relationships/hyperlink" Target="https://stockanalysis.com/etf/jpst/" TargetMode="External"/><Relationship Id="rId170" Type="http://schemas.openxmlformats.org/officeDocument/2006/relationships/hyperlink" Target="https://stockanalysis.com/etf/vteb/" TargetMode="External"/><Relationship Id="rId191" Type="http://schemas.openxmlformats.org/officeDocument/2006/relationships/hyperlink" Target="https://stockanalysis.com/etf/ief/" TargetMode="External"/><Relationship Id="rId107" Type="http://schemas.openxmlformats.org/officeDocument/2006/relationships/hyperlink" Target="https://stockanalysis.com/etf/emxc/" TargetMode="External"/><Relationship Id="rId11" Type="http://schemas.openxmlformats.org/officeDocument/2006/relationships/hyperlink" Target="https://stockanalysis.com/etf/ita/" TargetMode="External"/><Relationship Id="rId32" Type="http://schemas.openxmlformats.org/officeDocument/2006/relationships/hyperlink" Target="https://stockanalysis.com/etf/voog/" TargetMode="External"/><Relationship Id="rId53" Type="http://schemas.openxmlformats.org/officeDocument/2006/relationships/hyperlink" Target="https://stockanalysis.com/etf/bbjp/" TargetMode="External"/><Relationship Id="rId74" Type="http://schemas.openxmlformats.org/officeDocument/2006/relationships/hyperlink" Target="https://stockanalysis.com/etf/vtwo/" TargetMode="External"/><Relationship Id="rId128" Type="http://schemas.openxmlformats.org/officeDocument/2006/relationships/hyperlink" Target="https://stockanalysis.com/etf/vss/" TargetMode="External"/><Relationship Id="rId149" Type="http://schemas.openxmlformats.org/officeDocument/2006/relationships/hyperlink" Target="https://stockanalysis.com/etf/vnq/" TargetMode="External"/><Relationship Id="rId5" Type="http://schemas.openxmlformats.org/officeDocument/2006/relationships/hyperlink" Target="https://stockanalysis.com/etf/soxx/" TargetMode="External"/><Relationship Id="rId95" Type="http://schemas.openxmlformats.org/officeDocument/2006/relationships/hyperlink" Target="https://stockanalysis.com/etf/ive/" TargetMode="External"/><Relationship Id="rId160" Type="http://schemas.openxmlformats.org/officeDocument/2006/relationships/hyperlink" Target="https://stockanalysis.com/etf/puls/" TargetMode="External"/><Relationship Id="rId181" Type="http://schemas.openxmlformats.org/officeDocument/2006/relationships/hyperlink" Target="https://stockanalysis.com/etf/fbnd/" TargetMode="External"/><Relationship Id="rId22" Type="http://schemas.openxmlformats.org/officeDocument/2006/relationships/hyperlink" Target="https://stockanalysis.com/etf/xlk/" TargetMode="External"/><Relationship Id="rId43" Type="http://schemas.openxmlformats.org/officeDocument/2006/relationships/hyperlink" Target="https://stockanalysis.com/etf/avus/" TargetMode="External"/><Relationship Id="rId64" Type="http://schemas.openxmlformats.org/officeDocument/2006/relationships/hyperlink" Target="https://stockanalysis.com/etf/rsp/" TargetMode="External"/><Relationship Id="rId118" Type="http://schemas.openxmlformats.org/officeDocument/2006/relationships/hyperlink" Target="https://stockanalysis.com/etf/voe/" TargetMode="External"/><Relationship Id="rId139" Type="http://schemas.openxmlformats.org/officeDocument/2006/relationships/hyperlink" Target="https://stockanalysis.com/etf/vht/" TargetMode="External"/><Relationship Id="rId85" Type="http://schemas.openxmlformats.org/officeDocument/2006/relationships/hyperlink" Target="https://stockanalysis.com/etf/spy/" TargetMode="External"/><Relationship Id="rId150" Type="http://schemas.openxmlformats.org/officeDocument/2006/relationships/hyperlink" Target="https://stockanalysis.com/etf/xlu/" TargetMode="External"/><Relationship Id="rId171" Type="http://schemas.openxmlformats.org/officeDocument/2006/relationships/hyperlink" Target="https://stockanalysis.com/etf/vgit/" TargetMode="External"/><Relationship Id="rId192" Type="http://schemas.openxmlformats.org/officeDocument/2006/relationships/hyperlink" Target="https://stockanalysis.com/etf/stip/" TargetMode="External"/><Relationship Id="rId12" Type="http://schemas.openxmlformats.org/officeDocument/2006/relationships/hyperlink" Target="https://stockanalysis.com/etf/spsm/" TargetMode="External"/><Relationship Id="rId33" Type="http://schemas.openxmlformats.org/officeDocument/2006/relationships/hyperlink" Target="https://stockanalysis.com/etf/vti/" TargetMode="External"/><Relationship Id="rId108" Type="http://schemas.openxmlformats.org/officeDocument/2006/relationships/hyperlink" Target="https://stockanalysis.com/etf/iefa/" TargetMode="External"/><Relationship Id="rId129" Type="http://schemas.openxmlformats.org/officeDocument/2006/relationships/hyperlink" Target="https://stockanalysis.com/etf/vgk/" TargetMode="External"/><Relationship Id="rId54" Type="http://schemas.openxmlformats.org/officeDocument/2006/relationships/hyperlink" Target="https://stockanalysis.com/etf/vbk/" TargetMode="External"/><Relationship Id="rId75" Type="http://schemas.openxmlformats.org/officeDocument/2006/relationships/hyperlink" Target="https://stockanalysis.com/etf/iwv/" TargetMode="External"/><Relationship Id="rId96" Type="http://schemas.openxmlformats.org/officeDocument/2006/relationships/hyperlink" Target="https://stockanalysis.com/etf/ewy/" TargetMode="External"/><Relationship Id="rId140" Type="http://schemas.openxmlformats.org/officeDocument/2006/relationships/hyperlink" Target="https://stockanalysis.com/etf/hdv/" TargetMode="External"/><Relationship Id="rId161" Type="http://schemas.openxmlformats.org/officeDocument/2006/relationships/hyperlink" Target="https://stockanalysis.com/etf/scho/" TargetMode="External"/><Relationship Id="rId182" Type="http://schemas.openxmlformats.org/officeDocument/2006/relationships/hyperlink" Target="https://stockanalysis.com/etf/gld/" TargetMode="External"/><Relationship Id="rId6" Type="http://schemas.openxmlformats.org/officeDocument/2006/relationships/hyperlink" Target="https://stockanalysis.com/etf/ivw/" TargetMode="External"/><Relationship Id="rId23" Type="http://schemas.openxmlformats.org/officeDocument/2006/relationships/hyperlink" Target="https://stockanalysis.com/etf/mtum/" TargetMode="External"/><Relationship Id="rId119" Type="http://schemas.openxmlformats.org/officeDocument/2006/relationships/hyperlink" Target="https://stockanalysis.com/etf/vxus/" TargetMode="External"/><Relationship Id="rId44" Type="http://schemas.openxmlformats.org/officeDocument/2006/relationships/hyperlink" Target="https://stockanalysis.com/etf/xlc/" TargetMode="External"/><Relationship Id="rId65" Type="http://schemas.openxmlformats.org/officeDocument/2006/relationships/hyperlink" Target="https://stockanalysis.com/etf/scha/" TargetMode="External"/><Relationship Id="rId86" Type="http://schemas.openxmlformats.org/officeDocument/2006/relationships/hyperlink" Target="https://stockanalysis.com/etf/schm/" TargetMode="External"/><Relationship Id="rId130" Type="http://schemas.openxmlformats.org/officeDocument/2006/relationships/hyperlink" Target="https://stockanalysis.com/etf/scz/" TargetMode="External"/><Relationship Id="rId151" Type="http://schemas.openxmlformats.org/officeDocument/2006/relationships/hyperlink" Target="https://stockanalysis.com/etf/pff/" TargetMode="External"/><Relationship Id="rId172" Type="http://schemas.openxmlformats.org/officeDocument/2006/relationships/hyperlink" Target="https://stockanalysis.com/etf/sgov/" TargetMode="External"/><Relationship Id="rId193" Type="http://schemas.openxmlformats.org/officeDocument/2006/relationships/hyperlink" Target="https://stockanalysis.com/etf/tlh/" TargetMode="External"/><Relationship Id="rId13" Type="http://schemas.openxmlformats.org/officeDocument/2006/relationships/hyperlink" Target="https://stockanalysis.com/etf/gslc/" TargetMode="External"/><Relationship Id="rId109" Type="http://schemas.openxmlformats.org/officeDocument/2006/relationships/hyperlink" Target="https://stockanalysis.com/etf/iws/" TargetMode="External"/><Relationship Id="rId34" Type="http://schemas.openxmlformats.org/officeDocument/2006/relationships/hyperlink" Target="https://stockanalysis.com/etf/iwf/" TargetMode="External"/><Relationship Id="rId55" Type="http://schemas.openxmlformats.org/officeDocument/2006/relationships/hyperlink" Target="https://stockanalysis.com/etf/iusg/" TargetMode="External"/><Relationship Id="rId76" Type="http://schemas.openxmlformats.org/officeDocument/2006/relationships/hyperlink" Target="https://stockanalysis.com/etf/avdv/" TargetMode="External"/><Relationship Id="rId97" Type="http://schemas.openxmlformats.org/officeDocument/2006/relationships/hyperlink" Target="https://stockanalysis.com/etf/efa/" TargetMode="External"/><Relationship Id="rId120" Type="http://schemas.openxmlformats.org/officeDocument/2006/relationships/hyperlink" Target="https://stockanalysis.com/etf/sche/" TargetMode="External"/><Relationship Id="rId141" Type="http://schemas.openxmlformats.org/officeDocument/2006/relationships/hyperlink" Target="https://stockanalysis.com/etf/nobl/" TargetMode="External"/><Relationship Id="rId7" Type="http://schemas.openxmlformats.org/officeDocument/2006/relationships/hyperlink" Target="https://stockanalysis.com/etf/spmo/" TargetMode="External"/><Relationship Id="rId162" Type="http://schemas.openxmlformats.org/officeDocument/2006/relationships/hyperlink" Target="https://stockanalysis.com/etf/bnd/" TargetMode="External"/><Relationship Id="rId183" Type="http://schemas.openxmlformats.org/officeDocument/2006/relationships/hyperlink" Target="https://stockanalysis.com/etf/igsb/" TargetMode="External"/><Relationship Id="rId2" Type="http://schemas.openxmlformats.org/officeDocument/2006/relationships/hyperlink" Target="https://stockanalysis.com/etf/ftec/" TargetMode="External"/><Relationship Id="rId29" Type="http://schemas.openxmlformats.org/officeDocument/2006/relationships/hyperlink" Target="https://stockanalysis.com/etf/esgu/" TargetMode="External"/><Relationship Id="rId24" Type="http://schemas.openxmlformats.org/officeDocument/2006/relationships/hyperlink" Target="https://stockanalysis.com/etf/iwr/" TargetMode="External"/><Relationship Id="rId40" Type="http://schemas.openxmlformats.org/officeDocument/2006/relationships/hyperlink" Target="https://stockanalysis.com/etf/rdvy/" TargetMode="External"/><Relationship Id="rId45" Type="http://schemas.openxmlformats.org/officeDocument/2006/relationships/hyperlink" Target="https://stockanalysis.com/etf/iwo/" TargetMode="External"/><Relationship Id="rId66" Type="http://schemas.openxmlformats.org/officeDocument/2006/relationships/hyperlink" Target="https://stockanalysis.com/etf/vot/" TargetMode="External"/><Relationship Id="rId87" Type="http://schemas.openxmlformats.org/officeDocument/2006/relationships/hyperlink" Target="https://stockanalysis.com/etf/ewj/" TargetMode="External"/><Relationship Id="rId110" Type="http://schemas.openxmlformats.org/officeDocument/2006/relationships/hyperlink" Target="https://stockanalysis.com/etf/avem/" TargetMode="External"/><Relationship Id="rId115" Type="http://schemas.openxmlformats.org/officeDocument/2006/relationships/hyperlink" Target="https://stockanalysis.com/etf/dfiv/" TargetMode="External"/><Relationship Id="rId131" Type="http://schemas.openxmlformats.org/officeDocument/2006/relationships/hyperlink" Target="https://stockanalysis.com/etf/efv/" TargetMode="External"/><Relationship Id="rId136" Type="http://schemas.openxmlformats.org/officeDocument/2006/relationships/hyperlink" Target="https://stockanalysis.com/etf/ibit/" TargetMode="External"/><Relationship Id="rId157" Type="http://schemas.openxmlformats.org/officeDocument/2006/relationships/hyperlink" Target="https://stockanalysis.com/etf/emb/" TargetMode="External"/><Relationship Id="rId178" Type="http://schemas.openxmlformats.org/officeDocument/2006/relationships/hyperlink" Target="https://stockanalysis.com/etf/bsv/" TargetMode="External"/><Relationship Id="rId61" Type="http://schemas.openxmlformats.org/officeDocument/2006/relationships/hyperlink" Target="https://stockanalysis.com/etf/avuv/" TargetMode="External"/><Relationship Id="rId82" Type="http://schemas.openxmlformats.org/officeDocument/2006/relationships/hyperlink" Target="https://stockanalysis.com/etf/acwi/" TargetMode="External"/><Relationship Id="rId152" Type="http://schemas.openxmlformats.org/officeDocument/2006/relationships/hyperlink" Target="https://stockanalysis.com/etf/xlp/" TargetMode="External"/><Relationship Id="rId173" Type="http://schemas.openxmlformats.org/officeDocument/2006/relationships/hyperlink" Target="https://stockanalysis.com/etf/binc/" TargetMode="External"/><Relationship Id="rId194" Type="http://schemas.openxmlformats.org/officeDocument/2006/relationships/hyperlink" Target="https://stockanalysis.com/etf/tlt/" TargetMode="External"/><Relationship Id="rId199" Type="http://schemas.openxmlformats.org/officeDocument/2006/relationships/hyperlink" Target="https://stockanalysis.com/etf/usig/" TargetMode="External"/><Relationship Id="rId203" Type="http://schemas.openxmlformats.org/officeDocument/2006/relationships/table" Target="../tables/table4.xml"/><Relationship Id="rId19" Type="http://schemas.openxmlformats.org/officeDocument/2006/relationships/hyperlink" Target="https://stockanalysis.com/etf/sphq/" TargetMode="External"/><Relationship Id="rId14" Type="http://schemas.openxmlformats.org/officeDocument/2006/relationships/hyperlink" Target="https://stockanalysis.com/etf/spym/" TargetMode="External"/><Relationship Id="rId30" Type="http://schemas.openxmlformats.org/officeDocument/2006/relationships/hyperlink" Target="https://stockanalysis.com/etf/vgt/" TargetMode="External"/><Relationship Id="rId35" Type="http://schemas.openxmlformats.org/officeDocument/2006/relationships/hyperlink" Target="https://stockanalysis.com/etf/vug/" TargetMode="External"/><Relationship Id="rId56" Type="http://schemas.openxmlformats.org/officeDocument/2006/relationships/hyperlink" Target="https://stockanalysis.com/etf/cggr/" TargetMode="External"/><Relationship Id="rId77" Type="http://schemas.openxmlformats.org/officeDocument/2006/relationships/hyperlink" Target="https://stockanalysis.com/etf/spmd/" TargetMode="External"/><Relationship Id="rId100" Type="http://schemas.openxmlformats.org/officeDocument/2006/relationships/hyperlink" Target="https://stockanalysis.com/etf/esgd/" TargetMode="External"/><Relationship Id="rId105" Type="http://schemas.openxmlformats.org/officeDocument/2006/relationships/hyperlink" Target="https://stockanalysis.com/etf/iwd/" TargetMode="External"/><Relationship Id="rId126" Type="http://schemas.openxmlformats.org/officeDocument/2006/relationships/hyperlink" Target="https://stockanalysis.com/etf/iqlt/" TargetMode="External"/><Relationship Id="rId147" Type="http://schemas.openxmlformats.org/officeDocument/2006/relationships/hyperlink" Target="https://stockanalysis.com/etf/xlv/" TargetMode="External"/><Relationship Id="rId168" Type="http://schemas.openxmlformats.org/officeDocument/2006/relationships/hyperlink" Target="https://stockanalysis.com/etf/vgsh/" TargetMode="External"/><Relationship Id="rId8" Type="http://schemas.openxmlformats.org/officeDocument/2006/relationships/hyperlink" Target="https://stockanalysis.com/etf/sptm/" TargetMode="External"/><Relationship Id="rId51" Type="http://schemas.openxmlformats.org/officeDocument/2006/relationships/hyperlink" Target="https://stockanalysis.com/etf/dfas/" TargetMode="External"/><Relationship Id="rId72" Type="http://schemas.openxmlformats.org/officeDocument/2006/relationships/hyperlink" Target="https://stockanalysis.com/etf/ixus/" TargetMode="External"/><Relationship Id="rId93" Type="http://schemas.openxmlformats.org/officeDocument/2006/relationships/hyperlink" Target="https://stockanalysis.com/etf/vt/" TargetMode="External"/><Relationship Id="rId98" Type="http://schemas.openxmlformats.org/officeDocument/2006/relationships/hyperlink" Target="https://stockanalysis.com/etf/fndx/" TargetMode="External"/><Relationship Id="rId121" Type="http://schemas.openxmlformats.org/officeDocument/2006/relationships/hyperlink" Target="https://stockanalysis.com/etf/veu/" TargetMode="External"/><Relationship Id="rId142" Type="http://schemas.openxmlformats.org/officeDocument/2006/relationships/hyperlink" Target="https://stockanalysis.com/etf/vymi/" TargetMode="External"/><Relationship Id="rId163" Type="http://schemas.openxmlformats.org/officeDocument/2006/relationships/hyperlink" Target="https://stockanalysis.com/etf/iusb/" TargetMode="External"/><Relationship Id="rId184" Type="http://schemas.openxmlformats.org/officeDocument/2006/relationships/hyperlink" Target="https://stockanalysis.com/etf/schr/" TargetMode="External"/><Relationship Id="rId189" Type="http://schemas.openxmlformats.org/officeDocument/2006/relationships/hyperlink" Target="https://stockanalysis.com/etf/tip/" TargetMode="External"/><Relationship Id="rId3" Type="http://schemas.openxmlformats.org/officeDocument/2006/relationships/hyperlink" Target="https://stockanalysis.com/etf/qqq/" TargetMode="External"/><Relationship Id="rId25" Type="http://schemas.openxmlformats.org/officeDocument/2006/relationships/hyperlink" Target="https://stockanalysis.com/etf/dfuv/" TargetMode="External"/><Relationship Id="rId46" Type="http://schemas.openxmlformats.org/officeDocument/2006/relationships/hyperlink" Target="https://stockanalysis.com/etf/iwn/" TargetMode="External"/><Relationship Id="rId67" Type="http://schemas.openxmlformats.org/officeDocument/2006/relationships/hyperlink" Target="https://stockanalysis.com/etf/dfus/" TargetMode="External"/><Relationship Id="rId116" Type="http://schemas.openxmlformats.org/officeDocument/2006/relationships/hyperlink" Target="https://stockanalysis.com/etf/fndf/" TargetMode="External"/><Relationship Id="rId137" Type="http://schemas.openxmlformats.org/officeDocument/2006/relationships/hyperlink" Target="https://stockanalysis.com/etf/jepi/" TargetMode="External"/><Relationship Id="rId158" Type="http://schemas.openxmlformats.org/officeDocument/2006/relationships/hyperlink" Target="https://stockanalysis.com/etf/igib/" TargetMode="External"/><Relationship Id="rId20" Type="http://schemas.openxmlformats.org/officeDocument/2006/relationships/hyperlink" Target="https://stockanalysis.com/etf/vbr/" TargetMode="External"/><Relationship Id="rId41" Type="http://schemas.openxmlformats.org/officeDocument/2006/relationships/hyperlink" Target="https://stockanalysis.com/etf/xlg/" TargetMode="External"/><Relationship Id="rId62" Type="http://schemas.openxmlformats.org/officeDocument/2006/relationships/hyperlink" Target="https://stockanalysis.com/etf/ijh/" TargetMode="External"/><Relationship Id="rId83" Type="http://schemas.openxmlformats.org/officeDocument/2006/relationships/hyperlink" Target="https://stockanalysis.com/etf/mdy/" TargetMode="External"/><Relationship Id="rId88" Type="http://schemas.openxmlformats.org/officeDocument/2006/relationships/hyperlink" Target="https://stockanalysis.com/etf/qual/" TargetMode="External"/><Relationship Id="rId111" Type="http://schemas.openxmlformats.org/officeDocument/2006/relationships/hyperlink" Target="https://stockanalysis.com/etf/schv/" TargetMode="External"/><Relationship Id="rId132" Type="http://schemas.openxmlformats.org/officeDocument/2006/relationships/hyperlink" Target="https://stockanalysis.com/etf/vwo/" TargetMode="External"/><Relationship Id="rId153" Type="http://schemas.openxmlformats.org/officeDocument/2006/relationships/hyperlink" Target="https://stockanalysis.com/etf/hyg/" TargetMode="External"/><Relationship Id="rId174" Type="http://schemas.openxmlformats.org/officeDocument/2006/relationships/hyperlink" Target="https://stockanalysis.com/etf/bil/" TargetMode="External"/><Relationship Id="rId179" Type="http://schemas.openxmlformats.org/officeDocument/2006/relationships/hyperlink" Target="https://stockanalysis.com/etf/mub/" TargetMode="External"/><Relationship Id="rId195" Type="http://schemas.openxmlformats.org/officeDocument/2006/relationships/hyperlink" Target="https://stockanalysis.com/etf/pyld/" TargetMode="External"/><Relationship Id="rId190" Type="http://schemas.openxmlformats.org/officeDocument/2006/relationships/hyperlink" Target="https://stockanalysis.com/etf/vmbs/" TargetMode="External"/><Relationship Id="rId204" Type="http://schemas.openxmlformats.org/officeDocument/2006/relationships/comments" Target="../comments4.xml"/><Relationship Id="rId15" Type="http://schemas.openxmlformats.org/officeDocument/2006/relationships/hyperlink" Target="https://stockanalysis.com/etf/xlf/" TargetMode="External"/><Relationship Id="rId36" Type="http://schemas.openxmlformats.org/officeDocument/2006/relationships/hyperlink" Target="https://stockanalysis.com/etf/iyw/" TargetMode="External"/><Relationship Id="rId57" Type="http://schemas.openxmlformats.org/officeDocument/2006/relationships/hyperlink" Target="https://stockanalysis.com/etf/esgv/" TargetMode="External"/><Relationship Id="rId106" Type="http://schemas.openxmlformats.org/officeDocument/2006/relationships/hyperlink" Target="https://stockanalysis.com/etf/vig/" TargetMode="External"/><Relationship Id="rId127" Type="http://schemas.openxmlformats.org/officeDocument/2006/relationships/hyperlink" Target="https://stockanalysis.com/etf/vtv/" TargetMode="External"/><Relationship Id="rId10" Type="http://schemas.openxmlformats.org/officeDocument/2006/relationships/hyperlink" Target="https://stockanalysis.com/etf/vv/" TargetMode="External"/><Relationship Id="rId31" Type="http://schemas.openxmlformats.org/officeDocument/2006/relationships/hyperlink" Target="https://stockanalysis.com/etf/qqqm/" TargetMode="External"/><Relationship Id="rId52" Type="http://schemas.openxmlformats.org/officeDocument/2006/relationships/hyperlink" Target="https://stockanalysis.com/etf/schb/" TargetMode="External"/><Relationship Id="rId73" Type="http://schemas.openxmlformats.org/officeDocument/2006/relationships/hyperlink" Target="https://stockanalysis.com/etf/ivv/" TargetMode="External"/><Relationship Id="rId78" Type="http://schemas.openxmlformats.org/officeDocument/2006/relationships/hyperlink" Target="https://stockanalysis.com/etf/dia/" TargetMode="External"/><Relationship Id="rId94" Type="http://schemas.openxmlformats.org/officeDocument/2006/relationships/hyperlink" Target="https://stockanalysis.com/etf/dfic/" TargetMode="External"/><Relationship Id="rId99" Type="http://schemas.openxmlformats.org/officeDocument/2006/relationships/hyperlink" Target="https://stockanalysis.com/etf/spyv/" TargetMode="External"/><Relationship Id="rId101" Type="http://schemas.openxmlformats.org/officeDocument/2006/relationships/hyperlink" Target="https://stockanalysis.com/etf/avde/" TargetMode="External"/><Relationship Id="rId122" Type="http://schemas.openxmlformats.org/officeDocument/2006/relationships/hyperlink" Target="https://stockanalysis.com/etf/schf/" TargetMode="External"/><Relationship Id="rId143" Type="http://schemas.openxmlformats.org/officeDocument/2006/relationships/hyperlink" Target="https://stockanalysis.com/etf/schd/" TargetMode="External"/><Relationship Id="rId148" Type="http://schemas.openxmlformats.org/officeDocument/2006/relationships/hyperlink" Target="https://stockanalysis.com/etf/sdy/" TargetMode="External"/><Relationship Id="rId164" Type="http://schemas.openxmlformats.org/officeDocument/2006/relationships/hyperlink" Target="https://stockanalysis.com/etf/schp/" TargetMode="External"/><Relationship Id="rId169" Type="http://schemas.openxmlformats.org/officeDocument/2006/relationships/hyperlink" Target="https://stockanalysis.com/etf/vtip/" TargetMode="External"/><Relationship Id="rId185" Type="http://schemas.openxmlformats.org/officeDocument/2006/relationships/hyperlink" Target="https://stockanalysis.com/etf/biv/" TargetMode="External"/><Relationship Id="rId4" Type="http://schemas.openxmlformats.org/officeDocument/2006/relationships/hyperlink" Target="https://stockanalysis.com/etf/tqqq/" TargetMode="External"/><Relationship Id="rId9" Type="http://schemas.openxmlformats.org/officeDocument/2006/relationships/hyperlink" Target="https://stockanalysis.com/etf/vxf/" TargetMode="External"/><Relationship Id="rId180" Type="http://schemas.openxmlformats.org/officeDocument/2006/relationships/hyperlink" Target="https://stockanalysis.com/etf/govt/" TargetMode="External"/><Relationship Id="rId26" Type="http://schemas.openxmlformats.org/officeDocument/2006/relationships/hyperlink" Target="https://stockanalysis.com/etf/jepq/" TargetMode="External"/><Relationship Id="rId47" Type="http://schemas.openxmlformats.org/officeDocument/2006/relationships/hyperlink" Target="https://stockanalysis.com/etf/oef/" TargetMode="External"/><Relationship Id="rId68" Type="http://schemas.openxmlformats.org/officeDocument/2006/relationships/hyperlink" Target="https://stockanalysis.com/etf/iusv/" TargetMode="External"/><Relationship Id="rId89" Type="http://schemas.openxmlformats.org/officeDocument/2006/relationships/hyperlink" Target="https://stockanalysis.com/etf/iwb/" TargetMode="External"/><Relationship Id="rId112" Type="http://schemas.openxmlformats.org/officeDocument/2006/relationships/hyperlink" Target="https://stockanalysis.com/etf/eem/" TargetMode="External"/><Relationship Id="rId133" Type="http://schemas.openxmlformats.org/officeDocument/2006/relationships/hyperlink" Target="https://stockanalysis.com/etf/slv/" TargetMode="External"/><Relationship Id="rId154" Type="http://schemas.openxmlformats.org/officeDocument/2006/relationships/hyperlink" Target="https://stockanalysis.com/etf/ushy/" TargetMode="External"/><Relationship Id="rId175" Type="http://schemas.openxmlformats.org/officeDocument/2006/relationships/hyperlink" Target="https://stockanalysis.com/etf/shv/" TargetMode="External"/><Relationship Id="rId196" Type="http://schemas.openxmlformats.org/officeDocument/2006/relationships/hyperlink" Target="https://stockanalysis.com/etf/lqd/" TargetMode="External"/><Relationship Id="rId200" Type="http://schemas.openxmlformats.org/officeDocument/2006/relationships/hyperlink" Target="https://stockanalysis.com/etf/iau/" TargetMode="External"/><Relationship Id="rId16" Type="http://schemas.openxmlformats.org/officeDocument/2006/relationships/hyperlink" Target="https://stockanalysis.com/etf/soxl/" TargetMode="External"/><Relationship Id="rId37" Type="http://schemas.openxmlformats.org/officeDocument/2006/relationships/hyperlink" Target="https://stockanalysis.com/etf/schg/" TargetMode="External"/><Relationship Id="rId58" Type="http://schemas.openxmlformats.org/officeDocument/2006/relationships/hyperlink" Target="https://stockanalysis.com/etf/xly/" TargetMode="External"/><Relationship Id="rId79" Type="http://schemas.openxmlformats.org/officeDocument/2006/relationships/hyperlink" Target="https://stockanalysis.com/etf/schx/" TargetMode="External"/><Relationship Id="rId102" Type="http://schemas.openxmlformats.org/officeDocument/2006/relationships/hyperlink" Target="https://stockanalysis.com/etf/dfax/" TargetMode="External"/><Relationship Id="rId123" Type="http://schemas.openxmlformats.org/officeDocument/2006/relationships/hyperlink" Target="https://stockanalysis.com/etf/fbtc/" TargetMode="External"/><Relationship Id="rId144" Type="http://schemas.openxmlformats.org/officeDocument/2006/relationships/hyperlink" Target="https://stockanalysis.com/etf/gdx/" TargetMode="External"/><Relationship Id="rId90" Type="http://schemas.openxmlformats.org/officeDocument/2006/relationships/hyperlink" Target="https://stockanalysis.com/etf/moat/" TargetMode="External"/><Relationship Id="rId165" Type="http://schemas.openxmlformats.org/officeDocument/2006/relationships/hyperlink" Target="https://stockanalysis.com/etf/shy/" TargetMode="External"/><Relationship Id="rId186" Type="http://schemas.openxmlformats.org/officeDocument/2006/relationships/hyperlink" Target="https://stockanalysis.com/etf/agg/" TargetMode="External"/><Relationship Id="rId27" Type="http://schemas.openxmlformats.org/officeDocument/2006/relationships/hyperlink" Target="https://stockanalysis.com/etf/voo/" TargetMode="External"/><Relationship Id="rId48" Type="http://schemas.openxmlformats.org/officeDocument/2006/relationships/hyperlink" Target="https://stockanalysis.com/etf/vb/" TargetMode="External"/><Relationship Id="rId69" Type="http://schemas.openxmlformats.org/officeDocument/2006/relationships/hyperlink" Target="https://stockanalysis.com/etf/iwy/" TargetMode="External"/><Relationship Id="rId113" Type="http://schemas.openxmlformats.org/officeDocument/2006/relationships/hyperlink" Target="https://stockanalysis.com/etf/vym/" TargetMode="External"/><Relationship Id="rId134" Type="http://schemas.openxmlformats.org/officeDocument/2006/relationships/hyperlink" Target="https://stockanalysis.com/etf/dvy/" TargetMode="External"/><Relationship Id="rId80" Type="http://schemas.openxmlformats.org/officeDocument/2006/relationships/hyperlink" Target="https://stockanalysis.com/etf/iwm/" TargetMode="External"/><Relationship Id="rId155" Type="http://schemas.openxmlformats.org/officeDocument/2006/relationships/hyperlink" Target="https://stockanalysis.com/etf/jaaa/" TargetMode="External"/><Relationship Id="rId176" Type="http://schemas.openxmlformats.org/officeDocument/2006/relationships/hyperlink" Target="https://stockanalysis.com/etf/bndx/" TargetMode="External"/><Relationship Id="rId197" Type="http://schemas.openxmlformats.org/officeDocument/2006/relationships/hyperlink" Target="https://stockanalysis.com/etf/mbb/" TargetMode="External"/><Relationship Id="rId201" Type="http://schemas.openxmlformats.org/officeDocument/2006/relationships/drawing" Target="../drawings/drawing5.xml"/><Relationship Id="rId17" Type="http://schemas.openxmlformats.org/officeDocument/2006/relationships/hyperlink" Target="https://stockanalysis.com/etf/dfac/" TargetMode="External"/><Relationship Id="rId38" Type="http://schemas.openxmlformats.org/officeDocument/2006/relationships/hyperlink" Target="https://stockanalysis.com/etf/mgk/" TargetMode="External"/><Relationship Id="rId59" Type="http://schemas.openxmlformats.org/officeDocument/2006/relationships/hyperlink" Target="https://stockanalysis.com/etf/pave/" TargetMode="External"/><Relationship Id="rId103" Type="http://schemas.openxmlformats.org/officeDocument/2006/relationships/hyperlink" Target="https://stockanalysis.com/etf/mgv/" TargetMode="External"/><Relationship Id="rId124" Type="http://schemas.openxmlformats.org/officeDocument/2006/relationships/hyperlink" Target="https://stockanalysis.com/etf/spdw/" TargetMode="External"/><Relationship Id="rId70" Type="http://schemas.openxmlformats.org/officeDocument/2006/relationships/hyperlink" Target="https://stockanalysis.com/etf/dgrw/" TargetMode="External"/><Relationship Id="rId91" Type="http://schemas.openxmlformats.org/officeDocument/2006/relationships/hyperlink" Target="https://stockanalysis.com/etf/vo/" TargetMode="External"/><Relationship Id="rId145" Type="http://schemas.openxmlformats.org/officeDocument/2006/relationships/hyperlink" Target="https://stockanalysis.com/etf/usmv/" TargetMode="External"/><Relationship Id="rId166" Type="http://schemas.openxmlformats.org/officeDocument/2006/relationships/hyperlink" Target="https://stockanalysis.com/etf/vcsh/" TargetMode="External"/><Relationship Id="rId187" Type="http://schemas.openxmlformats.org/officeDocument/2006/relationships/hyperlink" Target="https://stockanalysis.com/etf/iei/" TargetMode="External"/><Relationship Id="rId1" Type="http://schemas.openxmlformats.org/officeDocument/2006/relationships/hyperlink" Target="https://stockanalysis.com/etf/smh/" TargetMode="External"/><Relationship Id="rId28" Type="http://schemas.openxmlformats.org/officeDocument/2006/relationships/hyperlink" Target="https://stockanalysis.com/etf/cowz/" TargetMode="External"/><Relationship Id="rId49" Type="http://schemas.openxmlformats.org/officeDocument/2006/relationships/hyperlink" Target="https://stockanalysis.com/etf/vfh/" TargetMode="External"/><Relationship Id="rId114" Type="http://schemas.openxmlformats.org/officeDocument/2006/relationships/hyperlink" Target="https://stockanalysis.com/etf/dfai/" TargetMode="External"/><Relationship Id="rId60" Type="http://schemas.openxmlformats.org/officeDocument/2006/relationships/hyperlink" Target="https://stockanalysis.com/etf/dynf/" TargetMode="External"/><Relationship Id="rId81" Type="http://schemas.openxmlformats.org/officeDocument/2006/relationships/hyperlink" Target="https://stockanalysis.com/etf/iemg/" TargetMode="External"/><Relationship Id="rId135" Type="http://schemas.openxmlformats.org/officeDocument/2006/relationships/hyperlink" Target="https://stockanalysis.com/etf/spem/" TargetMode="External"/><Relationship Id="rId156" Type="http://schemas.openxmlformats.org/officeDocument/2006/relationships/hyperlink" Target="https://stockanalysis.com/etf/iagg/" TargetMode="External"/><Relationship Id="rId177" Type="http://schemas.openxmlformats.org/officeDocument/2006/relationships/hyperlink" Target="https://stockanalysis.com/etf/mint/" TargetMode="External"/><Relationship Id="rId198" Type="http://schemas.openxmlformats.org/officeDocument/2006/relationships/hyperlink" Target="https://stockanalysis.com/etf/usfr/" TargetMode="External"/><Relationship Id="rId202" Type="http://schemas.openxmlformats.org/officeDocument/2006/relationships/vmlDrawing" Target="../drawings/vmlDrawing4.vml"/><Relationship Id="rId18" Type="http://schemas.openxmlformats.org/officeDocument/2006/relationships/hyperlink" Target="https://stockanalysis.com/etf/dfat/" TargetMode="External"/><Relationship Id="rId39" Type="http://schemas.openxmlformats.org/officeDocument/2006/relationships/hyperlink" Target="https://stockanalysis.com/etf/spyg/" TargetMode="External"/><Relationship Id="rId50" Type="http://schemas.openxmlformats.org/officeDocument/2006/relationships/hyperlink" Target="https://stockanalysis.com/etf/vong/" TargetMode="External"/><Relationship Id="rId104" Type="http://schemas.openxmlformats.org/officeDocument/2006/relationships/hyperlink" Target="https://stockanalysis.com/etf/idev/" TargetMode="External"/><Relationship Id="rId125" Type="http://schemas.openxmlformats.org/officeDocument/2006/relationships/hyperlink" Target="https://stockanalysis.com/etf/vea/" TargetMode="External"/><Relationship Id="rId146" Type="http://schemas.openxmlformats.org/officeDocument/2006/relationships/hyperlink" Target="https://stockanalysis.com/etf/amlp/" TargetMode="External"/><Relationship Id="rId167" Type="http://schemas.openxmlformats.org/officeDocument/2006/relationships/hyperlink" Target="https://stockanalysis.com/etf/vcit/" TargetMode="External"/><Relationship Id="rId188" Type="http://schemas.openxmlformats.org/officeDocument/2006/relationships/hyperlink" Target="https://stockanalysis.com/etf/gldm/" TargetMode="External"/><Relationship Id="rId71" Type="http://schemas.openxmlformats.org/officeDocument/2006/relationships/hyperlink" Target="https://stockanalysis.com/etf/cgdv/" TargetMode="External"/><Relationship Id="rId92" Type="http://schemas.openxmlformats.org/officeDocument/2006/relationships/hyperlink" Target="https://stockanalysis.com/etf/xli/"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stockanalysis.com/etf/vcit/" TargetMode="External"/><Relationship Id="rId21" Type="http://schemas.openxmlformats.org/officeDocument/2006/relationships/hyperlink" Target="https://stockanalysis.com/etf/rsp/" TargetMode="External"/><Relationship Id="rId42" Type="http://schemas.openxmlformats.org/officeDocument/2006/relationships/hyperlink" Target="https://stockanalysis.com/etf/xli/" TargetMode="External"/><Relationship Id="rId63" Type="http://schemas.openxmlformats.org/officeDocument/2006/relationships/hyperlink" Target="https://stockanalysis.com/etf/vym/" TargetMode="External"/><Relationship Id="rId84" Type="http://schemas.openxmlformats.org/officeDocument/2006/relationships/hyperlink" Target="https://stockanalysis.com/etf/dvy/" TargetMode="External"/><Relationship Id="rId138" Type="http://schemas.openxmlformats.org/officeDocument/2006/relationships/hyperlink" Target="https://stockanalysis.com/etf/gldm/" TargetMode="External"/><Relationship Id="rId159" Type="http://schemas.openxmlformats.org/officeDocument/2006/relationships/hyperlink" Target="https://stockanalysis.com/etf/ivw/" TargetMode="External"/><Relationship Id="rId170" Type="http://schemas.openxmlformats.org/officeDocument/2006/relationships/hyperlink" Target="https://stockanalysis.com/etf/soxl/" TargetMode="External"/><Relationship Id="rId191" Type="http://schemas.openxmlformats.org/officeDocument/2006/relationships/hyperlink" Target="https://stockanalysis.com/etf/ewj/" TargetMode="External"/><Relationship Id="rId107" Type="http://schemas.openxmlformats.org/officeDocument/2006/relationships/hyperlink" Target="https://stockanalysis.com/etf/emb/" TargetMode="External"/><Relationship Id="rId11" Type="http://schemas.openxmlformats.org/officeDocument/2006/relationships/hyperlink" Target="https://stockanalysis.com/etf/iwn/" TargetMode="External"/><Relationship Id="rId32" Type="http://schemas.openxmlformats.org/officeDocument/2006/relationships/hyperlink" Target="https://stockanalysis.com/etf/spmd/" TargetMode="External"/><Relationship Id="rId53" Type="http://schemas.openxmlformats.org/officeDocument/2006/relationships/hyperlink" Target="https://stockanalysis.com/etf/mgv/" TargetMode="External"/><Relationship Id="rId74" Type="http://schemas.openxmlformats.org/officeDocument/2006/relationships/hyperlink" Target="https://stockanalysis.com/etf/spdw/" TargetMode="External"/><Relationship Id="rId128" Type="http://schemas.openxmlformats.org/officeDocument/2006/relationships/hyperlink" Target="https://stockanalysis.com/etf/bsv/" TargetMode="External"/><Relationship Id="rId149" Type="http://schemas.openxmlformats.org/officeDocument/2006/relationships/hyperlink" Target="https://stockanalysis.com/etf/usig/" TargetMode="External"/><Relationship Id="rId5" Type="http://schemas.openxmlformats.org/officeDocument/2006/relationships/hyperlink" Target="https://stockanalysis.com/etf/qqqm/" TargetMode="External"/><Relationship Id="rId95" Type="http://schemas.openxmlformats.org/officeDocument/2006/relationships/hyperlink" Target="https://stockanalysis.com/etf/usmv/" TargetMode="External"/><Relationship Id="rId160" Type="http://schemas.openxmlformats.org/officeDocument/2006/relationships/hyperlink" Target="https://stockanalysis.com/etf/smh/" TargetMode="External"/><Relationship Id="rId181" Type="http://schemas.openxmlformats.org/officeDocument/2006/relationships/hyperlink" Target="https://stockanalysis.com/etf/jepq/" TargetMode="External"/><Relationship Id="rId22" Type="http://schemas.openxmlformats.org/officeDocument/2006/relationships/hyperlink" Target="https://stockanalysis.com/etf/scha/" TargetMode="External"/><Relationship Id="rId43" Type="http://schemas.openxmlformats.org/officeDocument/2006/relationships/hyperlink" Target="https://stockanalysis.com/etf/vt/" TargetMode="External"/><Relationship Id="rId64" Type="http://schemas.openxmlformats.org/officeDocument/2006/relationships/hyperlink" Target="https://stockanalysis.com/etf/dfai/" TargetMode="External"/><Relationship Id="rId118" Type="http://schemas.openxmlformats.org/officeDocument/2006/relationships/hyperlink" Target="https://stockanalysis.com/etf/vgsh/" TargetMode="External"/><Relationship Id="rId139" Type="http://schemas.openxmlformats.org/officeDocument/2006/relationships/hyperlink" Target="https://stockanalysis.com/etf/tip/" TargetMode="External"/><Relationship Id="rId85" Type="http://schemas.openxmlformats.org/officeDocument/2006/relationships/hyperlink" Target="https://stockanalysis.com/etf/spem/" TargetMode="External"/><Relationship Id="rId150" Type="http://schemas.openxmlformats.org/officeDocument/2006/relationships/hyperlink" Target="https://stockanalysis.com/etf/iau/" TargetMode="External"/><Relationship Id="rId171" Type="http://schemas.openxmlformats.org/officeDocument/2006/relationships/hyperlink" Target="https://stockanalysis.com/etf/spmo/" TargetMode="External"/><Relationship Id="rId192" Type="http://schemas.openxmlformats.org/officeDocument/2006/relationships/hyperlink" Target="https://stockanalysis.com/etf/xlf/" TargetMode="External"/><Relationship Id="rId12" Type="http://schemas.openxmlformats.org/officeDocument/2006/relationships/hyperlink" Target="https://stockanalysis.com/etf/oef/" TargetMode="External"/><Relationship Id="rId33" Type="http://schemas.openxmlformats.org/officeDocument/2006/relationships/hyperlink" Target="https://stockanalysis.com/etf/dia/" TargetMode="External"/><Relationship Id="rId108" Type="http://schemas.openxmlformats.org/officeDocument/2006/relationships/hyperlink" Target="https://stockanalysis.com/etf/igib/" TargetMode="External"/><Relationship Id="rId129" Type="http://schemas.openxmlformats.org/officeDocument/2006/relationships/hyperlink" Target="https://stockanalysis.com/etf/mub/" TargetMode="External"/><Relationship Id="rId54" Type="http://schemas.openxmlformats.org/officeDocument/2006/relationships/hyperlink" Target="https://stockanalysis.com/etf/idev/" TargetMode="External"/><Relationship Id="rId75" Type="http://schemas.openxmlformats.org/officeDocument/2006/relationships/hyperlink" Target="https://stockanalysis.com/etf/vea/" TargetMode="External"/><Relationship Id="rId96" Type="http://schemas.openxmlformats.org/officeDocument/2006/relationships/hyperlink" Target="https://stockanalysis.com/etf/amlp/" TargetMode="External"/><Relationship Id="rId140" Type="http://schemas.openxmlformats.org/officeDocument/2006/relationships/hyperlink" Target="https://stockanalysis.com/etf/vmbs/" TargetMode="External"/><Relationship Id="rId161" Type="http://schemas.openxmlformats.org/officeDocument/2006/relationships/hyperlink" Target="https://stockanalysis.com/etf/dgro/" TargetMode="External"/><Relationship Id="rId182" Type="http://schemas.openxmlformats.org/officeDocument/2006/relationships/hyperlink" Target="https://stockanalysis.com/etf/voo/" TargetMode="External"/><Relationship Id="rId6" Type="http://schemas.openxmlformats.org/officeDocument/2006/relationships/hyperlink" Target="https://stockanalysis.com/etf/voog/" TargetMode="External"/><Relationship Id="rId23" Type="http://schemas.openxmlformats.org/officeDocument/2006/relationships/hyperlink" Target="https://stockanalysis.com/etf/vot/" TargetMode="External"/><Relationship Id="rId119" Type="http://schemas.openxmlformats.org/officeDocument/2006/relationships/hyperlink" Target="https://stockanalysis.com/etf/vtip/" TargetMode="External"/><Relationship Id="rId44" Type="http://schemas.openxmlformats.org/officeDocument/2006/relationships/hyperlink" Target="https://stockanalysis.com/etf/dfic/" TargetMode="External"/><Relationship Id="rId65" Type="http://schemas.openxmlformats.org/officeDocument/2006/relationships/hyperlink" Target="https://stockanalysis.com/etf/dfiv/" TargetMode="External"/><Relationship Id="rId86" Type="http://schemas.openxmlformats.org/officeDocument/2006/relationships/hyperlink" Target="https://stockanalysis.com/etf/ibit/" TargetMode="External"/><Relationship Id="rId130" Type="http://schemas.openxmlformats.org/officeDocument/2006/relationships/hyperlink" Target="https://stockanalysis.com/etf/govt/" TargetMode="External"/><Relationship Id="rId151" Type="http://schemas.openxmlformats.org/officeDocument/2006/relationships/hyperlink" Target="https://stockanalysis.com/etf/ftec/" TargetMode="External"/><Relationship Id="rId172" Type="http://schemas.openxmlformats.org/officeDocument/2006/relationships/hyperlink" Target="https://stockanalysis.com/etf/iwb/" TargetMode="External"/><Relationship Id="rId193" Type="http://schemas.openxmlformats.org/officeDocument/2006/relationships/hyperlink" Target="https://stockanalysis.com/etf/dfas/" TargetMode="External"/><Relationship Id="rId13" Type="http://schemas.openxmlformats.org/officeDocument/2006/relationships/hyperlink" Target="https://stockanalysis.com/etf/vb/" TargetMode="External"/><Relationship Id="rId109" Type="http://schemas.openxmlformats.org/officeDocument/2006/relationships/hyperlink" Target="https://stockanalysis.com/etf/jpst/" TargetMode="External"/><Relationship Id="rId34" Type="http://schemas.openxmlformats.org/officeDocument/2006/relationships/hyperlink" Target="https://stockanalysis.com/etf/schx/" TargetMode="External"/><Relationship Id="rId55" Type="http://schemas.openxmlformats.org/officeDocument/2006/relationships/hyperlink" Target="https://stockanalysis.com/etf/iwd/" TargetMode="External"/><Relationship Id="rId76" Type="http://schemas.openxmlformats.org/officeDocument/2006/relationships/hyperlink" Target="https://stockanalysis.com/etf/iqlt/" TargetMode="External"/><Relationship Id="rId97" Type="http://schemas.openxmlformats.org/officeDocument/2006/relationships/hyperlink" Target="https://stockanalysis.com/etf/xlv/" TargetMode="External"/><Relationship Id="rId120" Type="http://schemas.openxmlformats.org/officeDocument/2006/relationships/hyperlink" Target="https://stockanalysis.com/etf/vteb/" TargetMode="External"/><Relationship Id="rId141" Type="http://schemas.openxmlformats.org/officeDocument/2006/relationships/hyperlink" Target="https://stockanalysis.com/etf/ief/" TargetMode="External"/><Relationship Id="rId7" Type="http://schemas.openxmlformats.org/officeDocument/2006/relationships/hyperlink" Target="https://stockanalysis.com/etf/iyw/" TargetMode="External"/><Relationship Id="rId162" Type="http://schemas.openxmlformats.org/officeDocument/2006/relationships/hyperlink" Target="https://stockanalysis.com/etf/xlc/" TargetMode="External"/><Relationship Id="rId183" Type="http://schemas.openxmlformats.org/officeDocument/2006/relationships/hyperlink" Target="https://stockanalysis.com/etf/vong/" TargetMode="External"/><Relationship Id="rId2" Type="http://schemas.openxmlformats.org/officeDocument/2006/relationships/hyperlink" Target="https://stockanalysis.com/etf/vbr/" TargetMode="External"/><Relationship Id="rId29" Type="http://schemas.openxmlformats.org/officeDocument/2006/relationships/hyperlink" Target="https://stockanalysis.com/etf/vtwo/" TargetMode="External"/><Relationship Id="rId24" Type="http://schemas.openxmlformats.org/officeDocument/2006/relationships/hyperlink" Target="https://stockanalysis.com/etf/dfus/" TargetMode="External"/><Relationship Id="rId40" Type="http://schemas.openxmlformats.org/officeDocument/2006/relationships/hyperlink" Target="https://stockanalysis.com/etf/moat/" TargetMode="External"/><Relationship Id="rId45" Type="http://schemas.openxmlformats.org/officeDocument/2006/relationships/hyperlink" Target="https://stockanalysis.com/etf/ive/" TargetMode="External"/><Relationship Id="rId66" Type="http://schemas.openxmlformats.org/officeDocument/2006/relationships/hyperlink" Target="https://stockanalysis.com/etf/fndf/" TargetMode="External"/><Relationship Id="rId87" Type="http://schemas.openxmlformats.org/officeDocument/2006/relationships/hyperlink" Target="https://stockanalysis.com/etf/jepi/" TargetMode="External"/><Relationship Id="rId110" Type="http://schemas.openxmlformats.org/officeDocument/2006/relationships/hyperlink" Target="https://stockanalysis.com/etf/puls/" TargetMode="External"/><Relationship Id="rId115" Type="http://schemas.openxmlformats.org/officeDocument/2006/relationships/hyperlink" Target="https://stockanalysis.com/etf/shy/" TargetMode="External"/><Relationship Id="rId131" Type="http://schemas.openxmlformats.org/officeDocument/2006/relationships/hyperlink" Target="https://stockanalysis.com/etf/fbnd/" TargetMode="External"/><Relationship Id="rId136" Type="http://schemas.openxmlformats.org/officeDocument/2006/relationships/hyperlink" Target="https://stockanalysis.com/etf/agg/" TargetMode="External"/><Relationship Id="rId157" Type="http://schemas.openxmlformats.org/officeDocument/2006/relationships/hyperlink" Target="https://stockanalysis.com/etf/vug/" TargetMode="External"/><Relationship Id="rId178" Type="http://schemas.openxmlformats.org/officeDocument/2006/relationships/hyperlink" Target="https://stockanalysis.com/etf/gslc/" TargetMode="External"/><Relationship Id="rId61" Type="http://schemas.openxmlformats.org/officeDocument/2006/relationships/hyperlink" Target="https://stockanalysis.com/etf/schv/" TargetMode="External"/><Relationship Id="rId82" Type="http://schemas.openxmlformats.org/officeDocument/2006/relationships/hyperlink" Target="https://stockanalysis.com/etf/vwo/" TargetMode="External"/><Relationship Id="rId152" Type="http://schemas.openxmlformats.org/officeDocument/2006/relationships/hyperlink" Target="https://stockanalysis.com/etf/vxf/" TargetMode="External"/><Relationship Id="rId173" Type="http://schemas.openxmlformats.org/officeDocument/2006/relationships/hyperlink" Target="https://stockanalysis.com/etf/spy/" TargetMode="External"/><Relationship Id="rId194" Type="http://schemas.openxmlformats.org/officeDocument/2006/relationships/hyperlink" Target="https://stockanalysis.com/etf/bbjp/" TargetMode="External"/><Relationship Id="rId199" Type="http://schemas.openxmlformats.org/officeDocument/2006/relationships/hyperlink" Target="https://stockanalysis.com/etf/iemg/" TargetMode="External"/><Relationship Id="rId203" Type="http://schemas.openxmlformats.org/officeDocument/2006/relationships/table" Target="../tables/table5.xml"/><Relationship Id="rId19" Type="http://schemas.openxmlformats.org/officeDocument/2006/relationships/hyperlink" Target="https://stockanalysis.com/etf/dynf/" TargetMode="External"/><Relationship Id="rId14" Type="http://schemas.openxmlformats.org/officeDocument/2006/relationships/hyperlink" Target="https://stockanalysis.com/etf/vfh/" TargetMode="External"/><Relationship Id="rId30" Type="http://schemas.openxmlformats.org/officeDocument/2006/relationships/hyperlink" Target="https://stockanalysis.com/etf/iwv/" TargetMode="External"/><Relationship Id="rId35" Type="http://schemas.openxmlformats.org/officeDocument/2006/relationships/hyperlink" Target="https://stockanalysis.com/etf/acwi/" TargetMode="External"/><Relationship Id="rId56" Type="http://schemas.openxmlformats.org/officeDocument/2006/relationships/hyperlink" Target="https://stockanalysis.com/etf/vig/" TargetMode="External"/><Relationship Id="rId77" Type="http://schemas.openxmlformats.org/officeDocument/2006/relationships/hyperlink" Target="https://stockanalysis.com/etf/vtv/" TargetMode="External"/><Relationship Id="rId100" Type="http://schemas.openxmlformats.org/officeDocument/2006/relationships/hyperlink" Target="https://stockanalysis.com/etf/xlu/" TargetMode="External"/><Relationship Id="rId105" Type="http://schemas.openxmlformats.org/officeDocument/2006/relationships/hyperlink" Target="https://stockanalysis.com/etf/jaaa/" TargetMode="External"/><Relationship Id="rId126" Type="http://schemas.openxmlformats.org/officeDocument/2006/relationships/hyperlink" Target="https://stockanalysis.com/etf/bndx/" TargetMode="External"/><Relationship Id="rId147" Type="http://schemas.openxmlformats.org/officeDocument/2006/relationships/hyperlink" Target="https://stockanalysis.com/etf/mbb/" TargetMode="External"/><Relationship Id="rId168" Type="http://schemas.openxmlformats.org/officeDocument/2006/relationships/hyperlink" Target="https://stockanalysis.com/etf/schb/" TargetMode="External"/><Relationship Id="rId8" Type="http://schemas.openxmlformats.org/officeDocument/2006/relationships/hyperlink" Target="https://stockanalysis.com/etf/rdvy/" TargetMode="External"/><Relationship Id="rId51" Type="http://schemas.openxmlformats.org/officeDocument/2006/relationships/hyperlink" Target="https://stockanalysis.com/etf/avde/" TargetMode="External"/><Relationship Id="rId72" Type="http://schemas.openxmlformats.org/officeDocument/2006/relationships/hyperlink" Target="https://stockanalysis.com/etf/schf/" TargetMode="External"/><Relationship Id="rId93" Type="http://schemas.openxmlformats.org/officeDocument/2006/relationships/hyperlink" Target="https://stockanalysis.com/etf/schd/" TargetMode="External"/><Relationship Id="rId98" Type="http://schemas.openxmlformats.org/officeDocument/2006/relationships/hyperlink" Target="https://stockanalysis.com/etf/sdy/" TargetMode="External"/><Relationship Id="rId121" Type="http://schemas.openxmlformats.org/officeDocument/2006/relationships/hyperlink" Target="https://stockanalysis.com/etf/vgit/" TargetMode="External"/><Relationship Id="rId142" Type="http://schemas.openxmlformats.org/officeDocument/2006/relationships/hyperlink" Target="https://stockanalysis.com/etf/stip/" TargetMode="External"/><Relationship Id="rId163" Type="http://schemas.openxmlformats.org/officeDocument/2006/relationships/hyperlink" Target="https://stockanalysis.com/etf/ita/" TargetMode="External"/><Relationship Id="rId184" Type="http://schemas.openxmlformats.org/officeDocument/2006/relationships/hyperlink" Target="https://stockanalysis.com/etf/iwm/" TargetMode="External"/><Relationship Id="rId189" Type="http://schemas.openxmlformats.org/officeDocument/2006/relationships/hyperlink" Target="https://stockanalysis.com/etf/ivv/" TargetMode="External"/><Relationship Id="rId3" Type="http://schemas.openxmlformats.org/officeDocument/2006/relationships/hyperlink" Target="https://stockanalysis.com/etf/xlk/" TargetMode="External"/><Relationship Id="rId25" Type="http://schemas.openxmlformats.org/officeDocument/2006/relationships/hyperlink" Target="https://stockanalysis.com/etf/iusv/" TargetMode="External"/><Relationship Id="rId46" Type="http://schemas.openxmlformats.org/officeDocument/2006/relationships/hyperlink" Target="https://stockanalysis.com/etf/ewy/" TargetMode="External"/><Relationship Id="rId67" Type="http://schemas.openxmlformats.org/officeDocument/2006/relationships/hyperlink" Target="https://stockanalysis.com/etf/vonv/" TargetMode="External"/><Relationship Id="rId116" Type="http://schemas.openxmlformats.org/officeDocument/2006/relationships/hyperlink" Target="https://stockanalysis.com/etf/vcsh/" TargetMode="External"/><Relationship Id="rId137" Type="http://schemas.openxmlformats.org/officeDocument/2006/relationships/hyperlink" Target="https://stockanalysis.com/etf/iei/" TargetMode="External"/><Relationship Id="rId158" Type="http://schemas.openxmlformats.org/officeDocument/2006/relationships/hyperlink" Target="https://stockanalysis.com/etf/sptm/" TargetMode="External"/><Relationship Id="rId20" Type="http://schemas.openxmlformats.org/officeDocument/2006/relationships/hyperlink" Target="https://stockanalysis.com/etf/avuv/" TargetMode="External"/><Relationship Id="rId41" Type="http://schemas.openxmlformats.org/officeDocument/2006/relationships/hyperlink" Target="https://stockanalysis.com/etf/vo/" TargetMode="External"/><Relationship Id="rId62" Type="http://schemas.openxmlformats.org/officeDocument/2006/relationships/hyperlink" Target="https://stockanalysis.com/etf/eem/" TargetMode="External"/><Relationship Id="rId83" Type="http://schemas.openxmlformats.org/officeDocument/2006/relationships/hyperlink" Target="https://stockanalysis.com/etf/slv/" TargetMode="External"/><Relationship Id="rId88" Type="http://schemas.openxmlformats.org/officeDocument/2006/relationships/hyperlink" Target="https://stockanalysis.com/etf/xle/" TargetMode="External"/><Relationship Id="rId111" Type="http://schemas.openxmlformats.org/officeDocument/2006/relationships/hyperlink" Target="https://stockanalysis.com/etf/scho/" TargetMode="External"/><Relationship Id="rId132" Type="http://schemas.openxmlformats.org/officeDocument/2006/relationships/hyperlink" Target="https://stockanalysis.com/etf/gld/" TargetMode="External"/><Relationship Id="rId153" Type="http://schemas.openxmlformats.org/officeDocument/2006/relationships/hyperlink" Target="https://stockanalysis.com/etf/avus/" TargetMode="External"/><Relationship Id="rId174" Type="http://schemas.openxmlformats.org/officeDocument/2006/relationships/hyperlink" Target="https://stockanalysis.com/etf/spym/" TargetMode="External"/><Relationship Id="rId179" Type="http://schemas.openxmlformats.org/officeDocument/2006/relationships/hyperlink" Target="https://stockanalysis.com/etf/esgu/" TargetMode="External"/><Relationship Id="rId195" Type="http://schemas.openxmlformats.org/officeDocument/2006/relationships/hyperlink" Target="https://stockanalysis.com/etf/sphq/" TargetMode="External"/><Relationship Id="rId190" Type="http://schemas.openxmlformats.org/officeDocument/2006/relationships/hyperlink" Target="https://stockanalysis.com/etf/ijh/" TargetMode="External"/><Relationship Id="rId204" Type="http://schemas.openxmlformats.org/officeDocument/2006/relationships/comments" Target="../comments5.xml"/><Relationship Id="rId15" Type="http://schemas.openxmlformats.org/officeDocument/2006/relationships/hyperlink" Target="https://stockanalysis.com/etf/cggr/" TargetMode="External"/><Relationship Id="rId36" Type="http://schemas.openxmlformats.org/officeDocument/2006/relationships/hyperlink" Target="https://stockanalysis.com/etf/mdy/" TargetMode="External"/><Relationship Id="rId57" Type="http://schemas.openxmlformats.org/officeDocument/2006/relationships/hyperlink" Target="https://stockanalysis.com/etf/emxc/" TargetMode="External"/><Relationship Id="rId106" Type="http://schemas.openxmlformats.org/officeDocument/2006/relationships/hyperlink" Target="https://stockanalysis.com/etf/iagg/" TargetMode="External"/><Relationship Id="rId127" Type="http://schemas.openxmlformats.org/officeDocument/2006/relationships/hyperlink" Target="https://stockanalysis.com/etf/mint/" TargetMode="External"/><Relationship Id="rId10" Type="http://schemas.openxmlformats.org/officeDocument/2006/relationships/hyperlink" Target="https://stockanalysis.com/etf/itot/" TargetMode="External"/><Relationship Id="rId31" Type="http://schemas.openxmlformats.org/officeDocument/2006/relationships/hyperlink" Target="https://stockanalysis.com/etf/avdv/" TargetMode="External"/><Relationship Id="rId52" Type="http://schemas.openxmlformats.org/officeDocument/2006/relationships/hyperlink" Target="https://stockanalysis.com/etf/dfax/" TargetMode="External"/><Relationship Id="rId73" Type="http://schemas.openxmlformats.org/officeDocument/2006/relationships/hyperlink" Target="https://stockanalysis.com/etf/fbtc/" TargetMode="External"/><Relationship Id="rId78" Type="http://schemas.openxmlformats.org/officeDocument/2006/relationships/hyperlink" Target="https://stockanalysis.com/etf/vss/" TargetMode="External"/><Relationship Id="rId94" Type="http://schemas.openxmlformats.org/officeDocument/2006/relationships/hyperlink" Target="https://stockanalysis.com/etf/gdx/" TargetMode="External"/><Relationship Id="rId99" Type="http://schemas.openxmlformats.org/officeDocument/2006/relationships/hyperlink" Target="https://stockanalysis.com/etf/vnq/" TargetMode="External"/><Relationship Id="rId101" Type="http://schemas.openxmlformats.org/officeDocument/2006/relationships/hyperlink" Target="https://stockanalysis.com/etf/pff/" TargetMode="External"/><Relationship Id="rId122" Type="http://schemas.openxmlformats.org/officeDocument/2006/relationships/hyperlink" Target="https://stockanalysis.com/etf/sgov/" TargetMode="External"/><Relationship Id="rId143" Type="http://schemas.openxmlformats.org/officeDocument/2006/relationships/hyperlink" Target="https://stockanalysis.com/etf/tlh/" TargetMode="External"/><Relationship Id="rId148" Type="http://schemas.openxmlformats.org/officeDocument/2006/relationships/hyperlink" Target="https://stockanalysis.com/etf/usfr/" TargetMode="External"/><Relationship Id="rId164" Type="http://schemas.openxmlformats.org/officeDocument/2006/relationships/hyperlink" Target="https://stockanalysis.com/etf/iwp/" TargetMode="External"/><Relationship Id="rId169" Type="http://schemas.openxmlformats.org/officeDocument/2006/relationships/hyperlink" Target="https://stockanalysis.com/etf/vbk/" TargetMode="External"/><Relationship Id="rId185" Type="http://schemas.openxmlformats.org/officeDocument/2006/relationships/hyperlink" Target="https://stockanalysis.com/etf/spyg/" TargetMode="External"/><Relationship Id="rId4" Type="http://schemas.openxmlformats.org/officeDocument/2006/relationships/hyperlink" Target="https://stockanalysis.com/etf/vgt/" TargetMode="External"/><Relationship Id="rId9" Type="http://schemas.openxmlformats.org/officeDocument/2006/relationships/hyperlink" Target="https://stockanalysis.com/etf/xlg/" TargetMode="External"/><Relationship Id="rId180" Type="http://schemas.openxmlformats.org/officeDocument/2006/relationships/hyperlink" Target="https://stockanalysis.com/etf/vv/" TargetMode="External"/><Relationship Id="rId26" Type="http://schemas.openxmlformats.org/officeDocument/2006/relationships/hyperlink" Target="https://stockanalysis.com/etf/iwy/" TargetMode="External"/><Relationship Id="rId47" Type="http://schemas.openxmlformats.org/officeDocument/2006/relationships/hyperlink" Target="https://stockanalysis.com/etf/efa/" TargetMode="External"/><Relationship Id="rId68" Type="http://schemas.openxmlformats.org/officeDocument/2006/relationships/hyperlink" Target="https://stockanalysis.com/etf/voe/" TargetMode="External"/><Relationship Id="rId89" Type="http://schemas.openxmlformats.org/officeDocument/2006/relationships/hyperlink" Target="https://stockanalysis.com/etf/vht/" TargetMode="External"/><Relationship Id="rId112" Type="http://schemas.openxmlformats.org/officeDocument/2006/relationships/hyperlink" Target="https://stockanalysis.com/etf/bnd/" TargetMode="External"/><Relationship Id="rId133" Type="http://schemas.openxmlformats.org/officeDocument/2006/relationships/hyperlink" Target="https://stockanalysis.com/etf/igsb/" TargetMode="External"/><Relationship Id="rId154" Type="http://schemas.openxmlformats.org/officeDocument/2006/relationships/hyperlink" Target="https://stockanalysis.com/etf/iwf/" TargetMode="External"/><Relationship Id="rId175" Type="http://schemas.openxmlformats.org/officeDocument/2006/relationships/hyperlink" Target="https://stockanalysis.com/etf/schg/" TargetMode="External"/><Relationship Id="rId196" Type="http://schemas.openxmlformats.org/officeDocument/2006/relationships/hyperlink" Target="https://stockanalysis.com/etf/cowz/" TargetMode="External"/><Relationship Id="rId200" Type="http://schemas.openxmlformats.org/officeDocument/2006/relationships/hyperlink" Target="https://stockanalysis.com/etf/dfuv/" TargetMode="External"/><Relationship Id="rId16" Type="http://schemas.openxmlformats.org/officeDocument/2006/relationships/hyperlink" Target="https://stockanalysis.com/etf/esgv/" TargetMode="External"/><Relationship Id="rId37" Type="http://schemas.openxmlformats.org/officeDocument/2006/relationships/hyperlink" Target="https://stockanalysis.com/etf/ijr/" TargetMode="External"/><Relationship Id="rId58" Type="http://schemas.openxmlformats.org/officeDocument/2006/relationships/hyperlink" Target="https://stockanalysis.com/etf/iefa/" TargetMode="External"/><Relationship Id="rId79" Type="http://schemas.openxmlformats.org/officeDocument/2006/relationships/hyperlink" Target="https://stockanalysis.com/etf/vgk/" TargetMode="External"/><Relationship Id="rId102" Type="http://schemas.openxmlformats.org/officeDocument/2006/relationships/hyperlink" Target="https://stockanalysis.com/etf/xlp/" TargetMode="External"/><Relationship Id="rId123" Type="http://schemas.openxmlformats.org/officeDocument/2006/relationships/hyperlink" Target="https://stockanalysis.com/etf/binc/" TargetMode="External"/><Relationship Id="rId144" Type="http://schemas.openxmlformats.org/officeDocument/2006/relationships/hyperlink" Target="https://stockanalysis.com/etf/tlt/" TargetMode="External"/><Relationship Id="rId90" Type="http://schemas.openxmlformats.org/officeDocument/2006/relationships/hyperlink" Target="https://stockanalysis.com/etf/hdv/" TargetMode="External"/><Relationship Id="rId165" Type="http://schemas.openxmlformats.org/officeDocument/2006/relationships/hyperlink" Target="https://stockanalysis.com/etf/mtum/" TargetMode="External"/><Relationship Id="rId186" Type="http://schemas.openxmlformats.org/officeDocument/2006/relationships/hyperlink" Target="https://stockanalysis.com/etf/iwr/" TargetMode="External"/><Relationship Id="rId27" Type="http://schemas.openxmlformats.org/officeDocument/2006/relationships/hyperlink" Target="https://stockanalysis.com/etf/dgrw/" TargetMode="External"/><Relationship Id="rId48" Type="http://schemas.openxmlformats.org/officeDocument/2006/relationships/hyperlink" Target="https://stockanalysis.com/etf/fndx/" TargetMode="External"/><Relationship Id="rId69" Type="http://schemas.openxmlformats.org/officeDocument/2006/relationships/hyperlink" Target="https://stockanalysis.com/etf/vxus/" TargetMode="External"/><Relationship Id="rId113" Type="http://schemas.openxmlformats.org/officeDocument/2006/relationships/hyperlink" Target="https://stockanalysis.com/etf/iusb/" TargetMode="External"/><Relationship Id="rId134" Type="http://schemas.openxmlformats.org/officeDocument/2006/relationships/hyperlink" Target="https://stockanalysis.com/etf/schr/" TargetMode="External"/><Relationship Id="rId80" Type="http://schemas.openxmlformats.org/officeDocument/2006/relationships/hyperlink" Target="https://stockanalysis.com/etf/scz/" TargetMode="External"/><Relationship Id="rId155" Type="http://schemas.openxmlformats.org/officeDocument/2006/relationships/hyperlink" Target="https://stockanalysis.com/etf/qqq/" TargetMode="External"/><Relationship Id="rId176" Type="http://schemas.openxmlformats.org/officeDocument/2006/relationships/hyperlink" Target="https://stockanalysis.com/etf/tqqq/" TargetMode="External"/><Relationship Id="rId197" Type="http://schemas.openxmlformats.org/officeDocument/2006/relationships/hyperlink" Target="https://stockanalysis.com/etf/dfat/" TargetMode="External"/><Relationship Id="rId201" Type="http://schemas.openxmlformats.org/officeDocument/2006/relationships/drawing" Target="../drawings/drawing6.xml"/><Relationship Id="rId17" Type="http://schemas.openxmlformats.org/officeDocument/2006/relationships/hyperlink" Target="https://stockanalysis.com/etf/xly/" TargetMode="External"/><Relationship Id="rId38" Type="http://schemas.openxmlformats.org/officeDocument/2006/relationships/hyperlink" Target="https://stockanalysis.com/etf/schm/" TargetMode="External"/><Relationship Id="rId59" Type="http://schemas.openxmlformats.org/officeDocument/2006/relationships/hyperlink" Target="https://stockanalysis.com/etf/iws/" TargetMode="External"/><Relationship Id="rId103" Type="http://schemas.openxmlformats.org/officeDocument/2006/relationships/hyperlink" Target="https://stockanalysis.com/etf/hyg/" TargetMode="External"/><Relationship Id="rId124" Type="http://schemas.openxmlformats.org/officeDocument/2006/relationships/hyperlink" Target="https://stockanalysis.com/etf/bil/" TargetMode="External"/><Relationship Id="rId70" Type="http://schemas.openxmlformats.org/officeDocument/2006/relationships/hyperlink" Target="https://stockanalysis.com/etf/sche/" TargetMode="External"/><Relationship Id="rId91" Type="http://schemas.openxmlformats.org/officeDocument/2006/relationships/hyperlink" Target="https://stockanalysis.com/etf/nobl/" TargetMode="External"/><Relationship Id="rId145" Type="http://schemas.openxmlformats.org/officeDocument/2006/relationships/hyperlink" Target="https://stockanalysis.com/etf/pyld/" TargetMode="External"/><Relationship Id="rId166" Type="http://schemas.openxmlformats.org/officeDocument/2006/relationships/hyperlink" Target="https://stockanalysis.com/etf/iusg/" TargetMode="External"/><Relationship Id="rId187" Type="http://schemas.openxmlformats.org/officeDocument/2006/relationships/hyperlink" Target="https://stockanalysis.com/etf/spsm/" TargetMode="External"/><Relationship Id="rId1" Type="http://schemas.openxmlformats.org/officeDocument/2006/relationships/hyperlink" Target="https://stockanalysis.com/etf/dfac/" TargetMode="External"/><Relationship Id="rId28" Type="http://schemas.openxmlformats.org/officeDocument/2006/relationships/hyperlink" Target="https://stockanalysis.com/etf/cgdv/" TargetMode="External"/><Relationship Id="rId49" Type="http://schemas.openxmlformats.org/officeDocument/2006/relationships/hyperlink" Target="https://stockanalysis.com/etf/spyv/" TargetMode="External"/><Relationship Id="rId114" Type="http://schemas.openxmlformats.org/officeDocument/2006/relationships/hyperlink" Target="https://stockanalysis.com/etf/schp/" TargetMode="External"/><Relationship Id="rId60" Type="http://schemas.openxmlformats.org/officeDocument/2006/relationships/hyperlink" Target="https://stockanalysis.com/etf/avem/" TargetMode="External"/><Relationship Id="rId81" Type="http://schemas.openxmlformats.org/officeDocument/2006/relationships/hyperlink" Target="https://stockanalysis.com/etf/efv/" TargetMode="External"/><Relationship Id="rId135" Type="http://schemas.openxmlformats.org/officeDocument/2006/relationships/hyperlink" Target="https://stockanalysis.com/etf/biv/" TargetMode="External"/><Relationship Id="rId156" Type="http://schemas.openxmlformats.org/officeDocument/2006/relationships/hyperlink" Target="https://stockanalysis.com/etf/soxx/" TargetMode="External"/><Relationship Id="rId177" Type="http://schemas.openxmlformats.org/officeDocument/2006/relationships/hyperlink" Target="https://stockanalysis.com/etf/mgk/" TargetMode="External"/><Relationship Id="rId198" Type="http://schemas.openxmlformats.org/officeDocument/2006/relationships/hyperlink" Target="https://stockanalysis.com/etf/ixus/" TargetMode="External"/><Relationship Id="rId202" Type="http://schemas.openxmlformats.org/officeDocument/2006/relationships/vmlDrawing" Target="../drawings/vmlDrawing5.vml"/><Relationship Id="rId18" Type="http://schemas.openxmlformats.org/officeDocument/2006/relationships/hyperlink" Target="https://stockanalysis.com/etf/pave/" TargetMode="External"/><Relationship Id="rId39" Type="http://schemas.openxmlformats.org/officeDocument/2006/relationships/hyperlink" Target="https://stockanalysis.com/etf/qual/" TargetMode="External"/><Relationship Id="rId50" Type="http://schemas.openxmlformats.org/officeDocument/2006/relationships/hyperlink" Target="https://stockanalysis.com/etf/esgd/" TargetMode="External"/><Relationship Id="rId104" Type="http://schemas.openxmlformats.org/officeDocument/2006/relationships/hyperlink" Target="https://stockanalysis.com/etf/ushy/" TargetMode="External"/><Relationship Id="rId125" Type="http://schemas.openxmlformats.org/officeDocument/2006/relationships/hyperlink" Target="https://stockanalysis.com/etf/shv/" TargetMode="External"/><Relationship Id="rId146" Type="http://schemas.openxmlformats.org/officeDocument/2006/relationships/hyperlink" Target="https://stockanalysis.com/etf/lqd/" TargetMode="External"/><Relationship Id="rId167" Type="http://schemas.openxmlformats.org/officeDocument/2006/relationships/hyperlink" Target="https://stockanalysis.com/etf/vti/" TargetMode="External"/><Relationship Id="rId188" Type="http://schemas.openxmlformats.org/officeDocument/2006/relationships/hyperlink" Target="https://stockanalysis.com/etf/iwo/" TargetMode="External"/><Relationship Id="rId71" Type="http://schemas.openxmlformats.org/officeDocument/2006/relationships/hyperlink" Target="https://stockanalysis.com/etf/veu/" TargetMode="External"/><Relationship Id="rId92" Type="http://schemas.openxmlformats.org/officeDocument/2006/relationships/hyperlink" Target="https://stockanalysis.com/etf/vymi/"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stockanalysis.com/etf/vcit/" TargetMode="External"/><Relationship Id="rId21" Type="http://schemas.openxmlformats.org/officeDocument/2006/relationships/hyperlink" Target="https://stockanalysis.com/etf/rsp/" TargetMode="External"/><Relationship Id="rId42" Type="http://schemas.openxmlformats.org/officeDocument/2006/relationships/hyperlink" Target="https://stockanalysis.com/etf/xli/" TargetMode="External"/><Relationship Id="rId63" Type="http://schemas.openxmlformats.org/officeDocument/2006/relationships/hyperlink" Target="https://stockanalysis.com/etf/vym/" TargetMode="External"/><Relationship Id="rId84" Type="http://schemas.openxmlformats.org/officeDocument/2006/relationships/hyperlink" Target="https://stockanalysis.com/etf/dvy/" TargetMode="External"/><Relationship Id="rId138" Type="http://schemas.openxmlformats.org/officeDocument/2006/relationships/hyperlink" Target="https://stockanalysis.com/etf/gldm/" TargetMode="External"/><Relationship Id="rId159" Type="http://schemas.openxmlformats.org/officeDocument/2006/relationships/hyperlink" Target="https://stockanalysis.com/etf/ivw/" TargetMode="External"/><Relationship Id="rId170" Type="http://schemas.openxmlformats.org/officeDocument/2006/relationships/hyperlink" Target="https://stockanalysis.com/etf/soxl/" TargetMode="External"/><Relationship Id="rId191" Type="http://schemas.openxmlformats.org/officeDocument/2006/relationships/hyperlink" Target="https://stockanalysis.com/etf/ewj/" TargetMode="External"/><Relationship Id="rId107" Type="http://schemas.openxmlformats.org/officeDocument/2006/relationships/hyperlink" Target="https://stockanalysis.com/etf/emb/" TargetMode="External"/><Relationship Id="rId11" Type="http://schemas.openxmlformats.org/officeDocument/2006/relationships/hyperlink" Target="https://stockanalysis.com/etf/iwn/" TargetMode="External"/><Relationship Id="rId32" Type="http://schemas.openxmlformats.org/officeDocument/2006/relationships/hyperlink" Target="https://stockanalysis.com/etf/spmd/" TargetMode="External"/><Relationship Id="rId53" Type="http://schemas.openxmlformats.org/officeDocument/2006/relationships/hyperlink" Target="https://stockanalysis.com/etf/mgv/" TargetMode="External"/><Relationship Id="rId74" Type="http://schemas.openxmlformats.org/officeDocument/2006/relationships/hyperlink" Target="https://stockanalysis.com/etf/spdw/" TargetMode="External"/><Relationship Id="rId128" Type="http://schemas.openxmlformats.org/officeDocument/2006/relationships/hyperlink" Target="https://stockanalysis.com/etf/bsv/" TargetMode="External"/><Relationship Id="rId149" Type="http://schemas.openxmlformats.org/officeDocument/2006/relationships/hyperlink" Target="https://stockanalysis.com/etf/usig/" TargetMode="External"/><Relationship Id="rId5" Type="http://schemas.openxmlformats.org/officeDocument/2006/relationships/hyperlink" Target="https://stockanalysis.com/etf/qqqm/" TargetMode="External"/><Relationship Id="rId95" Type="http://schemas.openxmlformats.org/officeDocument/2006/relationships/hyperlink" Target="https://stockanalysis.com/etf/usmv/" TargetMode="External"/><Relationship Id="rId160" Type="http://schemas.openxmlformats.org/officeDocument/2006/relationships/hyperlink" Target="https://stockanalysis.com/etf/smh/" TargetMode="External"/><Relationship Id="rId181" Type="http://schemas.openxmlformats.org/officeDocument/2006/relationships/hyperlink" Target="https://stockanalysis.com/etf/jepq/" TargetMode="External"/><Relationship Id="rId22" Type="http://schemas.openxmlformats.org/officeDocument/2006/relationships/hyperlink" Target="https://stockanalysis.com/etf/scha/" TargetMode="External"/><Relationship Id="rId43" Type="http://schemas.openxmlformats.org/officeDocument/2006/relationships/hyperlink" Target="https://stockanalysis.com/etf/vt/" TargetMode="External"/><Relationship Id="rId64" Type="http://schemas.openxmlformats.org/officeDocument/2006/relationships/hyperlink" Target="https://stockanalysis.com/etf/dfai/" TargetMode="External"/><Relationship Id="rId118" Type="http://schemas.openxmlformats.org/officeDocument/2006/relationships/hyperlink" Target="https://stockanalysis.com/etf/vgsh/" TargetMode="External"/><Relationship Id="rId139" Type="http://schemas.openxmlformats.org/officeDocument/2006/relationships/hyperlink" Target="https://stockanalysis.com/etf/tip/" TargetMode="External"/><Relationship Id="rId85" Type="http://schemas.openxmlformats.org/officeDocument/2006/relationships/hyperlink" Target="https://stockanalysis.com/etf/spem/" TargetMode="External"/><Relationship Id="rId150" Type="http://schemas.openxmlformats.org/officeDocument/2006/relationships/hyperlink" Target="https://stockanalysis.com/etf/iau/" TargetMode="External"/><Relationship Id="rId171" Type="http://schemas.openxmlformats.org/officeDocument/2006/relationships/hyperlink" Target="https://stockanalysis.com/etf/spmo/" TargetMode="External"/><Relationship Id="rId192" Type="http://schemas.openxmlformats.org/officeDocument/2006/relationships/hyperlink" Target="https://stockanalysis.com/etf/xlf/" TargetMode="External"/><Relationship Id="rId12" Type="http://schemas.openxmlformats.org/officeDocument/2006/relationships/hyperlink" Target="https://stockanalysis.com/etf/oef/" TargetMode="External"/><Relationship Id="rId33" Type="http://schemas.openxmlformats.org/officeDocument/2006/relationships/hyperlink" Target="https://stockanalysis.com/etf/dia/" TargetMode="External"/><Relationship Id="rId108" Type="http://schemas.openxmlformats.org/officeDocument/2006/relationships/hyperlink" Target="https://stockanalysis.com/etf/igib/" TargetMode="External"/><Relationship Id="rId129" Type="http://schemas.openxmlformats.org/officeDocument/2006/relationships/hyperlink" Target="https://stockanalysis.com/etf/mub/" TargetMode="External"/><Relationship Id="rId54" Type="http://schemas.openxmlformats.org/officeDocument/2006/relationships/hyperlink" Target="https://stockanalysis.com/etf/idev/" TargetMode="External"/><Relationship Id="rId75" Type="http://schemas.openxmlformats.org/officeDocument/2006/relationships/hyperlink" Target="https://stockanalysis.com/etf/vea/" TargetMode="External"/><Relationship Id="rId96" Type="http://schemas.openxmlformats.org/officeDocument/2006/relationships/hyperlink" Target="https://stockanalysis.com/etf/amlp/" TargetMode="External"/><Relationship Id="rId140" Type="http://schemas.openxmlformats.org/officeDocument/2006/relationships/hyperlink" Target="https://stockanalysis.com/etf/vmbs/" TargetMode="External"/><Relationship Id="rId161" Type="http://schemas.openxmlformats.org/officeDocument/2006/relationships/hyperlink" Target="https://stockanalysis.com/etf/dgro/" TargetMode="External"/><Relationship Id="rId182" Type="http://schemas.openxmlformats.org/officeDocument/2006/relationships/hyperlink" Target="https://stockanalysis.com/etf/voo/" TargetMode="External"/><Relationship Id="rId6" Type="http://schemas.openxmlformats.org/officeDocument/2006/relationships/hyperlink" Target="https://stockanalysis.com/etf/voog/" TargetMode="External"/><Relationship Id="rId23" Type="http://schemas.openxmlformats.org/officeDocument/2006/relationships/hyperlink" Target="https://stockanalysis.com/etf/vot/" TargetMode="External"/><Relationship Id="rId119" Type="http://schemas.openxmlformats.org/officeDocument/2006/relationships/hyperlink" Target="https://stockanalysis.com/etf/vtip/" TargetMode="External"/><Relationship Id="rId44" Type="http://schemas.openxmlformats.org/officeDocument/2006/relationships/hyperlink" Target="https://stockanalysis.com/etf/dfic/" TargetMode="External"/><Relationship Id="rId65" Type="http://schemas.openxmlformats.org/officeDocument/2006/relationships/hyperlink" Target="https://stockanalysis.com/etf/dfiv/" TargetMode="External"/><Relationship Id="rId86" Type="http://schemas.openxmlformats.org/officeDocument/2006/relationships/hyperlink" Target="https://stockanalysis.com/etf/ibit/" TargetMode="External"/><Relationship Id="rId130" Type="http://schemas.openxmlformats.org/officeDocument/2006/relationships/hyperlink" Target="https://stockanalysis.com/etf/govt/" TargetMode="External"/><Relationship Id="rId151" Type="http://schemas.openxmlformats.org/officeDocument/2006/relationships/hyperlink" Target="https://stockanalysis.com/etf/ftec/" TargetMode="External"/><Relationship Id="rId172" Type="http://schemas.openxmlformats.org/officeDocument/2006/relationships/hyperlink" Target="https://stockanalysis.com/etf/iwb/" TargetMode="External"/><Relationship Id="rId193" Type="http://schemas.openxmlformats.org/officeDocument/2006/relationships/hyperlink" Target="https://stockanalysis.com/etf/dfas/" TargetMode="External"/><Relationship Id="rId13" Type="http://schemas.openxmlformats.org/officeDocument/2006/relationships/hyperlink" Target="https://stockanalysis.com/etf/vb/" TargetMode="External"/><Relationship Id="rId109" Type="http://schemas.openxmlformats.org/officeDocument/2006/relationships/hyperlink" Target="https://stockanalysis.com/etf/jpst/" TargetMode="External"/><Relationship Id="rId34" Type="http://schemas.openxmlformats.org/officeDocument/2006/relationships/hyperlink" Target="https://stockanalysis.com/etf/schx/" TargetMode="External"/><Relationship Id="rId55" Type="http://schemas.openxmlformats.org/officeDocument/2006/relationships/hyperlink" Target="https://stockanalysis.com/etf/iwd/" TargetMode="External"/><Relationship Id="rId76" Type="http://schemas.openxmlformats.org/officeDocument/2006/relationships/hyperlink" Target="https://stockanalysis.com/etf/iqlt/" TargetMode="External"/><Relationship Id="rId97" Type="http://schemas.openxmlformats.org/officeDocument/2006/relationships/hyperlink" Target="https://stockanalysis.com/etf/xlv/" TargetMode="External"/><Relationship Id="rId120" Type="http://schemas.openxmlformats.org/officeDocument/2006/relationships/hyperlink" Target="https://stockanalysis.com/etf/vteb/" TargetMode="External"/><Relationship Id="rId141" Type="http://schemas.openxmlformats.org/officeDocument/2006/relationships/hyperlink" Target="https://stockanalysis.com/etf/ief/" TargetMode="External"/><Relationship Id="rId7" Type="http://schemas.openxmlformats.org/officeDocument/2006/relationships/hyperlink" Target="https://stockanalysis.com/etf/iyw/" TargetMode="External"/><Relationship Id="rId162" Type="http://schemas.openxmlformats.org/officeDocument/2006/relationships/hyperlink" Target="https://stockanalysis.com/etf/xlc/" TargetMode="External"/><Relationship Id="rId183" Type="http://schemas.openxmlformats.org/officeDocument/2006/relationships/hyperlink" Target="https://stockanalysis.com/etf/vong/" TargetMode="External"/><Relationship Id="rId2" Type="http://schemas.openxmlformats.org/officeDocument/2006/relationships/hyperlink" Target="https://stockanalysis.com/etf/vbr/" TargetMode="External"/><Relationship Id="rId29" Type="http://schemas.openxmlformats.org/officeDocument/2006/relationships/hyperlink" Target="https://stockanalysis.com/etf/vtwo/" TargetMode="External"/><Relationship Id="rId24" Type="http://schemas.openxmlformats.org/officeDocument/2006/relationships/hyperlink" Target="https://stockanalysis.com/etf/dfus/" TargetMode="External"/><Relationship Id="rId40" Type="http://schemas.openxmlformats.org/officeDocument/2006/relationships/hyperlink" Target="https://stockanalysis.com/etf/moat/" TargetMode="External"/><Relationship Id="rId45" Type="http://schemas.openxmlformats.org/officeDocument/2006/relationships/hyperlink" Target="https://stockanalysis.com/etf/ive/" TargetMode="External"/><Relationship Id="rId66" Type="http://schemas.openxmlformats.org/officeDocument/2006/relationships/hyperlink" Target="https://stockanalysis.com/etf/fndf/" TargetMode="External"/><Relationship Id="rId87" Type="http://schemas.openxmlformats.org/officeDocument/2006/relationships/hyperlink" Target="https://stockanalysis.com/etf/jepi/" TargetMode="External"/><Relationship Id="rId110" Type="http://schemas.openxmlformats.org/officeDocument/2006/relationships/hyperlink" Target="https://stockanalysis.com/etf/puls/" TargetMode="External"/><Relationship Id="rId115" Type="http://schemas.openxmlformats.org/officeDocument/2006/relationships/hyperlink" Target="https://stockanalysis.com/etf/shy/" TargetMode="External"/><Relationship Id="rId131" Type="http://schemas.openxmlformats.org/officeDocument/2006/relationships/hyperlink" Target="https://stockanalysis.com/etf/fbnd/" TargetMode="External"/><Relationship Id="rId136" Type="http://schemas.openxmlformats.org/officeDocument/2006/relationships/hyperlink" Target="https://stockanalysis.com/etf/agg/" TargetMode="External"/><Relationship Id="rId157" Type="http://schemas.openxmlformats.org/officeDocument/2006/relationships/hyperlink" Target="https://stockanalysis.com/etf/vug/" TargetMode="External"/><Relationship Id="rId178" Type="http://schemas.openxmlformats.org/officeDocument/2006/relationships/hyperlink" Target="https://stockanalysis.com/etf/gslc/" TargetMode="External"/><Relationship Id="rId61" Type="http://schemas.openxmlformats.org/officeDocument/2006/relationships/hyperlink" Target="https://stockanalysis.com/etf/schv/" TargetMode="External"/><Relationship Id="rId82" Type="http://schemas.openxmlformats.org/officeDocument/2006/relationships/hyperlink" Target="https://stockanalysis.com/etf/vwo/" TargetMode="External"/><Relationship Id="rId152" Type="http://schemas.openxmlformats.org/officeDocument/2006/relationships/hyperlink" Target="https://stockanalysis.com/etf/vxf/" TargetMode="External"/><Relationship Id="rId173" Type="http://schemas.openxmlformats.org/officeDocument/2006/relationships/hyperlink" Target="https://stockanalysis.com/etf/spy/" TargetMode="External"/><Relationship Id="rId194" Type="http://schemas.openxmlformats.org/officeDocument/2006/relationships/hyperlink" Target="https://stockanalysis.com/etf/bbjp/" TargetMode="External"/><Relationship Id="rId199" Type="http://schemas.openxmlformats.org/officeDocument/2006/relationships/hyperlink" Target="https://stockanalysis.com/etf/iemg/" TargetMode="External"/><Relationship Id="rId203" Type="http://schemas.openxmlformats.org/officeDocument/2006/relationships/table" Target="../tables/table6.xml"/><Relationship Id="rId19" Type="http://schemas.openxmlformats.org/officeDocument/2006/relationships/hyperlink" Target="https://stockanalysis.com/etf/dynf/" TargetMode="External"/><Relationship Id="rId14" Type="http://schemas.openxmlformats.org/officeDocument/2006/relationships/hyperlink" Target="https://stockanalysis.com/etf/vfh/" TargetMode="External"/><Relationship Id="rId30" Type="http://schemas.openxmlformats.org/officeDocument/2006/relationships/hyperlink" Target="https://stockanalysis.com/etf/iwv/" TargetMode="External"/><Relationship Id="rId35" Type="http://schemas.openxmlformats.org/officeDocument/2006/relationships/hyperlink" Target="https://stockanalysis.com/etf/acwi/" TargetMode="External"/><Relationship Id="rId56" Type="http://schemas.openxmlformats.org/officeDocument/2006/relationships/hyperlink" Target="https://stockanalysis.com/etf/vig/" TargetMode="External"/><Relationship Id="rId77" Type="http://schemas.openxmlformats.org/officeDocument/2006/relationships/hyperlink" Target="https://stockanalysis.com/etf/vtv/" TargetMode="External"/><Relationship Id="rId100" Type="http://schemas.openxmlformats.org/officeDocument/2006/relationships/hyperlink" Target="https://stockanalysis.com/etf/xlu/" TargetMode="External"/><Relationship Id="rId105" Type="http://schemas.openxmlformats.org/officeDocument/2006/relationships/hyperlink" Target="https://stockanalysis.com/etf/jaaa/" TargetMode="External"/><Relationship Id="rId126" Type="http://schemas.openxmlformats.org/officeDocument/2006/relationships/hyperlink" Target="https://stockanalysis.com/etf/bndx/" TargetMode="External"/><Relationship Id="rId147" Type="http://schemas.openxmlformats.org/officeDocument/2006/relationships/hyperlink" Target="https://stockanalysis.com/etf/mbb/" TargetMode="External"/><Relationship Id="rId168" Type="http://schemas.openxmlformats.org/officeDocument/2006/relationships/hyperlink" Target="https://stockanalysis.com/etf/schb/" TargetMode="External"/><Relationship Id="rId8" Type="http://schemas.openxmlformats.org/officeDocument/2006/relationships/hyperlink" Target="https://stockanalysis.com/etf/rdvy/" TargetMode="External"/><Relationship Id="rId51" Type="http://schemas.openxmlformats.org/officeDocument/2006/relationships/hyperlink" Target="https://stockanalysis.com/etf/avde/" TargetMode="External"/><Relationship Id="rId72" Type="http://schemas.openxmlformats.org/officeDocument/2006/relationships/hyperlink" Target="https://stockanalysis.com/etf/schf/" TargetMode="External"/><Relationship Id="rId93" Type="http://schemas.openxmlformats.org/officeDocument/2006/relationships/hyperlink" Target="https://stockanalysis.com/etf/schd/" TargetMode="External"/><Relationship Id="rId98" Type="http://schemas.openxmlformats.org/officeDocument/2006/relationships/hyperlink" Target="https://stockanalysis.com/etf/sdy/" TargetMode="External"/><Relationship Id="rId121" Type="http://schemas.openxmlformats.org/officeDocument/2006/relationships/hyperlink" Target="https://stockanalysis.com/etf/vgit/" TargetMode="External"/><Relationship Id="rId142" Type="http://schemas.openxmlformats.org/officeDocument/2006/relationships/hyperlink" Target="https://stockanalysis.com/etf/stip/" TargetMode="External"/><Relationship Id="rId163" Type="http://schemas.openxmlformats.org/officeDocument/2006/relationships/hyperlink" Target="https://stockanalysis.com/etf/ita/" TargetMode="External"/><Relationship Id="rId184" Type="http://schemas.openxmlformats.org/officeDocument/2006/relationships/hyperlink" Target="https://stockanalysis.com/etf/iwm/" TargetMode="External"/><Relationship Id="rId189" Type="http://schemas.openxmlformats.org/officeDocument/2006/relationships/hyperlink" Target="https://stockanalysis.com/etf/ivv/" TargetMode="External"/><Relationship Id="rId3" Type="http://schemas.openxmlformats.org/officeDocument/2006/relationships/hyperlink" Target="https://stockanalysis.com/etf/xlk/" TargetMode="External"/><Relationship Id="rId25" Type="http://schemas.openxmlformats.org/officeDocument/2006/relationships/hyperlink" Target="https://stockanalysis.com/etf/iusv/" TargetMode="External"/><Relationship Id="rId46" Type="http://schemas.openxmlformats.org/officeDocument/2006/relationships/hyperlink" Target="https://stockanalysis.com/etf/ewy/" TargetMode="External"/><Relationship Id="rId67" Type="http://schemas.openxmlformats.org/officeDocument/2006/relationships/hyperlink" Target="https://stockanalysis.com/etf/vonv/" TargetMode="External"/><Relationship Id="rId116" Type="http://schemas.openxmlformats.org/officeDocument/2006/relationships/hyperlink" Target="https://stockanalysis.com/etf/vcsh/" TargetMode="External"/><Relationship Id="rId137" Type="http://schemas.openxmlformats.org/officeDocument/2006/relationships/hyperlink" Target="https://stockanalysis.com/etf/iei/" TargetMode="External"/><Relationship Id="rId158" Type="http://schemas.openxmlformats.org/officeDocument/2006/relationships/hyperlink" Target="https://stockanalysis.com/etf/sptm/" TargetMode="External"/><Relationship Id="rId20" Type="http://schemas.openxmlformats.org/officeDocument/2006/relationships/hyperlink" Target="https://stockanalysis.com/etf/avuv/" TargetMode="External"/><Relationship Id="rId41" Type="http://schemas.openxmlformats.org/officeDocument/2006/relationships/hyperlink" Target="https://stockanalysis.com/etf/vo/" TargetMode="External"/><Relationship Id="rId62" Type="http://schemas.openxmlformats.org/officeDocument/2006/relationships/hyperlink" Target="https://stockanalysis.com/etf/eem/" TargetMode="External"/><Relationship Id="rId83" Type="http://schemas.openxmlformats.org/officeDocument/2006/relationships/hyperlink" Target="https://stockanalysis.com/etf/slv/" TargetMode="External"/><Relationship Id="rId88" Type="http://schemas.openxmlformats.org/officeDocument/2006/relationships/hyperlink" Target="https://stockanalysis.com/etf/xle/" TargetMode="External"/><Relationship Id="rId111" Type="http://schemas.openxmlformats.org/officeDocument/2006/relationships/hyperlink" Target="https://stockanalysis.com/etf/scho/" TargetMode="External"/><Relationship Id="rId132" Type="http://schemas.openxmlformats.org/officeDocument/2006/relationships/hyperlink" Target="https://stockanalysis.com/etf/gld/" TargetMode="External"/><Relationship Id="rId153" Type="http://schemas.openxmlformats.org/officeDocument/2006/relationships/hyperlink" Target="https://stockanalysis.com/etf/avus/" TargetMode="External"/><Relationship Id="rId174" Type="http://schemas.openxmlformats.org/officeDocument/2006/relationships/hyperlink" Target="https://stockanalysis.com/etf/spym/" TargetMode="External"/><Relationship Id="rId179" Type="http://schemas.openxmlformats.org/officeDocument/2006/relationships/hyperlink" Target="https://stockanalysis.com/etf/esgu/" TargetMode="External"/><Relationship Id="rId195" Type="http://schemas.openxmlformats.org/officeDocument/2006/relationships/hyperlink" Target="https://stockanalysis.com/etf/sphq/" TargetMode="External"/><Relationship Id="rId190" Type="http://schemas.openxmlformats.org/officeDocument/2006/relationships/hyperlink" Target="https://stockanalysis.com/etf/ijh/" TargetMode="External"/><Relationship Id="rId204" Type="http://schemas.openxmlformats.org/officeDocument/2006/relationships/comments" Target="../comments6.xml"/><Relationship Id="rId15" Type="http://schemas.openxmlformats.org/officeDocument/2006/relationships/hyperlink" Target="https://stockanalysis.com/etf/cggr/" TargetMode="External"/><Relationship Id="rId36" Type="http://schemas.openxmlformats.org/officeDocument/2006/relationships/hyperlink" Target="https://stockanalysis.com/etf/mdy/" TargetMode="External"/><Relationship Id="rId57" Type="http://schemas.openxmlformats.org/officeDocument/2006/relationships/hyperlink" Target="https://stockanalysis.com/etf/emxc/" TargetMode="External"/><Relationship Id="rId106" Type="http://schemas.openxmlformats.org/officeDocument/2006/relationships/hyperlink" Target="https://stockanalysis.com/etf/iagg/" TargetMode="External"/><Relationship Id="rId127" Type="http://schemas.openxmlformats.org/officeDocument/2006/relationships/hyperlink" Target="https://stockanalysis.com/etf/mint/" TargetMode="External"/><Relationship Id="rId10" Type="http://schemas.openxmlformats.org/officeDocument/2006/relationships/hyperlink" Target="https://stockanalysis.com/etf/itot/" TargetMode="External"/><Relationship Id="rId31" Type="http://schemas.openxmlformats.org/officeDocument/2006/relationships/hyperlink" Target="https://stockanalysis.com/etf/avdv/" TargetMode="External"/><Relationship Id="rId52" Type="http://schemas.openxmlformats.org/officeDocument/2006/relationships/hyperlink" Target="https://stockanalysis.com/etf/dfax/" TargetMode="External"/><Relationship Id="rId73" Type="http://schemas.openxmlformats.org/officeDocument/2006/relationships/hyperlink" Target="https://stockanalysis.com/etf/fbtc/" TargetMode="External"/><Relationship Id="rId78" Type="http://schemas.openxmlformats.org/officeDocument/2006/relationships/hyperlink" Target="https://stockanalysis.com/etf/vss/" TargetMode="External"/><Relationship Id="rId94" Type="http://schemas.openxmlformats.org/officeDocument/2006/relationships/hyperlink" Target="https://stockanalysis.com/etf/gdx/" TargetMode="External"/><Relationship Id="rId99" Type="http://schemas.openxmlformats.org/officeDocument/2006/relationships/hyperlink" Target="https://stockanalysis.com/etf/vnq/" TargetMode="External"/><Relationship Id="rId101" Type="http://schemas.openxmlformats.org/officeDocument/2006/relationships/hyperlink" Target="https://stockanalysis.com/etf/pff/" TargetMode="External"/><Relationship Id="rId122" Type="http://schemas.openxmlformats.org/officeDocument/2006/relationships/hyperlink" Target="https://stockanalysis.com/etf/sgov/" TargetMode="External"/><Relationship Id="rId143" Type="http://schemas.openxmlformats.org/officeDocument/2006/relationships/hyperlink" Target="https://stockanalysis.com/etf/tlh/" TargetMode="External"/><Relationship Id="rId148" Type="http://schemas.openxmlformats.org/officeDocument/2006/relationships/hyperlink" Target="https://stockanalysis.com/etf/usfr/" TargetMode="External"/><Relationship Id="rId164" Type="http://schemas.openxmlformats.org/officeDocument/2006/relationships/hyperlink" Target="https://stockanalysis.com/etf/iwp/" TargetMode="External"/><Relationship Id="rId169" Type="http://schemas.openxmlformats.org/officeDocument/2006/relationships/hyperlink" Target="https://stockanalysis.com/etf/vbk/" TargetMode="External"/><Relationship Id="rId185" Type="http://schemas.openxmlformats.org/officeDocument/2006/relationships/hyperlink" Target="https://stockanalysis.com/etf/spyg/" TargetMode="External"/><Relationship Id="rId4" Type="http://schemas.openxmlformats.org/officeDocument/2006/relationships/hyperlink" Target="https://stockanalysis.com/etf/vgt/" TargetMode="External"/><Relationship Id="rId9" Type="http://schemas.openxmlformats.org/officeDocument/2006/relationships/hyperlink" Target="https://stockanalysis.com/etf/xlg/" TargetMode="External"/><Relationship Id="rId180" Type="http://schemas.openxmlformats.org/officeDocument/2006/relationships/hyperlink" Target="https://stockanalysis.com/etf/vv/" TargetMode="External"/><Relationship Id="rId26" Type="http://schemas.openxmlformats.org/officeDocument/2006/relationships/hyperlink" Target="https://stockanalysis.com/etf/iwy/" TargetMode="External"/><Relationship Id="rId47" Type="http://schemas.openxmlformats.org/officeDocument/2006/relationships/hyperlink" Target="https://stockanalysis.com/etf/efa/" TargetMode="External"/><Relationship Id="rId68" Type="http://schemas.openxmlformats.org/officeDocument/2006/relationships/hyperlink" Target="https://stockanalysis.com/etf/voe/" TargetMode="External"/><Relationship Id="rId89" Type="http://schemas.openxmlformats.org/officeDocument/2006/relationships/hyperlink" Target="https://stockanalysis.com/etf/vht/" TargetMode="External"/><Relationship Id="rId112" Type="http://schemas.openxmlformats.org/officeDocument/2006/relationships/hyperlink" Target="https://stockanalysis.com/etf/bnd/" TargetMode="External"/><Relationship Id="rId133" Type="http://schemas.openxmlformats.org/officeDocument/2006/relationships/hyperlink" Target="https://stockanalysis.com/etf/igsb/" TargetMode="External"/><Relationship Id="rId154" Type="http://schemas.openxmlformats.org/officeDocument/2006/relationships/hyperlink" Target="https://stockanalysis.com/etf/iwf/" TargetMode="External"/><Relationship Id="rId175" Type="http://schemas.openxmlformats.org/officeDocument/2006/relationships/hyperlink" Target="https://stockanalysis.com/etf/schg/" TargetMode="External"/><Relationship Id="rId196" Type="http://schemas.openxmlformats.org/officeDocument/2006/relationships/hyperlink" Target="https://stockanalysis.com/etf/cowz/" TargetMode="External"/><Relationship Id="rId200" Type="http://schemas.openxmlformats.org/officeDocument/2006/relationships/hyperlink" Target="https://stockanalysis.com/etf/dfuv/" TargetMode="External"/><Relationship Id="rId16" Type="http://schemas.openxmlformats.org/officeDocument/2006/relationships/hyperlink" Target="https://stockanalysis.com/etf/esgv/" TargetMode="External"/><Relationship Id="rId37" Type="http://schemas.openxmlformats.org/officeDocument/2006/relationships/hyperlink" Target="https://stockanalysis.com/etf/ijr/" TargetMode="External"/><Relationship Id="rId58" Type="http://schemas.openxmlformats.org/officeDocument/2006/relationships/hyperlink" Target="https://stockanalysis.com/etf/iefa/" TargetMode="External"/><Relationship Id="rId79" Type="http://schemas.openxmlformats.org/officeDocument/2006/relationships/hyperlink" Target="https://stockanalysis.com/etf/vgk/" TargetMode="External"/><Relationship Id="rId102" Type="http://schemas.openxmlformats.org/officeDocument/2006/relationships/hyperlink" Target="https://stockanalysis.com/etf/xlp/" TargetMode="External"/><Relationship Id="rId123" Type="http://schemas.openxmlformats.org/officeDocument/2006/relationships/hyperlink" Target="https://stockanalysis.com/etf/binc/" TargetMode="External"/><Relationship Id="rId144" Type="http://schemas.openxmlformats.org/officeDocument/2006/relationships/hyperlink" Target="https://stockanalysis.com/etf/tlt/" TargetMode="External"/><Relationship Id="rId90" Type="http://schemas.openxmlformats.org/officeDocument/2006/relationships/hyperlink" Target="https://stockanalysis.com/etf/hdv/" TargetMode="External"/><Relationship Id="rId165" Type="http://schemas.openxmlformats.org/officeDocument/2006/relationships/hyperlink" Target="https://stockanalysis.com/etf/mtum/" TargetMode="External"/><Relationship Id="rId186" Type="http://schemas.openxmlformats.org/officeDocument/2006/relationships/hyperlink" Target="https://stockanalysis.com/etf/iwr/" TargetMode="External"/><Relationship Id="rId27" Type="http://schemas.openxmlformats.org/officeDocument/2006/relationships/hyperlink" Target="https://stockanalysis.com/etf/dgrw/" TargetMode="External"/><Relationship Id="rId48" Type="http://schemas.openxmlformats.org/officeDocument/2006/relationships/hyperlink" Target="https://stockanalysis.com/etf/fndx/" TargetMode="External"/><Relationship Id="rId69" Type="http://schemas.openxmlformats.org/officeDocument/2006/relationships/hyperlink" Target="https://stockanalysis.com/etf/vxus/" TargetMode="External"/><Relationship Id="rId113" Type="http://schemas.openxmlformats.org/officeDocument/2006/relationships/hyperlink" Target="https://stockanalysis.com/etf/iusb/" TargetMode="External"/><Relationship Id="rId134" Type="http://schemas.openxmlformats.org/officeDocument/2006/relationships/hyperlink" Target="https://stockanalysis.com/etf/schr/" TargetMode="External"/><Relationship Id="rId80" Type="http://schemas.openxmlformats.org/officeDocument/2006/relationships/hyperlink" Target="https://stockanalysis.com/etf/scz/" TargetMode="External"/><Relationship Id="rId155" Type="http://schemas.openxmlformats.org/officeDocument/2006/relationships/hyperlink" Target="https://stockanalysis.com/etf/qqq/" TargetMode="External"/><Relationship Id="rId176" Type="http://schemas.openxmlformats.org/officeDocument/2006/relationships/hyperlink" Target="https://stockanalysis.com/etf/tqqq/" TargetMode="External"/><Relationship Id="rId197" Type="http://schemas.openxmlformats.org/officeDocument/2006/relationships/hyperlink" Target="https://stockanalysis.com/etf/dfat/" TargetMode="External"/><Relationship Id="rId201" Type="http://schemas.openxmlformats.org/officeDocument/2006/relationships/drawing" Target="../drawings/drawing7.xml"/><Relationship Id="rId17" Type="http://schemas.openxmlformats.org/officeDocument/2006/relationships/hyperlink" Target="https://stockanalysis.com/etf/xly/" TargetMode="External"/><Relationship Id="rId38" Type="http://schemas.openxmlformats.org/officeDocument/2006/relationships/hyperlink" Target="https://stockanalysis.com/etf/schm/" TargetMode="External"/><Relationship Id="rId59" Type="http://schemas.openxmlformats.org/officeDocument/2006/relationships/hyperlink" Target="https://stockanalysis.com/etf/iws/" TargetMode="External"/><Relationship Id="rId103" Type="http://schemas.openxmlformats.org/officeDocument/2006/relationships/hyperlink" Target="https://stockanalysis.com/etf/hyg/" TargetMode="External"/><Relationship Id="rId124" Type="http://schemas.openxmlformats.org/officeDocument/2006/relationships/hyperlink" Target="https://stockanalysis.com/etf/bil/" TargetMode="External"/><Relationship Id="rId70" Type="http://schemas.openxmlformats.org/officeDocument/2006/relationships/hyperlink" Target="https://stockanalysis.com/etf/sche/" TargetMode="External"/><Relationship Id="rId91" Type="http://schemas.openxmlformats.org/officeDocument/2006/relationships/hyperlink" Target="https://stockanalysis.com/etf/nobl/" TargetMode="External"/><Relationship Id="rId145" Type="http://schemas.openxmlformats.org/officeDocument/2006/relationships/hyperlink" Target="https://stockanalysis.com/etf/pyld/" TargetMode="External"/><Relationship Id="rId166" Type="http://schemas.openxmlformats.org/officeDocument/2006/relationships/hyperlink" Target="https://stockanalysis.com/etf/iusg/" TargetMode="External"/><Relationship Id="rId187" Type="http://schemas.openxmlformats.org/officeDocument/2006/relationships/hyperlink" Target="https://stockanalysis.com/etf/spsm/" TargetMode="External"/><Relationship Id="rId1" Type="http://schemas.openxmlformats.org/officeDocument/2006/relationships/hyperlink" Target="https://stockanalysis.com/etf/dfac/" TargetMode="External"/><Relationship Id="rId28" Type="http://schemas.openxmlformats.org/officeDocument/2006/relationships/hyperlink" Target="https://stockanalysis.com/etf/cgdv/" TargetMode="External"/><Relationship Id="rId49" Type="http://schemas.openxmlformats.org/officeDocument/2006/relationships/hyperlink" Target="https://stockanalysis.com/etf/spyv/" TargetMode="External"/><Relationship Id="rId114" Type="http://schemas.openxmlformats.org/officeDocument/2006/relationships/hyperlink" Target="https://stockanalysis.com/etf/schp/" TargetMode="External"/><Relationship Id="rId60" Type="http://schemas.openxmlformats.org/officeDocument/2006/relationships/hyperlink" Target="https://stockanalysis.com/etf/avem/" TargetMode="External"/><Relationship Id="rId81" Type="http://schemas.openxmlformats.org/officeDocument/2006/relationships/hyperlink" Target="https://stockanalysis.com/etf/efv/" TargetMode="External"/><Relationship Id="rId135" Type="http://schemas.openxmlformats.org/officeDocument/2006/relationships/hyperlink" Target="https://stockanalysis.com/etf/biv/" TargetMode="External"/><Relationship Id="rId156" Type="http://schemas.openxmlformats.org/officeDocument/2006/relationships/hyperlink" Target="https://stockanalysis.com/etf/soxx/" TargetMode="External"/><Relationship Id="rId177" Type="http://schemas.openxmlformats.org/officeDocument/2006/relationships/hyperlink" Target="https://stockanalysis.com/etf/mgk/" TargetMode="External"/><Relationship Id="rId198" Type="http://schemas.openxmlformats.org/officeDocument/2006/relationships/hyperlink" Target="https://stockanalysis.com/etf/ixus/" TargetMode="External"/><Relationship Id="rId202" Type="http://schemas.openxmlformats.org/officeDocument/2006/relationships/vmlDrawing" Target="../drawings/vmlDrawing6.vml"/><Relationship Id="rId18" Type="http://schemas.openxmlformats.org/officeDocument/2006/relationships/hyperlink" Target="https://stockanalysis.com/etf/pave/" TargetMode="External"/><Relationship Id="rId39" Type="http://schemas.openxmlformats.org/officeDocument/2006/relationships/hyperlink" Target="https://stockanalysis.com/etf/qual/" TargetMode="External"/><Relationship Id="rId50" Type="http://schemas.openxmlformats.org/officeDocument/2006/relationships/hyperlink" Target="https://stockanalysis.com/etf/esgd/" TargetMode="External"/><Relationship Id="rId104" Type="http://schemas.openxmlformats.org/officeDocument/2006/relationships/hyperlink" Target="https://stockanalysis.com/etf/ushy/" TargetMode="External"/><Relationship Id="rId125" Type="http://schemas.openxmlformats.org/officeDocument/2006/relationships/hyperlink" Target="https://stockanalysis.com/etf/shv/" TargetMode="External"/><Relationship Id="rId146" Type="http://schemas.openxmlformats.org/officeDocument/2006/relationships/hyperlink" Target="https://stockanalysis.com/etf/lqd/" TargetMode="External"/><Relationship Id="rId167" Type="http://schemas.openxmlformats.org/officeDocument/2006/relationships/hyperlink" Target="https://stockanalysis.com/etf/vti/" TargetMode="External"/><Relationship Id="rId188" Type="http://schemas.openxmlformats.org/officeDocument/2006/relationships/hyperlink" Target="https://stockanalysis.com/etf/iwo/" TargetMode="External"/><Relationship Id="rId71" Type="http://schemas.openxmlformats.org/officeDocument/2006/relationships/hyperlink" Target="https://stockanalysis.com/etf/veu/" TargetMode="External"/><Relationship Id="rId92" Type="http://schemas.openxmlformats.org/officeDocument/2006/relationships/hyperlink" Target="https://stockanalysis.com/etf/vymi/"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stockanalysis.com/etf/vcit/" TargetMode="External"/><Relationship Id="rId21" Type="http://schemas.openxmlformats.org/officeDocument/2006/relationships/hyperlink" Target="https://stockanalysis.com/etf/rsp/" TargetMode="External"/><Relationship Id="rId42" Type="http://schemas.openxmlformats.org/officeDocument/2006/relationships/hyperlink" Target="https://stockanalysis.com/etf/xli/" TargetMode="External"/><Relationship Id="rId63" Type="http://schemas.openxmlformats.org/officeDocument/2006/relationships/hyperlink" Target="https://stockanalysis.com/etf/vym/" TargetMode="External"/><Relationship Id="rId84" Type="http://schemas.openxmlformats.org/officeDocument/2006/relationships/hyperlink" Target="https://stockanalysis.com/etf/dvy/" TargetMode="External"/><Relationship Id="rId138" Type="http://schemas.openxmlformats.org/officeDocument/2006/relationships/hyperlink" Target="https://stockanalysis.com/etf/gldm/" TargetMode="External"/><Relationship Id="rId159" Type="http://schemas.openxmlformats.org/officeDocument/2006/relationships/hyperlink" Target="https://stockanalysis.com/etf/iwm/" TargetMode="External"/><Relationship Id="rId170" Type="http://schemas.openxmlformats.org/officeDocument/2006/relationships/hyperlink" Target="https://stockanalysis.com/etf/sphq/" TargetMode="External"/><Relationship Id="rId191" Type="http://schemas.openxmlformats.org/officeDocument/2006/relationships/hyperlink" Target="https://stockanalysis.com/etf/vbk/" TargetMode="External"/><Relationship Id="rId107" Type="http://schemas.openxmlformats.org/officeDocument/2006/relationships/hyperlink" Target="https://stockanalysis.com/etf/emb/" TargetMode="External"/><Relationship Id="rId11" Type="http://schemas.openxmlformats.org/officeDocument/2006/relationships/hyperlink" Target="https://stockanalysis.com/etf/iwn/" TargetMode="External"/><Relationship Id="rId32" Type="http://schemas.openxmlformats.org/officeDocument/2006/relationships/hyperlink" Target="https://stockanalysis.com/etf/spmd/" TargetMode="External"/><Relationship Id="rId53" Type="http://schemas.openxmlformats.org/officeDocument/2006/relationships/hyperlink" Target="https://stockanalysis.com/etf/mgv/" TargetMode="External"/><Relationship Id="rId74" Type="http://schemas.openxmlformats.org/officeDocument/2006/relationships/hyperlink" Target="https://stockanalysis.com/etf/spdw/" TargetMode="External"/><Relationship Id="rId128" Type="http://schemas.openxmlformats.org/officeDocument/2006/relationships/hyperlink" Target="https://stockanalysis.com/etf/bsv/" TargetMode="External"/><Relationship Id="rId149" Type="http://schemas.openxmlformats.org/officeDocument/2006/relationships/hyperlink" Target="https://stockanalysis.com/etf/usig/" TargetMode="External"/><Relationship Id="rId5" Type="http://schemas.openxmlformats.org/officeDocument/2006/relationships/hyperlink" Target="https://stockanalysis.com/etf/qqqm/" TargetMode="External"/><Relationship Id="rId95" Type="http://schemas.openxmlformats.org/officeDocument/2006/relationships/hyperlink" Target="https://stockanalysis.com/etf/usmv/" TargetMode="External"/><Relationship Id="rId160" Type="http://schemas.openxmlformats.org/officeDocument/2006/relationships/hyperlink" Target="https://stockanalysis.com/etf/spyg/" TargetMode="External"/><Relationship Id="rId181" Type="http://schemas.openxmlformats.org/officeDocument/2006/relationships/hyperlink" Target="https://stockanalysis.com/etf/vxf/" TargetMode="External"/><Relationship Id="rId22" Type="http://schemas.openxmlformats.org/officeDocument/2006/relationships/hyperlink" Target="https://stockanalysis.com/etf/scha/" TargetMode="External"/><Relationship Id="rId43" Type="http://schemas.openxmlformats.org/officeDocument/2006/relationships/hyperlink" Target="https://stockanalysis.com/etf/vt/" TargetMode="External"/><Relationship Id="rId64" Type="http://schemas.openxmlformats.org/officeDocument/2006/relationships/hyperlink" Target="https://stockanalysis.com/etf/dfai/" TargetMode="External"/><Relationship Id="rId118" Type="http://schemas.openxmlformats.org/officeDocument/2006/relationships/hyperlink" Target="https://stockanalysis.com/etf/vgsh/" TargetMode="External"/><Relationship Id="rId139" Type="http://schemas.openxmlformats.org/officeDocument/2006/relationships/hyperlink" Target="https://stockanalysis.com/etf/tip/" TargetMode="External"/><Relationship Id="rId85" Type="http://schemas.openxmlformats.org/officeDocument/2006/relationships/hyperlink" Target="https://stockanalysis.com/etf/spem/" TargetMode="External"/><Relationship Id="rId150" Type="http://schemas.openxmlformats.org/officeDocument/2006/relationships/hyperlink" Target="https://stockanalysis.com/etf/iau/" TargetMode="External"/><Relationship Id="rId171" Type="http://schemas.openxmlformats.org/officeDocument/2006/relationships/hyperlink" Target="https://stockanalysis.com/etf/cowz/" TargetMode="External"/><Relationship Id="rId192" Type="http://schemas.openxmlformats.org/officeDocument/2006/relationships/hyperlink" Target="https://stockanalysis.com/etf/vug/" TargetMode="External"/><Relationship Id="rId12" Type="http://schemas.openxmlformats.org/officeDocument/2006/relationships/hyperlink" Target="https://stockanalysis.com/etf/oef/" TargetMode="External"/><Relationship Id="rId33" Type="http://schemas.openxmlformats.org/officeDocument/2006/relationships/hyperlink" Target="https://stockanalysis.com/etf/dia/" TargetMode="External"/><Relationship Id="rId108" Type="http://schemas.openxmlformats.org/officeDocument/2006/relationships/hyperlink" Target="https://stockanalysis.com/etf/igib/" TargetMode="External"/><Relationship Id="rId129" Type="http://schemas.openxmlformats.org/officeDocument/2006/relationships/hyperlink" Target="https://stockanalysis.com/etf/mub/" TargetMode="External"/><Relationship Id="rId54" Type="http://schemas.openxmlformats.org/officeDocument/2006/relationships/hyperlink" Target="https://stockanalysis.com/etf/idev/" TargetMode="External"/><Relationship Id="rId75" Type="http://schemas.openxmlformats.org/officeDocument/2006/relationships/hyperlink" Target="https://stockanalysis.com/etf/vea/" TargetMode="External"/><Relationship Id="rId96" Type="http://schemas.openxmlformats.org/officeDocument/2006/relationships/hyperlink" Target="https://stockanalysis.com/etf/amlp/" TargetMode="External"/><Relationship Id="rId140" Type="http://schemas.openxmlformats.org/officeDocument/2006/relationships/hyperlink" Target="https://stockanalysis.com/etf/vmbs/" TargetMode="External"/><Relationship Id="rId161" Type="http://schemas.openxmlformats.org/officeDocument/2006/relationships/hyperlink" Target="https://stockanalysis.com/etf/iwr/" TargetMode="External"/><Relationship Id="rId182" Type="http://schemas.openxmlformats.org/officeDocument/2006/relationships/hyperlink" Target="https://stockanalysis.com/etf/spy/" TargetMode="External"/><Relationship Id="rId6" Type="http://schemas.openxmlformats.org/officeDocument/2006/relationships/hyperlink" Target="https://stockanalysis.com/etf/voog/" TargetMode="External"/><Relationship Id="rId23" Type="http://schemas.openxmlformats.org/officeDocument/2006/relationships/hyperlink" Target="https://stockanalysis.com/etf/vot/" TargetMode="External"/><Relationship Id="rId119" Type="http://schemas.openxmlformats.org/officeDocument/2006/relationships/hyperlink" Target="https://stockanalysis.com/etf/vtip/" TargetMode="External"/><Relationship Id="rId44" Type="http://schemas.openxmlformats.org/officeDocument/2006/relationships/hyperlink" Target="https://stockanalysis.com/etf/dfic/" TargetMode="External"/><Relationship Id="rId65" Type="http://schemas.openxmlformats.org/officeDocument/2006/relationships/hyperlink" Target="https://stockanalysis.com/etf/dfiv/" TargetMode="External"/><Relationship Id="rId86" Type="http://schemas.openxmlformats.org/officeDocument/2006/relationships/hyperlink" Target="https://stockanalysis.com/etf/ibit/" TargetMode="External"/><Relationship Id="rId130" Type="http://schemas.openxmlformats.org/officeDocument/2006/relationships/hyperlink" Target="https://stockanalysis.com/etf/govt/" TargetMode="External"/><Relationship Id="rId151" Type="http://schemas.openxmlformats.org/officeDocument/2006/relationships/hyperlink" Target="https://stockanalysis.com/etf/tqqq/" TargetMode="External"/><Relationship Id="rId172" Type="http://schemas.openxmlformats.org/officeDocument/2006/relationships/hyperlink" Target="https://stockanalysis.com/etf/dfat/" TargetMode="External"/><Relationship Id="rId193" Type="http://schemas.openxmlformats.org/officeDocument/2006/relationships/hyperlink" Target="https://stockanalysis.com/etf/iwp/" TargetMode="External"/><Relationship Id="rId13" Type="http://schemas.openxmlformats.org/officeDocument/2006/relationships/hyperlink" Target="https://stockanalysis.com/etf/vb/" TargetMode="External"/><Relationship Id="rId109" Type="http://schemas.openxmlformats.org/officeDocument/2006/relationships/hyperlink" Target="https://stockanalysis.com/etf/jpst/" TargetMode="External"/><Relationship Id="rId34" Type="http://schemas.openxmlformats.org/officeDocument/2006/relationships/hyperlink" Target="https://stockanalysis.com/etf/schx/" TargetMode="External"/><Relationship Id="rId55" Type="http://schemas.openxmlformats.org/officeDocument/2006/relationships/hyperlink" Target="https://stockanalysis.com/etf/iwd/" TargetMode="External"/><Relationship Id="rId76" Type="http://schemas.openxmlformats.org/officeDocument/2006/relationships/hyperlink" Target="https://stockanalysis.com/etf/iqlt/" TargetMode="External"/><Relationship Id="rId97" Type="http://schemas.openxmlformats.org/officeDocument/2006/relationships/hyperlink" Target="https://stockanalysis.com/etf/xlv/" TargetMode="External"/><Relationship Id="rId120" Type="http://schemas.openxmlformats.org/officeDocument/2006/relationships/hyperlink" Target="https://stockanalysis.com/etf/vteb/" TargetMode="External"/><Relationship Id="rId141" Type="http://schemas.openxmlformats.org/officeDocument/2006/relationships/hyperlink" Target="https://stockanalysis.com/etf/ief/" TargetMode="External"/><Relationship Id="rId7" Type="http://schemas.openxmlformats.org/officeDocument/2006/relationships/hyperlink" Target="https://stockanalysis.com/etf/iyw/" TargetMode="External"/><Relationship Id="rId162" Type="http://schemas.openxmlformats.org/officeDocument/2006/relationships/hyperlink" Target="https://stockanalysis.com/etf/spsm/" TargetMode="External"/><Relationship Id="rId183" Type="http://schemas.openxmlformats.org/officeDocument/2006/relationships/hyperlink" Target="https://stockanalysis.com/etf/iwf/" TargetMode="External"/><Relationship Id="rId2" Type="http://schemas.openxmlformats.org/officeDocument/2006/relationships/hyperlink" Target="https://stockanalysis.com/etf/vbr/" TargetMode="External"/><Relationship Id="rId29" Type="http://schemas.openxmlformats.org/officeDocument/2006/relationships/hyperlink" Target="https://stockanalysis.com/etf/vtwo/" TargetMode="External"/><Relationship Id="rId24" Type="http://schemas.openxmlformats.org/officeDocument/2006/relationships/hyperlink" Target="https://stockanalysis.com/etf/dfus/" TargetMode="External"/><Relationship Id="rId40" Type="http://schemas.openxmlformats.org/officeDocument/2006/relationships/hyperlink" Target="https://stockanalysis.com/etf/moat/" TargetMode="External"/><Relationship Id="rId45" Type="http://schemas.openxmlformats.org/officeDocument/2006/relationships/hyperlink" Target="https://stockanalysis.com/etf/ive/" TargetMode="External"/><Relationship Id="rId66" Type="http://schemas.openxmlformats.org/officeDocument/2006/relationships/hyperlink" Target="https://stockanalysis.com/etf/fndf/" TargetMode="External"/><Relationship Id="rId87" Type="http://schemas.openxmlformats.org/officeDocument/2006/relationships/hyperlink" Target="https://stockanalysis.com/etf/jepi/" TargetMode="External"/><Relationship Id="rId110" Type="http://schemas.openxmlformats.org/officeDocument/2006/relationships/hyperlink" Target="https://stockanalysis.com/etf/puls/" TargetMode="External"/><Relationship Id="rId115" Type="http://schemas.openxmlformats.org/officeDocument/2006/relationships/hyperlink" Target="https://stockanalysis.com/etf/shy/" TargetMode="External"/><Relationship Id="rId131" Type="http://schemas.openxmlformats.org/officeDocument/2006/relationships/hyperlink" Target="https://stockanalysis.com/etf/fbnd/" TargetMode="External"/><Relationship Id="rId136" Type="http://schemas.openxmlformats.org/officeDocument/2006/relationships/hyperlink" Target="https://stockanalysis.com/etf/agg/" TargetMode="External"/><Relationship Id="rId157" Type="http://schemas.openxmlformats.org/officeDocument/2006/relationships/hyperlink" Target="https://stockanalysis.com/etf/voo/" TargetMode="External"/><Relationship Id="rId178" Type="http://schemas.openxmlformats.org/officeDocument/2006/relationships/hyperlink" Target="https://stockanalysis.com/etf/ivw/" TargetMode="External"/><Relationship Id="rId61" Type="http://schemas.openxmlformats.org/officeDocument/2006/relationships/hyperlink" Target="https://stockanalysis.com/etf/schv/" TargetMode="External"/><Relationship Id="rId82" Type="http://schemas.openxmlformats.org/officeDocument/2006/relationships/hyperlink" Target="https://stockanalysis.com/etf/vwo/" TargetMode="External"/><Relationship Id="rId152" Type="http://schemas.openxmlformats.org/officeDocument/2006/relationships/hyperlink" Target="https://stockanalysis.com/etf/mgk/" TargetMode="External"/><Relationship Id="rId173" Type="http://schemas.openxmlformats.org/officeDocument/2006/relationships/hyperlink" Target="https://stockanalysis.com/etf/ixus/" TargetMode="External"/><Relationship Id="rId194" Type="http://schemas.openxmlformats.org/officeDocument/2006/relationships/hyperlink" Target="https://stockanalysis.com/etf/mtum/" TargetMode="External"/><Relationship Id="rId199" Type="http://schemas.openxmlformats.org/officeDocument/2006/relationships/hyperlink" Target="https://stockanalysis.com/etf/soxl/" TargetMode="External"/><Relationship Id="rId203" Type="http://schemas.openxmlformats.org/officeDocument/2006/relationships/table" Target="../tables/table7.xml"/><Relationship Id="rId19" Type="http://schemas.openxmlformats.org/officeDocument/2006/relationships/hyperlink" Target="https://stockanalysis.com/etf/dynf/" TargetMode="External"/><Relationship Id="rId14" Type="http://schemas.openxmlformats.org/officeDocument/2006/relationships/hyperlink" Target="https://stockanalysis.com/etf/vfh/" TargetMode="External"/><Relationship Id="rId30" Type="http://schemas.openxmlformats.org/officeDocument/2006/relationships/hyperlink" Target="https://stockanalysis.com/etf/iwv/" TargetMode="External"/><Relationship Id="rId35" Type="http://schemas.openxmlformats.org/officeDocument/2006/relationships/hyperlink" Target="https://stockanalysis.com/etf/acwi/" TargetMode="External"/><Relationship Id="rId56" Type="http://schemas.openxmlformats.org/officeDocument/2006/relationships/hyperlink" Target="https://stockanalysis.com/etf/vig/" TargetMode="External"/><Relationship Id="rId77" Type="http://schemas.openxmlformats.org/officeDocument/2006/relationships/hyperlink" Target="https://stockanalysis.com/etf/vtv/" TargetMode="External"/><Relationship Id="rId100" Type="http://schemas.openxmlformats.org/officeDocument/2006/relationships/hyperlink" Target="https://stockanalysis.com/etf/xlu/" TargetMode="External"/><Relationship Id="rId105" Type="http://schemas.openxmlformats.org/officeDocument/2006/relationships/hyperlink" Target="https://stockanalysis.com/etf/jaaa/" TargetMode="External"/><Relationship Id="rId126" Type="http://schemas.openxmlformats.org/officeDocument/2006/relationships/hyperlink" Target="https://stockanalysis.com/etf/bndx/" TargetMode="External"/><Relationship Id="rId147" Type="http://schemas.openxmlformats.org/officeDocument/2006/relationships/hyperlink" Target="https://stockanalysis.com/etf/mbb/" TargetMode="External"/><Relationship Id="rId168" Type="http://schemas.openxmlformats.org/officeDocument/2006/relationships/hyperlink" Target="https://stockanalysis.com/etf/dfas/" TargetMode="External"/><Relationship Id="rId8" Type="http://schemas.openxmlformats.org/officeDocument/2006/relationships/hyperlink" Target="https://stockanalysis.com/etf/rdvy/" TargetMode="External"/><Relationship Id="rId51" Type="http://schemas.openxmlformats.org/officeDocument/2006/relationships/hyperlink" Target="https://stockanalysis.com/etf/avde/" TargetMode="External"/><Relationship Id="rId72" Type="http://schemas.openxmlformats.org/officeDocument/2006/relationships/hyperlink" Target="https://stockanalysis.com/etf/schf/" TargetMode="External"/><Relationship Id="rId93" Type="http://schemas.openxmlformats.org/officeDocument/2006/relationships/hyperlink" Target="https://stockanalysis.com/etf/schd/" TargetMode="External"/><Relationship Id="rId98" Type="http://schemas.openxmlformats.org/officeDocument/2006/relationships/hyperlink" Target="https://stockanalysis.com/etf/sdy/" TargetMode="External"/><Relationship Id="rId121" Type="http://schemas.openxmlformats.org/officeDocument/2006/relationships/hyperlink" Target="https://stockanalysis.com/etf/vgit/" TargetMode="External"/><Relationship Id="rId142" Type="http://schemas.openxmlformats.org/officeDocument/2006/relationships/hyperlink" Target="https://stockanalysis.com/etf/stip/" TargetMode="External"/><Relationship Id="rId163" Type="http://schemas.openxmlformats.org/officeDocument/2006/relationships/hyperlink" Target="https://stockanalysis.com/etf/iwo/" TargetMode="External"/><Relationship Id="rId184" Type="http://schemas.openxmlformats.org/officeDocument/2006/relationships/hyperlink" Target="https://stockanalysis.com/etf/schb/" TargetMode="External"/><Relationship Id="rId189" Type="http://schemas.openxmlformats.org/officeDocument/2006/relationships/hyperlink" Target="https://stockanalysis.com/etf/spmo/" TargetMode="External"/><Relationship Id="rId3" Type="http://schemas.openxmlformats.org/officeDocument/2006/relationships/hyperlink" Target="https://stockanalysis.com/etf/xlk/" TargetMode="External"/><Relationship Id="rId25" Type="http://schemas.openxmlformats.org/officeDocument/2006/relationships/hyperlink" Target="https://stockanalysis.com/etf/iusv/" TargetMode="External"/><Relationship Id="rId46" Type="http://schemas.openxmlformats.org/officeDocument/2006/relationships/hyperlink" Target="https://stockanalysis.com/etf/ewy/" TargetMode="External"/><Relationship Id="rId67" Type="http://schemas.openxmlformats.org/officeDocument/2006/relationships/hyperlink" Target="https://stockanalysis.com/etf/vonv/" TargetMode="External"/><Relationship Id="rId116" Type="http://schemas.openxmlformats.org/officeDocument/2006/relationships/hyperlink" Target="https://stockanalysis.com/etf/vcsh/" TargetMode="External"/><Relationship Id="rId137" Type="http://schemas.openxmlformats.org/officeDocument/2006/relationships/hyperlink" Target="https://stockanalysis.com/etf/iei/" TargetMode="External"/><Relationship Id="rId158" Type="http://schemas.openxmlformats.org/officeDocument/2006/relationships/hyperlink" Target="https://stockanalysis.com/etf/vong/" TargetMode="External"/><Relationship Id="rId20" Type="http://schemas.openxmlformats.org/officeDocument/2006/relationships/hyperlink" Target="https://stockanalysis.com/etf/avuv/" TargetMode="External"/><Relationship Id="rId41" Type="http://schemas.openxmlformats.org/officeDocument/2006/relationships/hyperlink" Target="https://stockanalysis.com/etf/vo/" TargetMode="External"/><Relationship Id="rId62" Type="http://schemas.openxmlformats.org/officeDocument/2006/relationships/hyperlink" Target="https://stockanalysis.com/etf/eem/" TargetMode="External"/><Relationship Id="rId83" Type="http://schemas.openxmlformats.org/officeDocument/2006/relationships/hyperlink" Target="https://stockanalysis.com/etf/slv/" TargetMode="External"/><Relationship Id="rId88" Type="http://schemas.openxmlformats.org/officeDocument/2006/relationships/hyperlink" Target="https://stockanalysis.com/etf/xle/" TargetMode="External"/><Relationship Id="rId111" Type="http://schemas.openxmlformats.org/officeDocument/2006/relationships/hyperlink" Target="https://stockanalysis.com/etf/scho/" TargetMode="External"/><Relationship Id="rId132" Type="http://schemas.openxmlformats.org/officeDocument/2006/relationships/hyperlink" Target="https://stockanalysis.com/etf/gld/" TargetMode="External"/><Relationship Id="rId153" Type="http://schemas.openxmlformats.org/officeDocument/2006/relationships/hyperlink" Target="https://stockanalysis.com/etf/gslc/" TargetMode="External"/><Relationship Id="rId174" Type="http://schemas.openxmlformats.org/officeDocument/2006/relationships/hyperlink" Target="https://stockanalysis.com/etf/iemg/" TargetMode="External"/><Relationship Id="rId179" Type="http://schemas.openxmlformats.org/officeDocument/2006/relationships/hyperlink" Target="https://stockanalysis.com/etf/spym/" TargetMode="External"/><Relationship Id="rId195" Type="http://schemas.openxmlformats.org/officeDocument/2006/relationships/hyperlink" Target="https://stockanalysis.com/etf/dgro/" TargetMode="External"/><Relationship Id="rId190" Type="http://schemas.openxmlformats.org/officeDocument/2006/relationships/hyperlink" Target="https://stockanalysis.com/etf/ita/" TargetMode="External"/><Relationship Id="rId204" Type="http://schemas.openxmlformats.org/officeDocument/2006/relationships/comments" Target="../comments7.xml"/><Relationship Id="rId15" Type="http://schemas.openxmlformats.org/officeDocument/2006/relationships/hyperlink" Target="https://stockanalysis.com/etf/cggr/" TargetMode="External"/><Relationship Id="rId36" Type="http://schemas.openxmlformats.org/officeDocument/2006/relationships/hyperlink" Target="https://stockanalysis.com/etf/mdy/" TargetMode="External"/><Relationship Id="rId57" Type="http://schemas.openxmlformats.org/officeDocument/2006/relationships/hyperlink" Target="https://stockanalysis.com/etf/emxc/" TargetMode="External"/><Relationship Id="rId106" Type="http://schemas.openxmlformats.org/officeDocument/2006/relationships/hyperlink" Target="https://stockanalysis.com/etf/iagg/" TargetMode="External"/><Relationship Id="rId127" Type="http://schemas.openxmlformats.org/officeDocument/2006/relationships/hyperlink" Target="https://stockanalysis.com/etf/mint/" TargetMode="External"/><Relationship Id="rId10" Type="http://schemas.openxmlformats.org/officeDocument/2006/relationships/hyperlink" Target="https://stockanalysis.com/etf/itot/" TargetMode="External"/><Relationship Id="rId31" Type="http://schemas.openxmlformats.org/officeDocument/2006/relationships/hyperlink" Target="https://stockanalysis.com/etf/avdv/" TargetMode="External"/><Relationship Id="rId52" Type="http://schemas.openxmlformats.org/officeDocument/2006/relationships/hyperlink" Target="https://stockanalysis.com/etf/dfax/" TargetMode="External"/><Relationship Id="rId73" Type="http://schemas.openxmlformats.org/officeDocument/2006/relationships/hyperlink" Target="https://stockanalysis.com/etf/fbtc/" TargetMode="External"/><Relationship Id="rId78" Type="http://schemas.openxmlformats.org/officeDocument/2006/relationships/hyperlink" Target="https://stockanalysis.com/etf/vss/" TargetMode="External"/><Relationship Id="rId94" Type="http://schemas.openxmlformats.org/officeDocument/2006/relationships/hyperlink" Target="https://stockanalysis.com/etf/gdx/" TargetMode="External"/><Relationship Id="rId99" Type="http://schemas.openxmlformats.org/officeDocument/2006/relationships/hyperlink" Target="https://stockanalysis.com/etf/vnq/" TargetMode="External"/><Relationship Id="rId101" Type="http://schemas.openxmlformats.org/officeDocument/2006/relationships/hyperlink" Target="https://stockanalysis.com/etf/pff/" TargetMode="External"/><Relationship Id="rId122" Type="http://schemas.openxmlformats.org/officeDocument/2006/relationships/hyperlink" Target="https://stockanalysis.com/etf/sgov/" TargetMode="External"/><Relationship Id="rId143" Type="http://schemas.openxmlformats.org/officeDocument/2006/relationships/hyperlink" Target="https://stockanalysis.com/etf/tlh/" TargetMode="External"/><Relationship Id="rId148" Type="http://schemas.openxmlformats.org/officeDocument/2006/relationships/hyperlink" Target="https://stockanalysis.com/etf/usfr/" TargetMode="External"/><Relationship Id="rId164" Type="http://schemas.openxmlformats.org/officeDocument/2006/relationships/hyperlink" Target="https://stockanalysis.com/etf/ivv/" TargetMode="External"/><Relationship Id="rId169" Type="http://schemas.openxmlformats.org/officeDocument/2006/relationships/hyperlink" Target="https://stockanalysis.com/etf/bbjp/" TargetMode="External"/><Relationship Id="rId185" Type="http://schemas.openxmlformats.org/officeDocument/2006/relationships/hyperlink" Target="https://stockanalysis.com/etf/sptm/" TargetMode="External"/><Relationship Id="rId4" Type="http://schemas.openxmlformats.org/officeDocument/2006/relationships/hyperlink" Target="https://stockanalysis.com/etf/vgt/" TargetMode="External"/><Relationship Id="rId9" Type="http://schemas.openxmlformats.org/officeDocument/2006/relationships/hyperlink" Target="https://stockanalysis.com/etf/xlg/" TargetMode="External"/><Relationship Id="rId180" Type="http://schemas.openxmlformats.org/officeDocument/2006/relationships/hyperlink" Target="https://stockanalysis.com/etf/ftec/" TargetMode="External"/><Relationship Id="rId26" Type="http://schemas.openxmlformats.org/officeDocument/2006/relationships/hyperlink" Target="https://stockanalysis.com/etf/iwy/" TargetMode="External"/><Relationship Id="rId47" Type="http://schemas.openxmlformats.org/officeDocument/2006/relationships/hyperlink" Target="https://stockanalysis.com/etf/efa/" TargetMode="External"/><Relationship Id="rId68" Type="http://schemas.openxmlformats.org/officeDocument/2006/relationships/hyperlink" Target="https://stockanalysis.com/etf/voe/" TargetMode="External"/><Relationship Id="rId89" Type="http://schemas.openxmlformats.org/officeDocument/2006/relationships/hyperlink" Target="https://stockanalysis.com/etf/vht/" TargetMode="External"/><Relationship Id="rId112" Type="http://schemas.openxmlformats.org/officeDocument/2006/relationships/hyperlink" Target="https://stockanalysis.com/etf/bnd/" TargetMode="External"/><Relationship Id="rId133" Type="http://schemas.openxmlformats.org/officeDocument/2006/relationships/hyperlink" Target="https://stockanalysis.com/etf/igsb/" TargetMode="External"/><Relationship Id="rId154" Type="http://schemas.openxmlformats.org/officeDocument/2006/relationships/hyperlink" Target="https://stockanalysis.com/etf/esgu/" TargetMode="External"/><Relationship Id="rId175" Type="http://schemas.openxmlformats.org/officeDocument/2006/relationships/hyperlink" Target="https://stockanalysis.com/etf/dfuv/" TargetMode="External"/><Relationship Id="rId196" Type="http://schemas.openxmlformats.org/officeDocument/2006/relationships/hyperlink" Target="https://stockanalysis.com/etf/schg/" TargetMode="External"/><Relationship Id="rId200" Type="http://schemas.openxmlformats.org/officeDocument/2006/relationships/hyperlink" Target="https://stockanalysis.com/etf/iwb/" TargetMode="External"/><Relationship Id="rId16" Type="http://schemas.openxmlformats.org/officeDocument/2006/relationships/hyperlink" Target="https://stockanalysis.com/etf/esgv/" TargetMode="External"/><Relationship Id="rId37" Type="http://schemas.openxmlformats.org/officeDocument/2006/relationships/hyperlink" Target="https://stockanalysis.com/etf/ijr/" TargetMode="External"/><Relationship Id="rId58" Type="http://schemas.openxmlformats.org/officeDocument/2006/relationships/hyperlink" Target="https://stockanalysis.com/etf/iefa/" TargetMode="External"/><Relationship Id="rId79" Type="http://schemas.openxmlformats.org/officeDocument/2006/relationships/hyperlink" Target="https://stockanalysis.com/etf/vgk/" TargetMode="External"/><Relationship Id="rId102" Type="http://schemas.openxmlformats.org/officeDocument/2006/relationships/hyperlink" Target="https://stockanalysis.com/etf/xlp/" TargetMode="External"/><Relationship Id="rId123" Type="http://schemas.openxmlformats.org/officeDocument/2006/relationships/hyperlink" Target="https://stockanalysis.com/etf/binc/" TargetMode="External"/><Relationship Id="rId144" Type="http://schemas.openxmlformats.org/officeDocument/2006/relationships/hyperlink" Target="https://stockanalysis.com/etf/tlt/" TargetMode="External"/><Relationship Id="rId90" Type="http://schemas.openxmlformats.org/officeDocument/2006/relationships/hyperlink" Target="https://stockanalysis.com/etf/hdv/" TargetMode="External"/><Relationship Id="rId165" Type="http://schemas.openxmlformats.org/officeDocument/2006/relationships/hyperlink" Target="https://stockanalysis.com/etf/ijh/" TargetMode="External"/><Relationship Id="rId186" Type="http://schemas.openxmlformats.org/officeDocument/2006/relationships/hyperlink" Target="https://stockanalysis.com/etf/xlc/" TargetMode="External"/><Relationship Id="rId27" Type="http://schemas.openxmlformats.org/officeDocument/2006/relationships/hyperlink" Target="https://stockanalysis.com/etf/dgrw/" TargetMode="External"/><Relationship Id="rId48" Type="http://schemas.openxmlformats.org/officeDocument/2006/relationships/hyperlink" Target="https://stockanalysis.com/etf/fndx/" TargetMode="External"/><Relationship Id="rId69" Type="http://schemas.openxmlformats.org/officeDocument/2006/relationships/hyperlink" Target="https://stockanalysis.com/etf/vxus/" TargetMode="External"/><Relationship Id="rId113" Type="http://schemas.openxmlformats.org/officeDocument/2006/relationships/hyperlink" Target="https://stockanalysis.com/etf/iusb/" TargetMode="External"/><Relationship Id="rId134" Type="http://schemas.openxmlformats.org/officeDocument/2006/relationships/hyperlink" Target="https://stockanalysis.com/etf/schr/" TargetMode="External"/><Relationship Id="rId80" Type="http://schemas.openxmlformats.org/officeDocument/2006/relationships/hyperlink" Target="https://stockanalysis.com/etf/scz/" TargetMode="External"/><Relationship Id="rId155" Type="http://schemas.openxmlformats.org/officeDocument/2006/relationships/hyperlink" Target="https://stockanalysis.com/etf/vv/" TargetMode="External"/><Relationship Id="rId176" Type="http://schemas.openxmlformats.org/officeDocument/2006/relationships/hyperlink" Target="https://stockanalysis.com/etf/avus/" TargetMode="External"/><Relationship Id="rId197" Type="http://schemas.openxmlformats.org/officeDocument/2006/relationships/hyperlink" Target="https://stockanalysis.com/etf/iusg/" TargetMode="External"/><Relationship Id="rId201" Type="http://schemas.openxmlformats.org/officeDocument/2006/relationships/drawing" Target="../drawings/drawing8.xml"/><Relationship Id="rId17" Type="http://schemas.openxmlformats.org/officeDocument/2006/relationships/hyperlink" Target="https://stockanalysis.com/etf/xly/" TargetMode="External"/><Relationship Id="rId38" Type="http://schemas.openxmlformats.org/officeDocument/2006/relationships/hyperlink" Target="https://stockanalysis.com/etf/schm/" TargetMode="External"/><Relationship Id="rId59" Type="http://schemas.openxmlformats.org/officeDocument/2006/relationships/hyperlink" Target="https://stockanalysis.com/etf/iws/" TargetMode="External"/><Relationship Id="rId103" Type="http://schemas.openxmlformats.org/officeDocument/2006/relationships/hyperlink" Target="https://stockanalysis.com/etf/hyg/" TargetMode="External"/><Relationship Id="rId124" Type="http://schemas.openxmlformats.org/officeDocument/2006/relationships/hyperlink" Target="https://stockanalysis.com/etf/bil/" TargetMode="External"/><Relationship Id="rId70" Type="http://schemas.openxmlformats.org/officeDocument/2006/relationships/hyperlink" Target="https://stockanalysis.com/etf/sche/" TargetMode="External"/><Relationship Id="rId91" Type="http://schemas.openxmlformats.org/officeDocument/2006/relationships/hyperlink" Target="https://stockanalysis.com/etf/nobl/" TargetMode="External"/><Relationship Id="rId145" Type="http://schemas.openxmlformats.org/officeDocument/2006/relationships/hyperlink" Target="https://stockanalysis.com/etf/pyld/" TargetMode="External"/><Relationship Id="rId166" Type="http://schemas.openxmlformats.org/officeDocument/2006/relationships/hyperlink" Target="https://stockanalysis.com/etf/ewj/" TargetMode="External"/><Relationship Id="rId187" Type="http://schemas.openxmlformats.org/officeDocument/2006/relationships/hyperlink" Target="https://stockanalysis.com/etf/soxx/" TargetMode="External"/><Relationship Id="rId1" Type="http://schemas.openxmlformats.org/officeDocument/2006/relationships/hyperlink" Target="https://stockanalysis.com/etf/dfac/" TargetMode="External"/><Relationship Id="rId28" Type="http://schemas.openxmlformats.org/officeDocument/2006/relationships/hyperlink" Target="https://stockanalysis.com/etf/cgdv/" TargetMode="External"/><Relationship Id="rId49" Type="http://schemas.openxmlformats.org/officeDocument/2006/relationships/hyperlink" Target="https://stockanalysis.com/etf/spyv/" TargetMode="External"/><Relationship Id="rId114" Type="http://schemas.openxmlformats.org/officeDocument/2006/relationships/hyperlink" Target="https://stockanalysis.com/etf/schp/" TargetMode="External"/><Relationship Id="rId60" Type="http://schemas.openxmlformats.org/officeDocument/2006/relationships/hyperlink" Target="https://stockanalysis.com/etf/avem/" TargetMode="External"/><Relationship Id="rId81" Type="http://schemas.openxmlformats.org/officeDocument/2006/relationships/hyperlink" Target="https://stockanalysis.com/etf/efv/" TargetMode="External"/><Relationship Id="rId135" Type="http://schemas.openxmlformats.org/officeDocument/2006/relationships/hyperlink" Target="https://stockanalysis.com/etf/biv/" TargetMode="External"/><Relationship Id="rId156" Type="http://schemas.openxmlformats.org/officeDocument/2006/relationships/hyperlink" Target="https://stockanalysis.com/etf/jepq/" TargetMode="External"/><Relationship Id="rId177" Type="http://schemas.openxmlformats.org/officeDocument/2006/relationships/hyperlink" Target="https://stockanalysis.com/etf/qqq/" TargetMode="External"/><Relationship Id="rId198" Type="http://schemas.openxmlformats.org/officeDocument/2006/relationships/hyperlink" Target="https://stockanalysis.com/etf/vti/" TargetMode="External"/><Relationship Id="rId202" Type="http://schemas.openxmlformats.org/officeDocument/2006/relationships/vmlDrawing" Target="../drawings/vmlDrawing7.vml"/><Relationship Id="rId18" Type="http://schemas.openxmlformats.org/officeDocument/2006/relationships/hyperlink" Target="https://stockanalysis.com/etf/pave/" TargetMode="External"/><Relationship Id="rId39" Type="http://schemas.openxmlformats.org/officeDocument/2006/relationships/hyperlink" Target="https://stockanalysis.com/etf/qual/" TargetMode="External"/><Relationship Id="rId50" Type="http://schemas.openxmlformats.org/officeDocument/2006/relationships/hyperlink" Target="https://stockanalysis.com/etf/esgd/" TargetMode="External"/><Relationship Id="rId104" Type="http://schemas.openxmlformats.org/officeDocument/2006/relationships/hyperlink" Target="https://stockanalysis.com/etf/ushy/" TargetMode="External"/><Relationship Id="rId125" Type="http://schemas.openxmlformats.org/officeDocument/2006/relationships/hyperlink" Target="https://stockanalysis.com/etf/shv/" TargetMode="External"/><Relationship Id="rId146" Type="http://schemas.openxmlformats.org/officeDocument/2006/relationships/hyperlink" Target="https://stockanalysis.com/etf/lqd/" TargetMode="External"/><Relationship Id="rId167" Type="http://schemas.openxmlformats.org/officeDocument/2006/relationships/hyperlink" Target="https://stockanalysis.com/etf/xlf/" TargetMode="External"/><Relationship Id="rId188" Type="http://schemas.openxmlformats.org/officeDocument/2006/relationships/hyperlink" Target="https://stockanalysis.com/etf/smh/" TargetMode="External"/><Relationship Id="rId71" Type="http://schemas.openxmlformats.org/officeDocument/2006/relationships/hyperlink" Target="https://stockanalysis.com/etf/veu/" TargetMode="External"/><Relationship Id="rId92" Type="http://schemas.openxmlformats.org/officeDocument/2006/relationships/hyperlink" Target="https://stockanalysis.com/etf/vym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6EB0A-507E-4253-B0C9-9037B82FD1DA}">
  <dimension ref="A1:N81"/>
  <sheetViews>
    <sheetView topLeftCell="A45" zoomScale="73" zoomScaleNormal="90" workbookViewId="0">
      <selection activeCell="H21" sqref="H21"/>
    </sheetView>
  </sheetViews>
  <sheetFormatPr defaultRowHeight="14.4" x14ac:dyDescent="0.3"/>
  <cols>
    <col min="1" max="1" width="14.109375" customWidth="1"/>
    <col min="2" max="2" width="30.44140625" customWidth="1"/>
    <col min="3" max="3" width="27.33203125" customWidth="1"/>
    <col min="4" max="4" width="26.109375" customWidth="1"/>
    <col min="5" max="5" width="36.5546875" bestFit="1" customWidth="1"/>
    <col min="6" max="6" width="19.5546875" customWidth="1"/>
    <col min="8" max="8" width="22.33203125" customWidth="1"/>
    <col min="10" max="10" width="14.6640625" customWidth="1"/>
    <col min="14" max="14" width="26.5546875" customWidth="1"/>
  </cols>
  <sheetData>
    <row r="1" spans="1:14" ht="23.25" customHeight="1" x14ac:dyDescent="0.3">
      <c r="A1" s="141" t="s">
        <v>0</v>
      </c>
      <c r="B1" s="141"/>
      <c r="C1" s="141"/>
      <c r="D1" s="139"/>
    </row>
    <row r="2" spans="1:14" ht="46.95" customHeight="1" x14ac:dyDescent="0.3">
      <c r="A2" s="140" t="s">
        <v>1</v>
      </c>
      <c r="B2" s="140"/>
      <c r="C2" s="122"/>
      <c r="D2" s="122"/>
      <c r="E2" s="122"/>
      <c r="F2" s="126"/>
      <c r="G2" s="126"/>
      <c r="H2" s="126"/>
      <c r="I2" s="122"/>
      <c r="J2" s="122"/>
      <c r="K2" s="122"/>
      <c r="L2" s="122"/>
    </row>
    <row r="3" spans="1:14" ht="15.6" x14ac:dyDescent="0.3">
      <c r="A3" s="138" t="s">
        <v>2</v>
      </c>
      <c r="B3" s="138" t="s">
        <v>3</v>
      </c>
      <c r="C3" s="138" t="s">
        <v>4</v>
      </c>
      <c r="D3" s="138" t="s">
        <v>5</v>
      </c>
      <c r="E3" s="137" t="s">
        <v>6</v>
      </c>
      <c r="F3" s="136" t="s">
        <v>7</v>
      </c>
      <c r="G3" s="135" t="s">
        <v>8</v>
      </c>
      <c r="H3" s="135" t="s">
        <v>9</v>
      </c>
      <c r="I3" s="135" t="s">
        <v>8</v>
      </c>
      <c r="J3" s="135" t="s">
        <v>10</v>
      </c>
      <c r="K3" s="135" t="s">
        <v>8</v>
      </c>
      <c r="L3" s="122"/>
      <c r="N3" s="124"/>
    </row>
    <row r="4" spans="1:14" ht="15.6" x14ac:dyDescent="0.3">
      <c r="A4" s="122">
        <v>1</v>
      </c>
      <c r="B4" s="122">
        <f t="shared" ref="B4:B13" si="0">0.001 * 2^(A4-1)</f>
        <v>1E-3</v>
      </c>
      <c r="C4" s="122">
        <f>1 + (A4-1) * 41</f>
        <v>1</v>
      </c>
      <c r="D4" s="122">
        <f>SUM($B$4:B4)</f>
        <v>1E-3</v>
      </c>
      <c r="E4" s="122">
        <f>SUMPRODUCT($B$4:B4,$C$4:C4)/D4</f>
        <v>1</v>
      </c>
      <c r="F4" s="122">
        <f t="shared" ref="F4:F13" si="1">$C$16*(D4^$C$17)</f>
        <v>40.755839543204296</v>
      </c>
      <c r="G4" s="122">
        <f t="shared" ref="G4:G13" si="2">(E4-F4)^2</f>
        <v>1580.5267777850063</v>
      </c>
      <c r="H4" s="134">
        <f t="shared" ref="H4:H13" si="3">$E$16*SQRT(D4)+$E$17</f>
        <v>31.380357310078999</v>
      </c>
      <c r="I4" s="122">
        <f t="shared" ref="I4:I13" si="4">(E4-H4)^2</f>
        <v>922.96611028807047</v>
      </c>
      <c r="J4" s="133">
        <f t="shared" ref="J4:J13" si="5">$H$16+$H$17*LN(D4)</f>
        <v>-25.792616263071636</v>
      </c>
      <c r="K4" s="122">
        <f t="shared" ref="K4:K13" si="6">(E4-J4)^2</f>
        <v>717.84428622021073</v>
      </c>
      <c r="L4" s="122"/>
      <c r="N4" s="124"/>
    </row>
    <row r="5" spans="1:14" ht="15.6" x14ac:dyDescent="0.3">
      <c r="A5" s="122">
        <v>2</v>
      </c>
      <c r="B5" s="122">
        <f t="shared" si="0"/>
        <v>2E-3</v>
      </c>
      <c r="C5" s="122">
        <v>41</v>
      </c>
      <c r="D5" s="122">
        <f>SUM($B$4:B5)</f>
        <v>3.0000000000000001E-3</v>
      </c>
      <c r="E5" s="122">
        <f>SUMPRODUCT($B$4:B5,$C$4:C5)/D5</f>
        <v>27.666666666666668</v>
      </c>
      <c r="F5" s="122">
        <f t="shared" si="1"/>
        <v>57.393876846678594</v>
      </c>
      <c r="G5" s="122">
        <f t="shared" si="2"/>
        <v>883.70702508660474</v>
      </c>
      <c r="H5" s="134">
        <f t="shared" si="3"/>
        <v>43.259798345696979</v>
      </c>
      <c r="I5" s="122">
        <f t="shared" si="4"/>
        <v>243.14575555957865</v>
      </c>
      <c r="J5" s="133">
        <f t="shared" si="5"/>
        <v>28.019672271964907</v>
      </c>
      <c r="K5" s="122">
        <f t="shared" si="6"/>
        <v>0.12461295737197649</v>
      </c>
      <c r="L5" s="122"/>
    </row>
    <row r="6" spans="1:14" ht="15.6" x14ac:dyDescent="0.3">
      <c r="A6" s="122">
        <v>3</v>
      </c>
      <c r="B6" s="122">
        <f t="shared" si="0"/>
        <v>4.0000000000000001E-3</v>
      </c>
      <c r="C6" s="122">
        <f t="shared" ref="C6:C13" si="7">C5+41</f>
        <v>82</v>
      </c>
      <c r="D6" s="122">
        <f>SUM($B$4:B6)</f>
        <v>7.0000000000000001E-3</v>
      </c>
      <c r="E6" s="122">
        <f>SUMPRODUCT($B$4:B6,$C$4:C6)/D6</f>
        <v>58.714285714285715</v>
      </c>
      <c r="F6" s="122">
        <f t="shared" si="1"/>
        <v>74.73615995893752</v>
      </c>
      <c r="G6" s="122">
        <f t="shared" si="2"/>
        <v>256.70045431143683</v>
      </c>
      <c r="H6" s="134">
        <f t="shared" si="3"/>
        <v>58.086981299757888</v>
      </c>
      <c r="I6" s="122">
        <f t="shared" si="4"/>
        <v>0.39351082848610069</v>
      </c>
      <c r="J6" s="133">
        <f t="shared" si="5"/>
        <v>69.522063432682728</v>
      </c>
      <c r="K6" s="122">
        <f t="shared" si="6"/>
        <v>116.80805921027894</v>
      </c>
      <c r="L6" s="122"/>
    </row>
    <row r="7" spans="1:14" ht="15.6" x14ac:dyDescent="0.3">
      <c r="A7" s="122">
        <v>4</v>
      </c>
      <c r="B7" s="122">
        <f t="shared" si="0"/>
        <v>8.0000000000000002E-3</v>
      </c>
      <c r="C7" s="122">
        <f t="shared" si="7"/>
        <v>123</v>
      </c>
      <c r="D7" s="122">
        <f>SUM($B$4:B7)</f>
        <v>1.4999999999999999E-2</v>
      </c>
      <c r="E7" s="122">
        <f>SUMPRODUCT($B$4:B7,$C$4:C7)/D7</f>
        <v>93</v>
      </c>
      <c r="F7" s="122">
        <f t="shared" si="1"/>
        <v>94.770146327512023</v>
      </c>
      <c r="G7" s="122">
        <f t="shared" si="2"/>
        <v>3.133418020804303</v>
      </c>
      <c r="H7" s="134">
        <f t="shared" si="3"/>
        <v>78.002034254779673</v>
      </c>
      <c r="I7" s="122">
        <f t="shared" si="4"/>
        <v>224.93897649480232</v>
      </c>
      <c r="J7" s="133">
        <f t="shared" si="5"/>
        <v>106.85325006502634</v>
      </c>
      <c r="K7" s="122">
        <f t="shared" si="6"/>
        <v>191.91253736415243</v>
      </c>
      <c r="L7" s="122"/>
    </row>
    <row r="8" spans="1:14" ht="15.6" x14ac:dyDescent="0.3">
      <c r="A8" s="122">
        <v>5</v>
      </c>
      <c r="B8" s="122">
        <f t="shared" si="0"/>
        <v>1.6E-2</v>
      </c>
      <c r="C8" s="122">
        <f t="shared" si="7"/>
        <v>164</v>
      </c>
      <c r="D8" s="122">
        <f>SUM($B$4:B8)</f>
        <v>3.1E-2</v>
      </c>
      <c r="E8" s="122">
        <f>SUMPRODUCT($B$4:B8,$C$4:C8)/D8</f>
        <v>129.64516129032259</v>
      </c>
      <c r="F8" s="122">
        <f t="shared" si="1"/>
        <v>118.82640204938562</v>
      </c>
      <c r="G8" s="122">
        <f t="shared" si="2"/>
        <v>117.04555151335909</v>
      </c>
      <c r="H8" s="134">
        <f t="shared" si="3"/>
        <v>105.5042935885468</v>
      </c>
      <c r="I8" s="122">
        <f t="shared" si="4"/>
        <v>582.78149339464153</v>
      </c>
      <c r="J8" s="133">
        <f t="shared" si="5"/>
        <v>142.41113694399215</v>
      </c>
      <c r="K8" s="122">
        <f t="shared" si="6"/>
        <v>162.97013439008387</v>
      </c>
      <c r="L8" s="122"/>
    </row>
    <row r="9" spans="1:14" ht="15.6" x14ac:dyDescent="0.3">
      <c r="A9" s="122">
        <v>6</v>
      </c>
      <c r="B9" s="122">
        <f t="shared" si="0"/>
        <v>3.2000000000000001E-2</v>
      </c>
      <c r="C9" s="122">
        <f t="shared" si="7"/>
        <v>205</v>
      </c>
      <c r="D9" s="122">
        <f>SUM($B$4:B9)</f>
        <v>6.3E-2</v>
      </c>
      <c r="E9" s="122">
        <f>SUMPRODUCT($B$4:B9,$C$4:C9)/D9</f>
        <v>167.92063492063494</v>
      </c>
      <c r="F9" s="122">
        <f t="shared" si="1"/>
        <v>148.21160659048138</v>
      </c>
      <c r="G9" s="122">
        <f t="shared" si="2"/>
        <v>388.44579771879552</v>
      </c>
      <c r="H9" s="134">
        <f t="shared" si="3"/>
        <v>143.9554657539426</v>
      </c>
      <c r="I9" s="122">
        <f t="shared" si="4"/>
        <v>574.32933318818095</v>
      </c>
      <c r="J9" s="133">
        <f t="shared" si="5"/>
        <v>177.14664050275582</v>
      </c>
      <c r="K9" s="122">
        <f t="shared" si="6"/>
        <v>85.119179001325577</v>
      </c>
      <c r="L9" s="122"/>
    </row>
    <row r="10" spans="1:14" ht="15.6" x14ac:dyDescent="0.3">
      <c r="A10" s="122">
        <v>7</v>
      </c>
      <c r="B10" s="122">
        <f t="shared" si="0"/>
        <v>6.4000000000000001E-2</v>
      </c>
      <c r="C10" s="122">
        <f t="shared" si="7"/>
        <v>246</v>
      </c>
      <c r="D10" s="122">
        <f>SUM($B$4:B10)</f>
        <v>0.127</v>
      </c>
      <c r="E10" s="122">
        <f>SUMPRODUCT($B$4:B10,$C$4:C10)/D10</f>
        <v>207.26771653543307</v>
      </c>
      <c r="F10" s="122">
        <f t="shared" si="1"/>
        <v>184.39789566596616</v>
      </c>
      <c r="G10" s="122">
        <f t="shared" si="2"/>
        <v>523.02870660150404</v>
      </c>
      <c r="H10" s="134">
        <f t="shared" si="3"/>
        <v>198.02870904882934</v>
      </c>
      <c r="I10" s="122">
        <f t="shared" si="4"/>
        <v>85.359259337519688</v>
      </c>
      <c r="J10" s="133">
        <f t="shared" si="5"/>
        <v>211.48562639179286</v>
      </c>
      <c r="K10" s="122">
        <f t="shared" si="6"/>
        <v>17.790763556377115</v>
      </c>
      <c r="L10" s="122"/>
    </row>
    <row r="11" spans="1:14" ht="15.6" x14ac:dyDescent="0.3">
      <c r="A11" s="122">
        <v>8</v>
      </c>
      <c r="B11" s="122">
        <f t="shared" si="0"/>
        <v>0.128</v>
      </c>
      <c r="C11" s="122">
        <f t="shared" si="7"/>
        <v>287</v>
      </c>
      <c r="D11" s="122">
        <f>SUM($B$4:B11)</f>
        <v>0.255</v>
      </c>
      <c r="E11" s="122">
        <f>SUMPRODUCT($B$4:B11,$C$4:C11)/D11</f>
        <v>247.29019607843139</v>
      </c>
      <c r="F11" s="122">
        <f t="shared" si="1"/>
        <v>229.13511269712961</v>
      </c>
      <c r="G11" s="122">
        <f t="shared" si="2"/>
        <v>329.60705258202006</v>
      </c>
      <c r="H11" s="134">
        <f t="shared" si="3"/>
        <v>274.28702160414525</v>
      </c>
      <c r="I11" s="122">
        <f t="shared" si="4"/>
        <v>728.82858846583542</v>
      </c>
      <c r="J11" s="133">
        <f t="shared" si="5"/>
        <v>245.62986445781104</v>
      </c>
      <c r="K11" s="122">
        <f t="shared" si="6"/>
        <v>2.7567010904318128</v>
      </c>
      <c r="L11" s="122"/>
    </row>
    <row r="12" spans="1:14" ht="15.6" x14ac:dyDescent="0.3">
      <c r="A12" s="122">
        <v>9</v>
      </c>
      <c r="B12" s="122">
        <f t="shared" si="0"/>
        <v>0.25600000000000001</v>
      </c>
      <c r="C12" s="122">
        <f t="shared" si="7"/>
        <v>328</v>
      </c>
      <c r="D12" s="122">
        <f>SUM($B$4:B12)</f>
        <v>0.51100000000000001</v>
      </c>
      <c r="E12" s="122">
        <f>SUMPRODUCT($B$4:B12,$C$4:C12)/D12</f>
        <v>287.72407045009788</v>
      </c>
      <c r="F12" s="122">
        <f t="shared" si="1"/>
        <v>284.55136525196997</v>
      </c>
      <c r="G12" s="122">
        <f t="shared" si="2"/>
        <v>10.06605827422789</v>
      </c>
      <c r="H12" s="134">
        <f t="shared" si="3"/>
        <v>381.98306546331276</v>
      </c>
      <c r="I12" s="122">
        <f t="shared" si="4"/>
        <v>8884.7581409012655</v>
      </c>
      <c r="J12" s="133">
        <f t="shared" si="5"/>
        <v>279.67758761205721</v>
      </c>
      <c r="K12" s="122">
        <f t="shared" si="6"/>
        <v>64.745886062883102</v>
      </c>
      <c r="L12" s="122"/>
    </row>
    <row r="13" spans="1:14" ht="15.6" x14ac:dyDescent="0.3">
      <c r="A13" s="122">
        <v>10</v>
      </c>
      <c r="B13" s="122">
        <f t="shared" si="0"/>
        <v>0.51200000000000001</v>
      </c>
      <c r="C13" s="122">
        <f t="shared" si="7"/>
        <v>369</v>
      </c>
      <c r="D13" s="122">
        <f>SUM($B$4:B13)</f>
        <v>1.0230000000000001</v>
      </c>
      <c r="E13" s="122">
        <f>SUMPRODUCT($B$4:B13,$C$4:C13)/D13</f>
        <v>328.40175953079176</v>
      </c>
      <c r="F13" s="122">
        <f t="shared" si="1"/>
        <v>353.26202993121183</v>
      </c>
      <c r="G13" s="122">
        <f t="shared" si="2"/>
        <v>618.03304438200189</v>
      </c>
      <c r="H13" s="134">
        <f t="shared" si="3"/>
        <v>534.18290420124151</v>
      </c>
      <c r="I13" s="122">
        <f t="shared" si="4"/>
        <v>42345.879501880569</v>
      </c>
      <c r="J13" s="133">
        <f t="shared" si="5"/>
        <v>313.67726577155059</v>
      </c>
      <c r="K13" s="122">
        <f t="shared" si="6"/>
        <v>216.81071646593216</v>
      </c>
      <c r="L13" s="122"/>
    </row>
    <row r="14" spans="1:14" ht="15.6" x14ac:dyDescent="0.3">
      <c r="A14" s="122"/>
      <c r="B14" s="122"/>
      <c r="C14" s="122"/>
      <c r="D14" s="122"/>
      <c r="E14" s="122"/>
      <c r="F14" s="122"/>
      <c r="G14" s="122"/>
      <c r="H14" s="122"/>
      <c r="I14" s="122"/>
      <c r="J14" s="122"/>
      <c r="K14" s="122"/>
      <c r="L14" s="122"/>
    </row>
    <row r="15" spans="1:14" ht="15.6" x14ac:dyDescent="0.3">
      <c r="A15" s="122"/>
      <c r="B15" s="122"/>
      <c r="C15" s="122"/>
      <c r="D15" s="122"/>
      <c r="E15" s="122"/>
      <c r="F15" s="122"/>
      <c r="G15" s="122"/>
      <c r="H15" s="122"/>
      <c r="I15" s="122"/>
      <c r="J15" s="122"/>
      <c r="K15" s="122"/>
      <c r="L15" s="122"/>
    </row>
    <row r="16" spans="1:14" ht="15.6" x14ac:dyDescent="0.3">
      <c r="A16" s="122"/>
      <c r="B16" s="122" t="s">
        <v>11</v>
      </c>
      <c r="C16" s="122">
        <v>350.76771585153801</v>
      </c>
      <c r="D16" s="122" t="s">
        <v>11</v>
      </c>
      <c r="E16" s="122">
        <v>513.16234629913606</v>
      </c>
      <c r="F16" s="122"/>
      <c r="G16" s="122" t="s">
        <v>11</v>
      </c>
      <c r="H16" s="122">
        <v>312.56343894969302</v>
      </c>
      <c r="I16" s="122"/>
      <c r="J16" s="122"/>
      <c r="K16" s="122"/>
      <c r="L16" s="122"/>
    </row>
    <row r="17" spans="1:12" ht="15.6" x14ac:dyDescent="0.3">
      <c r="A17" s="122"/>
      <c r="B17" s="122" t="s">
        <v>12</v>
      </c>
      <c r="C17" s="122">
        <v>0.31160992365331058</v>
      </c>
      <c r="D17" s="122" t="s">
        <v>12</v>
      </c>
      <c r="E17" s="122">
        <v>15.152739072665526</v>
      </c>
      <c r="F17" s="122"/>
      <c r="G17" s="122" t="s">
        <v>13</v>
      </c>
      <c r="H17" s="122">
        <v>48.982055899151902</v>
      </c>
      <c r="I17" s="122"/>
      <c r="J17" s="122"/>
      <c r="K17" s="122"/>
      <c r="L17" s="122"/>
    </row>
    <row r="18" spans="1:12" ht="15.6" x14ac:dyDescent="0.3">
      <c r="A18" s="122"/>
      <c r="B18" s="122" t="s">
        <v>14</v>
      </c>
      <c r="C18" s="122">
        <f>SUM(G4:G13)</f>
        <v>4710.2938862757601</v>
      </c>
      <c r="D18" s="122" t="s">
        <v>14</v>
      </c>
      <c r="E18" s="122">
        <f>SUM(I4:I11)</f>
        <v>3362.7430275571151</v>
      </c>
      <c r="F18" s="122"/>
      <c r="G18" s="122" t="s">
        <v>14</v>
      </c>
      <c r="H18" s="122">
        <f>SUM(K4:K13)</f>
        <v>1576.8828763190477</v>
      </c>
      <c r="I18" s="122"/>
      <c r="J18" s="122"/>
      <c r="K18" s="122"/>
      <c r="L18" s="122"/>
    </row>
    <row r="19" spans="1:12" ht="15.6" x14ac:dyDescent="0.3">
      <c r="A19" s="122"/>
      <c r="B19" s="122"/>
      <c r="C19" s="122"/>
      <c r="D19" s="122"/>
      <c r="E19" s="122"/>
      <c r="F19" s="122"/>
      <c r="G19" s="122"/>
      <c r="H19" s="122"/>
      <c r="I19" s="122"/>
      <c r="J19" s="122"/>
      <c r="K19" s="122"/>
      <c r="L19" s="122"/>
    </row>
    <row r="20" spans="1:12" ht="15.6" x14ac:dyDescent="0.3">
      <c r="A20" s="122"/>
      <c r="B20" s="122"/>
      <c r="C20" s="122"/>
      <c r="D20" s="122"/>
      <c r="E20" s="122"/>
      <c r="F20" s="122"/>
      <c r="G20" s="122"/>
      <c r="H20" s="122"/>
      <c r="I20" s="122"/>
      <c r="J20" s="122"/>
      <c r="K20" s="122"/>
      <c r="L20" s="122"/>
    </row>
    <row r="21" spans="1:12" ht="15.6" x14ac:dyDescent="0.3">
      <c r="A21" s="140" t="s">
        <v>15</v>
      </c>
      <c r="B21" s="140"/>
      <c r="C21" s="122"/>
      <c r="D21" s="122"/>
      <c r="E21" s="122"/>
      <c r="F21" s="122"/>
      <c r="G21" s="122"/>
      <c r="H21" s="122"/>
      <c r="I21" s="122"/>
      <c r="J21" s="122"/>
      <c r="K21" s="122"/>
      <c r="L21" s="122"/>
    </row>
    <row r="22" spans="1:12" ht="31.2" customHeight="1" x14ac:dyDescent="0.3">
      <c r="A22" s="142" t="s">
        <v>16</v>
      </c>
      <c r="B22" s="142"/>
      <c r="C22" s="122"/>
      <c r="D22" s="122"/>
      <c r="E22" s="122"/>
      <c r="F22" s="122"/>
      <c r="G22" s="122"/>
      <c r="H22" s="122"/>
      <c r="I22" s="122"/>
      <c r="J22" s="122"/>
      <c r="K22" s="122"/>
      <c r="L22" s="122"/>
    </row>
    <row r="23" spans="1:12" ht="15.6" x14ac:dyDescent="0.3">
      <c r="A23" s="132"/>
      <c r="B23" s="132"/>
      <c r="C23" s="122"/>
      <c r="D23" s="122"/>
      <c r="E23" s="122"/>
      <c r="F23" s="122"/>
      <c r="G23" s="122"/>
      <c r="H23" s="122"/>
      <c r="I23" s="122"/>
      <c r="J23" s="122"/>
      <c r="K23" s="122"/>
      <c r="L23" s="122"/>
    </row>
    <row r="24" spans="1:12" ht="15.6" x14ac:dyDescent="0.3">
      <c r="A24" s="122"/>
      <c r="B24" s="122"/>
      <c r="C24" s="122"/>
      <c r="D24" s="122"/>
      <c r="E24" s="122"/>
      <c r="F24" s="122"/>
      <c r="G24" s="122"/>
      <c r="H24" s="122"/>
      <c r="I24" s="122"/>
      <c r="J24" s="122"/>
      <c r="K24" s="122"/>
      <c r="L24" s="122"/>
    </row>
    <row r="25" spans="1:12" ht="15.6" x14ac:dyDescent="0.3">
      <c r="A25" s="122"/>
      <c r="B25" s="122"/>
      <c r="C25" s="122"/>
      <c r="D25" s="122"/>
      <c r="E25" s="122"/>
      <c r="F25" s="122"/>
      <c r="G25" s="122"/>
      <c r="H25" s="122"/>
      <c r="I25" s="122"/>
      <c r="J25" s="122"/>
      <c r="K25" s="122"/>
      <c r="L25" s="122"/>
    </row>
    <row r="26" spans="1:12" ht="15.6" x14ac:dyDescent="0.3">
      <c r="A26" s="122"/>
      <c r="B26" s="122"/>
      <c r="C26" s="122"/>
      <c r="D26" s="122"/>
      <c r="E26" s="122"/>
      <c r="F26" s="122"/>
      <c r="G26" s="122"/>
      <c r="H26" s="122"/>
      <c r="I26" s="122"/>
      <c r="J26" s="122"/>
      <c r="K26" s="122"/>
      <c r="L26" s="122"/>
    </row>
    <row r="27" spans="1:12" ht="15.6" x14ac:dyDescent="0.3">
      <c r="A27" s="122"/>
      <c r="B27" s="122"/>
      <c r="C27" s="122"/>
      <c r="D27" s="122"/>
      <c r="E27" s="122"/>
      <c r="F27" s="122"/>
      <c r="G27" s="122"/>
      <c r="H27" s="122"/>
      <c r="I27" s="122"/>
      <c r="J27" s="122"/>
      <c r="K27" s="122"/>
      <c r="L27" s="122"/>
    </row>
    <row r="28" spans="1:12" ht="15.6" x14ac:dyDescent="0.3">
      <c r="A28" s="122"/>
      <c r="B28" s="122"/>
      <c r="C28" s="122"/>
      <c r="D28" s="122"/>
      <c r="E28" s="122"/>
      <c r="F28" s="122"/>
      <c r="G28" s="122"/>
      <c r="H28" s="122"/>
      <c r="I28" s="122"/>
      <c r="J28" s="122"/>
      <c r="K28" s="122"/>
      <c r="L28" s="122"/>
    </row>
    <row r="29" spans="1:12" ht="15.6" x14ac:dyDescent="0.3">
      <c r="A29" s="122"/>
      <c r="B29" s="122"/>
      <c r="C29" s="122"/>
      <c r="D29" s="122"/>
      <c r="E29" s="122"/>
      <c r="F29" s="122"/>
      <c r="G29" s="122"/>
      <c r="H29" s="122"/>
      <c r="I29" s="122"/>
      <c r="J29" s="122"/>
      <c r="K29" s="122"/>
      <c r="L29" s="122"/>
    </row>
    <row r="30" spans="1:12" ht="15.6" x14ac:dyDescent="0.3">
      <c r="A30" s="122"/>
      <c r="B30" s="122"/>
      <c r="C30" s="122"/>
      <c r="D30" s="122"/>
      <c r="E30" s="122"/>
      <c r="F30" s="122"/>
      <c r="G30" s="122"/>
      <c r="H30" s="122"/>
      <c r="I30" s="122"/>
      <c r="J30" s="122"/>
      <c r="K30" s="122"/>
      <c r="L30" s="122"/>
    </row>
    <row r="31" spans="1:12" ht="15.6" x14ac:dyDescent="0.3">
      <c r="A31" s="122"/>
      <c r="B31" s="122"/>
      <c r="C31" s="122"/>
      <c r="D31" s="122"/>
      <c r="E31" s="122"/>
      <c r="F31" s="122"/>
      <c r="G31" s="122"/>
      <c r="H31" s="122"/>
      <c r="I31" s="122"/>
      <c r="J31" s="122"/>
      <c r="K31" s="122"/>
      <c r="L31" s="122"/>
    </row>
    <row r="32" spans="1:12" ht="15.6" x14ac:dyDescent="0.3">
      <c r="A32" s="122"/>
      <c r="B32" s="122"/>
      <c r="C32" s="122"/>
      <c r="D32" s="122"/>
      <c r="E32" s="122"/>
      <c r="F32" s="122"/>
      <c r="G32" s="122"/>
      <c r="H32" s="122"/>
      <c r="I32" s="122"/>
      <c r="J32" s="122"/>
      <c r="K32" s="122"/>
      <c r="L32" s="122"/>
    </row>
    <row r="33" spans="1:12" ht="15.6" x14ac:dyDescent="0.3">
      <c r="A33" s="122"/>
      <c r="B33" s="122"/>
      <c r="C33" s="122"/>
      <c r="D33" s="122"/>
      <c r="E33" s="122"/>
      <c r="F33" s="122"/>
      <c r="G33" s="122"/>
      <c r="H33" s="122"/>
      <c r="I33" s="122"/>
      <c r="J33" s="122"/>
      <c r="K33" s="122"/>
      <c r="L33" s="122"/>
    </row>
    <row r="34" spans="1:12" ht="15.6" x14ac:dyDescent="0.3">
      <c r="A34" s="122"/>
      <c r="B34" s="122"/>
      <c r="C34" s="122"/>
      <c r="D34" s="122"/>
      <c r="E34" s="122"/>
      <c r="F34" s="122"/>
      <c r="G34" s="122"/>
      <c r="H34" s="122"/>
      <c r="I34" s="122"/>
      <c r="J34" s="122"/>
      <c r="K34" s="122"/>
      <c r="L34" s="122"/>
    </row>
    <row r="35" spans="1:12" ht="15.6" x14ac:dyDescent="0.3">
      <c r="A35" s="122"/>
      <c r="B35" s="122"/>
      <c r="C35" s="122"/>
      <c r="D35" s="122"/>
      <c r="E35" s="122"/>
      <c r="F35" s="122"/>
      <c r="G35" s="122"/>
      <c r="H35" s="122"/>
      <c r="I35" s="122"/>
      <c r="J35" s="122"/>
      <c r="K35" s="122"/>
      <c r="L35" s="122"/>
    </row>
    <row r="36" spans="1:12" ht="15.6" x14ac:dyDescent="0.3">
      <c r="A36" s="122"/>
      <c r="B36" s="122"/>
      <c r="C36" s="122"/>
      <c r="D36" s="122"/>
      <c r="E36" s="122"/>
      <c r="F36" s="122"/>
      <c r="G36" s="122"/>
      <c r="H36" s="122"/>
      <c r="I36" s="122"/>
      <c r="J36" s="122"/>
      <c r="K36" s="122"/>
      <c r="L36" s="122"/>
    </row>
    <row r="37" spans="1:12" ht="15.6" x14ac:dyDescent="0.3">
      <c r="A37" s="122"/>
      <c r="B37" s="122"/>
      <c r="C37" s="122"/>
      <c r="D37" s="122"/>
      <c r="E37" s="122"/>
      <c r="F37" s="122"/>
      <c r="G37" s="122"/>
      <c r="H37" s="122"/>
      <c r="I37" s="122"/>
      <c r="J37" s="122"/>
      <c r="K37" s="122"/>
      <c r="L37" s="122"/>
    </row>
    <row r="38" spans="1:12" ht="15.6" x14ac:dyDescent="0.3">
      <c r="A38" s="122"/>
      <c r="B38" s="122"/>
      <c r="C38" s="122"/>
      <c r="D38" s="122"/>
      <c r="E38" s="122"/>
      <c r="F38" s="122"/>
      <c r="G38" s="122"/>
      <c r="H38" s="122"/>
      <c r="I38" s="122"/>
      <c r="J38" s="122"/>
      <c r="K38" s="122"/>
      <c r="L38" s="122"/>
    </row>
    <row r="39" spans="1:12" ht="15.6" x14ac:dyDescent="0.3">
      <c r="A39" s="122"/>
      <c r="B39" s="122"/>
      <c r="C39" s="122"/>
      <c r="D39" s="122"/>
      <c r="E39" s="122"/>
      <c r="F39" s="122"/>
      <c r="G39" s="122"/>
      <c r="H39" s="122"/>
      <c r="I39" s="122"/>
      <c r="J39" s="122"/>
      <c r="K39" s="122"/>
      <c r="L39" s="122"/>
    </row>
    <row r="40" spans="1:12" ht="31.2" customHeight="1" x14ac:dyDescent="0.3">
      <c r="A40" s="143" t="s">
        <v>17</v>
      </c>
      <c r="B40" s="143"/>
      <c r="C40" s="122"/>
      <c r="D40" s="122"/>
      <c r="E40" s="122"/>
      <c r="F40" s="122"/>
      <c r="G40" s="122"/>
      <c r="H40" s="122"/>
      <c r="I40" s="122"/>
      <c r="J40" s="122"/>
      <c r="K40" s="122"/>
      <c r="L40" s="122"/>
    </row>
    <row r="41" spans="1:12" ht="45" customHeight="1" x14ac:dyDescent="0.3">
      <c r="A41" s="128">
        <v>1</v>
      </c>
      <c r="B41" s="143" t="s">
        <v>18</v>
      </c>
      <c r="C41" s="143"/>
      <c r="D41" s="143"/>
      <c r="E41" s="122"/>
      <c r="F41" s="122"/>
      <c r="G41" s="122"/>
      <c r="H41" s="122"/>
      <c r="I41" s="122"/>
      <c r="J41" s="122"/>
      <c r="K41" s="122"/>
      <c r="L41" s="122"/>
    </row>
    <row r="42" spans="1:12" ht="69.75" customHeight="1" x14ac:dyDescent="0.3">
      <c r="A42" s="127"/>
      <c r="B42" s="146" t="s">
        <v>19</v>
      </c>
      <c r="C42" s="146"/>
      <c r="D42" s="146"/>
      <c r="E42" s="122"/>
      <c r="F42" s="122"/>
      <c r="G42" s="122"/>
      <c r="H42" s="122"/>
      <c r="I42" s="122"/>
      <c r="J42" s="122"/>
      <c r="K42" s="122"/>
      <c r="L42" s="122"/>
    </row>
    <row r="43" spans="1:12" ht="93" customHeight="1" x14ac:dyDescent="0.3">
      <c r="A43" s="128">
        <v>2</v>
      </c>
      <c r="B43" s="143" t="s">
        <v>20</v>
      </c>
      <c r="C43" s="143"/>
      <c r="D43" s="143"/>
      <c r="E43" s="122"/>
      <c r="F43" s="122"/>
      <c r="G43" s="122"/>
      <c r="H43" s="122"/>
      <c r="I43" s="122"/>
      <c r="J43" s="122"/>
      <c r="K43" s="122"/>
      <c r="L43" s="122"/>
    </row>
    <row r="44" spans="1:12" ht="173.25" customHeight="1" x14ac:dyDescent="0.3">
      <c r="A44" s="127"/>
      <c r="B44" s="146" t="s">
        <v>21</v>
      </c>
      <c r="C44" s="146"/>
      <c r="D44" s="146"/>
      <c r="E44" s="122"/>
      <c r="F44" s="122"/>
      <c r="G44" s="122"/>
      <c r="H44" s="122"/>
      <c r="I44" s="122"/>
      <c r="J44" s="122"/>
      <c r="K44" s="122"/>
      <c r="L44" s="122"/>
    </row>
    <row r="45" spans="1:12" ht="81" customHeight="1" x14ac:dyDescent="0.3">
      <c r="A45" s="128">
        <v>3</v>
      </c>
      <c r="B45" s="143" t="s">
        <v>22</v>
      </c>
      <c r="C45" s="143"/>
      <c r="D45" s="143"/>
      <c r="E45" s="122"/>
      <c r="F45" s="122"/>
      <c r="G45" s="122"/>
      <c r="H45" s="122"/>
      <c r="I45" s="122"/>
      <c r="J45" s="122"/>
      <c r="K45" s="122"/>
      <c r="L45" s="122"/>
    </row>
    <row r="46" spans="1:12" ht="153" customHeight="1" x14ac:dyDescent="0.3">
      <c r="A46" s="122"/>
      <c r="B46" s="146" t="s">
        <v>23</v>
      </c>
      <c r="C46" s="146"/>
      <c r="D46" s="146"/>
      <c r="E46" s="123"/>
      <c r="F46" s="122"/>
      <c r="G46" s="122"/>
      <c r="H46" s="122"/>
      <c r="I46" s="122"/>
      <c r="J46" s="122"/>
      <c r="K46" s="122"/>
      <c r="L46" s="122"/>
    </row>
    <row r="47" spans="1:12" ht="15.6" x14ac:dyDescent="0.3">
      <c r="A47" s="122"/>
      <c r="B47" s="122"/>
      <c r="C47" s="122"/>
      <c r="D47" s="122"/>
      <c r="E47" s="122"/>
      <c r="F47" s="122"/>
      <c r="G47" s="122"/>
      <c r="H47" s="122"/>
      <c r="I47" s="122"/>
      <c r="J47" s="122"/>
      <c r="K47" s="122"/>
      <c r="L47" s="122"/>
    </row>
    <row r="48" spans="1:12" ht="15.6" x14ac:dyDescent="0.3">
      <c r="A48" s="143" t="s">
        <v>24</v>
      </c>
      <c r="B48" s="143"/>
      <c r="C48" s="122"/>
      <c r="D48" s="122"/>
      <c r="E48" s="122"/>
      <c r="F48" s="122"/>
      <c r="G48" s="122"/>
      <c r="H48" s="122"/>
      <c r="I48" s="122"/>
      <c r="J48" s="122"/>
      <c r="K48" s="122"/>
      <c r="L48" s="122"/>
    </row>
    <row r="49" spans="1:12" ht="15.6" x14ac:dyDescent="0.3">
      <c r="A49" s="122"/>
      <c r="B49" s="122"/>
      <c r="C49" s="122"/>
      <c r="D49" s="122"/>
      <c r="E49" s="122"/>
      <c r="F49" s="122"/>
      <c r="G49" s="122"/>
      <c r="H49" s="122"/>
      <c r="I49" s="122"/>
      <c r="J49" s="122"/>
      <c r="K49" s="122"/>
      <c r="L49" s="122"/>
    </row>
    <row r="50" spans="1:12" ht="31.2" customHeight="1" x14ac:dyDescent="0.3">
      <c r="A50" s="147" t="s">
        <v>25</v>
      </c>
      <c r="B50" s="147"/>
      <c r="C50" s="147"/>
      <c r="D50" s="147"/>
      <c r="E50" s="147"/>
      <c r="F50" s="147"/>
      <c r="G50" s="122"/>
      <c r="H50" s="122"/>
      <c r="I50" s="122"/>
      <c r="J50" s="122"/>
      <c r="K50" s="122"/>
      <c r="L50" s="122"/>
    </row>
    <row r="51" spans="1:12" ht="15.6" x14ac:dyDescent="0.3">
      <c r="A51" s="130" t="s">
        <v>26</v>
      </c>
      <c r="B51" s="130" t="s">
        <v>27</v>
      </c>
      <c r="C51" s="130" t="s">
        <v>11</v>
      </c>
      <c r="D51" s="130" t="s">
        <v>12</v>
      </c>
      <c r="E51" s="130" t="s">
        <v>14</v>
      </c>
      <c r="F51" s="130" t="s">
        <v>28</v>
      </c>
      <c r="G51" s="122"/>
      <c r="H51" s="122"/>
      <c r="I51" s="122"/>
      <c r="J51" s="122"/>
      <c r="K51" s="122"/>
      <c r="L51" s="122"/>
    </row>
    <row r="52" spans="1:12" ht="15.6" x14ac:dyDescent="0.3">
      <c r="A52" s="130" t="s">
        <v>29</v>
      </c>
      <c r="B52" s="130" t="s">
        <v>30</v>
      </c>
      <c r="C52" s="130">
        <f>C16</f>
        <v>350.76771585153801</v>
      </c>
      <c r="D52" s="130">
        <f>C17</f>
        <v>0.31160992365331058</v>
      </c>
      <c r="E52" s="130">
        <f>C18</f>
        <v>4710.2938862757601</v>
      </c>
      <c r="F52" s="130" cm="1">
        <f t="array" ref="F52">1-(E52/(SUMPRODUCT((E4:E13 - AVERAGE(E4:E13))^2)))</f>
        <v>0.95823747834817186</v>
      </c>
      <c r="G52" s="122"/>
      <c r="H52" s="122"/>
      <c r="I52" s="122"/>
      <c r="J52" s="122"/>
      <c r="K52" s="122"/>
      <c r="L52" s="122"/>
    </row>
    <row r="53" spans="1:12" ht="15.6" x14ac:dyDescent="0.3">
      <c r="A53" s="131" t="s">
        <v>31</v>
      </c>
      <c r="B53" s="130" t="s">
        <v>32</v>
      </c>
      <c r="C53" s="130">
        <f>E16</f>
        <v>513.16234629913606</v>
      </c>
      <c r="D53" s="130">
        <f>E17</f>
        <v>15.152739072665526</v>
      </c>
      <c r="E53" s="130">
        <f>E18</f>
        <v>3362.7430275571151</v>
      </c>
      <c r="F53" s="130" cm="1">
        <f t="array" ref="F53">1-(E53/(SUMPRODUCT((E4:E13 - AVERAGE(E4:E13))^2)))</f>
        <v>0.97018516638482499</v>
      </c>
      <c r="G53" s="122"/>
      <c r="H53" s="122"/>
      <c r="I53" s="122"/>
      <c r="J53" s="122"/>
      <c r="K53" s="122"/>
      <c r="L53" s="122"/>
    </row>
    <row r="54" spans="1:12" ht="15.6" x14ac:dyDescent="0.3">
      <c r="A54" s="130" t="s">
        <v>33</v>
      </c>
      <c r="B54" s="130" t="s">
        <v>10</v>
      </c>
      <c r="C54" s="130">
        <f>H16</f>
        <v>312.56343894969302</v>
      </c>
      <c r="D54" s="130">
        <f>H17</f>
        <v>48.982055899151902</v>
      </c>
      <c r="E54" s="130">
        <f>H18</f>
        <v>1576.8828763190477</v>
      </c>
      <c r="F54" s="130" cm="1">
        <f t="array" ref="F54">1-(E54/(SUMPRODUCT((E4:E13 - AVERAGE(E4:E13))^2)))</f>
        <v>0.98601900287866329</v>
      </c>
      <c r="G54" s="122"/>
      <c r="H54" s="122"/>
      <c r="I54" s="122"/>
      <c r="J54" s="122"/>
      <c r="K54" s="122"/>
      <c r="L54" s="122"/>
    </row>
    <row r="55" spans="1:12" ht="15.6" x14ac:dyDescent="0.3">
      <c r="A55" s="122"/>
      <c r="B55" s="122"/>
      <c r="C55" s="122"/>
      <c r="D55" s="122"/>
      <c r="E55" s="122"/>
      <c r="F55" s="122"/>
      <c r="G55" s="122"/>
      <c r="H55" s="122"/>
      <c r="I55" s="122"/>
      <c r="J55" s="122"/>
      <c r="K55" s="122"/>
      <c r="L55" s="122"/>
    </row>
    <row r="56" spans="1:12" ht="15.6" x14ac:dyDescent="0.3">
      <c r="A56" s="122"/>
      <c r="B56" s="122"/>
      <c r="C56" s="122"/>
      <c r="D56" s="122"/>
      <c r="E56" s="122"/>
      <c r="F56" s="122"/>
      <c r="G56" s="122"/>
      <c r="H56" s="122"/>
      <c r="I56" s="122"/>
      <c r="J56" s="122"/>
      <c r="K56" s="122"/>
      <c r="L56" s="122"/>
    </row>
    <row r="57" spans="1:12" ht="15.6" x14ac:dyDescent="0.3">
      <c r="A57" s="143" t="s">
        <v>34</v>
      </c>
      <c r="B57" s="143"/>
      <c r="C57" s="122"/>
      <c r="D57" s="122"/>
      <c r="E57" s="122"/>
      <c r="F57" s="122"/>
      <c r="G57" s="122"/>
      <c r="H57" s="122"/>
      <c r="I57" s="122"/>
      <c r="J57" s="122"/>
      <c r="K57" s="122"/>
      <c r="L57" s="122"/>
    </row>
    <row r="58" spans="1:12" ht="15.6" x14ac:dyDescent="0.3">
      <c r="A58" s="126">
        <v>1</v>
      </c>
      <c r="B58" s="144" t="s">
        <v>35</v>
      </c>
      <c r="C58" s="145"/>
      <c r="D58" s="145"/>
      <c r="E58" s="122"/>
      <c r="F58" s="122"/>
      <c r="G58" s="122"/>
      <c r="H58" s="122"/>
      <c r="I58" s="122"/>
      <c r="J58" s="122"/>
      <c r="K58" s="122"/>
      <c r="L58" s="122"/>
    </row>
    <row r="59" spans="1:12" ht="112.5" customHeight="1" x14ac:dyDescent="0.3">
      <c r="A59" s="125"/>
      <c r="B59" s="149" t="s">
        <v>36</v>
      </c>
      <c r="C59" s="146"/>
      <c r="D59" s="146"/>
      <c r="E59" s="123"/>
      <c r="F59" s="122"/>
      <c r="G59" s="122"/>
      <c r="H59" s="122"/>
      <c r="I59" s="122"/>
      <c r="J59" s="122"/>
      <c r="K59" s="122"/>
      <c r="L59" s="122"/>
    </row>
    <row r="60" spans="1:12" ht="30.75" customHeight="1" x14ac:dyDescent="0.3">
      <c r="A60" s="125"/>
      <c r="B60" s="129"/>
      <c r="C60" s="125"/>
      <c r="D60" s="125"/>
      <c r="E60" s="122"/>
      <c r="F60" s="122"/>
      <c r="G60" s="122"/>
      <c r="H60" s="122"/>
      <c r="I60" s="122"/>
      <c r="J60" s="122"/>
      <c r="K60" s="122"/>
      <c r="L60" s="122"/>
    </row>
    <row r="61" spans="1:12" ht="40.5" customHeight="1" x14ac:dyDescent="0.3">
      <c r="A61" s="126">
        <v>2</v>
      </c>
      <c r="B61" s="143" t="s">
        <v>37</v>
      </c>
      <c r="C61" s="143"/>
      <c r="D61" s="143"/>
      <c r="E61" s="122"/>
      <c r="F61" s="122"/>
      <c r="G61" s="122"/>
      <c r="H61" s="122"/>
      <c r="I61" s="122"/>
      <c r="J61" s="122"/>
      <c r="K61" s="122"/>
      <c r="L61" s="122"/>
    </row>
    <row r="62" spans="1:12" ht="51" customHeight="1" x14ac:dyDescent="0.3">
      <c r="A62" s="125"/>
      <c r="B62" s="149" t="s">
        <v>38</v>
      </c>
      <c r="C62" s="146"/>
      <c r="D62" s="146"/>
      <c r="E62" s="122"/>
      <c r="F62" s="122"/>
      <c r="G62" s="122"/>
      <c r="H62" s="122"/>
      <c r="I62" s="122"/>
      <c r="J62" s="122"/>
      <c r="K62" s="122"/>
      <c r="L62" s="122"/>
    </row>
    <row r="63" spans="1:12" ht="47.25" customHeight="1" x14ac:dyDescent="0.3">
      <c r="A63" s="125"/>
      <c r="B63" s="146" t="s">
        <v>39</v>
      </c>
      <c r="C63" s="146"/>
      <c r="D63" s="146"/>
      <c r="E63" s="122"/>
      <c r="F63" s="122"/>
      <c r="G63" s="122"/>
      <c r="H63" s="122"/>
      <c r="I63" s="122"/>
      <c r="J63" s="122"/>
      <c r="K63" s="122"/>
      <c r="L63" s="122"/>
    </row>
    <row r="64" spans="1:12" ht="27" customHeight="1" x14ac:dyDescent="0.3">
      <c r="A64" s="125"/>
      <c r="B64" s="125"/>
      <c r="C64" s="125"/>
      <c r="D64" s="125"/>
      <c r="E64" s="122"/>
      <c r="F64" s="122"/>
      <c r="G64" s="122"/>
      <c r="H64" s="122"/>
      <c r="I64" s="122"/>
      <c r="J64" s="122"/>
      <c r="K64" s="122"/>
      <c r="L64" s="122"/>
    </row>
    <row r="65" spans="1:12" ht="34.5" customHeight="1" x14ac:dyDescent="0.3">
      <c r="A65" s="126">
        <v>3</v>
      </c>
      <c r="B65" s="148" t="s">
        <v>40</v>
      </c>
      <c r="C65" s="148"/>
      <c r="D65" s="148"/>
      <c r="E65" s="122"/>
      <c r="F65" s="122"/>
      <c r="G65" s="122"/>
      <c r="H65" s="122"/>
      <c r="I65" s="122"/>
      <c r="J65" s="122"/>
      <c r="K65" s="122"/>
      <c r="L65" s="122"/>
    </row>
    <row r="66" spans="1:12" ht="22.5" customHeight="1" x14ac:dyDescent="0.3">
      <c r="A66" s="125"/>
      <c r="B66" s="127"/>
      <c r="C66" s="127" t="s">
        <v>41</v>
      </c>
      <c r="D66" s="127" t="s">
        <v>42</v>
      </c>
      <c r="E66" s="122" t="s">
        <v>43</v>
      </c>
      <c r="F66" s="122" t="s">
        <v>44</v>
      </c>
      <c r="G66" s="122"/>
      <c r="H66" s="122"/>
      <c r="I66" s="122"/>
      <c r="J66" s="122"/>
      <c r="K66" s="122"/>
      <c r="L66" s="122"/>
    </row>
    <row r="67" spans="1:12" ht="31.2" x14ac:dyDescent="0.3">
      <c r="A67" s="125"/>
      <c r="B67" s="125" t="s">
        <v>45</v>
      </c>
      <c r="C67" s="122">
        <f>C54+D54*LN(0.005)</f>
        <v>53.040961529989829</v>
      </c>
      <c r="D67" s="122">
        <f>E5+((0.005-0.003)/(0.007-0.003))*(E6-E5)</f>
        <v>43.19047619047619</v>
      </c>
      <c r="E67" s="122">
        <f>C67-D67</f>
        <v>9.8504853395136394</v>
      </c>
      <c r="F67" s="123" t="s">
        <v>46</v>
      </c>
      <c r="G67" s="122"/>
      <c r="H67" s="122"/>
      <c r="I67" s="122"/>
      <c r="J67" s="122"/>
      <c r="K67" s="122"/>
      <c r="L67" s="122"/>
    </row>
    <row r="68" spans="1:12" ht="31.2" x14ac:dyDescent="0.3">
      <c r="A68" s="125"/>
      <c r="B68" s="125" t="s">
        <v>47</v>
      </c>
      <c r="C68" s="122">
        <f>C54+D54*LN(0.02)</f>
        <v>120.94450941904336</v>
      </c>
      <c r="D68" s="122">
        <f>E7+((0.005-0.003)/(0.007-0.003))*(E8-E7)</f>
        <v>111.3225806451613</v>
      </c>
      <c r="E68" s="122">
        <f>C68-D68</f>
        <v>9.6219287738820611</v>
      </c>
      <c r="F68" s="123" t="s">
        <v>46</v>
      </c>
      <c r="G68" s="122"/>
      <c r="H68" s="122"/>
      <c r="I68" s="122"/>
      <c r="J68" s="122"/>
      <c r="K68" s="122"/>
      <c r="L68" s="122"/>
    </row>
    <row r="69" spans="1:12" ht="31.2" x14ac:dyDescent="0.3">
      <c r="A69" s="125"/>
      <c r="B69" s="125" t="s">
        <v>48</v>
      </c>
      <c r="C69" s="122">
        <f>C54+D54*LN(0.1)</f>
        <v>199.77808721210482</v>
      </c>
      <c r="D69" s="122">
        <f>E9+((0.005-0.003)/(0.007-0.003))*(E10-E9)</f>
        <v>187.594175728034</v>
      </c>
      <c r="E69" s="122">
        <f>C69-D69</f>
        <v>12.183911484070819</v>
      </c>
      <c r="F69" s="123" t="s">
        <v>46</v>
      </c>
      <c r="G69" s="122"/>
      <c r="H69" s="122"/>
      <c r="I69" s="122"/>
      <c r="J69" s="122"/>
      <c r="K69" s="122"/>
      <c r="L69" s="122"/>
    </row>
    <row r="70" spans="1:12" ht="48" customHeight="1" x14ac:dyDescent="0.3">
      <c r="A70" s="125"/>
      <c r="B70" s="125"/>
      <c r="C70" s="122"/>
      <c r="D70" s="122"/>
      <c r="E70" s="122"/>
      <c r="F70" s="122"/>
      <c r="G70" s="122"/>
      <c r="H70" s="122"/>
      <c r="I70" s="122"/>
      <c r="J70" s="122"/>
      <c r="K70" s="122"/>
      <c r="L70" s="122"/>
    </row>
    <row r="71" spans="1:12" ht="74.25" customHeight="1" x14ac:dyDescent="0.3">
      <c r="A71" s="126">
        <v>4</v>
      </c>
      <c r="B71" s="143" t="s">
        <v>49</v>
      </c>
      <c r="C71" s="143"/>
      <c r="D71" s="143"/>
      <c r="E71" s="122"/>
      <c r="F71" s="122"/>
      <c r="G71" s="122"/>
      <c r="H71" s="122"/>
      <c r="I71" s="122"/>
      <c r="J71" s="122"/>
      <c r="K71" s="122"/>
      <c r="L71" s="122"/>
    </row>
    <row r="72" spans="1:12" ht="96" customHeight="1" x14ac:dyDescent="0.3">
      <c r="A72" s="122"/>
      <c r="B72" s="146" t="s">
        <v>50</v>
      </c>
      <c r="C72" s="146"/>
      <c r="D72" s="146"/>
      <c r="E72" s="122"/>
      <c r="F72" s="122"/>
      <c r="G72" s="122"/>
      <c r="H72" s="122"/>
      <c r="I72" s="122"/>
      <c r="J72" s="122"/>
      <c r="K72" s="122"/>
      <c r="L72" s="122"/>
    </row>
    <row r="73" spans="1:12" ht="96" customHeight="1" x14ac:dyDescent="0.3">
      <c r="A73" s="122"/>
      <c r="B73" s="146" t="s">
        <v>51</v>
      </c>
      <c r="C73" s="146"/>
      <c r="D73" s="146"/>
      <c r="E73" s="122"/>
      <c r="F73" s="122"/>
      <c r="G73" s="122"/>
      <c r="H73" s="122"/>
      <c r="I73" s="122"/>
      <c r="J73" s="122"/>
      <c r="K73" s="122"/>
      <c r="L73" s="122"/>
    </row>
    <row r="74" spans="1:12" ht="15.6" x14ac:dyDescent="0.3">
      <c r="A74" s="122"/>
      <c r="B74" s="125"/>
      <c r="C74" s="125"/>
      <c r="D74" s="125"/>
      <c r="E74" s="122"/>
      <c r="F74" s="122"/>
      <c r="G74" s="122"/>
      <c r="H74" s="122"/>
      <c r="I74" s="122"/>
      <c r="J74" s="122"/>
      <c r="K74" s="122"/>
      <c r="L74" s="122"/>
    </row>
    <row r="75" spans="1:12" ht="15.6" x14ac:dyDescent="0.3">
      <c r="A75" s="122"/>
      <c r="B75" s="123"/>
      <c r="C75" s="123"/>
      <c r="D75" s="122"/>
      <c r="E75" s="122"/>
      <c r="F75" s="122"/>
      <c r="G75" s="122"/>
      <c r="H75" s="122"/>
      <c r="I75" s="122"/>
      <c r="J75" s="122"/>
      <c r="K75" s="122"/>
      <c r="L75" s="122"/>
    </row>
    <row r="76" spans="1:12" ht="15.6" x14ac:dyDescent="0.3">
      <c r="A76" s="122"/>
      <c r="C76" s="123"/>
      <c r="D76" s="123"/>
      <c r="E76" s="122"/>
      <c r="F76" s="122"/>
      <c r="G76" s="122"/>
      <c r="H76" s="122"/>
      <c r="I76" s="122"/>
      <c r="J76" s="122"/>
      <c r="K76" s="122"/>
      <c r="L76" s="122"/>
    </row>
    <row r="77" spans="1:12" ht="15.6" x14ac:dyDescent="0.3">
      <c r="A77" s="122"/>
      <c r="B77" s="122"/>
      <c r="C77" s="124"/>
      <c r="D77" s="123"/>
      <c r="E77" s="122"/>
      <c r="F77" s="122"/>
      <c r="G77" s="122"/>
      <c r="H77" s="122"/>
      <c r="I77" s="122"/>
      <c r="J77" s="122"/>
      <c r="K77" s="122"/>
      <c r="L77" s="122"/>
    </row>
    <row r="78" spans="1:12" ht="15.6" x14ac:dyDescent="0.3">
      <c r="A78" s="122"/>
      <c r="B78" s="122"/>
      <c r="C78" s="122"/>
      <c r="D78" s="122"/>
      <c r="E78" s="122"/>
      <c r="F78" s="122"/>
      <c r="G78" s="122"/>
      <c r="H78" s="122"/>
      <c r="I78" s="122"/>
      <c r="J78" s="122"/>
      <c r="K78" s="122"/>
      <c r="L78" s="122"/>
    </row>
    <row r="79" spans="1:12" ht="15.6" x14ac:dyDescent="0.3">
      <c r="A79" s="122"/>
      <c r="B79" s="122"/>
      <c r="C79" s="122"/>
      <c r="D79" s="122"/>
      <c r="E79" s="122"/>
      <c r="F79" s="122"/>
      <c r="G79" s="122"/>
      <c r="H79" s="122"/>
      <c r="I79" s="122"/>
      <c r="J79" s="122"/>
      <c r="K79" s="122"/>
      <c r="L79" s="122"/>
    </row>
    <row r="80" spans="1:12" ht="15.6" x14ac:dyDescent="0.3">
      <c r="A80" s="122"/>
      <c r="B80" s="122"/>
      <c r="C80" s="122"/>
      <c r="D80" s="122"/>
      <c r="E80" s="122"/>
      <c r="F80" s="122"/>
      <c r="G80" s="122"/>
      <c r="H80" s="122"/>
      <c r="I80" s="122"/>
      <c r="J80" s="122"/>
      <c r="K80" s="122"/>
      <c r="L80" s="122"/>
    </row>
    <row r="81" spans="1:12" ht="15.6" x14ac:dyDescent="0.3">
      <c r="A81" s="122"/>
      <c r="B81" s="122"/>
      <c r="C81" s="122"/>
      <c r="D81" s="122"/>
      <c r="E81" s="122"/>
      <c r="F81" s="122"/>
      <c r="G81" s="122"/>
      <c r="H81" s="122"/>
      <c r="I81" s="122"/>
      <c r="J81" s="122"/>
      <c r="K81" s="122"/>
      <c r="L81" s="122"/>
    </row>
  </sheetData>
  <mergeCells count="23">
    <mergeCell ref="B73:D73"/>
    <mergeCell ref="A50:F50"/>
    <mergeCell ref="B65:D65"/>
    <mergeCell ref="B59:D59"/>
    <mergeCell ref="B61:D61"/>
    <mergeCell ref="B71:D71"/>
    <mergeCell ref="B62:D62"/>
    <mergeCell ref="B63:D63"/>
    <mergeCell ref="B72:D72"/>
    <mergeCell ref="A57:B57"/>
    <mergeCell ref="A48:B48"/>
    <mergeCell ref="B58:D58"/>
    <mergeCell ref="B41:D41"/>
    <mergeCell ref="B42:D42"/>
    <mergeCell ref="B43:D43"/>
    <mergeCell ref="B44:D44"/>
    <mergeCell ref="B45:D45"/>
    <mergeCell ref="B46:D46"/>
    <mergeCell ref="A2:B2"/>
    <mergeCell ref="A21:B21"/>
    <mergeCell ref="A1:C1"/>
    <mergeCell ref="A22:B22"/>
    <mergeCell ref="A40:B4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1E014-43D7-4106-B5D6-D8482444CDF2}">
  <dimension ref="A1:V201"/>
  <sheetViews>
    <sheetView topLeftCell="J1" zoomScale="98" zoomScaleNormal="100" workbookViewId="0">
      <selection activeCell="H6" sqref="H6"/>
    </sheetView>
  </sheetViews>
  <sheetFormatPr defaultColWidth="8.88671875" defaultRowHeight="15" customHeight="1" x14ac:dyDescent="0.3"/>
  <cols>
    <col min="1" max="1" width="11.6640625" customWidth="1"/>
    <col min="2" max="2" width="40.33203125" customWidth="1"/>
    <col min="3" max="3" width="14.44140625" customWidth="1"/>
    <col min="4" max="4" width="16.44140625" customWidth="1"/>
    <col min="5" max="5" width="15.44140625" customWidth="1"/>
    <col min="6" max="6" width="7.33203125" customWidth="1"/>
    <col min="7" max="7" width="22.6640625" customWidth="1"/>
    <col min="8" max="8" width="9.6640625" customWidth="1"/>
    <col min="9" max="9" width="18.6640625" bestFit="1" customWidth="1"/>
    <col min="10" max="10" width="24.44140625" customWidth="1"/>
    <col min="11" max="11" width="20.6640625" style="58" customWidth="1"/>
    <col min="12" max="12" width="26.88671875" bestFit="1" customWidth="1"/>
    <col min="13" max="13" width="12.6640625" bestFit="1" customWidth="1"/>
    <col min="17" max="17" width="14.6640625" customWidth="1"/>
    <col min="19" max="19" width="34.44140625" bestFit="1" customWidth="1"/>
    <col min="20" max="20" width="24" customWidth="1"/>
    <col min="21" max="21" width="34.109375" bestFit="1" customWidth="1"/>
  </cols>
  <sheetData>
    <row r="1" spans="1:22" ht="15" customHeight="1" thickBot="1" x14ac:dyDescent="0.35">
      <c r="A1" s="7" t="s">
        <v>52</v>
      </c>
      <c r="B1" s="8" t="s">
        <v>53</v>
      </c>
      <c r="C1" s="8" t="s">
        <v>54</v>
      </c>
      <c r="D1" s="8" t="s">
        <v>55</v>
      </c>
      <c r="E1" s="8" t="s">
        <v>56</v>
      </c>
      <c r="F1" s="8" t="s">
        <v>57</v>
      </c>
      <c r="G1" s="9" t="s">
        <v>58</v>
      </c>
      <c r="H1" s="9" t="s">
        <v>59</v>
      </c>
      <c r="I1" s="23" t="s">
        <v>60</v>
      </c>
      <c r="J1" s="35" t="s">
        <v>61</v>
      </c>
      <c r="K1" s="55" t="s">
        <v>62</v>
      </c>
      <c r="L1" s="23" t="s">
        <v>63</v>
      </c>
      <c r="M1" s="8" t="s">
        <v>64</v>
      </c>
      <c r="Q1" s="1" t="s">
        <v>65</v>
      </c>
      <c r="S1" t="s">
        <v>66</v>
      </c>
    </row>
    <row r="2" spans="1:22" ht="15" customHeight="1" thickBot="1" x14ac:dyDescent="0.35">
      <c r="A2" s="2" t="s">
        <v>67</v>
      </c>
      <c r="B2" s="10" t="s">
        <v>68</v>
      </c>
      <c r="C2" s="11">
        <v>48.26</v>
      </c>
      <c r="D2" s="11" t="s">
        <v>69</v>
      </c>
      <c r="E2" s="12">
        <v>8.2000000000000007E-3</v>
      </c>
      <c r="F2" s="11">
        <v>3.58</v>
      </c>
      <c r="G2" s="3">
        <f>IF(RIGHT(Q2,1)="B", VALUE(SUBSTITUTE(Q2,"B",""))*1000000000,
 IF(RIGHT(Q2,1)="M", VALUE(SUBSTITUTE(Q2,"M",""))*1000000, VALUE(Q2)))</f>
        <v>5570000000</v>
      </c>
      <c r="H2" s="25" t="b">
        <f t="shared" ref="H2:H33" si="0">OR(
  ISNUMBER(SEARCH("technology",B2)),
  ISNUMBER(SEARCH("tech",B2)),
  ISNUMBER(SEARCH("qqq",B2)),
  ISNUMBER(SEARCH("semiconductor",B2)),
  ISNUMBER(SEARCH("information technology",B2)),
  ISNUMBER(SEARCH("nasdaq",B2)),
  ISNUMBER(SEARCH("communication",B2))
)</f>
        <v>1</v>
      </c>
      <c r="I2" s="26">
        <f>Table1[[#This Row],[Tech]]*$T$7+Table1[[#This Row],[Beta]]*($T$6-$T$8)+$T$8</f>
        <v>0.36408800000000002</v>
      </c>
      <c r="J2" s="42">
        <v>690736030.21000004</v>
      </c>
      <c r="K2" s="56">
        <f>Table1[[#This Row],[Investment]]/Table1[[#This Row],[Dollar Volume]]</f>
        <v>0.12401005928366249</v>
      </c>
      <c r="L2" s="34">
        <f>IFERROR(MAX($T$11+$T$12*LN(Table1[[#This Row],[Frac ADV]]),0),0)*0.0001+0.005/Table1[[#This Row],[Stock Price]]+Table1[[#This Row],[Expense Ratio]]</f>
        <v>2.9335471295939566E-2</v>
      </c>
      <c r="M2" s="27">
        <f>(Table1[[#This Row],[Expected Return]]-Table1[[#This Row],[Tcosts]])*Table1[[#This Row],[Investment]]</f>
        <v>231225632.77980182</v>
      </c>
      <c r="Q2" s="13" t="s">
        <v>70</v>
      </c>
    </row>
    <row r="3" spans="1:22" ht="15" customHeight="1" thickBot="1" x14ac:dyDescent="0.35">
      <c r="A3" s="2" t="s">
        <v>71</v>
      </c>
      <c r="B3" s="10" t="s">
        <v>72</v>
      </c>
      <c r="C3" s="11">
        <v>406.11</v>
      </c>
      <c r="D3" s="11" t="s">
        <v>73</v>
      </c>
      <c r="E3" s="12">
        <v>3.5000000000000001E-3</v>
      </c>
      <c r="F3" s="11">
        <v>1.71</v>
      </c>
      <c r="G3" s="3">
        <f t="shared" ref="G3:G33" si="1">IF(RIGHT(Q3,1)="B", VALUE(SUBSTITUTE(Q3,"B",""))*1000000000,
 IF(RIGHT(Q3,1)="M", VALUE(SUBSTITUTE(Q3,"M",""))*1000000, VALUE(Q3)))</f>
        <v>5500000000</v>
      </c>
      <c r="H3" s="3" t="b">
        <f t="shared" si="0"/>
        <v>1</v>
      </c>
      <c r="I3" s="26">
        <f>Table1[[#This Row],[Tech]]*$T$7+Table1[[#This Row],[Beta]]*($T$6-$T$8)+$T$8</f>
        <v>0.24515599999999999</v>
      </c>
      <c r="J3" s="42">
        <v>414105255.55000001</v>
      </c>
      <c r="K3" s="56">
        <f>Table1[[#This Row],[Investment]]/Table1[[#This Row],[Dollar Volume]]</f>
        <v>7.5291864645454551E-2</v>
      </c>
      <c r="L3" s="34">
        <f>IFERROR(MAX($T$11+$T$12*LN(Table1[[#This Row],[Frac ADV]]),0),0)*0.0001+0.005/Table1[[#This Row],[Stock Price]]+Table1[[#This Row],[Expense Ratio]]</f>
        <v>2.2100019234912543E-2</v>
      </c>
      <c r="M3" s="24">
        <f>(Table1[[#This Row],[Expected Return]]-Table1[[#This Row],[Tcosts]])*Table1[[#This Row],[Investment]]</f>
        <v>92368653.916682422</v>
      </c>
      <c r="Q3" s="16" t="s">
        <v>74</v>
      </c>
      <c r="S3" t="s">
        <v>75</v>
      </c>
    </row>
    <row r="4" spans="1:22" ht="15" customHeight="1" thickBot="1" x14ac:dyDescent="0.35">
      <c r="A4" s="2" t="s">
        <v>76</v>
      </c>
      <c r="B4" s="10" t="s">
        <v>77</v>
      </c>
      <c r="C4" s="11">
        <v>351.5</v>
      </c>
      <c r="D4" s="11" t="s">
        <v>78</v>
      </c>
      <c r="E4" s="12">
        <v>3.3999999999999998E-3</v>
      </c>
      <c r="F4" s="11">
        <v>1.74</v>
      </c>
      <c r="G4" s="3">
        <f t="shared" si="1"/>
        <v>79900000000</v>
      </c>
      <c r="H4" s="3" t="b">
        <f t="shared" si="0"/>
        <v>1</v>
      </c>
      <c r="I4" s="26">
        <f>Table1[[#This Row],[Tech]]*$T$7+Table1[[#This Row],[Beta]]*($T$6-$T$8)+$T$8</f>
        <v>0.24706400000000001</v>
      </c>
      <c r="J4" s="42">
        <v>405954736.17000002</v>
      </c>
      <c r="K4" s="56">
        <f>Table1[[#This Row],[Investment]]/Table1[[#This Row],[Dollar Volume]]</f>
        <v>5.0807851836045057E-3</v>
      </c>
      <c r="L4" s="34">
        <f>IFERROR(MAX($T$11+$T$12*LN(Table1[[#This Row],[Frac ADV]]),0),0)*0.0001+0.005/Table1[[#This Row],[Stock Price]]+Table1[[#This Row],[Expense Ratio]]</f>
        <v>8.7968288579185032E-3</v>
      </c>
      <c r="M4" s="24">
        <f>(Table1[[#This Row],[Expected Return]]-Table1[[#This Row],[Tcosts]])*Table1[[#This Row],[Investment]]</f>
        <v>96725686.598955944</v>
      </c>
      <c r="Q4" s="13" t="s">
        <v>79</v>
      </c>
      <c r="S4" t="s">
        <v>80</v>
      </c>
      <c r="T4" t="s">
        <v>81</v>
      </c>
      <c r="U4" t="s">
        <v>82</v>
      </c>
    </row>
    <row r="5" spans="1:22" ht="15" customHeight="1" thickBot="1" x14ac:dyDescent="0.35">
      <c r="A5" s="2" t="s">
        <v>83</v>
      </c>
      <c r="B5" s="10" t="s">
        <v>84</v>
      </c>
      <c r="C5" s="11">
        <v>63.1</v>
      </c>
      <c r="D5" s="11" t="s">
        <v>85</v>
      </c>
      <c r="E5" s="12">
        <v>7.4999999999999997E-3</v>
      </c>
      <c r="F5" s="11">
        <f>4.99/3</f>
        <v>1.6633333333333333</v>
      </c>
      <c r="G5" s="3">
        <f t="shared" si="1"/>
        <v>2350000000</v>
      </c>
      <c r="H5" s="3" t="b">
        <f>OR(
  ISNUMBER(SEARCH("technology",B5)),
  ISNUMBER(SEARCH("tech",B5)),
  ISNUMBER(SEARCH("qqq",B5)),
  ISNUMBER(SEARCH("semiconductor",B5)),
  ISNUMBER(SEARCH("information technology",B5)),
  ISNUMBER(SEARCH("nasdaq",B5)),
  ISNUMBER(SEARCH("communication",B5))
)</f>
        <v>1</v>
      </c>
      <c r="I5" s="26">
        <f>Table1[[#This Row],[Tech]]*$T$7+Table1[[#This Row],[Beta]]*($T$6-$T$8)+$T$8</f>
        <v>0.24218800000000001</v>
      </c>
      <c r="J5" s="42">
        <v>366256671.76999998</v>
      </c>
      <c r="K5" s="56">
        <f>Table1[[#This Row],[Investment]]/Table1[[#This Row],[Dollar Volume]]</f>
        <v>0.15585390288085105</v>
      </c>
      <c r="L5" s="34">
        <f>IFERROR(MAX($T$11+$T$12*LN(Table1[[#This Row],[Frac ADV]]),0),0)*0.0001+0.005/Table1[[#This Row],[Stock Price]]+Table1[[#This Row],[Expense Ratio]]</f>
        <v>2.9730621182515196E-2</v>
      </c>
      <c r="M5" s="24">
        <f>(Table1[[#This Row],[Expected Return]]-Table1[[#This Row],[Tcosts]])*Table1[[#This Row],[Investment]]</f>
        <v>77813932.458670095</v>
      </c>
      <c r="Q5" s="16" t="s">
        <v>86</v>
      </c>
      <c r="S5" t="s">
        <v>87</v>
      </c>
      <c r="T5" s="17">
        <v>1000000000</v>
      </c>
      <c r="U5" t="s">
        <v>88</v>
      </c>
    </row>
    <row r="6" spans="1:22" ht="15" customHeight="1" thickBot="1" x14ac:dyDescent="0.35">
      <c r="A6" s="4" t="s">
        <v>89</v>
      </c>
      <c r="B6" s="14" t="s">
        <v>90</v>
      </c>
      <c r="C6" s="6">
        <v>217.72</v>
      </c>
      <c r="D6" s="6" t="s">
        <v>91</v>
      </c>
      <c r="E6" s="15">
        <v>8.0000000000000004E-4</v>
      </c>
      <c r="F6" s="6">
        <v>1.43</v>
      </c>
      <c r="G6" s="3">
        <f t="shared" si="1"/>
        <v>48350000000</v>
      </c>
      <c r="H6" s="3" t="b">
        <f t="shared" si="0"/>
        <v>1</v>
      </c>
      <c r="I6" s="26">
        <f>Table1[[#This Row],[Tech]]*$T$7+Table1[[#This Row],[Beta]]*($T$6-$T$8)+$T$8</f>
        <v>0.22734799999999999</v>
      </c>
      <c r="J6" s="42">
        <v>360160139.87</v>
      </c>
      <c r="K6" s="56">
        <f>Table1[[#This Row],[Investment]]/Table1[[#This Row],[Dollar Volume]]</f>
        <v>7.4490204730093068E-3</v>
      </c>
      <c r="L6" s="34">
        <f>IFERROR(MAX($T$11+$T$12*LN(Table1[[#This Row],[Frac ADV]]),0),0)*0.0001+0.005/Table1[[#This Row],[Stock Price]]+Table1[[#This Row],[Expense Ratio]]</f>
        <v>8.0797047903370441E-3</v>
      </c>
      <c r="M6" s="24">
        <f>(Table1[[#This Row],[Expected Return]]-Table1[[#This Row],[Tcosts]])*Table1[[#This Row],[Investment]]</f>
        <v>78971699.871768668</v>
      </c>
      <c r="Q6" s="13" t="s">
        <v>92</v>
      </c>
      <c r="S6" t="s">
        <v>93</v>
      </c>
      <c r="T6" s="18">
        <v>0.1</v>
      </c>
      <c r="U6" t="s">
        <v>94</v>
      </c>
    </row>
    <row r="7" spans="1:22" ht="15" customHeight="1" thickBot="1" x14ac:dyDescent="0.35">
      <c r="A7" s="2" t="s">
        <v>95</v>
      </c>
      <c r="B7" s="10" t="s">
        <v>96</v>
      </c>
      <c r="C7" s="11">
        <v>729.64</v>
      </c>
      <c r="D7" s="11" t="s">
        <v>97</v>
      </c>
      <c r="E7" s="12">
        <v>8.9999999999999998E-4</v>
      </c>
      <c r="F7" s="11">
        <v>1.43</v>
      </c>
      <c r="G7" s="3">
        <f t="shared" si="1"/>
        <v>1360000000</v>
      </c>
      <c r="H7" s="3" t="b">
        <f t="shared" si="0"/>
        <v>1</v>
      </c>
      <c r="I7" s="26">
        <f>Table1[[#This Row],[Tech]]*$T$7+Table1[[#This Row],[Beta]]*($T$6-$T$8)+$T$8</f>
        <v>0.22734799999999999</v>
      </c>
      <c r="J7" s="42">
        <v>357059113.44999999</v>
      </c>
      <c r="K7" s="56">
        <f>Table1[[#This Row],[Investment]]/Table1[[#This Row],[Dollar Volume]]</f>
        <v>0.26254346577205884</v>
      </c>
      <c r="L7" s="34">
        <f>IFERROR(MAX($T$11+$T$12*LN(Table1[[#This Row],[Frac ADV]]),0),0)*0.0001+0.005/Table1[[#This Row],[Stock Price]]+Table1[[#This Row],[Expense Ratio]]</f>
        <v>2.561263705222188E-2</v>
      </c>
      <c r="M7" s="24">
        <f>(Table1[[#This Row],[Expected Return]]-Table1[[#This Row],[Tcosts]])*Table1[[#This Row],[Investment]]</f>
        <v>72031449.845647633</v>
      </c>
      <c r="Q7" s="16" t="s">
        <v>98</v>
      </c>
      <c r="S7" t="s">
        <v>99</v>
      </c>
      <c r="T7" s="18">
        <v>0.1</v>
      </c>
      <c r="U7" t="s">
        <v>100</v>
      </c>
    </row>
    <row r="8" spans="1:22" ht="15" customHeight="1" thickBot="1" x14ac:dyDescent="0.35">
      <c r="A8" s="2" t="s">
        <v>101</v>
      </c>
      <c r="B8" s="10" t="s">
        <v>102</v>
      </c>
      <c r="C8" s="11">
        <v>139.21</v>
      </c>
      <c r="D8" s="11" t="s">
        <v>103</v>
      </c>
      <c r="E8" s="12">
        <v>8.0000000000000004E-4</v>
      </c>
      <c r="F8" s="11">
        <v>1.41</v>
      </c>
      <c r="G8" s="3">
        <f t="shared" si="1"/>
        <v>1020000000</v>
      </c>
      <c r="H8" s="3" t="b">
        <f t="shared" si="0"/>
        <v>1</v>
      </c>
      <c r="I8" s="26">
        <f>Table1[[#This Row],[Tech]]*$T$7+Table1[[#This Row],[Beta]]*($T$6-$T$8)+$T$8</f>
        <v>0.226076</v>
      </c>
      <c r="J8" s="42">
        <v>345440570.20999998</v>
      </c>
      <c r="K8" s="56">
        <f>Table1[[#This Row],[Investment]]/Table1[[#This Row],[Dollar Volume]]</f>
        <v>0.33866722569607843</v>
      </c>
      <c r="L8" s="34">
        <f>IFERROR(MAX($T$11+$T$12*LN(Table1[[#This Row],[Frac ADV]]),0),0)*0.0001+0.005/Table1[[#This Row],[Stock Price]]+Table1[[#This Row],[Expense Ratio]]</f>
        <v>2.6788791014372749E-2</v>
      </c>
      <c r="M8" s="24">
        <f>(Table1[[#This Row],[Expected Return]]-Table1[[#This Row],[Tcosts]])*Table1[[#This Row],[Investment]]</f>
        <v>68841887.10755451</v>
      </c>
      <c r="Q8" s="13" t="s">
        <v>104</v>
      </c>
      <c r="S8" t="s">
        <v>105</v>
      </c>
      <c r="T8" s="19">
        <v>3.6400000000000002E-2</v>
      </c>
      <c r="U8" t="s">
        <v>106</v>
      </c>
      <c r="V8" s="21">
        <v>46076</v>
      </c>
    </row>
    <row r="9" spans="1:22" ht="15" customHeight="1" thickBot="1" x14ac:dyDescent="0.35">
      <c r="A9" s="4" t="s">
        <v>107</v>
      </c>
      <c r="B9" s="14" t="s">
        <v>108</v>
      </c>
      <c r="C9" s="6">
        <v>190.79</v>
      </c>
      <c r="D9" s="6" t="s">
        <v>109</v>
      </c>
      <c r="E9" s="15">
        <v>3.8E-3</v>
      </c>
      <c r="F9" s="6">
        <v>1.43</v>
      </c>
      <c r="G9" s="3">
        <f t="shared" si="1"/>
        <v>1800000000</v>
      </c>
      <c r="H9" s="3" t="b">
        <f t="shared" si="0"/>
        <v>1</v>
      </c>
      <c r="I9" s="26">
        <f>Table1[[#This Row],[Tech]]*$T$7+Table1[[#This Row],[Beta]]*($T$6-$T$8)+$T$8</f>
        <v>0.22734799999999999</v>
      </c>
      <c r="J9" s="42">
        <v>337589926.63999999</v>
      </c>
      <c r="K9" s="56">
        <f>Table1[[#This Row],[Investment]]/Table1[[#This Row],[Dollar Volume]]</f>
        <v>0.18754995924444443</v>
      </c>
      <c r="L9" s="34">
        <f>IFERROR(MAX($T$11+$T$12*LN(Table1[[#This Row],[Frac ADV]]),0),0)*0.0001+0.005/Table1[[#This Row],[Stock Price]]+Table1[[#This Row],[Expense Ratio]]</f>
        <v>2.6884374944544376E-2</v>
      </c>
      <c r="M9" s="24">
        <f>(Table1[[#This Row],[Expected Return]]-Table1[[#This Row],[Tcosts]])*Table1[[#This Row],[Investment]]</f>
        <v>67674500.476459727</v>
      </c>
      <c r="Q9" s="16" t="s">
        <v>110</v>
      </c>
      <c r="S9" t="s">
        <v>111</v>
      </c>
      <c r="T9" s="19">
        <f>T8+2%</f>
        <v>5.6400000000000006E-2</v>
      </c>
      <c r="U9" t="s">
        <v>112</v>
      </c>
    </row>
    <row r="10" spans="1:22" ht="15" customHeight="1" thickBot="1" x14ac:dyDescent="0.35">
      <c r="A10" s="2" t="s">
        <v>113</v>
      </c>
      <c r="B10" s="10" t="s">
        <v>114</v>
      </c>
      <c r="C10" s="11">
        <v>600.64</v>
      </c>
      <c r="D10" s="11" t="s">
        <v>115</v>
      </c>
      <c r="E10" s="12">
        <v>2E-3</v>
      </c>
      <c r="F10" s="11">
        <v>1.22</v>
      </c>
      <c r="G10" s="3">
        <f t="shared" si="1"/>
        <v>9210000000</v>
      </c>
      <c r="H10" s="3" t="b">
        <f t="shared" si="0"/>
        <v>1</v>
      </c>
      <c r="I10" s="26">
        <f>Table1[[#This Row],[Tech]]*$T$7+Table1[[#This Row],[Beta]]*($T$6-$T$8)+$T$8</f>
        <v>0.21399200000000002</v>
      </c>
      <c r="J10" s="42">
        <v>326200482.07999998</v>
      </c>
      <c r="K10" s="56">
        <f>Table1[[#This Row],[Investment]]/Table1[[#This Row],[Dollar Volume]]</f>
        <v>3.5418076230184579E-2</v>
      </c>
      <c r="L10" s="34">
        <f>IFERROR(MAX($T$11+$T$12*LN(Table1[[#This Row],[Frac ADV]]),0),0)*0.0001+0.005/Table1[[#This Row],[Stock Price]]+Table1[[#This Row],[Expense Ratio]]</f>
        <v>1.6902051125053101E-2</v>
      </c>
      <c r="M10" s="24">
        <f>(Table1[[#This Row],[Expected Return]]-Table1[[#This Row],[Tcosts]])*Table1[[#This Row],[Investment]]</f>
        <v>64290836.336130232</v>
      </c>
      <c r="Q10" s="13" t="s">
        <v>116</v>
      </c>
      <c r="S10" t="s">
        <v>117</v>
      </c>
      <c r="U10" s="22" t="s">
        <v>118</v>
      </c>
    </row>
    <row r="11" spans="1:22" ht="15" customHeight="1" thickBot="1" x14ac:dyDescent="0.35">
      <c r="A11" s="4" t="s">
        <v>119</v>
      </c>
      <c r="B11" s="14" t="s">
        <v>120</v>
      </c>
      <c r="C11" s="6">
        <v>247.32</v>
      </c>
      <c r="D11" s="6" t="s">
        <v>121</v>
      </c>
      <c r="E11" s="15">
        <v>1.5E-3</v>
      </c>
      <c r="F11" s="6">
        <v>1.21</v>
      </c>
      <c r="G11" s="3">
        <f t="shared" si="1"/>
        <v>1260000000</v>
      </c>
      <c r="H11" s="3" t="b">
        <f t="shared" si="0"/>
        <v>1</v>
      </c>
      <c r="I11" s="26">
        <f>Table1[[#This Row],[Tech]]*$T$7+Table1[[#This Row],[Beta]]*($T$6-$T$8)+$T$8</f>
        <v>0.21335599999999999</v>
      </c>
      <c r="J11" s="42">
        <v>326107225.38999999</v>
      </c>
      <c r="K11" s="56">
        <f>Table1[[#This Row],[Investment]]/Table1[[#This Row],[Dollar Volume]]</f>
        <v>0.25881525824603174</v>
      </c>
      <c r="L11" s="34">
        <f>IFERROR(MAX($T$11+$T$12*LN(Table1[[#This Row],[Frac ADV]]),0),0)*0.0001+0.005/Table1[[#This Row],[Stock Price]]+Table1[[#This Row],[Expense Ratio]]</f>
        <v>2.6155946289999642E-2</v>
      </c>
      <c r="M11" s="24">
        <f>(Table1[[#This Row],[Expected Return]]-Table1[[#This Row],[Tcosts]])*Table1[[#This Row],[Investment]]</f>
        <v>61047290.108227186</v>
      </c>
      <c r="Q11" s="16" t="s">
        <v>122</v>
      </c>
      <c r="S11" t="s">
        <v>11</v>
      </c>
      <c r="T11" s="20">
        <v>312.56343894969302</v>
      </c>
    </row>
    <row r="12" spans="1:22" ht="15" customHeight="1" thickBot="1" x14ac:dyDescent="0.35">
      <c r="A12" s="2" t="s">
        <v>123</v>
      </c>
      <c r="B12" s="10" t="s">
        <v>124</v>
      </c>
      <c r="C12" s="11">
        <v>114.64</v>
      </c>
      <c r="D12" s="11" t="s">
        <v>125</v>
      </c>
      <c r="E12" s="12">
        <v>8.0000000000000004E-4</v>
      </c>
      <c r="F12" s="11">
        <v>0.94</v>
      </c>
      <c r="G12" s="3">
        <f t="shared" si="1"/>
        <v>736290000</v>
      </c>
      <c r="H12" s="3" t="b">
        <f t="shared" si="0"/>
        <v>1</v>
      </c>
      <c r="I12" s="26">
        <f>Table1[[#This Row],[Tech]]*$T$7+Table1[[#This Row],[Beta]]*($T$6-$T$8)+$T$8</f>
        <v>0.19618400000000003</v>
      </c>
      <c r="J12" s="42">
        <v>293476744.5</v>
      </c>
      <c r="K12" s="56">
        <f>Table1[[#This Row],[Investment]]/Table1[[#This Row],[Dollar Volume]]</f>
        <v>0.39858852422279267</v>
      </c>
      <c r="L12" s="34">
        <f>IFERROR(MAX($T$11+$T$12*LN(Table1[[#This Row],[Frac ADV]]),0),0)*0.0001+0.005/Table1[[#This Row],[Stock Price]]+Table1[[#This Row],[Expense Ratio]]</f>
        <v>2.7594463490600803E-2</v>
      </c>
      <c r="M12" s="24">
        <f>(Table1[[#This Row],[Expected Return]]-Table1[[#This Row],[Tcosts]])*Table1[[#This Row],[Investment]]</f>
        <v>49477108.33154238</v>
      </c>
      <c r="Q12" s="13" t="s">
        <v>126</v>
      </c>
      <c r="S12" t="s">
        <v>12</v>
      </c>
      <c r="T12" s="20">
        <v>48.982055899151902</v>
      </c>
    </row>
    <row r="13" spans="1:22" ht="15" customHeight="1" thickBot="1" x14ac:dyDescent="0.35">
      <c r="A13" s="2" t="s">
        <v>127</v>
      </c>
      <c r="B13" s="10" t="s">
        <v>128</v>
      </c>
      <c r="C13" s="11">
        <v>57.44</v>
      </c>
      <c r="D13" s="11" t="s">
        <v>129</v>
      </c>
      <c r="E13" s="12">
        <v>3.5000000000000001E-3</v>
      </c>
      <c r="F13" s="11">
        <v>0.95</v>
      </c>
      <c r="G13" s="3">
        <f t="shared" si="1"/>
        <v>1780000000</v>
      </c>
      <c r="H13" s="3" t="b">
        <f t="shared" si="0"/>
        <v>1</v>
      </c>
      <c r="I13" s="26">
        <f>Table1[[#This Row],[Tech]]*$T$7+Table1[[#This Row],[Beta]]*($T$6-$T$8)+$T$8</f>
        <v>0.19681999999999999</v>
      </c>
      <c r="J13" s="42">
        <v>284035778.80000001</v>
      </c>
      <c r="K13" s="56">
        <f>Table1[[#This Row],[Investment]]/Table1[[#This Row],[Dollar Volume]]</f>
        <v>0.15957066224719102</v>
      </c>
      <c r="L13" s="34">
        <f>IFERROR(MAX($T$11+$T$12*LN(Table1[[#This Row],[Frac ADV]]),0),0)*0.0001+0.005/Table1[[#This Row],[Stock Price]]+Table1[[#This Row],[Expense Ratio]]</f>
        <v>2.5853869159199259E-2</v>
      </c>
      <c r="M13" s="24">
        <f>(Table1[[#This Row],[Expected Return]]-Table1[[#This Row],[Tcosts]])*Table1[[#This Row],[Investment]]</f>
        <v>48560498.121789537</v>
      </c>
      <c r="Q13" s="16" t="s">
        <v>130</v>
      </c>
    </row>
    <row r="14" spans="1:22" ht="15" customHeight="1" thickBot="1" x14ac:dyDescent="0.35">
      <c r="A14" s="4" t="s">
        <v>131</v>
      </c>
      <c r="B14" s="14" t="s">
        <v>132</v>
      </c>
      <c r="C14" s="6">
        <v>163.69</v>
      </c>
      <c r="D14" s="6" t="s">
        <v>133</v>
      </c>
      <c r="E14" s="15">
        <v>4.0000000000000002E-4</v>
      </c>
      <c r="F14" s="6">
        <v>1.19</v>
      </c>
      <c r="G14" s="3">
        <f t="shared" si="1"/>
        <v>1120000000</v>
      </c>
      <c r="H14" s="3" t="b">
        <f t="shared" si="0"/>
        <v>0</v>
      </c>
      <c r="I14" s="26">
        <f>Table1[[#This Row],[Tech]]*$T$7+Table1[[#This Row],[Beta]]*($T$6-$T$8)+$T$8</f>
        <v>0.112084</v>
      </c>
      <c r="J14" s="42">
        <v>119549046.38</v>
      </c>
      <c r="K14" s="56">
        <f>Table1[[#This Row],[Investment]]/Table1[[#This Row],[Dollar Volume]]</f>
        <v>0.10674021998214285</v>
      </c>
      <c r="L14" s="34">
        <f>IFERROR(MAX($T$11+$T$12*LN(Table1[[#This Row],[Frac ADV]]),0),0)*0.0001+0.005/Table1[[#This Row],[Stock Price]]+Table1[[#This Row],[Expense Ratio]]</f>
        <v>2.0727853663684667E-2</v>
      </c>
      <c r="M14" s="24">
        <f>(Table1[[#This Row],[Expected Return]]-Table1[[#This Row],[Tcosts]])*Table1[[#This Row],[Investment]]</f>
        <v>10921540.175458228</v>
      </c>
      <c r="Q14" s="13" t="s">
        <v>134</v>
      </c>
    </row>
    <row r="15" spans="1:22" ht="15" customHeight="1" thickBot="1" x14ac:dyDescent="0.35">
      <c r="A15" s="4" t="s">
        <v>135</v>
      </c>
      <c r="B15" s="14" t="s">
        <v>136</v>
      </c>
      <c r="C15" s="6">
        <v>430.93</v>
      </c>
      <c r="D15" s="6" t="s">
        <v>137</v>
      </c>
      <c r="E15" s="15">
        <v>6.9999999999999999E-4</v>
      </c>
      <c r="F15" s="6">
        <v>1.21</v>
      </c>
      <c r="G15" s="3">
        <f t="shared" si="1"/>
        <v>978550000</v>
      </c>
      <c r="H15" s="3" t="b">
        <f t="shared" si="0"/>
        <v>0</v>
      </c>
      <c r="I15" s="26">
        <f>Table1[[#This Row],[Tech]]*$T$7+Table1[[#This Row],[Beta]]*($T$6-$T$8)+$T$8</f>
        <v>0.113356</v>
      </c>
      <c r="J15" s="42">
        <v>111735818.7</v>
      </c>
      <c r="K15" s="56">
        <f>Table1[[#This Row],[Investment]]/Table1[[#This Row],[Dollar Volume]]</f>
        <v>0.11418508885596035</v>
      </c>
      <c r="L15" s="34">
        <f>IFERROR(MAX($T$11+$T$12*LN(Table1[[#This Row],[Frac ADV]]),0),0)*0.0001+0.005/Table1[[#This Row],[Stock Price]]+Table1[[#This Row],[Expense Ratio]]</f>
        <v>2.1339161112405219E-2</v>
      </c>
      <c r="M15" s="24">
        <f>(Table1[[#This Row],[Expected Return]]-Table1[[#This Row],[Tcosts]])*Table1[[#This Row],[Investment]]</f>
        <v>10281576.827291401</v>
      </c>
      <c r="Q15" s="16" t="s">
        <v>138</v>
      </c>
      <c r="S15" t="s">
        <v>139</v>
      </c>
      <c r="T15" s="48">
        <f>SUM(Table1[Exp Profit])</f>
        <v>1381972228.7690339</v>
      </c>
    </row>
    <row r="16" spans="1:22" ht="15" customHeight="1" thickBot="1" x14ac:dyDescent="0.35">
      <c r="A16" s="2" t="s">
        <v>140</v>
      </c>
      <c r="B16" s="10" t="s">
        <v>141</v>
      </c>
      <c r="C16" s="11">
        <v>30.51</v>
      </c>
      <c r="D16" s="11" t="s">
        <v>142</v>
      </c>
      <c r="E16" s="12">
        <v>4.0000000000000002E-4</v>
      </c>
      <c r="F16" s="11">
        <v>1.24</v>
      </c>
      <c r="G16" s="3">
        <f t="shared" si="1"/>
        <v>968150000</v>
      </c>
      <c r="H16" s="3" t="b">
        <f t="shared" si="0"/>
        <v>0</v>
      </c>
      <c r="I16" s="26">
        <f>Table1[[#This Row],[Tech]]*$T$7+Table1[[#This Row],[Beta]]*($T$6-$T$8)+$T$8</f>
        <v>0.11526400000000001</v>
      </c>
      <c r="J16" s="42">
        <v>86560303.920000002</v>
      </c>
      <c r="K16" s="56">
        <f>Table1[[#This Row],[Investment]]/Table1[[#This Row],[Dollar Volume]]</f>
        <v>8.9407947033001089E-2</v>
      </c>
      <c r="L16" s="34">
        <f>IFERROR(MAX($T$11+$T$12*LN(Table1[[#This Row],[Frac ADV]]),0),0)*0.0001+0.005/Table1[[#This Row],[Stock Price]]+Table1[[#This Row],[Expense Ratio]]</f>
        <v>1.9993283306934253E-2</v>
      </c>
      <c r="M16" s="24">
        <f>(Table1[[#This Row],[Expected Return]]-Table1[[#This Row],[Tcosts]])*Table1[[#This Row],[Investment]]</f>
        <v>8246662.1916279886</v>
      </c>
      <c r="Q16" s="13" t="s">
        <v>143</v>
      </c>
      <c r="S16" t="s">
        <v>144</v>
      </c>
      <c r="T16" s="48">
        <f>SUM(Table1[Investment])</f>
        <v>9268068472.039999</v>
      </c>
    </row>
    <row r="17" spans="1:20" ht="15" customHeight="1" thickBot="1" x14ac:dyDescent="0.35">
      <c r="A17" s="2" t="s">
        <v>145</v>
      </c>
      <c r="B17" s="10" t="s">
        <v>146</v>
      </c>
      <c r="C17" s="11">
        <v>262.27</v>
      </c>
      <c r="D17" s="11" t="s">
        <v>147</v>
      </c>
      <c r="E17" s="12">
        <v>2E-3</v>
      </c>
      <c r="F17" s="11">
        <v>1.2</v>
      </c>
      <c r="G17" s="3">
        <f t="shared" si="1"/>
        <v>582850000</v>
      </c>
      <c r="H17" s="3" t="b">
        <f t="shared" si="0"/>
        <v>0</v>
      </c>
      <c r="I17" s="26">
        <f>Table1[[#This Row],[Tech]]*$T$7+Table1[[#This Row],[Beta]]*($T$6-$T$8)+$T$8</f>
        <v>0.11272</v>
      </c>
      <c r="J17" s="42">
        <v>77548748.609999999</v>
      </c>
      <c r="K17" s="56">
        <f>Table1[[#This Row],[Investment]]/Table1[[#This Row],[Dollar Volume]]</f>
        <v>0.13305095412198678</v>
      </c>
      <c r="L17" s="34">
        <f>IFERROR(MAX($T$11+$T$12*LN(Table1[[#This Row],[Frac ADV]]),0),0)*0.0001+0.005/Table1[[#This Row],[Stock Price]]+Table1[[#This Row],[Expense Ratio]]</f>
        <v>2.339561434349615E-2</v>
      </c>
      <c r="M17" s="24">
        <f>(Table1[[#This Row],[Expected Return]]-Table1[[#This Row],[Tcosts]])*Table1[[#This Row],[Investment]]</f>
        <v>6926994.3280189075</v>
      </c>
      <c r="Q17" s="16" t="s">
        <v>148</v>
      </c>
      <c r="S17" t="s">
        <v>149</v>
      </c>
      <c r="T17" s="48">
        <f>MAX((T16-T5),0)*T9</f>
        <v>466319061.82305598</v>
      </c>
    </row>
    <row r="18" spans="1:20" ht="15" customHeight="1" thickBot="1" x14ac:dyDescent="0.35">
      <c r="A18" s="2" t="s">
        <v>150</v>
      </c>
      <c r="B18" s="10" t="s">
        <v>151</v>
      </c>
      <c r="C18" s="11">
        <v>448.96</v>
      </c>
      <c r="D18" s="11" t="s">
        <v>152</v>
      </c>
      <c r="E18" s="12">
        <v>1.8E-3</v>
      </c>
      <c r="F18" s="11">
        <v>1.22</v>
      </c>
      <c r="G18" s="3">
        <f t="shared" si="1"/>
        <v>469470000</v>
      </c>
      <c r="H18" s="3" t="b">
        <f t="shared" si="0"/>
        <v>0</v>
      </c>
      <c r="I18" s="26">
        <f>Table1[[#This Row],[Tech]]*$T$7+Table1[[#This Row],[Beta]]*($T$6-$T$8)+$T$8</f>
        <v>0.11399200000000001</v>
      </c>
      <c r="J18" s="42">
        <v>76710042.75</v>
      </c>
      <c r="K18" s="56">
        <f>Table1[[#This Row],[Investment]]/Table1[[#This Row],[Dollar Volume]]</f>
        <v>0.16339711323407247</v>
      </c>
      <c r="L18" s="34">
        <f>IFERROR(MAX($T$11+$T$12*LN(Table1[[#This Row],[Frac ADV]]),0),0)*0.0001+0.005/Table1[[#This Row],[Stock Price]]+Table1[[#This Row],[Expense Ratio]]</f>
        <v>2.4194029805684865E-2</v>
      </c>
      <c r="M18" s="24">
        <f>(Table1[[#This Row],[Expected Return]]-Table1[[#This Row],[Tcosts]])*Table1[[#This Row],[Investment]]</f>
        <v>6888406.1324691409</v>
      </c>
      <c r="Q18" s="13" t="s">
        <v>153</v>
      </c>
      <c r="S18" t="s">
        <v>154</v>
      </c>
      <c r="T18" s="50">
        <f>T15-T17</f>
        <v>915653166.94597793</v>
      </c>
    </row>
    <row r="19" spans="1:20" ht="15" customHeight="1" thickBot="1" x14ac:dyDescent="0.35">
      <c r="A19" s="4" t="s">
        <v>155</v>
      </c>
      <c r="B19" s="14" t="s">
        <v>156</v>
      </c>
      <c r="C19" s="6">
        <v>272.94</v>
      </c>
      <c r="D19" s="6" t="s">
        <v>157</v>
      </c>
      <c r="E19" s="15">
        <v>2.9999999999999997E-4</v>
      </c>
      <c r="F19" s="6">
        <v>0.94</v>
      </c>
      <c r="G19" s="3">
        <f t="shared" si="1"/>
        <v>1870000000</v>
      </c>
      <c r="H19" s="3" t="b">
        <f t="shared" si="0"/>
        <v>0</v>
      </c>
      <c r="I19" s="26">
        <f>Table1[[#This Row],[Tech]]*$T$7+Table1[[#This Row],[Beta]]*($T$6-$T$8)+$T$8</f>
        <v>9.6183999999999992E-2</v>
      </c>
      <c r="J19" s="42">
        <v>75911710.609999999</v>
      </c>
      <c r="K19" s="56">
        <f>Table1[[#This Row],[Investment]]/Table1[[#This Row],[Dollar Volume]]</f>
        <v>4.0594497652406414E-2</v>
      </c>
      <c r="L19" s="34">
        <f>IFERROR(MAX($T$11+$T$12*LN(Table1[[#This Row],[Frac ADV]]),0),0)*0.0001+0.005/Table1[[#This Row],[Stock Price]]+Table1[[#This Row],[Expense Ratio]]</f>
        <v>1.5880210987546453E-2</v>
      </c>
      <c r="M19" s="24">
        <f>(Table1[[#This Row],[Expected Return]]-Table1[[#This Row],[Tcosts]])*Table1[[#This Row],[Investment]]</f>
        <v>6095997.9923998704</v>
      </c>
      <c r="Q19" s="16" t="s">
        <v>158</v>
      </c>
      <c r="S19" t="s">
        <v>159</v>
      </c>
      <c r="T19" s="49">
        <f>COUNTIF(Table1[Investment],"&gt;0")</f>
        <v>192</v>
      </c>
    </row>
    <row r="20" spans="1:20" ht="15" customHeight="1" thickBot="1" x14ac:dyDescent="0.35">
      <c r="A20" s="4" t="s">
        <v>160</v>
      </c>
      <c r="B20" s="14" t="s">
        <v>161</v>
      </c>
      <c r="C20" s="6">
        <v>118.27</v>
      </c>
      <c r="D20" s="6" t="s">
        <v>162</v>
      </c>
      <c r="E20" s="15">
        <v>1.2999999999999999E-3</v>
      </c>
      <c r="F20" s="6">
        <v>1.23</v>
      </c>
      <c r="G20" s="3">
        <f t="shared" si="1"/>
        <v>1070000000.0000001</v>
      </c>
      <c r="H20" s="3" t="b">
        <f t="shared" si="0"/>
        <v>0</v>
      </c>
      <c r="I20" s="26">
        <f>Table1[[#This Row],[Tech]]*$T$7+Table1[[#This Row],[Beta]]*($T$6-$T$8)+$T$8</f>
        <v>0.11462800000000001</v>
      </c>
      <c r="J20" s="42">
        <v>75905494.540000007</v>
      </c>
      <c r="K20" s="56">
        <f>Table1[[#This Row],[Investment]]/Table1[[#This Row],[Dollar Volume]]</f>
        <v>7.0939714523364478E-2</v>
      </c>
      <c r="L20" s="34">
        <f>IFERROR(MAX($T$11+$T$12*LN(Table1[[#This Row],[Frac ADV]]),0),0)*0.0001+0.005/Table1[[#This Row],[Stock Price]]+Table1[[#This Row],[Expense Ratio]]</f>
        <v>1.9638336133176552E-2</v>
      </c>
      <c r="M20" s="24">
        <f>(Table1[[#This Row],[Expected Return]]-Table1[[#This Row],[Tcosts]])*Table1[[#This Row],[Investment]]</f>
        <v>7210237.4119996028</v>
      </c>
      <c r="Q20" s="13" t="s">
        <v>163</v>
      </c>
      <c r="S20" s="119" t="s">
        <v>164</v>
      </c>
      <c r="T20" s="40">
        <f>T18+T5</f>
        <v>1915653166.9459779</v>
      </c>
    </row>
    <row r="21" spans="1:20" ht="15" customHeight="1" thickBot="1" x14ac:dyDescent="0.35">
      <c r="A21" s="2" t="s">
        <v>165</v>
      </c>
      <c r="B21" s="10" t="s">
        <v>166</v>
      </c>
      <c r="C21" s="11">
        <v>42.54</v>
      </c>
      <c r="D21" s="11" t="s">
        <v>167</v>
      </c>
      <c r="E21" s="12">
        <v>3.8999999999999998E-3</v>
      </c>
      <c r="F21" s="11">
        <v>1.22</v>
      </c>
      <c r="G21" s="3">
        <f t="shared" si="1"/>
        <v>456530000</v>
      </c>
      <c r="H21" s="3" t="b">
        <f t="shared" si="0"/>
        <v>0</v>
      </c>
      <c r="I21" s="26">
        <f>Table1[[#This Row],[Tech]]*$T$7+Table1[[#This Row],[Beta]]*($T$6-$T$8)+$T$8</f>
        <v>0.11399200000000001</v>
      </c>
      <c r="J21" s="42">
        <v>74924000.239999995</v>
      </c>
      <c r="K21" s="56">
        <f>Table1[[#This Row],[Investment]]/Table1[[#This Row],[Dollar Volume]]</f>
        <v>0.16411626889799136</v>
      </c>
      <c r="L21" s="34">
        <f>IFERROR(MAX($T$11+$T$12*LN(Table1[[#This Row],[Frac ADV]]),0),0)*0.0001+0.005/Table1[[#This Row],[Stock Price]]+Table1[[#This Row],[Expense Ratio]]</f>
        <v>2.6421940439838622E-2</v>
      </c>
      <c r="M21" s="24">
        <f>(Table1[[#This Row],[Expected Return]]-Table1[[#This Row],[Tcosts]])*Table1[[#This Row],[Investment]]</f>
        <v>6561099.1635023458</v>
      </c>
      <c r="Q21" s="16" t="s">
        <v>168</v>
      </c>
      <c r="S21" s="119" t="s">
        <v>169</v>
      </c>
      <c r="T21" s="120">
        <f>T18/T5</f>
        <v>0.91565316694597798</v>
      </c>
    </row>
    <row r="22" spans="1:20" ht="15" customHeight="1" thickBot="1" x14ac:dyDescent="0.35">
      <c r="A22" s="4" t="s">
        <v>170</v>
      </c>
      <c r="B22" s="14" t="s">
        <v>171</v>
      </c>
      <c r="C22" s="6">
        <v>50.4</v>
      </c>
      <c r="D22" s="6" t="s">
        <v>172</v>
      </c>
      <c r="E22" s="15">
        <v>2.9999999999999997E-4</v>
      </c>
      <c r="F22" s="6">
        <v>0.92</v>
      </c>
      <c r="G22" s="3">
        <f t="shared" si="1"/>
        <v>1220000000</v>
      </c>
      <c r="H22" s="3" t="b">
        <f t="shared" si="0"/>
        <v>0</v>
      </c>
      <c r="I22" s="26">
        <f>Table1[[#This Row],[Tech]]*$T$7+Table1[[#This Row],[Beta]]*($T$6-$T$8)+$T$8</f>
        <v>9.491200000000001E-2</v>
      </c>
      <c r="J22" s="42">
        <v>74827166.739999995</v>
      </c>
      <c r="K22" s="56">
        <f>Table1[[#This Row],[Investment]]/Table1[[#This Row],[Dollar Volume]]</f>
        <v>6.1333743229508193E-2</v>
      </c>
      <c r="L22" s="34">
        <f>IFERROR(MAX($T$11+$T$12*LN(Table1[[#This Row],[Frac ADV]]),0),0)*0.0001+0.005/Table1[[#This Row],[Stock Price]]+Table1[[#This Row],[Expense Ratio]]</f>
        <v>1.7982576083402937E-2</v>
      </c>
      <c r="M22" s="24">
        <f>(Table1[[#This Row],[Expected Return]]-Table1[[#This Row],[Tcosts]])*Table1[[#This Row],[Investment]]</f>
        <v>5756410.8306193529</v>
      </c>
      <c r="Q22" s="13" t="s">
        <v>173</v>
      </c>
    </row>
    <row r="23" spans="1:20" ht="15" customHeight="1" thickBot="1" x14ac:dyDescent="0.35">
      <c r="A23" s="2" t="s">
        <v>174</v>
      </c>
      <c r="B23" s="10" t="s">
        <v>175</v>
      </c>
      <c r="C23" s="11">
        <v>386.83</v>
      </c>
      <c r="D23" s="11" t="s">
        <v>176</v>
      </c>
      <c r="E23" s="12">
        <v>5.0000000000000001E-4</v>
      </c>
      <c r="F23" s="11">
        <v>1.27</v>
      </c>
      <c r="G23" s="3">
        <f t="shared" si="1"/>
        <v>309820000</v>
      </c>
      <c r="H23" s="3" t="b">
        <f t="shared" si="0"/>
        <v>0</v>
      </c>
      <c r="I23" s="26">
        <f>Table1[[#This Row],[Tech]]*$T$7+Table1[[#This Row],[Beta]]*($T$6-$T$8)+$T$8</f>
        <v>0.11717200000000001</v>
      </c>
      <c r="J23" s="42">
        <v>74653057.280000001</v>
      </c>
      <c r="K23" s="56">
        <f>Table1[[#This Row],[Investment]]/Table1[[#This Row],[Dollar Volume]]</f>
        <v>0.24095622387192564</v>
      </c>
      <c r="L23" s="34">
        <f>IFERROR(MAX($T$11+$T$12*LN(Table1[[#This Row],[Frac ADV]]),0),0)*0.0001+0.005/Table1[[#This Row],[Stock Price]]+Table1[[#This Row],[Expense Ratio]]</f>
        <v>2.479843713847869E-2</v>
      </c>
      <c r="M23" s="24">
        <f>(Table1[[#This Row],[Expected Return]]-Table1[[#This Row],[Tcosts]])*Table1[[#This Row],[Investment]]</f>
        <v>6895968.8794588316</v>
      </c>
      <c r="Q23" s="16" t="s">
        <v>177</v>
      </c>
    </row>
    <row r="24" spans="1:20" ht="15" customHeight="1" thickBot="1" x14ac:dyDescent="0.35">
      <c r="A24" s="4" t="s">
        <v>178</v>
      </c>
      <c r="B24" s="14" t="s">
        <v>179</v>
      </c>
      <c r="C24" s="6">
        <v>103.45</v>
      </c>
      <c r="D24" s="6" t="s">
        <v>180</v>
      </c>
      <c r="E24" s="15">
        <v>4.0000000000000002E-4</v>
      </c>
      <c r="F24" s="6">
        <v>1.21</v>
      </c>
      <c r="G24" s="3">
        <f t="shared" si="1"/>
        <v>4470000000</v>
      </c>
      <c r="H24" s="3" t="b">
        <f t="shared" si="0"/>
        <v>0</v>
      </c>
      <c r="I24" s="26">
        <f>Table1[[#This Row],[Tech]]*$T$7+Table1[[#This Row],[Beta]]*($T$6-$T$8)+$T$8</f>
        <v>0.113356</v>
      </c>
      <c r="J24" s="42">
        <v>73728348.969999999</v>
      </c>
      <c r="K24" s="56">
        <f>Table1[[#This Row],[Investment]]/Table1[[#This Row],[Dollar Volume]]</f>
        <v>1.6494037800894853E-2</v>
      </c>
      <c r="L24" s="34">
        <f>IFERROR(MAX($T$11+$T$12*LN(Table1[[#This Row],[Frac ADV]]),0),0)*0.0001+0.005/Table1[[#This Row],[Stock Price]]+Table1[[#This Row],[Expense Ratio]]</f>
        <v>1.1598736125869877E-2</v>
      </c>
      <c r="M24" s="24">
        <f>(Table1[[#This Row],[Expected Return]]-Table1[[#This Row],[Tcosts]])*Table1[[#This Row],[Investment]]</f>
        <v>7502395.0611442393</v>
      </c>
      <c r="Q24" s="13" t="s">
        <v>181</v>
      </c>
    </row>
    <row r="25" spans="1:20" ht="15" customHeight="1" thickBot="1" x14ac:dyDescent="0.35">
      <c r="A25" s="4" t="s">
        <v>182</v>
      </c>
      <c r="B25" s="14" t="s">
        <v>183</v>
      </c>
      <c r="C25" s="6">
        <v>335.05</v>
      </c>
      <c r="D25" s="6" t="s">
        <v>184</v>
      </c>
      <c r="E25" s="15">
        <v>2E-3</v>
      </c>
      <c r="F25" s="6">
        <v>1.08</v>
      </c>
      <c r="G25" s="3">
        <f t="shared" si="1"/>
        <v>7750000000</v>
      </c>
      <c r="H25" s="3" t="b">
        <f t="shared" si="0"/>
        <v>0</v>
      </c>
      <c r="I25" s="26">
        <f>Table1[[#This Row],[Tech]]*$T$7+Table1[[#This Row],[Beta]]*($T$6-$T$8)+$T$8</f>
        <v>0.10508800000000001</v>
      </c>
      <c r="J25" s="42">
        <v>73619087.439999998</v>
      </c>
      <c r="K25" s="56">
        <f>Table1[[#This Row],[Investment]]/Table1[[#This Row],[Dollar Volume]]</f>
        <v>9.4992370890322579E-3</v>
      </c>
      <c r="L25" s="34">
        <f>IFERROR(MAX($T$11+$T$12*LN(Table1[[#This Row],[Frac ADV]]),0),0)*0.0001+0.005/Table1[[#This Row],[Stock Price]]+Table1[[#This Row],[Expense Ratio]]</f>
        <v>1.0462558218817249E-2</v>
      </c>
      <c r="M25" s="24">
        <f>(Table1[[#This Row],[Expected Return]]-Table1[[#This Row],[Tcosts]])*Table1[[#This Row],[Investment]]</f>
        <v>6966238.6725375233</v>
      </c>
      <c r="Q25" s="16" t="s">
        <v>185</v>
      </c>
    </row>
    <row r="26" spans="1:20" ht="14.4" x14ac:dyDescent="0.3">
      <c r="A26" s="2" t="s">
        <v>186</v>
      </c>
      <c r="B26" s="10" t="s">
        <v>187</v>
      </c>
      <c r="C26" s="11">
        <v>460.15</v>
      </c>
      <c r="D26" s="11" t="s">
        <v>188</v>
      </c>
      <c r="E26" s="12">
        <v>2.9999999999999997E-4</v>
      </c>
      <c r="F26" s="11">
        <v>1.24</v>
      </c>
      <c r="G26" s="3">
        <f t="shared" si="1"/>
        <v>722110000</v>
      </c>
      <c r="H26" s="3" t="b">
        <f t="shared" si="0"/>
        <v>0</v>
      </c>
      <c r="I26" s="26">
        <f>Table1[[#This Row],[Tech]]*$T$7+Table1[[#This Row],[Beta]]*($T$6-$T$8)+$T$8</f>
        <v>0.11526400000000001</v>
      </c>
      <c r="J26" s="42">
        <v>73468985.640000001</v>
      </c>
      <c r="K26" s="56">
        <f>Table1[[#This Row],[Investment]]/Table1[[#This Row],[Dollar Volume]]</f>
        <v>0.10174209696583623</v>
      </c>
      <c r="L26" s="34">
        <f>IFERROR(MAX($T$11+$T$12*LN(Table1[[#This Row],[Frac ADV]]),0),0)*0.0001+0.005/Table1[[#This Row],[Stock Price]]+Table1[[#This Row],[Expense Ratio]]</f>
        <v>2.0373271476648531E-2</v>
      </c>
      <c r="M26" s="24">
        <f>(Table1[[#This Row],[Expected Return]]-Table1[[#This Row],[Tcosts]])*Table1[[#This Row],[Investment]]</f>
        <v>6971525.571251248</v>
      </c>
      <c r="Q26" s="13" t="s">
        <v>189</v>
      </c>
    </row>
    <row r="27" spans="1:20" ht="14.4" x14ac:dyDescent="0.3">
      <c r="A27" s="4" t="s">
        <v>190</v>
      </c>
      <c r="B27" s="14" t="s">
        <v>191</v>
      </c>
      <c r="C27" s="6">
        <v>119.49</v>
      </c>
      <c r="D27" s="6" t="s">
        <v>192</v>
      </c>
      <c r="E27" s="15">
        <v>1.8E-3</v>
      </c>
      <c r="F27" s="6">
        <v>1.21</v>
      </c>
      <c r="G27" s="3">
        <f t="shared" si="1"/>
        <v>1290000000</v>
      </c>
      <c r="H27" s="3" t="b">
        <f t="shared" si="0"/>
        <v>0</v>
      </c>
      <c r="I27" s="26">
        <f>Table1[[#This Row],[Tech]]*$T$7+Table1[[#This Row],[Beta]]*($T$6-$T$8)+$T$8</f>
        <v>0.113356</v>
      </c>
      <c r="J27" s="42">
        <v>72849381.290000007</v>
      </c>
      <c r="K27" s="56">
        <f>Table1[[#This Row],[Investment]]/Table1[[#This Row],[Dollar Volume]]</f>
        <v>5.647238859689923E-2</v>
      </c>
      <c r="L27" s="34">
        <f>IFERROR(MAX($T$11+$T$12*LN(Table1[[#This Row],[Frac ADV]]),0),0)*0.0001+0.005/Table1[[#This Row],[Stock Price]]+Table1[[#This Row],[Expense Ratio]]</f>
        <v>1.9020728598935815E-2</v>
      </c>
      <c r="M27" s="24">
        <f>(Table1[[#This Row],[Expected Return]]-Table1[[#This Row],[Tcosts]])*Table1[[#This Row],[Investment]]</f>
        <v>6872266.1553917574</v>
      </c>
      <c r="Q27" s="16" t="s">
        <v>193</v>
      </c>
    </row>
    <row r="28" spans="1:20" ht="14.4" x14ac:dyDescent="0.3">
      <c r="A28" s="2" t="s">
        <v>194</v>
      </c>
      <c r="B28" s="10" t="s">
        <v>195</v>
      </c>
      <c r="C28" s="11">
        <v>115.5</v>
      </c>
      <c r="D28" s="11" t="s">
        <v>196</v>
      </c>
      <c r="E28" s="12">
        <v>5.9999999999999995E-4</v>
      </c>
      <c r="F28" s="11">
        <v>1.22</v>
      </c>
      <c r="G28" s="3">
        <f t="shared" si="1"/>
        <v>2080000000</v>
      </c>
      <c r="H28" s="3" t="b">
        <f t="shared" si="0"/>
        <v>0</v>
      </c>
      <c r="I28" s="26">
        <f>Table1[[#This Row],[Tech]]*$T$7+Table1[[#This Row],[Beta]]*($T$6-$T$8)+$T$8</f>
        <v>0.11399200000000001</v>
      </c>
      <c r="J28" s="42">
        <v>71772099.659999996</v>
      </c>
      <c r="K28" s="56">
        <f>Table1[[#This Row],[Investment]]/Table1[[#This Row],[Dollar Volume]]</f>
        <v>3.4505817144230767E-2</v>
      </c>
      <c r="L28" s="34">
        <f>IFERROR(MAX($T$11+$T$12*LN(Table1[[#This Row],[Frac ADV]]),0),0)*0.0001+0.005/Table1[[#This Row],[Stock Price]]+Table1[[#This Row],[Expense Ratio]]</f>
        <v>1.5409201002556857E-2</v>
      </c>
      <c r="M28" s="24">
        <f>(Table1[[#This Row],[Expected Return]]-Table1[[#This Row],[Tcosts]])*Table1[[#This Row],[Investment]]</f>
        <v>7075494.4744062377</v>
      </c>
      <c r="Q28" s="13" t="s">
        <v>197</v>
      </c>
    </row>
    <row r="29" spans="1:20" ht="14.4" x14ac:dyDescent="0.3">
      <c r="A29" s="4" t="s">
        <v>198</v>
      </c>
      <c r="B29" s="14" t="s">
        <v>199</v>
      </c>
      <c r="C29" s="6">
        <v>30.31</v>
      </c>
      <c r="D29" s="6" t="s">
        <v>200</v>
      </c>
      <c r="E29" s="15">
        <v>4.0000000000000002E-4</v>
      </c>
      <c r="F29" s="6">
        <v>0.98</v>
      </c>
      <c r="G29" s="3">
        <f t="shared" si="1"/>
        <v>12250000000</v>
      </c>
      <c r="H29" s="3" t="b">
        <f t="shared" si="0"/>
        <v>0</v>
      </c>
      <c r="I29" s="26">
        <f>Table1[[#This Row],[Tech]]*$T$7+Table1[[#This Row],[Beta]]*($T$6-$T$8)+$T$8</f>
        <v>9.872800000000001E-2</v>
      </c>
      <c r="J29" s="42">
        <v>65239254.18</v>
      </c>
      <c r="K29" s="56">
        <f>Table1[[#This Row],[Investment]]/Table1[[#This Row],[Dollar Volume]]</f>
        <v>5.3256534024489792E-3</v>
      </c>
      <c r="L29" s="34">
        <f>IFERROR(MAX($T$11+$T$12*LN(Table1[[#This Row],[Frac ADV]]),0),0)*0.0001+0.005/Table1[[#This Row],[Stock Price]]+Table1[[#This Row],[Expense Ratio]]</f>
        <v>6.17812272090504E-3</v>
      </c>
      <c r="M29" s="24">
        <f>(Table1[[#This Row],[Expected Return]]-Table1[[#This Row],[Tcosts]])*Table1[[#This Row],[Investment]]</f>
        <v>6037884.9681386836</v>
      </c>
      <c r="Q29" s="16" t="s">
        <v>201</v>
      </c>
    </row>
    <row r="30" spans="1:20" ht="14.4" x14ac:dyDescent="0.3">
      <c r="A30" s="4" t="s">
        <v>202</v>
      </c>
      <c r="B30" s="14" t="s">
        <v>203</v>
      </c>
      <c r="C30" s="6">
        <v>213.85</v>
      </c>
      <c r="D30" s="6" t="s">
        <v>204</v>
      </c>
      <c r="E30" s="15">
        <v>5.0000000000000001E-4</v>
      </c>
      <c r="F30" s="6">
        <v>1.07</v>
      </c>
      <c r="G30" s="3">
        <f t="shared" si="1"/>
        <v>3070000000</v>
      </c>
      <c r="H30" s="3" t="b">
        <f t="shared" si="0"/>
        <v>0</v>
      </c>
      <c r="I30" s="26">
        <f>Table1[[#This Row],[Tech]]*$T$7+Table1[[#This Row],[Beta]]*($T$6-$T$8)+$T$8</f>
        <v>0.104452</v>
      </c>
      <c r="J30" s="42">
        <v>64885376.299999997</v>
      </c>
      <c r="K30" s="56">
        <f>Table1[[#This Row],[Investment]]/Table1[[#This Row],[Dollar Volume]]</f>
        <v>2.1135301726384365E-2</v>
      </c>
      <c r="L30" s="34">
        <f>IFERROR(MAX($T$11+$T$12*LN(Table1[[#This Row],[Frac ADV]]),0),0)*0.0001+0.005/Table1[[#This Row],[Stock Price]]+Table1[[#This Row],[Expense Ratio]]</f>
        <v>1.2888273681498528E-2</v>
      </c>
      <c r="M30" s="24">
        <f>(Table1[[#This Row],[Expected Return]]-Table1[[#This Row],[Tcosts]])*Table1[[#This Row],[Investment]]</f>
        <v>5941146.8376061814</v>
      </c>
      <c r="Q30" s="13" t="s">
        <v>205</v>
      </c>
    </row>
    <row r="31" spans="1:20" ht="14.4" x14ac:dyDescent="0.3">
      <c r="A31" s="2" t="s">
        <v>206</v>
      </c>
      <c r="B31" s="10" t="s">
        <v>207</v>
      </c>
      <c r="C31" s="11">
        <v>26.29</v>
      </c>
      <c r="D31" s="11" t="s">
        <v>208</v>
      </c>
      <c r="E31" s="12">
        <v>2.9999999999999997E-4</v>
      </c>
      <c r="F31" s="11">
        <v>1</v>
      </c>
      <c r="G31" s="3">
        <f t="shared" si="1"/>
        <v>236140000</v>
      </c>
      <c r="H31" s="3" t="b">
        <f t="shared" si="0"/>
        <v>0</v>
      </c>
      <c r="I31" s="26">
        <f>Table1[[#This Row],[Tech]]*$T$7+Table1[[#This Row],[Beta]]*($T$6-$T$8)+$T$8</f>
        <v>0.1</v>
      </c>
      <c r="J31" s="42">
        <v>63530414.890000001</v>
      </c>
      <c r="K31" s="56">
        <f>Table1[[#This Row],[Investment]]/Table1[[#This Row],[Dollar Volume]]</f>
        <v>0.2690370749978826</v>
      </c>
      <c r="L31" s="34">
        <f>IFERROR(MAX($T$11+$T$12*LN(Table1[[#This Row],[Frac ADV]]),0),0)*0.0001+0.005/Table1[[#This Row],[Stock Price]]+Table1[[#This Row],[Expense Ratio]]</f>
        <v>2.5315646359869833E-2</v>
      </c>
      <c r="M31" s="24">
        <f>(Table1[[#This Row],[Expected Return]]-Table1[[#This Row],[Tcosts]])*Table1[[#This Row],[Investment]]</f>
        <v>4744727.9725489523</v>
      </c>
      <c r="Q31" s="16" t="s">
        <v>209</v>
      </c>
    </row>
    <row r="32" spans="1:20" ht="14.4" x14ac:dyDescent="0.3">
      <c r="A32" s="2" t="s">
        <v>210</v>
      </c>
      <c r="B32" s="10" t="s">
        <v>211</v>
      </c>
      <c r="C32" s="11">
        <v>310.33</v>
      </c>
      <c r="D32" s="11" t="s">
        <v>212</v>
      </c>
      <c r="E32" s="12">
        <v>5.0000000000000001E-4</v>
      </c>
      <c r="F32" s="11">
        <v>1.06</v>
      </c>
      <c r="G32" s="3">
        <f t="shared" si="1"/>
        <v>341000000</v>
      </c>
      <c r="H32" s="3" t="b">
        <f t="shared" si="0"/>
        <v>0</v>
      </c>
      <c r="I32" s="26">
        <f>Table1[[#This Row],[Tech]]*$T$7+Table1[[#This Row],[Beta]]*($T$6-$T$8)+$T$8</f>
        <v>0.10381600000000001</v>
      </c>
      <c r="J32" s="42">
        <v>61922185.850000001</v>
      </c>
      <c r="K32" s="56">
        <f>Table1[[#This Row],[Investment]]/Table1[[#This Row],[Dollar Volume]]</f>
        <v>0.18158998782991204</v>
      </c>
      <c r="L32" s="34">
        <f>IFERROR(MAX($T$11+$T$12*LN(Table1[[#This Row],[Frac ADV]]),0),0)*0.0001+0.005/Table1[[#This Row],[Stock Price]]+Table1[[#This Row],[Expense Ratio]]</f>
        <v>2.3416097704151144E-2</v>
      </c>
      <c r="M32" s="24">
        <f>(Table1[[#This Row],[Expected Return]]-Table1[[#This Row],[Tcosts]])*Table1[[#This Row],[Investment]]</f>
        <v>4978537.6922853952</v>
      </c>
      <c r="Q32" s="13" t="s">
        <v>213</v>
      </c>
    </row>
    <row r="33" spans="1:17" ht="14.4" x14ac:dyDescent="0.3">
      <c r="A33" s="4" t="s">
        <v>214</v>
      </c>
      <c r="B33" s="14" t="s">
        <v>215</v>
      </c>
      <c r="C33" s="6">
        <v>132.91</v>
      </c>
      <c r="D33" s="6" t="s">
        <v>216</v>
      </c>
      <c r="E33" s="15">
        <v>2.3E-3</v>
      </c>
      <c r="F33" s="6">
        <v>1.1299999999999999</v>
      </c>
      <c r="G33" s="3">
        <f t="shared" si="1"/>
        <v>434610000</v>
      </c>
      <c r="H33" s="3" t="b">
        <f t="shared" si="0"/>
        <v>0</v>
      </c>
      <c r="I33" s="26">
        <f>Table1[[#This Row],[Tech]]*$T$7+Table1[[#This Row],[Beta]]*($T$6-$T$8)+$T$8</f>
        <v>0.108268</v>
      </c>
      <c r="J33" s="42">
        <v>61753572.700000003</v>
      </c>
      <c r="K33" s="56">
        <f>Table1[[#This Row],[Investment]]/Table1[[#This Row],[Dollar Volume]]</f>
        <v>0.14208962679183637</v>
      </c>
      <c r="L33" s="34">
        <f>IFERROR(MAX($T$11+$T$12*LN(Table1[[#This Row],[Frac ADV]]),0),0)*0.0001+0.005/Table1[[#This Row],[Stock Price]]+Table1[[#This Row],[Expense Ratio]]</f>
        <v>2.4036108259256103E-2</v>
      </c>
      <c r="M33" s="24">
        <f>(Table1[[#This Row],[Expected Return]]-Table1[[#This Row],[Tcosts]])*Table1[[#This Row],[Investment]]</f>
        <v>5201620.2502705585</v>
      </c>
      <c r="Q33" s="16" t="s">
        <v>217</v>
      </c>
    </row>
    <row r="34" spans="1:17" ht="14.4" x14ac:dyDescent="0.3">
      <c r="A34" s="4" t="s">
        <v>218</v>
      </c>
      <c r="B34" s="14" t="s">
        <v>219</v>
      </c>
      <c r="C34" s="6">
        <v>118.54</v>
      </c>
      <c r="D34" s="6" t="s">
        <v>220</v>
      </c>
      <c r="E34" s="15">
        <v>8.9999999999999998E-4</v>
      </c>
      <c r="F34" s="6">
        <v>1.06</v>
      </c>
      <c r="G34" s="3">
        <f t="shared" ref="G34:G65" si="2">IF(RIGHT(Q34,1)="B", VALUE(SUBSTITUTE(Q34,"B",""))*1000000000,
 IF(RIGHT(Q34,1)="M", VALUE(SUBSTITUTE(Q34,"M",""))*1000000, VALUE(Q34)))</f>
        <v>1640000000</v>
      </c>
      <c r="H34" s="3" t="b">
        <f t="shared" ref="H34:H65" si="3">OR(
  ISNUMBER(SEARCH("technology",B34)),
  ISNUMBER(SEARCH("tech",B34)),
  ISNUMBER(SEARCH("qqq",B34)),
  ISNUMBER(SEARCH("semiconductor",B34)),
  ISNUMBER(SEARCH("information technology",B34)),
  ISNUMBER(SEARCH("nasdaq",B34)),
  ISNUMBER(SEARCH("communication",B34))
)</f>
        <v>0</v>
      </c>
      <c r="I34" s="26">
        <f>Table1[[#This Row],[Tech]]*$T$7+Table1[[#This Row],[Beta]]*($T$6-$T$8)+$T$8</f>
        <v>0.10381600000000001</v>
      </c>
      <c r="J34" s="42">
        <v>60926549.140000001</v>
      </c>
      <c r="K34" s="56">
        <f>Table1[[#This Row],[Investment]]/Table1[[#This Row],[Dollar Volume]]</f>
        <v>3.7150334841463413E-2</v>
      </c>
      <c r="L34" s="34">
        <f>IFERROR(MAX($T$11+$T$12*LN(Table1[[#This Row],[Frac ADV]]),0),0)*0.0001+0.005/Table1[[#This Row],[Stock Price]]+Table1[[#This Row],[Expense Ratio]]</f>
        <v>1.6069798128299912E-2</v>
      </c>
      <c r="M34" s="24">
        <f>(Table1[[#This Row],[Expected Return]]-Table1[[#This Row],[Tcosts]])*Table1[[#This Row],[Investment]]</f>
        <v>5346073.2801844962</v>
      </c>
      <c r="Q34" s="13" t="s">
        <v>221</v>
      </c>
    </row>
    <row r="35" spans="1:17" ht="14.4" x14ac:dyDescent="0.3">
      <c r="A35" s="4" t="s">
        <v>222</v>
      </c>
      <c r="B35" s="14" t="s">
        <v>223</v>
      </c>
      <c r="C35" s="6">
        <v>250.2</v>
      </c>
      <c r="D35" s="6" t="s">
        <v>224</v>
      </c>
      <c r="E35" s="15">
        <v>1.5E-3</v>
      </c>
      <c r="F35" s="6">
        <v>1.17</v>
      </c>
      <c r="G35" s="3">
        <f t="shared" si="2"/>
        <v>1800000000</v>
      </c>
      <c r="H35" s="3" t="b">
        <f t="shared" si="3"/>
        <v>0</v>
      </c>
      <c r="I35" s="26">
        <f>Table1[[#This Row],[Tech]]*$T$7+Table1[[#This Row],[Beta]]*($T$6-$T$8)+$T$8</f>
        <v>0.11081200000000001</v>
      </c>
      <c r="J35" s="42">
        <v>58537587.859999999</v>
      </c>
      <c r="K35" s="56">
        <f>Table1[[#This Row],[Investment]]/Table1[[#This Row],[Dollar Volume]]</f>
        <v>3.2520882144444443E-2</v>
      </c>
      <c r="L35" s="34">
        <f>IFERROR(MAX($T$11+$T$12*LN(Table1[[#This Row],[Frac ADV]]),0),0)*0.0001+0.005/Table1[[#This Row],[Stock Price]]+Table1[[#This Row],[Expense Ratio]]</f>
        <v>1.599569827314172E-2</v>
      </c>
      <c r="M35" s="24">
        <f>(Table1[[#This Row],[Expected Return]]-Table1[[#This Row],[Tcosts]])*Table1[[#This Row],[Investment]]</f>
        <v>5550317.592896237</v>
      </c>
      <c r="Q35" s="16" t="s">
        <v>110</v>
      </c>
    </row>
    <row r="36" spans="1:17" ht="14.4" x14ac:dyDescent="0.3">
      <c r="A36" s="2" t="s">
        <v>225</v>
      </c>
      <c r="B36" s="10" t="s">
        <v>226</v>
      </c>
      <c r="C36" s="11">
        <v>74.23</v>
      </c>
      <c r="D36" s="11" t="s">
        <v>227</v>
      </c>
      <c r="E36" s="12">
        <v>8.9999999999999998E-4</v>
      </c>
      <c r="F36" s="11">
        <v>1.01</v>
      </c>
      <c r="G36" s="3">
        <f t="shared" si="2"/>
        <v>862900000</v>
      </c>
      <c r="H36" s="3" t="b">
        <f t="shared" si="3"/>
        <v>0</v>
      </c>
      <c r="I36" s="26">
        <f>Table1[[#This Row],[Tech]]*$T$7+Table1[[#This Row],[Beta]]*($T$6-$T$8)+$T$8</f>
        <v>0.100636</v>
      </c>
      <c r="J36" s="42">
        <v>57999632.560000002</v>
      </c>
      <c r="K36" s="56">
        <f>Table1[[#This Row],[Investment]]/Table1[[#This Row],[Dollar Volume]]</f>
        <v>6.7214778722911123E-2</v>
      </c>
      <c r="L36" s="34">
        <f>IFERROR(MAX($T$11+$T$12*LN(Table1[[#This Row],[Frac ADV]]),0),0)*0.0001+0.005/Table1[[#This Row],[Stock Price]]+Table1[[#This Row],[Expense Ratio]]</f>
        <v>1.8999222308390774E-2</v>
      </c>
      <c r="M36" s="24">
        <f>(Table1[[#This Row],[Expected Return]]-Table1[[#This Row],[Tcosts]])*Table1[[#This Row],[Investment]]</f>
        <v>4734903.1094957413</v>
      </c>
      <c r="Q36" s="13" t="s">
        <v>228</v>
      </c>
    </row>
    <row r="37" spans="1:17" ht="14.4" x14ac:dyDescent="0.3">
      <c r="A37" s="4" t="s">
        <v>229</v>
      </c>
      <c r="B37" s="14" t="s">
        <v>230</v>
      </c>
      <c r="C37" s="6">
        <v>684.33</v>
      </c>
      <c r="D37" s="6" t="s">
        <v>231</v>
      </c>
      <c r="E37" s="15">
        <v>2.9999999999999997E-4</v>
      </c>
      <c r="F37" s="6">
        <v>1</v>
      </c>
      <c r="G37" s="3">
        <f t="shared" si="2"/>
        <v>480430000</v>
      </c>
      <c r="H37" s="3" t="b">
        <f t="shared" si="3"/>
        <v>0</v>
      </c>
      <c r="I37" s="26">
        <f>Table1[[#This Row],[Tech]]*$T$7+Table1[[#This Row],[Beta]]*($T$6-$T$8)+$T$8</f>
        <v>0.1</v>
      </c>
      <c r="J37" s="42">
        <v>55093140.57</v>
      </c>
      <c r="K37" s="56">
        <f>Table1[[#This Row],[Investment]]/Table1[[#This Row],[Dollar Volume]]</f>
        <v>0.11467464681639365</v>
      </c>
      <c r="L37" s="34">
        <f>IFERROR(MAX($T$11+$T$12*LN(Table1[[#This Row],[Frac ADV]]),0),0)*0.0001+0.005/Table1[[#This Row],[Stock Price]]+Table1[[#This Row],[Expense Ratio]]</f>
        <v>2.0955820426992088E-2</v>
      </c>
      <c r="M37" s="24">
        <f>(Table1[[#This Row],[Expected Return]]-Table1[[#This Row],[Tcosts]])*Table1[[#This Row],[Investment]]</f>
        <v>4354792.0964560471</v>
      </c>
      <c r="Q37" s="16" t="s">
        <v>232</v>
      </c>
    </row>
    <row r="38" spans="1:17" ht="14.4" x14ac:dyDescent="0.3">
      <c r="A38" s="4" t="s">
        <v>233</v>
      </c>
      <c r="B38" s="14" t="s">
        <v>234</v>
      </c>
      <c r="C38" s="6">
        <v>226.52</v>
      </c>
      <c r="D38" s="6" t="s">
        <v>235</v>
      </c>
      <c r="E38" s="15">
        <v>4.0000000000000002E-4</v>
      </c>
      <c r="F38" s="6">
        <v>0.78</v>
      </c>
      <c r="G38" s="3">
        <f t="shared" si="2"/>
        <v>701150000</v>
      </c>
      <c r="H38" s="3" t="b">
        <f t="shared" si="3"/>
        <v>0</v>
      </c>
      <c r="I38" s="26">
        <f>Table1[[#This Row],[Tech]]*$T$7+Table1[[#This Row],[Beta]]*($T$6-$T$8)+$T$8</f>
        <v>8.6008000000000001E-2</v>
      </c>
      <c r="J38" s="42">
        <v>52808672.450000003</v>
      </c>
      <c r="K38" s="56">
        <f>Table1[[#This Row],[Investment]]/Table1[[#This Row],[Dollar Volume]]</f>
        <v>7.5317225201454757E-2</v>
      </c>
      <c r="L38" s="34">
        <f>IFERROR(MAX($T$11+$T$12*LN(Table1[[#This Row],[Frac ADV]]),0),0)*0.0001+0.005/Table1[[#This Row],[Stock Price]]+Table1[[#This Row],[Expense Ratio]]</f>
        <v>1.9011429990459655E-2</v>
      </c>
      <c r="M38" s="24">
        <f>(Table1[[#This Row],[Expected Return]]-Table1[[#This Row],[Tcosts]])*Table1[[#This Row],[Investment]]</f>
        <v>3537999.9209073097</v>
      </c>
      <c r="Q38" s="13" t="s">
        <v>236</v>
      </c>
    </row>
    <row r="39" spans="1:17" ht="14.4" x14ac:dyDescent="0.3">
      <c r="A39" s="2" t="s">
        <v>237</v>
      </c>
      <c r="B39" s="10" t="s">
        <v>238</v>
      </c>
      <c r="C39" s="11">
        <v>57.24</v>
      </c>
      <c r="D39" s="11" t="s">
        <v>239</v>
      </c>
      <c r="E39" s="12">
        <v>2E-3</v>
      </c>
      <c r="F39" s="11">
        <v>1.1100000000000001</v>
      </c>
      <c r="G39" s="3">
        <f t="shared" si="2"/>
        <v>892490000</v>
      </c>
      <c r="H39" s="3" t="b">
        <f t="shared" si="3"/>
        <v>0</v>
      </c>
      <c r="I39" s="26">
        <f>Table1[[#This Row],[Tech]]*$T$7+Table1[[#This Row],[Beta]]*($T$6-$T$8)+$T$8</f>
        <v>0.10699600000000001</v>
      </c>
      <c r="J39" s="42">
        <v>51097124.649999999</v>
      </c>
      <c r="K39" s="56">
        <f>Table1[[#This Row],[Investment]]/Table1[[#This Row],[Dollar Volume]]</f>
        <v>5.7252321762708822E-2</v>
      </c>
      <c r="L39" s="34">
        <f>IFERROR(MAX($T$11+$T$12*LN(Table1[[#This Row],[Frac ADV]]),0),0)*0.0001+0.005/Table1[[#This Row],[Stock Price]]+Table1[[#This Row],[Expense Ratio]]</f>
        <v>1.9333421220842986E-2</v>
      </c>
      <c r="M39" s="24">
        <f>(Table1[[#This Row],[Expected Return]]-Table1[[#This Row],[Tcosts]])*Table1[[#This Row],[Investment]]</f>
        <v>4479305.7150190314</v>
      </c>
      <c r="Q39" s="16" t="s">
        <v>240</v>
      </c>
    </row>
    <row r="40" spans="1:17" ht="14.4" x14ac:dyDescent="0.3">
      <c r="A40" s="2" t="s">
        <v>241</v>
      </c>
      <c r="B40" s="10" t="s">
        <v>242</v>
      </c>
      <c r="C40" s="11">
        <v>626.49</v>
      </c>
      <c r="D40" s="11" t="s">
        <v>243</v>
      </c>
      <c r="E40" s="12">
        <v>2.9999999999999997E-4</v>
      </c>
      <c r="F40" s="11">
        <v>0.99</v>
      </c>
      <c r="G40" s="3">
        <f t="shared" si="2"/>
        <v>866990000</v>
      </c>
      <c r="H40" s="3" t="b">
        <f t="shared" si="3"/>
        <v>0</v>
      </c>
      <c r="I40" s="26">
        <f>Table1[[#This Row],[Tech]]*$T$7+Table1[[#This Row],[Beta]]*($T$6-$T$8)+$T$8</f>
        <v>9.9364000000000008E-2</v>
      </c>
      <c r="J40" s="42">
        <v>50989733.810000002</v>
      </c>
      <c r="K40" s="56">
        <f>Table1[[#This Row],[Investment]]/Table1[[#This Row],[Dollar Volume]]</f>
        <v>5.8812366705498338E-2</v>
      </c>
      <c r="L40" s="34">
        <f>IFERROR(MAX($T$11+$T$12*LN(Table1[[#This Row],[Frac ADV]]),0),0)*0.0001+0.005/Table1[[#This Row],[Stock Price]]+Table1[[#This Row],[Expense Ratio]]</f>
        <v>1.7685733827930261E-2</v>
      </c>
      <c r="M40" s="24">
        <f>(Table1[[#This Row],[Expected Return]]-Table1[[#This Row],[Tcosts]])*Table1[[#This Row],[Investment]]</f>
        <v>4164753.0501761641</v>
      </c>
      <c r="Q40" s="13" t="s">
        <v>244</v>
      </c>
    </row>
    <row r="41" spans="1:17" ht="14.4" x14ac:dyDescent="0.3">
      <c r="A41" s="2" t="s">
        <v>245</v>
      </c>
      <c r="B41" s="10" t="s">
        <v>246</v>
      </c>
      <c r="C41" s="11">
        <v>681.27</v>
      </c>
      <c r="D41" s="11" t="s">
        <v>247</v>
      </c>
      <c r="E41" s="12">
        <v>8.9999999999999998E-4</v>
      </c>
      <c r="F41" s="11">
        <v>1</v>
      </c>
      <c r="G41" s="3">
        <f t="shared" si="2"/>
        <v>379340000</v>
      </c>
      <c r="H41" s="3" t="b">
        <f t="shared" si="3"/>
        <v>0</v>
      </c>
      <c r="I41" s="26">
        <f>Table1[[#This Row],[Tech]]*$T$7+Table1[[#This Row],[Beta]]*($T$6-$T$8)+$T$8</f>
        <v>0.1</v>
      </c>
      <c r="J41" s="42">
        <v>50630291.770000003</v>
      </c>
      <c r="K41" s="56">
        <f>Table1[[#This Row],[Investment]]/Table1[[#This Row],[Dollar Volume]]</f>
        <v>0.13346942523857228</v>
      </c>
      <c r="L41" s="34">
        <f>IFERROR(MAX($T$11+$T$12*LN(Table1[[#This Row],[Frac ADV]]),0),0)*0.0001+0.005/Table1[[#This Row],[Stock Price]]+Table1[[#This Row],[Expense Ratio]]</f>
        <v>2.2299270886915429E-2</v>
      </c>
      <c r="M41" s="24">
        <f>(Table1[[#This Row],[Expected Return]]-Table1[[#This Row],[Tcosts]])*Table1[[#This Row],[Investment]]</f>
        <v>3934010.585737206</v>
      </c>
      <c r="Q41" s="16" t="s">
        <v>248</v>
      </c>
    </row>
    <row r="42" spans="1:17" ht="14.4" x14ac:dyDescent="0.3">
      <c r="A42" s="2" t="s">
        <v>249</v>
      </c>
      <c r="B42" s="10" t="s">
        <v>250</v>
      </c>
      <c r="C42" s="11">
        <v>313</v>
      </c>
      <c r="D42" s="11" t="s">
        <v>251</v>
      </c>
      <c r="E42" s="12">
        <v>2.9999999999999997E-4</v>
      </c>
      <c r="F42" s="11">
        <v>1.01</v>
      </c>
      <c r="G42" s="3">
        <f t="shared" si="2"/>
        <v>381360000</v>
      </c>
      <c r="H42" s="3" t="b">
        <f t="shared" si="3"/>
        <v>0</v>
      </c>
      <c r="I42" s="26">
        <f>Table1[[#This Row],[Tech]]*$T$7+Table1[[#This Row],[Beta]]*($T$6-$T$8)+$T$8</f>
        <v>0.100636</v>
      </c>
      <c r="J42" s="42">
        <v>50180222.359999999</v>
      </c>
      <c r="K42" s="56">
        <f>Table1[[#This Row],[Investment]]/Table1[[#This Row],[Dollar Volume]]</f>
        <v>0.13158229064401092</v>
      </c>
      <c r="L42" s="34">
        <f>IFERROR(MAX($T$11+$T$12*LN(Table1[[#This Row],[Frac ADV]]),0),0)*0.0001+0.005/Table1[[#This Row],[Stock Price]]+Table1[[#This Row],[Expense Ratio]]</f>
        <v>2.1638155710207954E-2</v>
      </c>
      <c r="M42" s="24">
        <f>(Table1[[#This Row],[Expected Return]]-Table1[[#This Row],[Tcosts]])*Table1[[#This Row],[Investment]]</f>
        <v>3964129.3924224214</v>
      </c>
      <c r="Q42" s="13" t="s">
        <v>252</v>
      </c>
    </row>
    <row r="43" spans="1:17" ht="14.4" x14ac:dyDescent="0.3">
      <c r="A43" s="2" t="s">
        <v>253</v>
      </c>
      <c r="B43" s="10" t="s">
        <v>254</v>
      </c>
      <c r="C43" s="11">
        <v>26.85</v>
      </c>
      <c r="D43" s="11" t="s">
        <v>255</v>
      </c>
      <c r="E43" s="12">
        <v>2.9999999999999997E-4</v>
      </c>
      <c r="F43" s="11">
        <v>1.01</v>
      </c>
      <c r="G43" s="3">
        <f t="shared" si="2"/>
        <v>159840000</v>
      </c>
      <c r="H43" s="3" t="b">
        <f t="shared" si="3"/>
        <v>0</v>
      </c>
      <c r="I43" s="26">
        <f>Table1[[#This Row],[Tech]]*$T$7+Table1[[#This Row],[Beta]]*($T$6-$T$8)+$T$8</f>
        <v>0.100636</v>
      </c>
      <c r="J43" s="42">
        <v>50018938.460000001</v>
      </c>
      <c r="K43" s="56">
        <f>Table1[[#This Row],[Investment]]/Table1[[#This Row],[Dollar Volume]]</f>
        <v>0.31293129667167169</v>
      </c>
      <c r="L43" s="34">
        <f>IFERROR(MAX($T$11+$T$12*LN(Table1[[#This Row],[Frac ADV]]),0),0)*0.0001+0.005/Table1[[#This Row],[Stock Price]]+Table1[[#This Row],[Expense Ratio]]</f>
        <v>2.6051967430221958E-2</v>
      </c>
      <c r="M43" s="24">
        <f>(Table1[[#This Row],[Expected Return]]-Table1[[#This Row],[Tcosts]])*Table1[[#This Row],[Investment]]</f>
        <v>3730614.1352063641</v>
      </c>
      <c r="Q43" s="16" t="s">
        <v>256</v>
      </c>
    </row>
    <row r="44" spans="1:17" ht="14.4" x14ac:dyDescent="0.3">
      <c r="A44" s="4" t="s">
        <v>257</v>
      </c>
      <c r="B44" s="14" t="s">
        <v>258</v>
      </c>
      <c r="C44" s="6">
        <v>232.53</v>
      </c>
      <c r="D44" s="6" t="s">
        <v>259</v>
      </c>
      <c r="E44" s="15">
        <v>3.8E-3</v>
      </c>
      <c r="F44" s="6">
        <v>1.05</v>
      </c>
      <c r="G44" s="3">
        <f t="shared" si="2"/>
        <v>4880000000</v>
      </c>
      <c r="H44" s="3" t="b">
        <f t="shared" si="3"/>
        <v>0</v>
      </c>
      <c r="I44" s="26">
        <f>Table1[[#This Row],[Tech]]*$T$7+Table1[[#This Row],[Beta]]*($T$6-$T$8)+$T$8</f>
        <v>0.10318000000000001</v>
      </c>
      <c r="J44" s="42">
        <v>49311843.399999999</v>
      </c>
      <c r="K44" s="56">
        <f>Table1[[#This Row],[Investment]]/Table1[[#This Row],[Dollar Volume]]</f>
        <v>1.0104885942622951E-2</v>
      </c>
      <c r="L44" s="34">
        <f>IFERROR(MAX($T$11+$T$12*LN(Table1[[#This Row],[Frac ADV]]),0),0)*0.0001+0.005/Table1[[#This Row],[Stock Price]]+Table1[[#This Row],[Expense Ratio]]</f>
        <v>1.2571883882266665E-2</v>
      </c>
      <c r="M44" s="24">
        <f>(Table1[[#This Row],[Expected Return]]-Table1[[#This Row],[Tcosts]])*Table1[[#This Row],[Investment]]</f>
        <v>4468053.2327666823</v>
      </c>
      <c r="Q44" s="13" t="s">
        <v>260</v>
      </c>
    </row>
    <row r="45" spans="1:17" ht="14.4" x14ac:dyDescent="0.3">
      <c r="A45" s="2" t="s">
        <v>261</v>
      </c>
      <c r="B45" s="10" t="s">
        <v>262</v>
      </c>
      <c r="C45" s="11">
        <v>145.65</v>
      </c>
      <c r="D45" s="11" t="s">
        <v>263</v>
      </c>
      <c r="E45" s="12">
        <v>3.2000000000000002E-3</v>
      </c>
      <c r="F45" s="11">
        <v>0.89</v>
      </c>
      <c r="G45" s="3">
        <f t="shared" si="2"/>
        <v>2300000000</v>
      </c>
      <c r="H45" s="3" t="b">
        <f t="shared" si="3"/>
        <v>0</v>
      </c>
      <c r="I45" s="26">
        <f>Table1[[#This Row],[Tech]]*$T$7+Table1[[#This Row],[Beta]]*($T$6-$T$8)+$T$8</f>
        <v>9.3004000000000003E-2</v>
      </c>
      <c r="J45" s="42">
        <v>49141471.240000002</v>
      </c>
      <c r="K45" s="56">
        <f>Table1[[#This Row],[Investment]]/Table1[[#This Row],[Dollar Volume]]</f>
        <v>2.1365857060869565E-2</v>
      </c>
      <c r="L45" s="34">
        <f>IFERROR(MAX($T$11+$T$12*LN(Table1[[#This Row],[Frac ADV]]),0),0)*0.0001+0.005/Table1[[#This Row],[Stock Price]]+Table1[[#This Row],[Expense Ratio]]</f>
        <v>1.5652364628933602E-2</v>
      </c>
      <c r="M45" s="24">
        <f>(Table1[[#This Row],[Expected Return]]-Table1[[#This Row],[Tcosts]])*Table1[[#This Row],[Investment]]</f>
        <v>3801173.1649542265</v>
      </c>
      <c r="Q45" s="16" t="s">
        <v>264</v>
      </c>
    </row>
    <row r="46" spans="1:17" ht="14.4" x14ac:dyDescent="0.3">
      <c r="A46" s="4" t="s">
        <v>265</v>
      </c>
      <c r="B46" s="14" t="s">
        <v>266</v>
      </c>
      <c r="C46" s="6">
        <v>116.13</v>
      </c>
      <c r="D46" s="6" t="s">
        <v>267</v>
      </c>
      <c r="E46" s="15">
        <v>8.0000000000000004E-4</v>
      </c>
      <c r="F46" s="6">
        <v>1.08</v>
      </c>
      <c r="G46" s="3">
        <f t="shared" si="2"/>
        <v>618730000</v>
      </c>
      <c r="H46" s="3" t="b">
        <f t="shared" si="3"/>
        <v>0</v>
      </c>
      <c r="I46" s="26">
        <f>Table1[[#This Row],[Tech]]*$T$7+Table1[[#This Row],[Beta]]*($T$6-$T$8)+$T$8</f>
        <v>0.10508800000000001</v>
      </c>
      <c r="J46" s="42">
        <v>48939509.060000002</v>
      </c>
      <c r="K46" s="56">
        <f>Table1[[#This Row],[Investment]]/Table1[[#This Row],[Dollar Volume]]</f>
        <v>7.909671271798685E-2</v>
      </c>
      <c r="L46" s="34">
        <f>IFERROR(MAX($T$11+$T$12*LN(Table1[[#This Row],[Frac ADV]]),0),0)*0.0001+0.005/Table1[[#This Row],[Stock Price]]+Table1[[#This Row],[Expense Ratio]]</f>
        <v>1.9672240238989693E-2</v>
      </c>
      <c r="M46" s="24">
        <f>(Table1[[#This Row],[Expected Return]]-Table1[[#This Row],[Tcosts]])*Table1[[#This Row],[Investment]]</f>
        <v>4180205.3486907482</v>
      </c>
      <c r="Q46" s="13" t="s">
        <v>268</v>
      </c>
    </row>
    <row r="47" spans="1:17" ht="14.4" x14ac:dyDescent="0.3">
      <c r="A47" s="2" t="s">
        <v>269</v>
      </c>
      <c r="B47" s="10" t="s">
        <v>270</v>
      </c>
      <c r="C47" s="11">
        <v>60.57</v>
      </c>
      <c r="D47" s="11" t="s">
        <v>271</v>
      </c>
      <c r="E47" s="12">
        <v>2.5999999999999999E-3</v>
      </c>
      <c r="F47" s="11">
        <v>1.03</v>
      </c>
      <c r="G47" s="3">
        <f t="shared" si="2"/>
        <v>192260000</v>
      </c>
      <c r="H47" s="3" t="b">
        <f t="shared" si="3"/>
        <v>0</v>
      </c>
      <c r="I47" s="26">
        <f>Table1[[#This Row],[Tech]]*$T$7+Table1[[#This Row],[Beta]]*($T$6-$T$8)+$T$8</f>
        <v>0.10190800000000001</v>
      </c>
      <c r="J47" s="42">
        <v>48349424.649999999</v>
      </c>
      <c r="K47" s="56">
        <f>Table1[[#This Row],[Investment]]/Table1[[#This Row],[Dollar Volume]]</f>
        <v>0.25147937506501611</v>
      </c>
      <c r="L47" s="34">
        <f>IFERROR(MAX($T$11+$T$12*LN(Table1[[#This Row],[Frac ADV]]),0),0)*0.0001+0.005/Table1[[#This Row],[Stock Price]]+Table1[[#This Row],[Expense Ratio]]</f>
        <v>2.7177437932702823E-2</v>
      </c>
      <c r="M47" s="24">
        <f>(Table1[[#This Row],[Expected Return]]-Table1[[#This Row],[Tcosts]])*Table1[[#This Row],[Investment]]</f>
        <v>3613179.679724934</v>
      </c>
      <c r="Q47" s="16" t="s">
        <v>272</v>
      </c>
    </row>
    <row r="48" spans="1:17" ht="14.4" x14ac:dyDescent="0.3">
      <c r="A48" s="2" t="s">
        <v>273</v>
      </c>
      <c r="B48" s="10" t="s">
        <v>274</v>
      </c>
      <c r="C48" s="11">
        <v>51.69</v>
      </c>
      <c r="D48" s="11" t="s">
        <v>275</v>
      </c>
      <c r="E48" s="12">
        <v>8.0000000000000004E-4</v>
      </c>
      <c r="F48" s="11">
        <v>0.94</v>
      </c>
      <c r="G48" s="3">
        <f t="shared" si="2"/>
        <v>516090000.00000006</v>
      </c>
      <c r="H48" s="3" t="b">
        <f t="shared" si="3"/>
        <v>0</v>
      </c>
      <c r="I48" s="26">
        <f>Table1[[#This Row],[Tech]]*$T$7+Table1[[#This Row],[Beta]]*($T$6-$T$8)+$T$8</f>
        <v>9.6183999999999992E-2</v>
      </c>
      <c r="J48" s="42">
        <v>48342223.240000002</v>
      </c>
      <c r="K48" s="56">
        <f>Table1[[#This Row],[Investment]]/Table1[[#This Row],[Dollar Volume]]</f>
        <v>9.3670141331938225E-2</v>
      </c>
      <c r="L48" s="34">
        <f>IFERROR(MAX($T$11+$T$12*LN(Table1[[#This Row],[Frac ADV]]),0),0)*0.0001+0.005/Table1[[#This Row],[Stock Price]]+Table1[[#This Row],[Expense Ratio]]</f>
        <v>2.0554242089056408E-2</v>
      </c>
      <c r="M48" s="24">
        <f>(Table1[[#This Row],[Expected Return]]-Table1[[#This Row],[Tcosts]])*Table1[[#This Row],[Investment]]</f>
        <v>3656110.640517991</v>
      </c>
      <c r="Q48" s="13" t="s">
        <v>276</v>
      </c>
    </row>
    <row r="49" spans="1:17" ht="14.4" x14ac:dyDescent="0.3">
      <c r="A49" s="2" t="s">
        <v>277</v>
      </c>
      <c r="B49" s="10" t="s">
        <v>278</v>
      </c>
      <c r="C49" s="11">
        <v>82.87</v>
      </c>
      <c r="D49" s="11" t="s">
        <v>279</v>
      </c>
      <c r="E49" s="12">
        <v>2.9999999999999997E-4</v>
      </c>
      <c r="F49" s="11">
        <v>0.99</v>
      </c>
      <c r="G49" s="3">
        <f t="shared" si="2"/>
        <v>267779999.99999997</v>
      </c>
      <c r="H49" s="3" t="b">
        <f t="shared" si="3"/>
        <v>0</v>
      </c>
      <c r="I49" s="26">
        <f>Table1[[#This Row],[Tech]]*$T$7+Table1[[#This Row],[Beta]]*($T$6-$T$8)+$T$8</f>
        <v>9.9364000000000008E-2</v>
      </c>
      <c r="J49" s="42">
        <v>47804319.479999997</v>
      </c>
      <c r="K49" s="56">
        <f>Table1[[#This Row],[Investment]]/Table1[[#This Row],[Dollar Volume]]</f>
        <v>0.17852087340354023</v>
      </c>
      <c r="L49" s="34">
        <f>IFERROR(MAX($T$11+$T$12*LN(Table1[[#This Row],[Frac ADV]]),0),0)*0.0001+0.005/Table1[[#This Row],[Stock Price]]+Table1[[#This Row],[Expense Ratio]]</f>
        <v>2.3176827458853484E-2</v>
      </c>
      <c r="M49" s="24">
        <f>(Table1[[#This Row],[Expected Return]]-Table1[[#This Row],[Tcosts]])*Table1[[#This Row],[Investment]]</f>
        <v>3642075.936434852</v>
      </c>
      <c r="Q49" s="16" t="s">
        <v>280</v>
      </c>
    </row>
    <row r="50" spans="1:17" ht="14.4" x14ac:dyDescent="0.3">
      <c r="A50" s="4" t="s">
        <v>281</v>
      </c>
      <c r="B50" s="14" t="s">
        <v>282</v>
      </c>
      <c r="C50" s="6">
        <v>373.29</v>
      </c>
      <c r="D50" s="6" t="s">
        <v>283</v>
      </c>
      <c r="E50" s="15">
        <v>1.5E-3</v>
      </c>
      <c r="F50" s="6">
        <v>1</v>
      </c>
      <c r="G50" s="3">
        <f t="shared" si="2"/>
        <v>209970000</v>
      </c>
      <c r="H50" s="3" t="b">
        <f t="shared" si="3"/>
        <v>0</v>
      </c>
      <c r="I50" s="26">
        <f>Table1[[#This Row],[Tech]]*$T$7+Table1[[#This Row],[Beta]]*($T$6-$T$8)+$T$8</f>
        <v>0.1</v>
      </c>
      <c r="J50" s="42">
        <v>47764099.009999998</v>
      </c>
      <c r="K50" s="56">
        <f>Table1[[#This Row],[Investment]]/Table1[[#This Row],[Dollar Volume]]</f>
        <v>0.22748058775063104</v>
      </c>
      <c r="L50" s="34">
        <f>IFERROR(MAX($T$11+$T$12*LN(Table1[[#This Row],[Frac ADV]]),0),0)*0.0001+0.005/Table1[[#This Row],[Stock Price]]+Table1[[#This Row],[Expense Ratio]]</f>
        <v>2.5517012445835784E-2</v>
      </c>
      <c r="M50" s="24">
        <f>(Table1[[#This Row],[Expected Return]]-Table1[[#This Row],[Tcosts]])*Table1[[#This Row],[Investment]]</f>
        <v>3557612.792097697</v>
      </c>
      <c r="Q50" s="13" t="s">
        <v>284</v>
      </c>
    </row>
    <row r="51" spans="1:17" ht="14.4" x14ac:dyDescent="0.3">
      <c r="A51" s="2" t="s">
        <v>285</v>
      </c>
      <c r="B51" s="10" t="s">
        <v>286</v>
      </c>
      <c r="C51" s="11">
        <v>80.16</v>
      </c>
      <c r="D51" s="11" t="s">
        <v>287</v>
      </c>
      <c r="E51" s="12">
        <v>2.0000000000000001E-4</v>
      </c>
      <c r="F51" s="11">
        <v>0.99</v>
      </c>
      <c r="G51" s="3">
        <f t="shared" si="2"/>
        <v>712950000</v>
      </c>
      <c r="H51" s="3" t="b">
        <f t="shared" si="3"/>
        <v>0</v>
      </c>
      <c r="I51" s="26">
        <f>Table1[[#This Row],[Tech]]*$T$7+Table1[[#This Row],[Beta]]*($T$6-$T$8)+$T$8</f>
        <v>9.9364000000000008E-2</v>
      </c>
      <c r="J51" s="42">
        <v>47673282.600000001</v>
      </c>
      <c r="K51" s="56">
        <f>Table1[[#This Row],[Investment]]/Table1[[#This Row],[Dollar Volume]]</f>
        <v>6.6867638123290551E-2</v>
      </c>
      <c r="L51" s="34">
        <f>IFERROR(MAX($T$11+$T$12*LN(Table1[[#This Row],[Frac ADV]]),0),0)*0.0001+0.005/Table1[[#This Row],[Stock Price]]+Table1[[#This Row],[Expense Ratio]]</f>
        <v>1.8268876292399764E-2</v>
      </c>
      <c r="M51" s="24">
        <f>(Table1[[#This Row],[Expected Return]]-Table1[[#This Row],[Tcosts]])*Table1[[#This Row],[Investment]]</f>
        <v>3866070.7499943865</v>
      </c>
      <c r="Q51" s="16" t="s">
        <v>288</v>
      </c>
    </row>
    <row r="52" spans="1:17" ht="14.4" x14ac:dyDescent="0.3">
      <c r="A52" s="4" t="s">
        <v>289</v>
      </c>
      <c r="B52" s="14" t="s">
        <v>290</v>
      </c>
      <c r="C52" s="6">
        <v>82.13</v>
      </c>
      <c r="D52" s="6" t="s">
        <v>291</v>
      </c>
      <c r="E52" s="15">
        <v>5.0000000000000001E-4</v>
      </c>
      <c r="F52" s="6">
        <v>0.7</v>
      </c>
      <c r="G52" s="3">
        <f t="shared" si="2"/>
        <v>1270000000</v>
      </c>
      <c r="H52" s="3" t="b">
        <f t="shared" si="3"/>
        <v>0</v>
      </c>
      <c r="I52" s="26">
        <f>Table1[[#This Row],[Tech]]*$T$7+Table1[[#This Row],[Beta]]*($T$6-$T$8)+$T$8</f>
        <v>8.0919999999999992E-2</v>
      </c>
      <c r="J52" s="42">
        <v>47474646.020000003</v>
      </c>
      <c r="K52" s="56">
        <f>Table1[[#This Row],[Investment]]/Table1[[#This Row],[Dollar Volume]]</f>
        <v>3.7381611039370079E-2</v>
      </c>
      <c r="L52" s="34">
        <f>IFERROR(MAX($T$11+$T$12*LN(Table1[[#This Row],[Frac ADV]]),0),0)*0.0001+0.005/Table1[[#This Row],[Stock Price]]+Table1[[#This Row],[Expense Ratio]]</f>
        <v>1.5718896198194436E-2</v>
      </c>
      <c r="M52" s="24">
        <f>(Table1[[#This Row],[Expected Return]]-Table1[[#This Row],[Tcosts]])*Table1[[#This Row],[Investment]]</f>
        <v>3095399.3231039951</v>
      </c>
      <c r="Q52" s="13" t="s">
        <v>292</v>
      </c>
    </row>
    <row r="53" spans="1:17" ht="14.4" x14ac:dyDescent="0.3">
      <c r="A53" s="2" t="s">
        <v>293</v>
      </c>
      <c r="B53" s="10" t="s">
        <v>294</v>
      </c>
      <c r="C53" s="11">
        <v>106.19</v>
      </c>
      <c r="D53" s="11" t="s">
        <v>295</v>
      </c>
      <c r="E53" s="12">
        <v>4.0000000000000002E-4</v>
      </c>
      <c r="F53" s="11">
        <v>0.77</v>
      </c>
      <c r="G53" s="3">
        <f t="shared" si="2"/>
        <v>4470000000</v>
      </c>
      <c r="H53" s="3" t="b">
        <f t="shared" si="3"/>
        <v>0</v>
      </c>
      <c r="I53" s="26">
        <f>Table1[[#This Row],[Tech]]*$T$7+Table1[[#This Row],[Beta]]*($T$6-$T$8)+$T$8</f>
        <v>8.5372000000000003E-2</v>
      </c>
      <c r="J53" s="42">
        <v>45534817.270000003</v>
      </c>
      <c r="K53" s="56">
        <f>Table1[[#This Row],[Investment]]/Table1[[#This Row],[Dollar Volume]]</f>
        <v>1.0186760015659956E-2</v>
      </c>
      <c r="L53" s="34">
        <f>IFERROR(MAX($T$11+$T$12*LN(Table1[[#This Row],[Frac ADV]]),0),0)*0.0001+0.005/Table1[[#This Row],[Stock Price]]+Table1[[#This Row],[Expense Ratio]]</f>
        <v>9.2369941146137075E-3</v>
      </c>
      <c r="M53" s="24">
        <f>(Table1[[#This Row],[Expected Return]]-Table1[[#This Row],[Tcosts]])*Table1[[#This Row],[Investment]]</f>
        <v>3466793.5808414398</v>
      </c>
      <c r="Q53" s="16" t="s">
        <v>181</v>
      </c>
    </row>
    <row r="54" spans="1:17" ht="14.4" x14ac:dyDescent="0.3">
      <c r="A54" s="2" t="s">
        <v>296</v>
      </c>
      <c r="B54" s="10" t="s">
        <v>297</v>
      </c>
      <c r="C54" s="11">
        <v>331.12</v>
      </c>
      <c r="D54" s="11" t="s">
        <v>298</v>
      </c>
      <c r="E54" s="12">
        <v>2.3999999999999998E-3</v>
      </c>
      <c r="F54" s="11">
        <v>1.07</v>
      </c>
      <c r="G54" s="3">
        <f t="shared" si="2"/>
        <v>4640000000</v>
      </c>
      <c r="H54" s="3" t="b">
        <f t="shared" si="3"/>
        <v>0</v>
      </c>
      <c r="I54" s="26">
        <f>Table1[[#This Row],[Tech]]*$T$7+Table1[[#This Row],[Beta]]*($T$6-$T$8)+$T$8</f>
        <v>0.104452</v>
      </c>
      <c r="J54" s="42">
        <v>44524745.950000003</v>
      </c>
      <c r="K54" s="56">
        <f>Table1[[#This Row],[Investment]]/Table1[[#This Row],[Dollar Volume]]</f>
        <v>9.5958504202586208E-3</v>
      </c>
      <c r="L54" s="34">
        <f>IFERROR(MAX($T$11+$T$12*LN(Table1[[#This Row],[Frac ADV]]),0),0)*0.0001+0.005/Table1[[#This Row],[Stock Price]]+Table1[[#This Row],[Expense Ratio]]</f>
        <v>1.091230159471809E-2</v>
      </c>
      <c r="M54" s="24">
        <f>(Table1[[#This Row],[Expected Return]]-Table1[[#This Row],[Tcosts]])*Table1[[#This Row],[Investment]]</f>
        <v>4164831.3077347972</v>
      </c>
      <c r="Q54" s="13" t="s">
        <v>299</v>
      </c>
    </row>
    <row r="55" spans="1:17" ht="14.4" x14ac:dyDescent="0.3">
      <c r="A55" s="4" t="s">
        <v>300</v>
      </c>
      <c r="B55" s="14" t="s">
        <v>301</v>
      </c>
      <c r="C55" s="6">
        <v>126.87</v>
      </c>
      <c r="D55" s="6" t="s">
        <v>302</v>
      </c>
      <c r="E55" s="15">
        <v>8.9999999999999998E-4</v>
      </c>
      <c r="F55" s="6">
        <v>0.97</v>
      </c>
      <c r="G55" s="3">
        <f t="shared" si="2"/>
        <v>971070000</v>
      </c>
      <c r="H55" s="3" t="b">
        <f t="shared" si="3"/>
        <v>0</v>
      </c>
      <c r="I55" s="26">
        <f>Table1[[#This Row],[Tech]]*$T$7+Table1[[#This Row],[Beta]]*($T$6-$T$8)+$T$8</f>
        <v>9.8092000000000013E-2</v>
      </c>
      <c r="J55" s="42">
        <v>44499961.240000002</v>
      </c>
      <c r="K55" s="56">
        <f>Table1[[#This Row],[Investment]]/Table1[[#This Row],[Dollar Volume]]</f>
        <v>4.5825698703492027E-2</v>
      </c>
      <c r="L55" s="34">
        <f>IFERROR(MAX($T$11+$T$12*LN(Table1[[#This Row],[Frac ADV]]),0),0)*0.0001+0.005/Table1[[#This Row],[Stock Price]]+Table1[[#This Row],[Expense Ratio]]</f>
        <v>1.7095026153319561E-2</v>
      </c>
      <c r="M55" s="24">
        <f>(Table1[[#This Row],[Expected Return]]-Table1[[#This Row],[Tcosts]])*Table1[[#This Row],[Investment]]</f>
        <v>3604362.1967345737</v>
      </c>
      <c r="Q55" s="16" t="s">
        <v>303</v>
      </c>
    </row>
    <row r="56" spans="1:17" ht="14.4" x14ac:dyDescent="0.3">
      <c r="A56" s="4" t="s">
        <v>304</v>
      </c>
      <c r="B56" s="14" t="s">
        <v>305</v>
      </c>
      <c r="C56" s="6">
        <v>200.79</v>
      </c>
      <c r="D56" s="6" t="s">
        <v>306</v>
      </c>
      <c r="E56" s="15">
        <v>2E-3</v>
      </c>
      <c r="F56" s="6">
        <v>0.78</v>
      </c>
      <c r="G56" s="3">
        <f t="shared" si="2"/>
        <v>4290000000</v>
      </c>
      <c r="H56" s="3" t="b">
        <f t="shared" si="3"/>
        <v>0</v>
      </c>
      <c r="I56" s="26">
        <f>Table1[[#This Row],[Tech]]*$T$7+Table1[[#This Row],[Beta]]*($T$6-$T$8)+$T$8</f>
        <v>8.6008000000000001E-2</v>
      </c>
      <c r="J56" s="42">
        <v>44296598.43</v>
      </c>
      <c r="K56" s="56">
        <f>Table1[[#This Row],[Investment]]/Table1[[#This Row],[Dollar Volume]]</f>
        <v>1.032554741958042E-2</v>
      </c>
      <c r="L56" s="34">
        <f>IFERROR(MAX($T$11+$T$12*LN(Table1[[#This Row],[Frac ADV]]),0),0)*0.0001+0.005/Table1[[#This Row],[Stock Price]]+Table1[[#This Row],[Expense Ratio]]</f>
        <v>1.0881094410280919E-2</v>
      </c>
      <c r="M56" s="24">
        <f>(Table1[[#This Row],[Expected Return]]-Table1[[#This Row],[Tcosts]])*Table1[[#This Row],[Investment]]</f>
        <v>3327866.3681963086</v>
      </c>
      <c r="Q56" s="13" t="s">
        <v>307</v>
      </c>
    </row>
    <row r="57" spans="1:17" ht="14.4" x14ac:dyDescent="0.3">
      <c r="A57" s="2" t="s">
        <v>308</v>
      </c>
      <c r="B57" s="10" t="s">
        <v>309</v>
      </c>
      <c r="C57" s="11">
        <v>129.4</v>
      </c>
      <c r="D57" s="11" t="s">
        <v>310</v>
      </c>
      <c r="E57" s="12">
        <v>5.9999999999999995E-4</v>
      </c>
      <c r="F57" s="11">
        <v>0.92</v>
      </c>
      <c r="G57" s="3">
        <f t="shared" si="2"/>
        <v>416430000</v>
      </c>
      <c r="H57" s="3" t="b">
        <f t="shared" si="3"/>
        <v>0</v>
      </c>
      <c r="I57" s="26">
        <f>Table1[[#This Row],[Tech]]*$T$7+Table1[[#This Row],[Beta]]*($T$6-$T$8)+$T$8</f>
        <v>9.491200000000001E-2</v>
      </c>
      <c r="J57" s="42">
        <v>44267327.289999999</v>
      </c>
      <c r="K57" s="56">
        <f>Table1[[#This Row],[Investment]]/Table1[[#This Row],[Dollar Volume]]</f>
        <v>0.10630196501212688</v>
      </c>
      <c r="L57" s="34">
        <f>IFERROR(MAX($T$11+$T$12*LN(Table1[[#This Row],[Frac ADV]]),0),0)*0.0001+0.005/Table1[[#This Row],[Stock Price]]+Table1[[#This Row],[Expense Ratio]]</f>
        <v>2.0915795499866285E-2</v>
      </c>
      <c r="M57" s="24">
        <f>(Table1[[#This Row],[Expected Return]]-Table1[[#This Row],[Tcosts]])*Table1[[#This Row],[Investment]]</f>
        <v>3275614.20282519</v>
      </c>
      <c r="Q57" s="16" t="s">
        <v>311</v>
      </c>
    </row>
    <row r="58" spans="1:17" ht="14.4" x14ac:dyDescent="0.3">
      <c r="A58" s="2" t="s">
        <v>312</v>
      </c>
      <c r="B58" s="10" t="s">
        <v>313</v>
      </c>
      <c r="C58" s="11">
        <v>113.39</v>
      </c>
      <c r="D58" s="11" t="s">
        <v>314</v>
      </c>
      <c r="E58" s="12">
        <v>2.5000000000000001E-3</v>
      </c>
      <c r="F58" s="11">
        <v>0.95</v>
      </c>
      <c r="G58" s="3">
        <f t="shared" si="2"/>
        <v>195490000</v>
      </c>
      <c r="H58" s="3" t="b">
        <f t="shared" si="3"/>
        <v>0</v>
      </c>
      <c r="I58" s="26">
        <f>Table1[[#This Row],[Tech]]*$T$7+Table1[[#This Row],[Beta]]*($T$6-$T$8)+$T$8</f>
        <v>9.6820000000000003E-2</v>
      </c>
      <c r="J58" s="42">
        <v>44160376.07</v>
      </c>
      <c r="K58" s="56">
        <f>Table1[[#This Row],[Investment]]/Table1[[#This Row],[Dollar Volume]]</f>
        <v>0.22589583134687197</v>
      </c>
      <c r="L58" s="34">
        <f>IFERROR(MAX($T$11+$T$12*LN(Table1[[#This Row],[Frac ADV]]),0),0)*0.0001+0.005/Table1[[#This Row],[Stock Price]]+Table1[[#This Row],[Expense Ratio]]</f>
        <v>2.6513470589436129E-2</v>
      </c>
      <c r="M58" s="24">
        <f>(Table1[[#This Row],[Expected Return]]-Table1[[#This Row],[Tcosts]])*Table1[[#This Row],[Investment]]</f>
        <v>3104762.7789470158</v>
      </c>
      <c r="Q58" s="13" t="s">
        <v>315</v>
      </c>
    </row>
    <row r="59" spans="1:17" ht="14.4" x14ac:dyDescent="0.3">
      <c r="A59" s="4" t="s">
        <v>316</v>
      </c>
      <c r="B59" s="14" t="s">
        <v>317</v>
      </c>
      <c r="C59" s="6">
        <v>131.08000000000001</v>
      </c>
      <c r="D59" s="6" t="s">
        <v>318</v>
      </c>
      <c r="E59" s="15">
        <v>8.9999999999999998E-4</v>
      </c>
      <c r="F59" s="6">
        <v>0.98</v>
      </c>
      <c r="G59" s="3">
        <f t="shared" si="2"/>
        <v>575520000</v>
      </c>
      <c r="H59" s="3" t="b">
        <f t="shared" si="3"/>
        <v>0</v>
      </c>
      <c r="I59" s="26">
        <f>Table1[[#This Row],[Tech]]*$T$7+Table1[[#This Row],[Beta]]*($T$6-$T$8)+$T$8</f>
        <v>9.872800000000001E-2</v>
      </c>
      <c r="J59" s="42">
        <v>43729574.75</v>
      </c>
      <c r="K59" s="56">
        <f>Table1[[#This Row],[Investment]]/Table1[[#This Row],[Dollar Volume]]</f>
        <v>7.5982719540589383E-2</v>
      </c>
      <c r="L59" s="34">
        <f>IFERROR(MAX($T$11+$T$12*LN(Table1[[#This Row],[Frac ADV]]),0),0)*0.0001+0.005/Table1[[#This Row],[Stock Price]]+Table1[[#This Row],[Expense Ratio]]</f>
        <v>1.9570591420491595E-2</v>
      </c>
      <c r="M59" s="24">
        <f>(Table1[[#This Row],[Expected Return]]-Table1[[#This Row],[Tcosts]])*Table1[[#This Row],[Investment]]</f>
        <v>3461519.8154939045</v>
      </c>
      <c r="Q59" s="16" t="s">
        <v>319</v>
      </c>
    </row>
    <row r="60" spans="1:17" ht="14.4" x14ac:dyDescent="0.3">
      <c r="A60" s="2" t="s">
        <v>320</v>
      </c>
      <c r="B60" s="10" t="s">
        <v>321</v>
      </c>
      <c r="C60" s="11">
        <v>387.63</v>
      </c>
      <c r="D60" s="11" t="s">
        <v>322</v>
      </c>
      <c r="E60" s="12">
        <v>2E-3</v>
      </c>
      <c r="F60" s="11">
        <v>0.99</v>
      </c>
      <c r="G60" s="3">
        <f t="shared" si="2"/>
        <v>556260000</v>
      </c>
      <c r="H60" s="3" t="b">
        <f t="shared" si="3"/>
        <v>0</v>
      </c>
      <c r="I60" s="26">
        <f>Table1[[#This Row],[Tech]]*$T$7+Table1[[#This Row],[Beta]]*($T$6-$T$8)+$T$8</f>
        <v>9.9364000000000008E-2</v>
      </c>
      <c r="J60" s="42">
        <v>43713819.469999999</v>
      </c>
      <c r="K60" s="56">
        <f>Table1[[#This Row],[Investment]]/Table1[[#This Row],[Dollar Volume]]</f>
        <v>7.8585228975658866E-2</v>
      </c>
      <c r="L60" s="34">
        <f>IFERROR(MAX($T$11+$T$12*LN(Table1[[#This Row],[Frac ADV]]),0),0)*0.0001+0.005/Table1[[#This Row],[Stock Price]]+Table1[[#This Row],[Expense Ratio]]</f>
        <v>2.0810306537540998E-2</v>
      </c>
      <c r="M60" s="24">
        <f>(Table1[[#This Row],[Expected Return]]-Table1[[#This Row],[Tcosts]])*Table1[[#This Row],[Investment]]</f>
        <v>3433881.9747196524</v>
      </c>
      <c r="Q60" s="13" t="s">
        <v>323</v>
      </c>
    </row>
    <row r="61" spans="1:17" ht="14.4" x14ac:dyDescent="0.3">
      <c r="A61" s="2" t="s">
        <v>324</v>
      </c>
      <c r="B61" s="10" t="s">
        <v>325</v>
      </c>
      <c r="C61" s="11">
        <v>151.69999999999999</v>
      </c>
      <c r="D61" s="11" t="s">
        <v>326</v>
      </c>
      <c r="E61" s="12">
        <v>5.0000000000000001E-4</v>
      </c>
      <c r="F61" s="11">
        <v>0.69</v>
      </c>
      <c r="G61" s="3">
        <f t="shared" si="2"/>
        <v>343900000</v>
      </c>
      <c r="H61" s="3" t="b">
        <f t="shared" si="3"/>
        <v>0</v>
      </c>
      <c r="I61" s="26">
        <f>Table1[[#This Row],[Tech]]*$T$7+Table1[[#This Row],[Beta]]*($T$6-$T$8)+$T$8</f>
        <v>8.0283999999999994E-2</v>
      </c>
      <c r="J61" s="42">
        <v>42878444.789999999</v>
      </c>
      <c r="K61" s="56">
        <f>Table1[[#This Row],[Investment]]/Table1[[#This Row],[Dollar Volume]]</f>
        <v>0.12468288685664437</v>
      </c>
      <c r="L61" s="34">
        <f>IFERROR(MAX($T$11+$T$12*LN(Table1[[#This Row],[Frac ADV]]),0),0)*0.0001+0.005/Table1[[#This Row],[Stock Price]]+Table1[[#This Row],[Expense Ratio]]</f>
        <v>2.1591329428837767E-2</v>
      </c>
      <c r="M61" s="24">
        <f>(Table1[[#This Row],[Expected Return]]-Table1[[#This Row],[Tcosts]])*Table1[[#This Row],[Investment]]</f>
        <v>2516650.4346632375</v>
      </c>
      <c r="Q61" s="16" t="s">
        <v>327</v>
      </c>
    </row>
    <row r="62" spans="1:17" ht="14.4" x14ac:dyDescent="0.3">
      <c r="A62" s="4" t="s">
        <v>328</v>
      </c>
      <c r="B62" s="14" t="s">
        <v>329</v>
      </c>
      <c r="C62" s="6">
        <v>147.88999999999999</v>
      </c>
      <c r="D62" s="6" t="s">
        <v>330</v>
      </c>
      <c r="E62" s="15">
        <v>1.5E-3</v>
      </c>
      <c r="F62" s="6">
        <v>1</v>
      </c>
      <c r="G62" s="3">
        <f t="shared" si="2"/>
        <v>123340000</v>
      </c>
      <c r="H62" s="3" t="b">
        <f t="shared" si="3"/>
        <v>0</v>
      </c>
      <c r="I62" s="26">
        <f>Table1[[#This Row],[Tech]]*$T$7+Table1[[#This Row],[Beta]]*($T$6-$T$8)+$T$8</f>
        <v>0.1</v>
      </c>
      <c r="J62" s="42">
        <v>42690792.490000002</v>
      </c>
      <c r="K62" s="56">
        <f>Table1[[#This Row],[Investment]]/Table1[[#This Row],[Dollar Volume]]</f>
        <v>0.34612285138641158</v>
      </c>
      <c r="L62" s="34">
        <f>IFERROR(MAX($T$11+$T$12*LN(Table1[[#This Row],[Frac ADV]]),0),0)*0.0001+0.005/Table1[[#This Row],[Stock Price]]+Table1[[#This Row],[Expense Ratio]]</f>
        <v>2.7593345231868766E-2</v>
      </c>
      <c r="M62" s="24">
        <f>(Table1[[#This Row],[Expected Return]]-Table1[[#This Row],[Tcosts]])*Table1[[#This Row],[Investment]]</f>
        <v>3091097.4736013599</v>
      </c>
      <c r="Q62" s="13" t="s">
        <v>331</v>
      </c>
    </row>
    <row r="63" spans="1:17" ht="14.4" x14ac:dyDescent="0.3">
      <c r="A63" s="2" t="s">
        <v>332</v>
      </c>
      <c r="B63" s="10" t="s">
        <v>333</v>
      </c>
      <c r="C63" s="11">
        <v>104.9</v>
      </c>
      <c r="D63" s="11" t="s">
        <v>334</v>
      </c>
      <c r="E63" s="12">
        <v>5.9999999999999995E-4</v>
      </c>
      <c r="F63" s="11">
        <v>0.99</v>
      </c>
      <c r="G63" s="3">
        <f t="shared" si="2"/>
        <v>8560000000.000001</v>
      </c>
      <c r="H63" s="3" t="b">
        <f t="shared" si="3"/>
        <v>0</v>
      </c>
      <c r="I63" s="26">
        <f>Table1[[#This Row],[Tech]]*$T$7+Table1[[#This Row],[Beta]]*($T$6-$T$8)+$T$8</f>
        <v>9.9364000000000008E-2</v>
      </c>
      <c r="J63" s="42">
        <v>42669113.32</v>
      </c>
      <c r="K63" s="56">
        <f>Table1[[#This Row],[Investment]]/Table1[[#This Row],[Dollar Volume]]</f>
        <v>4.9847094999999992E-3</v>
      </c>
      <c r="L63" s="34">
        <f>IFERROR(MAX($T$11+$T$12*LN(Table1[[#This Row],[Frac ADV]]),0),0)*0.0001+0.005/Table1[[#This Row],[Stock Price]]+Table1[[#This Row],[Expense Ratio]]</f>
        <v>5.9367584420584691E-3</v>
      </c>
      <c r="M63" s="24">
        <f>(Table1[[#This Row],[Expected Return]]-Table1[[#This Row],[Tcosts]])*Table1[[#This Row],[Investment]]</f>
        <v>3986457.5572108207</v>
      </c>
      <c r="Q63" s="16" t="s">
        <v>335</v>
      </c>
    </row>
    <row r="64" spans="1:17" ht="14.4" x14ac:dyDescent="0.3">
      <c r="A64" s="4" t="s">
        <v>336</v>
      </c>
      <c r="B64" s="14" t="s">
        <v>337</v>
      </c>
      <c r="C64" s="6">
        <v>148.97999999999999</v>
      </c>
      <c r="D64" s="6" t="s">
        <v>338</v>
      </c>
      <c r="E64" s="15">
        <v>2.9999999999999997E-4</v>
      </c>
      <c r="F64" s="6">
        <v>1</v>
      </c>
      <c r="G64" s="3">
        <f t="shared" si="2"/>
        <v>3030000000</v>
      </c>
      <c r="H64" s="3" t="b">
        <f t="shared" si="3"/>
        <v>0</v>
      </c>
      <c r="I64" s="26">
        <f>Table1[[#This Row],[Tech]]*$T$7+Table1[[#This Row],[Beta]]*($T$6-$T$8)+$T$8</f>
        <v>0.1</v>
      </c>
      <c r="J64" s="42">
        <v>42488735.789999999</v>
      </c>
      <c r="K64" s="56">
        <f>Table1[[#This Row],[Investment]]/Table1[[#This Row],[Dollar Volume]]</f>
        <v>1.402268507920792E-2</v>
      </c>
      <c r="L64" s="34">
        <f>IFERROR(MAX($T$11+$T$12*LN(Table1[[#This Row],[Frac ADV]]),0),0)*0.0001+0.005/Table1[[#This Row],[Stock Price]]+Table1[[#This Row],[Expense Ratio]]</f>
        <v>1.068887573636783E-2</v>
      </c>
      <c r="M64" s="24">
        <f>(Table1[[#This Row],[Expected Return]]-Table1[[#This Row],[Tcosts]])*Table1[[#This Row],[Investment]]</f>
        <v>3794716.7619453259</v>
      </c>
      <c r="Q64" s="13" t="s">
        <v>339</v>
      </c>
    </row>
    <row r="65" spans="1:17" ht="14.4" x14ac:dyDescent="0.3">
      <c r="A65" s="2" t="s">
        <v>340</v>
      </c>
      <c r="B65" s="10" t="s">
        <v>341</v>
      </c>
      <c r="C65" s="11">
        <v>65.73</v>
      </c>
      <c r="D65" s="11" t="s">
        <v>342</v>
      </c>
      <c r="E65" s="12">
        <v>2.8E-3</v>
      </c>
      <c r="F65" s="11">
        <v>0.9</v>
      </c>
      <c r="G65" s="3">
        <f t="shared" si="2"/>
        <v>384710000</v>
      </c>
      <c r="H65" s="3" t="b">
        <f t="shared" si="3"/>
        <v>0</v>
      </c>
      <c r="I65" s="26">
        <f>Table1[[#This Row],[Tech]]*$T$7+Table1[[#This Row],[Beta]]*($T$6-$T$8)+$T$8</f>
        <v>9.3640000000000001E-2</v>
      </c>
      <c r="J65" s="42">
        <v>42103344.539999999</v>
      </c>
      <c r="K65" s="56">
        <f>Table1[[#This Row],[Investment]]/Table1[[#This Row],[Dollar Volume]]</f>
        <v>0.10944177312781056</v>
      </c>
      <c r="L65" s="34">
        <f>IFERROR(MAX($T$11+$T$12*LN(Table1[[#This Row],[Frac ADV]]),0),0)*0.0001+0.005/Table1[[#This Row],[Stock Price]]+Table1[[#This Row],[Expense Ratio]]</f>
        <v>2.329580569221101E-2</v>
      </c>
      <c r="M65" s="24">
        <f>(Table1[[#This Row],[Expected Return]]-Table1[[#This Row],[Tcosts]])*Table1[[#This Row],[Investment]]</f>
        <v>2961725.8493295466</v>
      </c>
      <c r="Q65" s="16" t="s">
        <v>343</v>
      </c>
    </row>
    <row r="66" spans="1:17" ht="14.4" x14ac:dyDescent="0.3">
      <c r="A66" s="2" t="s">
        <v>344</v>
      </c>
      <c r="B66" s="10" t="s">
        <v>345</v>
      </c>
      <c r="C66" s="11">
        <v>104.53</v>
      </c>
      <c r="D66" s="11" t="s">
        <v>346</v>
      </c>
      <c r="E66" s="12">
        <v>4.7000000000000002E-3</v>
      </c>
      <c r="F66" s="11">
        <v>0.92</v>
      </c>
      <c r="G66" s="3">
        <f t="shared" ref="G66:G97" si="4">IF(RIGHT(Q66,1)="B", VALUE(SUBSTITUTE(Q66,"B",""))*1000000000,
 IF(RIGHT(Q66,1)="M", VALUE(SUBSTITUTE(Q66,"M",""))*1000000, VALUE(Q66)))</f>
        <v>236760000</v>
      </c>
      <c r="H66" s="3" t="b">
        <f t="shared" ref="H66:H97" si="5">OR(
  ISNUMBER(SEARCH("technology",B66)),
  ISNUMBER(SEARCH("tech",B66)),
  ISNUMBER(SEARCH("qqq",B66)),
  ISNUMBER(SEARCH("semiconductor",B66)),
  ISNUMBER(SEARCH("information technology",B66)),
  ISNUMBER(SEARCH("nasdaq",B66)),
  ISNUMBER(SEARCH("communication",B66))
)</f>
        <v>0</v>
      </c>
      <c r="I66" s="26">
        <f>Table1[[#This Row],[Tech]]*$T$7+Table1[[#This Row],[Beta]]*($T$6-$T$8)+$T$8</f>
        <v>9.491200000000001E-2</v>
      </c>
      <c r="J66" s="42">
        <v>41914922.810000002</v>
      </c>
      <c r="K66" s="56">
        <f>Table1[[#This Row],[Investment]]/Table1[[#This Row],[Dollar Volume]]</f>
        <v>0.17703549083460046</v>
      </c>
      <c r="L66" s="34">
        <f>IFERROR(MAX($T$11+$T$12*LN(Table1[[#This Row],[Frac ADV]]),0),0)*0.0001+0.005/Table1[[#This Row],[Stock Price]]+Table1[[#This Row],[Expense Ratio]]</f>
        <v>2.7523399142342024E-2</v>
      </c>
      <c r="M66" s="24">
        <f>(Table1[[#This Row],[Expected Return]]-Table1[[#This Row],[Tcosts]])*Table1[[#This Row],[Investment]]</f>
        <v>2824588.0032226346</v>
      </c>
      <c r="Q66" s="13" t="s">
        <v>347</v>
      </c>
    </row>
    <row r="67" spans="1:17" ht="14.4" x14ac:dyDescent="0.3">
      <c r="A67" s="4" t="s">
        <v>348</v>
      </c>
      <c r="B67" s="14" t="s">
        <v>349</v>
      </c>
      <c r="C67" s="6">
        <v>92.24</v>
      </c>
      <c r="D67" s="6" t="s">
        <v>350</v>
      </c>
      <c r="E67" s="15">
        <v>6.9999999999999999E-4</v>
      </c>
      <c r="F67" s="6">
        <v>0.71</v>
      </c>
      <c r="G67" s="3">
        <f t="shared" si="4"/>
        <v>181700000</v>
      </c>
      <c r="H67" s="3" t="b">
        <f t="shared" si="5"/>
        <v>0</v>
      </c>
      <c r="I67" s="26">
        <f>Table1[[#This Row],[Tech]]*$T$7+Table1[[#This Row],[Beta]]*($T$6-$T$8)+$T$8</f>
        <v>8.1556000000000003E-2</v>
      </c>
      <c r="J67" s="42">
        <v>40891484.579999998</v>
      </c>
      <c r="K67" s="56">
        <f>Table1[[#This Row],[Investment]]/Table1[[#This Row],[Dollar Volume]]</f>
        <v>0.22504944733076498</v>
      </c>
      <c r="L67" s="34">
        <f>IFERROR(MAX($T$11+$T$12*LN(Table1[[#This Row],[Frac ADV]]),0),0)*0.0001+0.005/Table1[[#This Row],[Stock Price]]+Table1[[#This Row],[Expense Ratio]]</f>
        <v>2.4705194397716131E-2</v>
      </c>
      <c r="M67" s="24">
        <f>(Table1[[#This Row],[Expected Return]]-Table1[[#This Row],[Tcosts]])*Table1[[#This Row],[Investment]]</f>
        <v>2324713.8406463685</v>
      </c>
      <c r="Q67" s="16" t="s">
        <v>351</v>
      </c>
    </row>
    <row r="68" spans="1:17" ht="14.4" x14ac:dyDescent="0.3">
      <c r="A68" s="2" t="s">
        <v>352</v>
      </c>
      <c r="B68" s="10" t="s">
        <v>353</v>
      </c>
      <c r="C68" s="11">
        <v>190.07</v>
      </c>
      <c r="D68" s="11" t="s">
        <v>354</v>
      </c>
      <c r="E68" s="12">
        <v>5.0000000000000001E-4</v>
      </c>
      <c r="F68" s="11">
        <v>0.69</v>
      </c>
      <c r="G68" s="3">
        <f t="shared" si="4"/>
        <v>355810000</v>
      </c>
      <c r="H68" s="3" t="b">
        <f t="shared" si="5"/>
        <v>0</v>
      </c>
      <c r="I68" s="26">
        <f>Table1[[#This Row],[Tech]]*$T$7+Table1[[#This Row],[Beta]]*($T$6-$T$8)+$T$8</f>
        <v>8.0283999999999994E-2</v>
      </c>
      <c r="J68" s="42">
        <v>39405643.399999999</v>
      </c>
      <c r="K68" s="56">
        <f>Table1[[#This Row],[Investment]]/Table1[[#This Row],[Dollar Volume]]</f>
        <v>0.11074911722548551</v>
      </c>
      <c r="L68" s="34">
        <f>IFERROR(MAX($T$11+$T$12*LN(Table1[[#This Row],[Frac ADV]]),0),0)*0.0001+0.005/Table1[[#This Row],[Stock Price]]+Table1[[#This Row],[Expense Ratio]]</f>
        <v>2.1004208149569367E-2</v>
      </c>
      <c r="M68" s="24">
        <f>(Table1[[#This Row],[Expected Return]]-Table1[[#This Row],[Tcosts]])*Table1[[#This Row],[Investment]]</f>
        <v>2335958.3384842952</v>
      </c>
      <c r="Q68" s="13" t="s">
        <v>355</v>
      </c>
    </row>
    <row r="69" spans="1:17" ht="14.4" x14ac:dyDescent="0.3">
      <c r="A69" s="4" t="s">
        <v>356</v>
      </c>
      <c r="B69" s="14" t="s">
        <v>357</v>
      </c>
      <c r="C69" s="6">
        <v>115.66</v>
      </c>
      <c r="D69" s="6" t="s">
        <v>358</v>
      </c>
      <c r="E69" s="15">
        <v>1.5E-3</v>
      </c>
      <c r="F69" s="6">
        <v>0.98</v>
      </c>
      <c r="G69" s="3">
        <f t="shared" si="4"/>
        <v>166560000</v>
      </c>
      <c r="H69" s="3" t="b">
        <f t="shared" si="5"/>
        <v>0</v>
      </c>
      <c r="I69" s="26">
        <f>Table1[[#This Row],[Tech]]*$T$7+Table1[[#This Row],[Beta]]*($T$6-$T$8)+$T$8</f>
        <v>9.872800000000001E-2</v>
      </c>
      <c r="J69" s="42">
        <v>38772981.329999998</v>
      </c>
      <c r="K69" s="56">
        <f>Table1[[#This Row],[Investment]]/Table1[[#This Row],[Dollar Volume]]</f>
        <v>0.23278687157780978</v>
      </c>
      <c r="L69" s="34">
        <f>IFERROR(MAX($T$11+$T$12*LN(Table1[[#This Row],[Frac ADV]]),0),0)*0.0001+0.005/Table1[[#This Row],[Stock Price]]+Table1[[#This Row],[Expense Ratio]]</f>
        <v>2.5659793046235373E-2</v>
      </c>
      <c r="M69" s="24">
        <f>(Table1[[#This Row],[Expected Return]]-Table1[[#This Row],[Tcosts]])*Table1[[#This Row],[Investment]]</f>
        <v>2833072.2240348924</v>
      </c>
      <c r="Q69" s="16" t="s">
        <v>359</v>
      </c>
    </row>
    <row r="70" spans="1:17" ht="14.4" x14ac:dyDescent="0.3">
      <c r="A70" s="4" t="s">
        <v>360</v>
      </c>
      <c r="B70" s="14" t="s">
        <v>361</v>
      </c>
      <c r="C70" s="11">
        <v>92.51</v>
      </c>
      <c r="D70" s="6" t="s">
        <v>362</v>
      </c>
      <c r="E70" s="15">
        <v>1.5E-3</v>
      </c>
      <c r="F70" s="6">
        <v>0.86</v>
      </c>
      <c r="G70" s="3">
        <f t="shared" si="4"/>
        <v>377500000</v>
      </c>
      <c r="H70" s="3" t="b">
        <f t="shared" si="5"/>
        <v>0</v>
      </c>
      <c r="I70" s="26">
        <f>Table1[[#This Row],[Tech]]*$T$7+Table1[[#This Row],[Beta]]*($T$6-$T$8)+$T$8</f>
        <v>9.109600000000001E-2</v>
      </c>
      <c r="J70" s="42">
        <v>37604909.469999999</v>
      </c>
      <c r="K70" s="56">
        <f>Table1[[#This Row],[Investment]]/Table1[[#This Row],[Dollar Volume]]</f>
        <v>9.9615654225165565E-2</v>
      </c>
      <c r="L70" s="34">
        <f>IFERROR(MAX($T$11+$T$12*LN(Table1[[#This Row],[Frac ADV]]),0),0)*0.0001+0.005/Table1[[#This Row],[Stock Price]]+Table1[[#This Row],[Expense Ratio]]</f>
        <v>2.1512994614461989E-2</v>
      </c>
      <c r="M70" s="24">
        <f>(Table1[[#This Row],[Expected Return]]-Table1[[#This Row],[Tcosts]])*Table1[[#This Row],[Investment]]</f>
        <v>2616662.6181736798</v>
      </c>
      <c r="Q70" s="13" t="s">
        <v>363</v>
      </c>
    </row>
    <row r="71" spans="1:17" ht="14.4" x14ac:dyDescent="0.3">
      <c r="A71" s="4" t="s">
        <v>364</v>
      </c>
      <c r="B71" s="14" t="s">
        <v>365</v>
      </c>
      <c r="C71" s="6">
        <v>270</v>
      </c>
      <c r="D71" s="6" t="s">
        <v>366</v>
      </c>
      <c r="E71" s="15">
        <v>5.0000000000000001E-4</v>
      </c>
      <c r="F71" s="6">
        <v>1.03</v>
      </c>
      <c r="G71" s="3">
        <f t="shared" si="4"/>
        <v>242840000</v>
      </c>
      <c r="H71" s="3" t="b">
        <f t="shared" si="5"/>
        <v>0</v>
      </c>
      <c r="I71" s="26">
        <f>Table1[[#This Row],[Tech]]*$T$7+Table1[[#This Row],[Beta]]*($T$6-$T$8)+$T$8</f>
        <v>0.10190800000000001</v>
      </c>
      <c r="J71" s="42">
        <v>37265518.880000003</v>
      </c>
      <c r="K71" s="56">
        <f>Table1[[#This Row],[Investment]]/Table1[[#This Row],[Dollar Volume]]</f>
        <v>0.15345708647669248</v>
      </c>
      <c r="L71" s="34">
        <f>IFERROR(MAX($T$11+$T$12*LN(Table1[[#This Row],[Frac ADV]]),0),0)*0.0001+0.005/Table1[[#This Row],[Stock Price]]+Table1[[#This Row],[Expense Ratio]]</f>
        <v>2.2593987579846656E-2</v>
      </c>
      <c r="M71" s="24">
        <f>(Table1[[#This Row],[Expected Return]]-Table1[[#This Row],[Tcosts]])*Table1[[#This Row],[Investment]]</f>
        <v>2955677.8272917797</v>
      </c>
      <c r="Q71" s="16" t="s">
        <v>367</v>
      </c>
    </row>
    <row r="72" spans="1:17" ht="14.4" x14ac:dyDescent="0.3">
      <c r="A72" s="2" t="s">
        <v>368</v>
      </c>
      <c r="B72" s="10" t="s">
        <v>369</v>
      </c>
      <c r="C72" s="11">
        <v>90.28</v>
      </c>
      <c r="D72" s="11" t="s">
        <v>370</v>
      </c>
      <c r="E72" s="12">
        <v>2.3E-3</v>
      </c>
      <c r="F72" s="11">
        <v>0.68</v>
      </c>
      <c r="G72" s="3">
        <f t="shared" si="4"/>
        <v>345320000</v>
      </c>
      <c r="H72" s="3" t="b">
        <f t="shared" si="5"/>
        <v>0</v>
      </c>
      <c r="I72" s="26">
        <f>Table1[[#This Row],[Tech]]*$T$7+Table1[[#This Row],[Beta]]*($T$6-$T$8)+$T$8</f>
        <v>7.964800000000001E-2</v>
      </c>
      <c r="J72" s="42">
        <v>37192109.609999999</v>
      </c>
      <c r="K72" s="56">
        <f>Table1[[#This Row],[Investment]]/Table1[[#This Row],[Dollar Volume]]</f>
        <v>0.10770331753156492</v>
      </c>
      <c r="L72" s="34">
        <f>IFERROR(MAX($T$11+$T$12*LN(Table1[[#This Row],[Frac ADV]]),0),0)*0.0001+0.005/Table1[[#This Row],[Stock Price]]+Table1[[#This Row],[Expense Ratio]]</f>
        <v>2.2696688795415892E-2</v>
      </c>
      <c r="M72" s="24">
        <f>(Table1[[#This Row],[Expected Return]]-Table1[[#This Row],[Tcosts]])*Table1[[#This Row],[Investment]]</f>
        <v>2118139.4087541136</v>
      </c>
      <c r="Q72" s="13" t="s">
        <v>371</v>
      </c>
    </row>
    <row r="73" spans="1:17" ht="14.4" x14ac:dyDescent="0.3">
      <c r="A73" s="4" t="s">
        <v>372</v>
      </c>
      <c r="B73" s="14" t="s">
        <v>373</v>
      </c>
      <c r="C73" s="6">
        <v>54.63</v>
      </c>
      <c r="D73" s="6" t="s">
        <v>374</v>
      </c>
      <c r="E73" s="15">
        <v>4.7000000000000002E-3</v>
      </c>
      <c r="F73" s="6">
        <v>1</v>
      </c>
      <c r="G73" s="3">
        <f t="shared" si="4"/>
        <v>3640000000</v>
      </c>
      <c r="H73" s="3" t="b">
        <f t="shared" si="5"/>
        <v>0</v>
      </c>
      <c r="I73" s="26">
        <f>Table1[[#This Row],[Tech]]*$T$7+Table1[[#This Row],[Beta]]*($T$6-$T$8)+$T$8</f>
        <v>0.1</v>
      </c>
      <c r="J73" s="42">
        <v>36831513.920000002</v>
      </c>
      <c r="K73" s="56">
        <f>Table1[[#This Row],[Investment]]/Table1[[#This Row],[Dollar Volume]]</f>
        <v>1.0118547780219781E-2</v>
      </c>
      <c r="L73" s="34">
        <f>IFERROR(MAX($T$11+$T$12*LN(Table1[[#This Row],[Frac ADV]]),0),0)*0.0001+0.005/Table1[[#This Row],[Stock Price]]+Table1[[#This Row],[Expense Ratio]]</f>
        <v>1.3548524000332188E-2</v>
      </c>
      <c r="M73" s="24">
        <f>(Table1[[#This Row],[Expected Return]]-Table1[[#This Row],[Tcosts]])*Table1[[#This Row],[Investment]]</f>
        <v>3184138.7416863116</v>
      </c>
      <c r="Q73" s="16" t="s">
        <v>375</v>
      </c>
    </row>
    <row r="74" spans="1:17" ht="14.4" x14ac:dyDescent="0.3">
      <c r="A74" s="4" t="s">
        <v>376</v>
      </c>
      <c r="B74" s="14" t="s">
        <v>377</v>
      </c>
      <c r="C74" s="6">
        <v>336.01</v>
      </c>
      <c r="D74" s="6" t="s">
        <v>378</v>
      </c>
      <c r="E74" s="15">
        <v>2.9999999999999997E-4</v>
      </c>
      <c r="F74" s="6">
        <v>1</v>
      </c>
      <c r="G74" s="3">
        <f t="shared" si="4"/>
        <v>696250000</v>
      </c>
      <c r="H74" s="3" t="b">
        <f t="shared" si="5"/>
        <v>0</v>
      </c>
      <c r="I74" s="26">
        <f>Table1[[#This Row],[Tech]]*$T$7+Table1[[#This Row],[Beta]]*($T$6-$T$8)+$T$8</f>
        <v>0.1</v>
      </c>
      <c r="J74" s="42">
        <v>36751152.299999997</v>
      </c>
      <c r="K74" s="56">
        <f>Table1[[#This Row],[Investment]]/Table1[[#This Row],[Dollar Volume]]</f>
        <v>5.2784419820466784E-2</v>
      </c>
      <c r="L74" s="34">
        <f>IFERROR(MAX($T$11+$T$12*LN(Table1[[#This Row],[Frac ADV]]),0),0)*0.0001+0.005/Table1[[#This Row],[Stock Price]]+Table1[[#This Row],[Expense Ratio]]</f>
        <v>1.7162960598339359E-2</v>
      </c>
      <c r="M74" s="24">
        <f>(Table1[[#This Row],[Expected Return]]-Table1[[#This Row],[Tcosts]])*Table1[[#This Row],[Investment]]</f>
        <v>3044356.6511315312</v>
      </c>
      <c r="Q74" s="13" t="s">
        <v>379</v>
      </c>
    </row>
    <row r="75" spans="1:17" ht="14.4" x14ac:dyDescent="0.3">
      <c r="A75" s="4" t="s">
        <v>380</v>
      </c>
      <c r="B75" s="14" t="s">
        <v>381</v>
      </c>
      <c r="C75" s="6">
        <v>259.54000000000002</v>
      </c>
      <c r="D75" s="6" t="s">
        <v>382</v>
      </c>
      <c r="E75" s="15">
        <v>1.9E-3</v>
      </c>
      <c r="F75" s="6">
        <v>0.98</v>
      </c>
      <c r="G75" s="3">
        <f t="shared" si="4"/>
        <v>160270000</v>
      </c>
      <c r="H75" s="3" t="b">
        <f t="shared" si="5"/>
        <v>0</v>
      </c>
      <c r="I75" s="26">
        <f>Table1[[#This Row],[Tech]]*$T$7+Table1[[#This Row],[Beta]]*($T$6-$T$8)+$T$8</f>
        <v>9.872800000000001E-2</v>
      </c>
      <c r="J75" s="42">
        <v>36389925.149999999</v>
      </c>
      <c r="K75" s="56">
        <f>Table1[[#This Row],[Investment]]/Table1[[#This Row],[Dollar Volume]]</f>
        <v>0.22705387876708055</v>
      </c>
      <c r="L75" s="34">
        <f>IFERROR(MAX($T$11+$T$12*LN(Table1[[#This Row],[Frac ADV]]),0),0)*0.0001+0.005/Table1[[#This Row],[Stock Price]]+Table1[[#This Row],[Expense Ratio]]</f>
        <v>2.5913686185521242E-2</v>
      </c>
      <c r="M75" s="24">
        <f>(Table1[[#This Row],[Expected Return]]-Table1[[#This Row],[Tcosts]])*Table1[[#This Row],[Investment]]</f>
        <v>2649707.4295574934</v>
      </c>
      <c r="Q75" s="16" t="s">
        <v>383</v>
      </c>
    </row>
    <row r="76" spans="1:17" ht="14.4" x14ac:dyDescent="0.3">
      <c r="A76" s="2" t="s">
        <v>384</v>
      </c>
      <c r="B76" s="10" t="s">
        <v>385</v>
      </c>
      <c r="C76" s="11">
        <v>40.65</v>
      </c>
      <c r="D76" s="11" t="s">
        <v>386</v>
      </c>
      <c r="E76" s="12">
        <v>1.6999999999999999E-3</v>
      </c>
      <c r="F76" s="11">
        <v>0.95</v>
      </c>
      <c r="G76" s="3">
        <f t="shared" si="4"/>
        <v>106960000</v>
      </c>
      <c r="H76" s="3" t="b">
        <f t="shared" si="5"/>
        <v>0</v>
      </c>
      <c r="I76" s="26">
        <f>Table1[[#This Row],[Tech]]*$T$7+Table1[[#This Row],[Beta]]*($T$6-$T$8)+$T$8</f>
        <v>9.6820000000000003E-2</v>
      </c>
      <c r="J76" s="42">
        <v>36019973.280000001</v>
      </c>
      <c r="K76" s="56">
        <f>Table1[[#This Row],[Investment]]/Table1[[#This Row],[Dollar Volume]]</f>
        <v>0.33676115632011966</v>
      </c>
      <c r="L76" s="34">
        <f>IFERROR(MAX($T$11+$T$12*LN(Table1[[#This Row],[Frac ADV]]),0),0)*0.0001+0.005/Table1[[#This Row],[Stock Price]]+Table1[[#This Row],[Expense Ratio]]</f>
        <v>2.7748229586629321E-2</v>
      </c>
      <c r="M76" s="24">
        <f>(Table1[[#This Row],[Expected Return]]-Table1[[#This Row],[Tcosts]])*Table1[[#This Row],[Investment]]</f>
        <v>2487963.3246919066</v>
      </c>
      <c r="Q76" s="13" t="s">
        <v>387</v>
      </c>
    </row>
    <row r="77" spans="1:17" ht="14.4" x14ac:dyDescent="0.3">
      <c r="A77" s="4" t="s">
        <v>388</v>
      </c>
      <c r="B77" s="14" t="s">
        <v>389</v>
      </c>
      <c r="C77" s="6">
        <v>100.56</v>
      </c>
      <c r="D77" s="6" t="s">
        <v>390</v>
      </c>
      <c r="E77" s="15">
        <v>1.8E-3</v>
      </c>
      <c r="F77" s="6">
        <v>0.87</v>
      </c>
      <c r="G77" s="3">
        <f t="shared" si="4"/>
        <v>121420000</v>
      </c>
      <c r="H77" s="3" t="b">
        <f t="shared" si="5"/>
        <v>0</v>
      </c>
      <c r="I77" s="26">
        <f>Table1[[#This Row],[Tech]]*$T$7+Table1[[#This Row],[Beta]]*($T$6-$T$8)+$T$8</f>
        <v>9.1732000000000008E-2</v>
      </c>
      <c r="J77" s="42">
        <v>35742832.490000002</v>
      </c>
      <c r="K77" s="56">
        <f>Table1[[#This Row],[Investment]]/Table1[[#This Row],[Dollar Volume]]</f>
        <v>0.29437351746005602</v>
      </c>
      <c r="L77" s="34">
        <f>IFERROR(MAX($T$11+$T$12*LN(Table1[[#This Row],[Frac ADV]]),0),0)*0.0001+0.005/Table1[[#This Row],[Stock Price]]+Table1[[#This Row],[Expense Ratio]]</f>
        <v>2.7116021181607323E-2</v>
      </c>
      <c r="M77" s="24">
        <f>(Table1[[#This Row],[Expected Return]]-Table1[[#This Row],[Tcosts]])*Table1[[#This Row],[Investment]]</f>
        <v>2309558.1070831977</v>
      </c>
      <c r="Q77" s="16" t="s">
        <v>391</v>
      </c>
    </row>
    <row r="78" spans="1:17" ht="14.4" x14ac:dyDescent="0.3">
      <c r="A78" s="4" t="s">
        <v>392</v>
      </c>
      <c r="B78" s="14" t="s">
        <v>393</v>
      </c>
      <c r="C78" s="6">
        <v>32.200000000000003</v>
      </c>
      <c r="D78" s="6" t="s">
        <v>394</v>
      </c>
      <c r="E78" s="15">
        <v>4.0000000000000002E-4</v>
      </c>
      <c r="F78" s="6">
        <v>0.92</v>
      </c>
      <c r="G78" s="3">
        <f t="shared" si="4"/>
        <v>378650000</v>
      </c>
      <c r="H78" s="3" t="b">
        <f t="shared" si="5"/>
        <v>0</v>
      </c>
      <c r="I78" s="26">
        <f>Table1[[#This Row],[Tech]]*$T$7+Table1[[#This Row],[Beta]]*($T$6-$T$8)+$T$8</f>
        <v>9.491200000000001E-2</v>
      </c>
      <c r="J78" s="42">
        <v>35293848.890000001</v>
      </c>
      <c r="K78" s="56">
        <f>Table1[[#This Row],[Investment]]/Table1[[#This Row],[Dollar Volume]]</f>
        <v>9.3209689396540341E-2</v>
      </c>
      <c r="L78" s="34">
        <f>IFERROR(MAX($T$11+$T$12*LN(Table1[[#This Row],[Frac ADV]]),0),0)*0.0001+0.005/Table1[[#This Row],[Stock Price]]+Table1[[#This Row],[Expense Ratio]]</f>
        <v>2.0188653724083686E-2</v>
      </c>
      <c r="M78" s="24">
        <f>(Table1[[#This Row],[Expected Return]]-Table1[[#This Row],[Tcosts]])*Table1[[#This Row],[Investment]]</f>
        <v>2637274.4920173353</v>
      </c>
      <c r="Q78" s="13" t="s">
        <v>395</v>
      </c>
    </row>
    <row r="79" spans="1:17" ht="14.4" x14ac:dyDescent="0.3">
      <c r="A79" s="2" t="s">
        <v>396</v>
      </c>
      <c r="B79" s="10" t="s">
        <v>397</v>
      </c>
      <c r="C79" s="11">
        <v>172.75</v>
      </c>
      <c r="D79" s="11" t="s">
        <v>398</v>
      </c>
      <c r="E79" s="12">
        <v>8.0000000000000004E-4</v>
      </c>
      <c r="F79" s="11">
        <v>0.92</v>
      </c>
      <c r="G79" s="3">
        <f t="shared" si="4"/>
        <v>199200000</v>
      </c>
      <c r="H79" s="3" t="b">
        <f t="shared" si="5"/>
        <v>0</v>
      </c>
      <c r="I79" s="26">
        <f>Table1[[#This Row],[Tech]]*$T$7+Table1[[#This Row],[Beta]]*($T$6-$T$8)+$T$8</f>
        <v>9.491200000000001E-2</v>
      </c>
      <c r="J79" s="42">
        <v>35082502.25</v>
      </c>
      <c r="K79" s="56">
        <f>Table1[[#This Row],[Investment]]/Table1[[#This Row],[Dollar Volume]]</f>
        <v>0.17611697916666666</v>
      </c>
      <c r="L79" s="34">
        <f>IFERROR(MAX($T$11+$T$12*LN(Table1[[#This Row],[Frac ADV]]),0),0)*0.0001+0.005/Table1[[#This Row],[Stock Price]]+Table1[[#This Row],[Expense Ratio]]</f>
        <v>2.3579030073046094E-2</v>
      </c>
      <c r="M79" s="24">
        <f>(Table1[[#This Row],[Expected Return]]-Table1[[#This Row],[Tcosts]])*Table1[[#This Row],[Investment]]</f>
        <v>2502539.0779615431</v>
      </c>
      <c r="Q79" s="16" t="s">
        <v>399</v>
      </c>
    </row>
    <row r="80" spans="1:17" ht="14.4" x14ac:dyDescent="0.3">
      <c r="A80" s="4" t="s">
        <v>400</v>
      </c>
      <c r="B80" s="14" t="s">
        <v>401</v>
      </c>
      <c r="C80" s="6">
        <v>298.35000000000002</v>
      </c>
      <c r="D80" s="6" t="s">
        <v>402</v>
      </c>
      <c r="E80" s="15">
        <v>2.9999999999999997E-4</v>
      </c>
      <c r="F80" s="6">
        <v>0.83</v>
      </c>
      <c r="G80" s="3">
        <f t="shared" si="4"/>
        <v>301950000</v>
      </c>
      <c r="H80" s="3" t="b">
        <f t="shared" si="5"/>
        <v>0</v>
      </c>
      <c r="I80" s="26">
        <f>Table1[[#This Row],[Tech]]*$T$7+Table1[[#This Row],[Beta]]*($T$6-$T$8)+$T$8</f>
        <v>8.9188000000000003E-2</v>
      </c>
      <c r="J80" s="42">
        <v>34015567.25</v>
      </c>
      <c r="K80" s="56">
        <f>Table1[[#This Row],[Investment]]/Table1[[#This Row],[Dollar Volume]]</f>
        <v>0.11265297979797979</v>
      </c>
      <c r="L80" s="34">
        <f>IFERROR(MAX($T$11+$T$12*LN(Table1[[#This Row],[Frac ADV]]),0),0)*0.0001+0.005/Table1[[#This Row],[Stock Price]]+Table1[[#This Row],[Expense Ratio]]</f>
        <v>2.0878149240599209E-2</v>
      </c>
      <c r="M80" s="24">
        <f>(Table1[[#This Row],[Expected Return]]-Table1[[#This Row],[Tcosts]])*Table1[[#This Row],[Investment]]</f>
        <v>2323598.3223438612</v>
      </c>
      <c r="Q80" s="13" t="s">
        <v>403</v>
      </c>
    </row>
    <row r="81" spans="1:17" ht="14.4" x14ac:dyDescent="0.3">
      <c r="A81" s="4" t="s">
        <v>404</v>
      </c>
      <c r="B81" s="14" t="s">
        <v>405</v>
      </c>
      <c r="C81" s="6">
        <v>70.540000000000006</v>
      </c>
      <c r="D81" s="6" t="s">
        <v>406</v>
      </c>
      <c r="E81" s="15">
        <v>5.0000000000000001E-4</v>
      </c>
      <c r="F81" s="6">
        <v>0.88</v>
      </c>
      <c r="G81" s="3">
        <f t="shared" si="4"/>
        <v>4260000000</v>
      </c>
      <c r="H81" s="3" t="b">
        <f t="shared" si="5"/>
        <v>0</v>
      </c>
      <c r="I81" s="26">
        <f>Table1[[#This Row],[Tech]]*$T$7+Table1[[#This Row],[Beta]]*($T$6-$T$8)+$T$8</f>
        <v>9.2368000000000006E-2</v>
      </c>
      <c r="J81" s="42">
        <v>33503612.41</v>
      </c>
      <c r="K81" s="56">
        <f>Table1[[#This Row],[Investment]]/Table1[[#This Row],[Dollar Volume]]</f>
        <v>7.8646977488262913E-3</v>
      </c>
      <c r="L81" s="34">
        <f>IFERROR(MAX($T$11+$T$12*LN(Table1[[#This Row],[Frac ADV]]),0),0)*0.0001+0.005/Table1[[#This Row],[Stock Price]]+Table1[[#This Row],[Expense Ratio]]</f>
        <v>8.0936014988288972E-3</v>
      </c>
      <c r="M81" s="24">
        <f>(Table1[[#This Row],[Expected Return]]-Table1[[#This Row],[Tcosts]])*Table1[[#This Row],[Investment]]</f>
        <v>2823496.7834691214</v>
      </c>
      <c r="Q81" s="16" t="s">
        <v>407</v>
      </c>
    </row>
    <row r="82" spans="1:17" ht="14.4" x14ac:dyDescent="0.3">
      <c r="A82" s="2" t="s">
        <v>408</v>
      </c>
      <c r="B82" s="10" t="s">
        <v>409</v>
      </c>
      <c r="C82" s="11">
        <v>156.38999999999999</v>
      </c>
      <c r="D82" s="11" t="s">
        <v>410</v>
      </c>
      <c r="E82" s="12">
        <v>5.9999999999999995E-4</v>
      </c>
      <c r="F82" s="11">
        <v>0.68</v>
      </c>
      <c r="G82" s="3">
        <f t="shared" si="4"/>
        <v>1940000000</v>
      </c>
      <c r="H82" s="3" t="b">
        <f t="shared" si="5"/>
        <v>0</v>
      </c>
      <c r="I82" s="26">
        <f>Table1[[#This Row],[Tech]]*$T$7+Table1[[#This Row],[Beta]]*($T$6-$T$8)+$T$8</f>
        <v>7.964800000000001E-2</v>
      </c>
      <c r="J82" s="42">
        <v>33006339.469999999</v>
      </c>
      <c r="K82" s="56">
        <f>Table1[[#This Row],[Investment]]/Table1[[#This Row],[Dollar Volume]]</f>
        <v>1.7013577046391754E-2</v>
      </c>
      <c r="L82" s="34">
        <f>IFERROR(MAX($T$11+$T$12*LN(Table1[[#This Row],[Frac ADV]]),0),0)*0.0001+0.005/Table1[[#This Row],[Stock Price]]+Table1[[#This Row],[Expense Ratio]]</f>
        <v>1.1934281556185037E-2</v>
      </c>
      <c r="M82" s="24">
        <f>(Table1[[#This Row],[Expected Return]]-Table1[[#This Row],[Tcosts]])*Table1[[#This Row],[Investment]]</f>
        <v>2234981.9777325573</v>
      </c>
      <c r="Q82" s="13" t="s">
        <v>411</v>
      </c>
    </row>
    <row r="83" spans="1:17" ht="14.4" x14ac:dyDescent="0.3">
      <c r="A83" s="2" t="s">
        <v>412</v>
      </c>
      <c r="B83" s="10" t="s">
        <v>413</v>
      </c>
      <c r="C83" s="11">
        <v>200.74</v>
      </c>
      <c r="D83" s="11" t="s">
        <v>414</v>
      </c>
      <c r="E83" s="12">
        <v>1.5E-3</v>
      </c>
      <c r="F83" s="11">
        <v>0.92</v>
      </c>
      <c r="G83" s="3">
        <f t="shared" si="4"/>
        <v>370860000</v>
      </c>
      <c r="H83" s="3" t="b">
        <f t="shared" si="5"/>
        <v>0</v>
      </c>
      <c r="I83" s="26">
        <f>Table1[[#This Row],[Tech]]*$T$7+Table1[[#This Row],[Beta]]*($T$6-$T$8)+$T$8</f>
        <v>9.491200000000001E-2</v>
      </c>
      <c r="J83" s="42">
        <v>33000410.530000001</v>
      </c>
      <c r="K83" s="56">
        <f>Table1[[#This Row],[Investment]]/Table1[[#This Row],[Dollar Volume]]</f>
        <v>8.8983472280644987E-2</v>
      </c>
      <c r="L83" s="34">
        <f>IFERROR(MAX($T$11+$T$12*LN(Table1[[#This Row],[Frac ADV]]),0),0)*0.0001+0.005/Table1[[#This Row],[Stock Price]]+Table1[[#This Row],[Expense Ratio]]</f>
        <v>2.093100026767129E-2</v>
      </c>
      <c r="M83" s="24">
        <f>(Table1[[#This Row],[Expected Return]]-Table1[[#This Row],[Tcosts]])*Table1[[#This Row],[Investment]]</f>
        <v>2441403.3625866678</v>
      </c>
      <c r="Q83" s="16" t="s">
        <v>415</v>
      </c>
    </row>
    <row r="84" spans="1:17" ht="14.4" x14ac:dyDescent="0.3">
      <c r="A84" s="4" t="s">
        <v>416</v>
      </c>
      <c r="B84" s="14" t="s">
        <v>417</v>
      </c>
      <c r="C84" s="6">
        <v>61.91</v>
      </c>
      <c r="D84" s="6" t="s">
        <v>418</v>
      </c>
      <c r="E84" s="15">
        <v>2.9999999999999997E-4</v>
      </c>
      <c r="F84" s="6">
        <v>0.87</v>
      </c>
      <c r="G84" s="3">
        <f t="shared" si="4"/>
        <v>323170000</v>
      </c>
      <c r="H84" s="3" t="b">
        <f t="shared" si="5"/>
        <v>0</v>
      </c>
      <c r="I84" s="26">
        <f>Table1[[#This Row],[Tech]]*$T$7+Table1[[#This Row],[Beta]]*($T$6-$T$8)+$T$8</f>
        <v>9.1732000000000008E-2</v>
      </c>
      <c r="J84" s="42">
        <v>32422671.920000002</v>
      </c>
      <c r="K84" s="56">
        <f>Table1[[#This Row],[Investment]]/Table1[[#This Row],[Dollar Volume]]</f>
        <v>0.10032698554940125</v>
      </c>
      <c r="L84" s="34">
        <f>IFERROR(MAX($T$11+$T$12*LN(Table1[[#This Row],[Frac ADV]]),0),0)*0.0001+0.005/Table1[[#This Row],[Stock Price]]+Table1[[#This Row],[Expense Ratio]]</f>
        <v>2.037456141394333E-2</v>
      </c>
      <c r="M84" s="24">
        <f>(Table1[[#This Row],[Expected Return]]-Table1[[#This Row],[Tcosts]])*Table1[[#This Row],[Investment]]</f>
        <v>2313598.8203272643</v>
      </c>
      <c r="Q84" s="13" t="s">
        <v>419</v>
      </c>
    </row>
    <row r="85" spans="1:17" ht="14.4" x14ac:dyDescent="0.3">
      <c r="A85" s="4" t="s">
        <v>420</v>
      </c>
      <c r="B85" s="14" t="s">
        <v>421</v>
      </c>
      <c r="C85" s="6">
        <v>99.55</v>
      </c>
      <c r="D85" s="6" t="s">
        <v>422</v>
      </c>
      <c r="E85" s="15">
        <v>6.9999999999999999E-4</v>
      </c>
      <c r="F85" s="6">
        <v>0.56000000000000005</v>
      </c>
      <c r="G85" s="3">
        <f t="shared" si="4"/>
        <v>220460000</v>
      </c>
      <c r="H85" s="3" t="b">
        <f t="shared" si="5"/>
        <v>0</v>
      </c>
      <c r="I85" s="26">
        <f>Table1[[#This Row],[Tech]]*$T$7+Table1[[#This Row],[Beta]]*($T$6-$T$8)+$T$8</f>
        <v>7.2016000000000011E-2</v>
      </c>
      <c r="J85" s="42">
        <v>32006623.850000001</v>
      </c>
      <c r="K85" s="56">
        <f>Table1[[#This Row],[Investment]]/Table1[[#This Row],[Dollar Volume]]</f>
        <v>0.14518109339562732</v>
      </c>
      <c r="L85" s="34">
        <f>IFERROR(MAX($T$11+$T$12*LN(Table1[[#This Row],[Frac ADV]]),0),0)*0.0001+0.005/Table1[[#This Row],[Stock Price]]+Table1[[#This Row],[Expense Ratio]]</f>
        <v>2.2554143077255819E-2</v>
      </c>
      <c r="M85" s="24">
        <f>(Table1[[#This Row],[Expected Return]]-Table1[[#This Row],[Tcosts]])*Table1[[#This Row],[Investment]]</f>
        <v>1583107.0494487919</v>
      </c>
      <c r="Q85" s="16" t="s">
        <v>423</v>
      </c>
    </row>
    <row r="86" spans="1:17" ht="14.4" x14ac:dyDescent="0.3">
      <c r="A86" s="2" t="s">
        <v>424</v>
      </c>
      <c r="B86" s="10" t="s">
        <v>425</v>
      </c>
      <c r="C86" s="11">
        <v>31.85</v>
      </c>
      <c r="D86" s="11" t="s">
        <v>426</v>
      </c>
      <c r="E86" s="12">
        <v>4.0000000000000002E-4</v>
      </c>
      <c r="F86" s="11">
        <v>0.72</v>
      </c>
      <c r="G86" s="3">
        <f t="shared" si="4"/>
        <v>3140000000</v>
      </c>
      <c r="H86" s="3" t="b">
        <f t="shared" si="5"/>
        <v>0</v>
      </c>
      <c r="I86" s="26">
        <f>Table1[[#This Row],[Tech]]*$T$7+Table1[[#This Row],[Beta]]*($T$6-$T$8)+$T$8</f>
        <v>8.2192000000000001E-2</v>
      </c>
      <c r="J86" s="42">
        <v>31240936.84</v>
      </c>
      <c r="K86" s="56">
        <f>Table1[[#This Row],[Investment]]/Table1[[#This Row],[Dollar Volume]]</f>
        <v>9.9493429426751583E-3</v>
      </c>
      <c r="L86" s="34">
        <f>IFERROR(MAX($T$11+$T$12*LN(Table1[[#This Row],[Frac ADV]]),0),0)*0.0001+0.005/Table1[[#This Row],[Stock Price]]+Table1[[#This Row],[Expense Ratio]]</f>
        <v>9.2313834901895913E-3</v>
      </c>
      <c r="M86" s="24">
        <f>(Table1[[#This Row],[Expected Return]]-Table1[[#This Row],[Tcosts]])*Table1[[#This Row],[Investment]]</f>
        <v>2279358.0121904481</v>
      </c>
      <c r="Q86" s="13" t="s">
        <v>427</v>
      </c>
    </row>
    <row r="87" spans="1:17" ht="14.4" x14ac:dyDescent="0.3">
      <c r="A87" s="2" t="s">
        <v>428</v>
      </c>
      <c r="B87" s="10" t="s">
        <v>429</v>
      </c>
      <c r="C87" s="11">
        <v>74.87</v>
      </c>
      <c r="D87" s="11" t="s">
        <v>430</v>
      </c>
      <c r="E87" s="12">
        <v>2.7000000000000001E-3</v>
      </c>
      <c r="F87" s="11">
        <v>0.92</v>
      </c>
      <c r="G87" s="3">
        <f t="shared" si="4"/>
        <v>292390000</v>
      </c>
      <c r="H87" s="3" t="b">
        <f t="shared" si="5"/>
        <v>0</v>
      </c>
      <c r="I87" s="26">
        <f>Table1[[#This Row],[Tech]]*$T$7+Table1[[#This Row],[Beta]]*($T$6-$T$8)+$T$8</f>
        <v>9.491200000000001E-2</v>
      </c>
      <c r="J87" s="42">
        <v>30941421.050000001</v>
      </c>
      <c r="K87" s="56">
        <f>Table1[[#This Row],[Investment]]/Table1[[#This Row],[Dollar Volume]]</f>
        <v>0.10582243253873251</v>
      </c>
      <c r="L87" s="34">
        <f>IFERROR(MAX($T$11+$T$12*LN(Table1[[#This Row],[Frac ADV]]),0),0)*0.0001+0.005/Table1[[#This Row],[Stock Price]]+Table1[[#This Row],[Expense Ratio]]</f>
        <v>2.3021792054028135E-2</v>
      </c>
      <c r="M87" s="24">
        <f>(Table1[[#This Row],[Expected Return]]-Table1[[#This Row],[Tcosts]])*Table1[[#This Row],[Investment]]</f>
        <v>2224385.1934283711</v>
      </c>
      <c r="Q87" s="16" t="s">
        <v>431</v>
      </c>
    </row>
    <row r="88" spans="1:17" ht="14.4" x14ac:dyDescent="0.3">
      <c r="A88" s="4" t="s">
        <v>432</v>
      </c>
      <c r="B88" s="14" t="s">
        <v>433</v>
      </c>
      <c r="C88" s="6">
        <v>145.96</v>
      </c>
      <c r="D88" s="6" t="s">
        <v>434</v>
      </c>
      <c r="E88" s="15">
        <v>5.9999999999999995E-4</v>
      </c>
      <c r="F88" s="6">
        <v>0.89</v>
      </c>
      <c r="G88" s="3">
        <f t="shared" si="4"/>
        <v>4420000000</v>
      </c>
      <c r="H88" s="3" t="b">
        <f t="shared" si="5"/>
        <v>0</v>
      </c>
      <c r="I88" s="26">
        <f>Table1[[#This Row],[Tech]]*$T$7+Table1[[#This Row],[Beta]]*($T$6-$T$8)+$T$8</f>
        <v>9.3004000000000003E-2</v>
      </c>
      <c r="J88" s="42">
        <v>30827559.609999999</v>
      </c>
      <c r="K88" s="56">
        <f>Table1[[#This Row],[Investment]]/Table1[[#This Row],[Dollar Volume]]</f>
        <v>6.9745609977375561E-3</v>
      </c>
      <c r="L88" s="34">
        <f>IFERROR(MAX($T$11+$T$12*LN(Table1[[#This Row],[Frac ADV]]),0),0)*0.0001+0.005/Table1[[#This Row],[Stock Price]]+Table1[[#This Row],[Expense Ratio]]</f>
        <v>7.5686290994932811E-3</v>
      </c>
      <c r="M88" s="24">
        <f>(Table1[[#This Row],[Expected Return]]-Table1[[#This Row],[Tcosts]])*Table1[[#This Row],[Investment]]</f>
        <v>2633763.9892378305</v>
      </c>
      <c r="Q88" s="13" t="s">
        <v>435</v>
      </c>
    </row>
    <row r="89" spans="1:17" ht="14.4" x14ac:dyDescent="0.3">
      <c r="A89" s="4" t="s">
        <v>436</v>
      </c>
      <c r="B89" s="14" t="s">
        <v>437</v>
      </c>
      <c r="C89" s="6">
        <v>218.98</v>
      </c>
      <c r="D89" s="6" t="s">
        <v>438</v>
      </c>
      <c r="E89" s="15">
        <v>1.8E-3</v>
      </c>
      <c r="F89" s="6">
        <v>0.77</v>
      </c>
      <c r="G89" s="3">
        <f t="shared" si="4"/>
        <v>220290000</v>
      </c>
      <c r="H89" s="3" t="b">
        <f t="shared" si="5"/>
        <v>0</v>
      </c>
      <c r="I89" s="26">
        <f>Table1[[#This Row],[Tech]]*$T$7+Table1[[#This Row],[Beta]]*($T$6-$T$8)+$T$8</f>
        <v>8.5372000000000003E-2</v>
      </c>
      <c r="J89" s="42">
        <v>29391588.920000002</v>
      </c>
      <c r="K89" s="56">
        <f>Table1[[#This Row],[Investment]]/Table1[[#This Row],[Dollar Volume]]</f>
        <v>0.13342225666167326</v>
      </c>
      <c r="L89" s="34">
        <f>IFERROR(MAX($T$11+$T$12*LN(Table1[[#This Row],[Frac ADV]]),0),0)*0.0001+0.005/Table1[[#This Row],[Stock Price]]+Table1[[#This Row],[Expense Ratio]]</f>
        <v>2.3213033438788298E-2</v>
      </c>
      <c r="M89" s="24">
        <f>(Table1[[#This Row],[Expected Return]]-Table1[[#This Row],[Tcosts]])*Table1[[#This Row],[Investment]]</f>
        <v>1826950.7928591606</v>
      </c>
      <c r="Q89" s="16" t="s">
        <v>439</v>
      </c>
    </row>
    <row r="90" spans="1:17" ht="14.4" x14ac:dyDescent="0.3">
      <c r="A90" s="4" t="s">
        <v>440</v>
      </c>
      <c r="B90" s="14" t="s">
        <v>441</v>
      </c>
      <c r="C90" s="6">
        <v>644.5</v>
      </c>
      <c r="D90" s="6" t="s">
        <v>442</v>
      </c>
      <c r="E90" s="15">
        <v>2.3999999999999998E-3</v>
      </c>
      <c r="F90" s="6">
        <v>0.87</v>
      </c>
      <c r="G90" s="3">
        <f t="shared" si="4"/>
        <v>6060000000</v>
      </c>
      <c r="H90" s="3" t="b">
        <f t="shared" si="5"/>
        <v>0</v>
      </c>
      <c r="I90" s="26">
        <f>Table1[[#This Row],[Tech]]*$T$7+Table1[[#This Row],[Beta]]*($T$6-$T$8)+$T$8</f>
        <v>9.1732000000000008E-2</v>
      </c>
      <c r="J90" s="42">
        <v>28384395.48</v>
      </c>
      <c r="K90" s="56">
        <f>Table1[[#This Row],[Investment]]/Table1[[#This Row],[Dollar Volume]]</f>
        <v>4.6838936435643569E-3</v>
      </c>
      <c r="L90" s="34">
        <f>IFERROR(MAX($T$11+$T$12*LN(Table1[[#This Row],[Frac ADV]]),0),0)*0.0001+0.005/Table1[[#This Row],[Stock Price]]+Table1[[#This Row],[Expense Ratio]]</f>
        <v>7.3919612454556964E-3</v>
      </c>
      <c r="M90" s="24">
        <f>(Table1[[#This Row],[Expected Return]]-Table1[[#This Row],[Tcosts]])*Table1[[#This Row],[Investment]]</f>
        <v>2393941.0148075125</v>
      </c>
      <c r="Q90" s="13" t="s">
        <v>443</v>
      </c>
    </row>
    <row r="91" spans="1:17" ht="14.4" x14ac:dyDescent="0.3">
      <c r="A91" s="4" t="s">
        <v>444</v>
      </c>
      <c r="B91" s="14" t="s">
        <v>445</v>
      </c>
      <c r="C91" s="6">
        <v>494.67</v>
      </c>
      <c r="D91" s="6" t="s">
        <v>446</v>
      </c>
      <c r="E91" s="15">
        <v>1.6000000000000001E-3</v>
      </c>
      <c r="F91" s="6">
        <v>0.86</v>
      </c>
      <c r="G91" s="3">
        <f t="shared" si="4"/>
        <v>131539999.99999999</v>
      </c>
      <c r="H91" s="3" t="b">
        <f t="shared" si="5"/>
        <v>0</v>
      </c>
      <c r="I91" s="26">
        <f>Table1[[#This Row],[Tech]]*$T$7+Table1[[#This Row],[Beta]]*($T$6-$T$8)+$T$8</f>
        <v>9.109600000000001E-2</v>
      </c>
      <c r="J91" s="42">
        <v>28007868.18</v>
      </c>
      <c r="K91" s="56">
        <f>Table1[[#This Row],[Investment]]/Table1[[#This Row],[Dollar Volume]]</f>
        <v>0.21292282332370382</v>
      </c>
      <c r="L91" s="34">
        <f>IFERROR(MAX($T$11+$T$12*LN(Table1[[#This Row],[Frac ADV]]),0),0)*0.0001+0.005/Table1[[#This Row],[Stock Price]]+Table1[[#This Row],[Expense Ratio]]</f>
        <v>2.528978228021803E-2</v>
      </c>
      <c r="M91" s="24">
        <f>(Table1[[#This Row],[Expected Return]]-Table1[[#This Row],[Tcosts]])*Table1[[#This Row],[Investment]]</f>
        <v>1843091.8713200339</v>
      </c>
      <c r="Q91" s="16" t="s">
        <v>447</v>
      </c>
    </row>
    <row r="92" spans="1:17" ht="14.4" x14ac:dyDescent="0.3">
      <c r="A92" s="4" t="s">
        <v>448</v>
      </c>
      <c r="B92" s="14" t="s">
        <v>449</v>
      </c>
      <c r="C92" s="6">
        <v>85.05</v>
      </c>
      <c r="D92" s="6" t="s">
        <v>450</v>
      </c>
      <c r="E92" s="15">
        <v>4.0000000000000001E-3</v>
      </c>
      <c r="F92" s="6">
        <v>0.71</v>
      </c>
      <c r="G92" s="3">
        <f t="shared" si="4"/>
        <v>171250000</v>
      </c>
      <c r="H92" s="3" t="b">
        <f t="shared" si="5"/>
        <v>0</v>
      </c>
      <c r="I92" s="26">
        <f>Table1[[#This Row],[Tech]]*$T$7+Table1[[#This Row],[Beta]]*($T$6-$T$8)+$T$8</f>
        <v>8.1556000000000003E-2</v>
      </c>
      <c r="J92" s="42">
        <v>27560758.789999999</v>
      </c>
      <c r="K92" s="56">
        <f>Table1[[#This Row],[Investment]]/Table1[[#This Row],[Dollar Volume]]</f>
        <v>0.16093873745985401</v>
      </c>
      <c r="L92" s="34">
        <f>IFERROR(MAX($T$11+$T$12*LN(Table1[[#This Row],[Frac ADV]]),0),0)*0.0001+0.005/Table1[[#This Row],[Stock Price]]+Table1[[#This Row],[Expense Ratio]]</f>
        <v>2.6367426402566081E-2</v>
      </c>
      <c r="M92" s="24">
        <f>(Table1[[#This Row],[Expected Return]]-Table1[[#This Row],[Tcosts]])*Table1[[#This Row],[Investment]]</f>
        <v>1521038.964883039</v>
      </c>
      <c r="Q92" s="13" t="s">
        <v>451</v>
      </c>
    </row>
    <row r="93" spans="1:17" ht="14.4" x14ac:dyDescent="0.3">
      <c r="A93" s="4" t="s">
        <v>452</v>
      </c>
      <c r="B93" s="14" t="s">
        <v>453</v>
      </c>
      <c r="C93" s="6">
        <v>130.80000000000001</v>
      </c>
      <c r="D93" s="6" t="s">
        <v>454</v>
      </c>
      <c r="E93" s="15">
        <v>5.8999999999999999E-3</v>
      </c>
      <c r="F93" s="6">
        <v>0.9</v>
      </c>
      <c r="G93" s="3">
        <f t="shared" si="4"/>
        <v>2910000000</v>
      </c>
      <c r="H93" s="3" t="b">
        <f t="shared" si="5"/>
        <v>0</v>
      </c>
      <c r="I93" s="26">
        <f>Table1[[#This Row],[Tech]]*$T$7+Table1[[#This Row],[Beta]]*($T$6-$T$8)+$T$8</f>
        <v>9.3640000000000001E-2</v>
      </c>
      <c r="J93" s="42">
        <v>27490998.949999999</v>
      </c>
      <c r="K93" s="56">
        <f>Table1[[#This Row],[Investment]]/Table1[[#This Row],[Dollar Volume]]</f>
        <v>9.4470786769759452E-3</v>
      </c>
      <c r="L93" s="34">
        <f>IFERROR(MAX($T$11+$T$12*LN(Table1[[#This Row],[Frac ADV]]),0),0)*0.0001+0.005/Table1[[#This Row],[Stock Price]]+Table1[[#This Row],[Expense Ratio]]</f>
        <v>1.4358892195794858E-2</v>
      </c>
      <c r="M93" s="24">
        <f>(Table1[[#This Row],[Expected Return]]-Table1[[#This Row],[Tcosts]])*Table1[[#This Row],[Investment]]</f>
        <v>2179516.8514002403</v>
      </c>
      <c r="Q93" s="16" t="s">
        <v>455</v>
      </c>
    </row>
    <row r="94" spans="1:17" ht="14.4" x14ac:dyDescent="0.3">
      <c r="A94" s="4" t="s">
        <v>456</v>
      </c>
      <c r="B94" s="14" t="s">
        <v>457</v>
      </c>
      <c r="C94" s="6">
        <v>67.73</v>
      </c>
      <c r="D94" s="6" t="s">
        <v>458</v>
      </c>
      <c r="E94" s="15">
        <v>5.0000000000000001E-3</v>
      </c>
      <c r="F94" s="6">
        <v>0.66</v>
      </c>
      <c r="G94" s="3">
        <f t="shared" si="4"/>
        <v>173490000</v>
      </c>
      <c r="H94" s="3" t="b">
        <f t="shared" si="5"/>
        <v>0</v>
      </c>
      <c r="I94" s="26">
        <f>Table1[[#This Row],[Tech]]*$T$7+Table1[[#This Row],[Beta]]*($T$6-$T$8)+$T$8</f>
        <v>7.8376000000000001E-2</v>
      </c>
      <c r="J94" s="42">
        <v>27339634.52</v>
      </c>
      <c r="K94" s="56">
        <f>Table1[[#This Row],[Investment]]/Table1[[#This Row],[Dollar Volume]]</f>
        <v>0.15758622698714622</v>
      </c>
      <c r="L94" s="34">
        <f>IFERROR(MAX($T$11+$T$12*LN(Table1[[#This Row],[Frac ADV]]),0),0)*0.0001+0.005/Table1[[#This Row],[Stock Price]]+Table1[[#This Row],[Expense Ratio]]</f>
        <v>2.7279347866958851E-2</v>
      </c>
      <c r="M94" s="24">
        <f>(Table1[[#This Row],[Expected Return]]-Table1[[#This Row],[Tcosts]])*Table1[[#This Row],[Investment]]</f>
        <v>1396963.7945129236</v>
      </c>
      <c r="Q94" s="13" t="s">
        <v>459</v>
      </c>
    </row>
    <row r="95" spans="1:17" ht="14.4" x14ac:dyDescent="0.3">
      <c r="A95" s="4" t="s">
        <v>460</v>
      </c>
      <c r="B95" s="14" t="s">
        <v>461</v>
      </c>
      <c r="C95" s="6">
        <v>228.98</v>
      </c>
      <c r="D95" s="6" t="s">
        <v>462</v>
      </c>
      <c r="E95" s="15">
        <v>5.0000000000000001E-4</v>
      </c>
      <c r="F95" s="6">
        <v>0.84</v>
      </c>
      <c r="G95" s="3">
        <f t="shared" si="4"/>
        <v>85390000</v>
      </c>
      <c r="H95" s="3" t="b">
        <f t="shared" si="5"/>
        <v>0</v>
      </c>
      <c r="I95" s="26">
        <f>Table1[[#This Row],[Tech]]*$T$7+Table1[[#This Row],[Beta]]*($T$6-$T$8)+$T$8</f>
        <v>8.9824000000000001E-2</v>
      </c>
      <c r="J95" s="42">
        <v>25748871.23</v>
      </c>
      <c r="K95" s="56">
        <f>Table1[[#This Row],[Investment]]/Table1[[#This Row],[Dollar Volume]]</f>
        <v>0.30154434043799039</v>
      </c>
      <c r="L95" s="34">
        <f>IFERROR(MAX($T$11+$T$12*LN(Table1[[#This Row],[Frac ADV]]),0),0)*0.0001+0.005/Table1[[#This Row],[Stock Price]]+Table1[[#This Row],[Expense Ratio]]</f>
        <v>2.5906023853801908E-2</v>
      </c>
      <c r="M95" s="24">
        <f>(Table1[[#This Row],[Expected Return]]-Table1[[#This Row],[Tcosts]])*Table1[[#This Row],[Investment]]</f>
        <v>1645815.7370706664</v>
      </c>
      <c r="Q95" s="16" t="s">
        <v>463</v>
      </c>
    </row>
    <row r="96" spans="1:17" ht="14.4" x14ac:dyDescent="0.3">
      <c r="A96" s="4" t="s">
        <v>464</v>
      </c>
      <c r="B96" s="14" t="s">
        <v>465</v>
      </c>
      <c r="C96" s="6">
        <v>97.2</v>
      </c>
      <c r="D96" s="6" t="s">
        <v>466</v>
      </c>
      <c r="E96" s="15">
        <v>6.9999999999999999E-4</v>
      </c>
      <c r="F96" s="6">
        <v>0.73</v>
      </c>
      <c r="G96" s="3">
        <f t="shared" si="4"/>
        <v>1530000000</v>
      </c>
      <c r="H96" s="3" t="b">
        <f t="shared" si="5"/>
        <v>0</v>
      </c>
      <c r="I96" s="26">
        <f>Table1[[#This Row],[Tech]]*$T$7+Table1[[#This Row],[Beta]]*($T$6-$T$8)+$T$8</f>
        <v>8.2828000000000013E-2</v>
      </c>
      <c r="J96" s="42">
        <v>25335630.649999999</v>
      </c>
      <c r="K96" s="56">
        <f>Table1[[#This Row],[Investment]]/Table1[[#This Row],[Dollar Volume]]</f>
        <v>1.6559235718954249E-2</v>
      </c>
      <c r="L96" s="34">
        <f>IFERROR(MAX($T$11+$T$12*LN(Table1[[#This Row],[Frac ADV]]),0),0)*0.0001+0.005/Table1[[#This Row],[Stock Price]]+Table1[[#This Row],[Expense Ratio]]</f>
        <v>1.1921167473007163E-2</v>
      </c>
      <c r="M96" s="24">
        <f>(Table1[[#This Row],[Expected Return]]-Table1[[#This Row],[Tcosts]])*Table1[[#This Row],[Investment]]</f>
        <v>1796469.319465297</v>
      </c>
      <c r="Q96" s="13" t="s">
        <v>467</v>
      </c>
    </row>
    <row r="97" spans="1:17" ht="14.4" x14ac:dyDescent="0.3">
      <c r="A97" s="2" t="s">
        <v>468</v>
      </c>
      <c r="B97" s="10" t="s">
        <v>469</v>
      </c>
      <c r="C97" s="11">
        <v>104.15</v>
      </c>
      <c r="D97" s="11" t="s">
        <v>470</v>
      </c>
      <c r="E97" s="12">
        <v>3.2000000000000002E-3</v>
      </c>
      <c r="F97" s="11">
        <v>0.73</v>
      </c>
      <c r="G97" s="3">
        <f t="shared" si="4"/>
        <v>334300000</v>
      </c>
      <c r="H97" s="3" t="b">
        <f t="shared" si="5"/>
        <v>0</v>
      </c>
      <c r="I97" s="26">
        <f>Table1[[#This Row],[Tech]]*$T$7+Table1[[#This Row],[Beta]]*($T$6-$T$8)+$T$8</f>
        <v>8.2828000000000013E-2</v>
      </c>
      <c r="J97" s="42">
        <v>25049880.329999998</v>
      </c>
      <c r="K97" s="56">
        <f>Table1[[#This Row],[Investment]]/Table1[[#This Row],[Dollar Volume]]</f>
        <v>7.4932337212084948E-2</v>
      </c>
      <c r="L97" s="34">
        <f>IFERROR(MAX($T$11+$T$12*LN(Table1[[#This Row],[Frac ADV]]),0),0)*0.0001+0.005/Table1[[#This Row],[Stock Price]]+Table1[[#This Row],[Expense Ratio]]</f>
        <v>2.1812269455871582E-2</v>
      </c>
      <c r="M97" s="24">
        <f>(Table1[[#This Row],[Expected Return]]-Table1[[#This Row],[Tcosts]])*Table1[[#This Row],[Investment]]</f>
        <v>1528436.7483779427</v>
      </c>
      <c r="Q97" s="16" t="s">
        <v>471</v>
      </c>
    </row>
    <row r="98" spans="1:17" ht="14.4" x14ac:dyDescent="0.3">
      <c r="A98" s="2" t="s">
        <v>472</v>
      </c>
      <c r="B98" s="10" t="s">
        <v>473</v>
      </c>
      <c r="C98" s="11">
        <v>93.37</v>
      </c>
      <c r="D98" s="11" t="s">
        <v>474</v>
      </c>
      <c r="E98" s="12">
        <v>4.8999999999999998E-3</v>
      </c>
      <c r="F98" s="11">
        <v>0.87</v>
      </c>
      <c r="G98" s="3">
        <f t="shared" ref="G98:G129" si="6">IF(RIGHT(Q98,1)="B", VALUE(SUBSTITUTE(Q98,"B",""))*1000000000,
 IF(RIGHT(Q98,1)="M", VALUE(SUBSTITUTE(Q98,"M",""))*1000000, VALUE(Q98)))</f>
        <v>929280000</v>
      </c>
      <c r="H98" s="3" t="b">
        <f t="shared" ref="H98:H129" si="7">OR(
  ISNUMBER(SEARCH("technology",B98)),
  ISNUMBER(SEARCH("tech",B98)),
  ISNUMBER(SEARCH("qqq",B98)),
  ISNUMBER(SEARCH("semiconductor",B98)),
  ISNUMBER(SEARCH("information technology",B98)),
  ISNUMBER(SEARCH("nasdaq",B98)),
  ISNUMBER(SEARCH("communication",B98))
)</f>
        <v>0</v>
      </c>
      <c r="I98" s="26">
        <f>Table1[[#This Row],[Tech]]*$T$7+Table1[[#This Row],[Beta]]*($T$6-$T$8)+$T$8</f>
        <v>9.1732000000000008E-2</v>
      </c>
      <c r="J98" s="42">
        <v>24902995.739999998</v>
      </c>
      <c r="K98" s="56">
        <f>Table1[[#This Row],[Investment]]/Table1[[#This Row],[Dollar Volume]]</f>
        <v>2.6798161738119834E-2</v>
      </c>
      <c r="L98" s="34">
        <f>IFERROR(MAX($T$11+$T$12*LN(Table1[[#This Row],[Frac ADV]]),0),0)*0.0001+0.005/Table1[[#This Row],[Stock Price]]+Table1[[#This Row],[Expense Ratio]]</f>
        <v>1.8481221283372068E-2</v>
      </c>
      <c r="M98" s="24">
        <f>(Table1[[#This Row],[Expected Return]]-Table1[[#This Row],[Tcosts]])*Table1[[#This Row],[Investment]]</f>
        <v>1824163.830331868</v>
      </c>
      <c r="Q98" s="13" t="s">
        <v>475</v>
      </c>
    </row>
    <row r="99" spans="1:17" ht="14.4" x14ac:dyDescent="0.3">
      <c r="A99" s="4" t="s">
        <v>476</v>
      </c>
      <c r="B99" s="14" t="s">
        <v>477</v>
      </c>
      <c r="C99" s="6">
        <v>45.29</v>
      </c>
      <c r="D99" s="6" t="s">
        <v>478</v>
      </c>
      <c r="E99" s="15">
        <v>3.3E-3</v>
      </c>
      <c r="F99" s="6">
        <v>0.88</v>
      </c>
      <c r="G99" s="3">
        <f t="shared" si="6"/>
        <v>106450000</v>
      </c>
      <c r="H99" s="3" t="b">
        <f t="shared" si="7"/>
        <v>0</v>
      </c>
      <c r="I99" s="26">
        <f>Table1[[#This Row],[Tech]]*$T$7+Table1[[#This Row],[Beta]]*($T$6-$T$8)+$T$8</f>
        <v>9.2368000000000006E-2</v>
      </c>
      <c r="J99" s="42">
        <v>24467209.129999999</v>
      </c>
      <c r="K99" s="56">
        <f>Table1[[#This Row],[Investment]]/Table1[[#This Row],[Dollar Volume]]</f>
        <v>0.22984696223579143</v>
      </c>
      <c r="L99" s="34">
        <f>IFERROR(MAX($T$11+$T$12*LN(Table1[[#This Row],[Frac ADV]]),0),0)*0.0001+0.005/Table1[[#This Row],[Stock Price]]+Table1[[#This Row],[Expense Ratio]]</f>
        <v>2.74647082292129E-2</v>
      </c>
      <c r="M99" s="24">
        <f>(Table1[[#This Row],[Expected Return]]-Table1[[#This Row],[Tcosts]])*Table1[[#This Row],[Investment]]</f>
        <v>1588002.4129812559</v>
      </c>
      <c r="Q99" s="16" t="s">
        <v>479</v>
      </c>
    </row>
    <row r="100" spans="1:17" ht="14.4" x14ac:dyDescent="0.3">
      <c r="A100" s="2" t="s">
        <v>480</v>
      </c>
      <c r="B100" s="10" t="s">
        <v>481</v>
      </c>
      <c r="C100" s="11">
        <v>154.59</v>
      </c>
      <c r="D100" s="11" t="s">
        <v>482</v>
      </c>
      <c r="E100" s="12">
        <v>4.0000000000000002E-4</v>
      </c>
      <c r="F100" s="11">
        <v>0.74</v>
      </c>
      <c r="G100" s="3">
        <f t="shared" si="6"/>
        <v>458210000</v>
      </c>
      <c r="H100" s="3" t="b">
        <f t="shared" si="7"/>
        <v>0</v>
      </c>
      <c r="I100" s="26">
        <f>Table1[[#This Row],[Tech]]*$T$7+Table1[[#This Row],[Beta]]*($T$6-$T$8)+$T$8</f>
        <v>8.346400000000001E-2</v>
      </c>
      <c r="J100" s="42">
        <v>22626162.489999998</v>
      </c>
      <c r="K100" s="56">
        <f>Table1[[#This Row],[Investment]]/Table1[[#This Row],[Dollar Volume]]</f>
        <v>4.9379460269308825E-2</v>
      </c>
      <c r="L100" s="34">
        <f>IFERROR(MAX($T$11+$T$12*LN(Table1[[#This Row],[Frac ADV]]),0),0)*0.0001+0.005/Table1[[#This Row],[Stock Price]]+Table1[[#This Row],[Expense Ratio]]</f>
        <v>1.6953803941344905E-2</v>
      </c>
      <c r="M100" s="24">
        <f>(Table1[[#This Row],[Expected Return]]-Table1[[#This Row],[Tcosts]])*Table1[[#This Row],[Investment]]</f>
        <v>1504870.5032648877</v>
      </c>
      <c r="Q100" s="13" t="s">
        <v>483</v>
      </c>
    </row>
    <row r="101" spans="1:17" ht="14.4" x14ac:dyDescent="0.3">
      <c r="A101" s="2" t="s">
        <v>484</v>
      </c>
      <c r="B101" s="10" t="s">
        <v>485</v>
      </c>
      <c r="C101" s="11">
        <v>26.4</v>
      </c>
      <c r="D101" s="11" t="s">
        <v>486</v>
      </c>
      <c r="E101" s="12">
        <v>2.9999999999999997E-4</v>
      </c>
      <c r="F101" s="11">
        <v>0.72</v>
      </c>
      <c r="G101" s="3">
        <f t="shared" si="6"/>
        <v>754920000</v>
      </c>
      <c r="H101" s="3" t="b">
        <f t="shared" si="7"/>
        <v>0</v>
      </c>
      <c r="I101" s="26">
        <f>Table1[[#This Row],[Tech]]*$T$7+Table1[[#This Row],[Beta]]*($T$6-$T$8)+$T$8</f>
        <v>8.2192000000000001E-2</v>
      </c>
      <c r="J101" s="42">
        <v>21664579.75</v>
      </c>
      <c r="K101" s="56">
        <f>Table1[[#This Row],[Investment]]/Table1[[#This Row],[Dollar Volume]]</f>
        <v>2.8697848447517618E-2</v>
      </c>
      <c r="L101" s="34">
        <f>IFERROR(MAX($T$11+$T$12*LN(Table1[[#This Row],[Frac ADV]]),0),0)*0.0001+0.005/Table1[[#This Row],[Stock Price]]+Table1[[#This Row],[Expense Ratio]]</f>
        <v>1.4352537347115384E-2</v>
      </c>
      <c r="M101" s="24">
        <f>(Table1[[#This Row],[Expected Return]]-Table1[[#This Row],[Tcosts]])*Table1[[#This Row],[Investment]]</f>
        <v>1469713.4488405655</v>
      </c>
      <c r="Q101" s="16" t="s">
        <v>487</v>
      </c>
    </row>
    <row r="102" spans="1:17" ht="14.4" x14ac:dyDescent="0.3">
      <c r="A102" s="2" t="s">
        <v>488</v>
      </c>
      <c r="B102" s="10" t="s">
        <v>489</v>
      </c>
      <c r="C102" s="11">
        <v>71.34</v>
      </c>
      <c r="D102" s="11" t="s">
        <v>490</v>
      </c>
      <c r="E102" s="12">
        <v>4.7999999999999996E-3</v>
      </c>
      <c r="F102" s="11">
        <v>0.92</v>
      </c>
      <c r="G102" s="3">
        <f t="shared" si="6"/>
        <v>127800000</v>
      </c>
      <c r="H102" s="3" t="b">
        <f t="shared" si="7"/>
        <v>0</v>
      </c>
      <c r="I102" s="26">
        <f>Table1[[#This Row],[Tech]]*$T$7+Table1[[#This Row],[Beta]]*($T$6-$T$8)+$T$8</f>
        <v>9.491200000000001E-2</v>
      </c>
      <c r="J102" s="42">
        <v>21252893.34</v>
      </c>
      <c r="K102" s="56">
        <f>Table1[[#This Row],[Investment]]/Table1[[#This Row],[Dollar Volume]]</f>
        <v>0.16629806995305163</v>
      </c>
      <c r="L102" s="34">
        <f>IFERROR(MAX($T$11+$T$12*LN(Table1[[#This Row],[Frac ADV]]),0),0)*0.0001+0.005/Table1[[#This Row],[Stock Price]]+Table1[[#This Row],[Expense Ratio]]</f>
        <v>2.7339179783413901E-2</v>
      </c>
      <c r="M102" s="24">
        <f>(Table1[[#This Row],[Expected Return]]-Table1[[#This Row],[Tcosts]])*Table1[[#This Row],[Investment]]</f>
        <v>1436117.9407461004</v>
      </c>
      <c r="Q102" s="13" t="s">
        <v>491</v>
      </c>
    </row>
    <row r="103" spans="1:17" ht="14.4" x14ac:dyDescent="0.3">
      <c r="A103" s="4" t="s">
        <v>492</v>
      </c>
      <c r="B103" s="14" t="s">
        <v>493</v>
      </c>
      <c r="C103" s="6">
        <v>197.17</v>
      </c>
      <c r="D103" s="6" t="s">
        <v>494</v>
      </c>
      <c r="E103" s="15">
        <v>2.3999999999999998E-3</v>
      </c>
      <c r="F103" s="6">
        <v>0.88</v>
      </c>
      <c r="G103" s="3">
        <f t="shared" si="6"/>
        <v>280020000</v>
      </c>
      <c r="H103" s="3" t="b">
        <f t="shared" si="7"/>
        <v>0</v>
      </c>
      <c r="I103" s="26">
        <f>Table1[[#This Row],[Tech]]*$T$7+Table1[[#This Row],[Beta]]*($T$6-$T$8)+$T$8</f>
        <v>9.2368000000000006E-2</v>
      </c>
      <c r="J103" s="42">
        <v>21198329.399999999</v>
      </c>
      <c r="K103" s="56">
        <f>Table1[[#This Row],[Investment]]/Table1[[#This Row],[Dollar Volume]]</f>
        <v>7.5702911934861797E-2</v>
      </c>
      <c r="L103" s="34">
        <f>IFERROR(MAX($T$11+$T$12*LN(Table1[[#This Row],[Frac ADV]]),0),0)*0.0001+0.005/Table1[[#This Row],[Stock Price]]+Table1[[#This Row],[Expense Ratio]]</f>
        <v>2.103973458745563E-2</v>
      </c>
      <c r="M103" s="24">
        <f>(Table1[[#This Row],[Expected Return]]-Table1[[#This Row],[Tcosts]])*Table1[[#This Row],[Investment]]</f>
        <v>1512040.0657457425</v>
      </c>
      <c r="Q103" s="16" t="s">
        <v>495</v>
      </c>
    </row>
    <row r="104" spans="1:17" ht="14.4" x14ac:dyDescent="0.3">
      <c r="A104" s="4" t="s">
        <v>496</v>
      </c>
      <c r="B104" s="14" t="s">
        <v>497</v>
      </c>
      <c r="C104" s="6">
        <v>56.91</v>
      </c>
      <c r="D104" s="6" t="s">
        <v>430</v>
      </c>
      <c r="E104" s="15">
        <v>2.5000000000000001E-3</v>
      </c>
      <c r="F104" s="6">
        <v>0.57999999999999996</v>
      </c>
      <c r="G104" s="3">
        <f t="shared" si="6"/>
        <v>125040000</v>
      </c>
      <c r="H104" s="3" t="b">
        <f t="shared" si="7"/>
        <v>0</v>
      </c>
      <c r="I104" s="26">
        <f>Table1[[#This Row],[Tech]]*$T$7+Table1[[#This Row],[Beta]]*($T$6-$T$8)+$T$8</f>
        <v>7.3287999999999992E-2</v>
      </c>
      <c r="J104" s="42">
        <v>20530753.030000001</v>
      </c>
      <c r="K104" s="56">
        <f>Table1[[#This Row],[Investment]]/Table1[[#This Row],[Dollar Volume]]</f>
        <v>0.16419348232565581</v>
      </c>
      <c r="L104" s="34">
        <f>IFERROR(MAX($T$11+$T$12*LN(Table1[[#This Row],[Frac ADV]]),0),0)*0.0001+0.005/Table1[[#This Row],[Stock Price]]+Table1[[#This Row],[Expense Ratio]]</f>
        <v>2.499456599096752E-2</v>
      </c>
      <c r="M104" s="24">
        <f>(Table1[[#This Row],[Expected Return]]-Table1[[#This Row],[Tcosts]])*Table1[[#This Row],[Investment]]</f>
        <v>991500.56661004853</v>
      </c>
      <c r="Q104" s="13" t="s">
        <v>498</v>
      </c>
    </row>
    <row r="105" spans="1:17" ht="14.4" x14ac:dyDescent="0.3">
      <c r="A105" s="4" t="s">
        <v>499</v>
      </c>
      <c r="B105" s="14" t="s">
        <v>500</v>
      </c>
      <c r="C105" s="6">
        <v>204.61</v>
      </c>
      <c r="D105" s="6" t="s">
        <v>501</v>
      </c>
      <c r="E105" s="15">
        <v>2.9999999999999997E-4</v>
      </c>
      <c r="F105" s="6">
        <v>0.69</v>
      </c>
      <c r="G105" s="3">
        <f t="shared" si="6"/>
        <v>224410000</v>
      </c>
      <c r="H105" s="3" t="b">
        <f t="shared" si="7"/>
        <v>0</v>
      </c>
      <c r="I105" s="26">
        <f>Table1[[#This Row],[Tech]]*$T$7+Table1[[#This Row],[Beta]]*($T$6-$T$8)+$T$8</f>
        <v>8.0283999999999994E-2</v>
      </c>
      <c r="J105" s="42">
        <v>19266946.48</v>
      </c>
      <c r="K105" s="56">
        <f>Table1[[#This Row],[Investment]]/Table1[[#This Row],[Dollar Volume]]</f>
        <v>8.5856006773316701E-2</v>
      </c>
      <c r="L105" s="34">
        <f>IFERROR(MAX($T$11+$T$12*LN(Table1[[#This Row],[Frac ADV]]),0),0)*0.0001+0.005/Table1[[#This Row],[Stock Price]]+Table1[[#This Row],[Expense Ratio]]</f>
        <v>1.955527579861158E-2</v>
      </c>
      <c r="M105" s="24">
        <f>(Table1[[#This Row],[Expected Return]]-Table1[[#This Row],[Tcosts]])*Table1[[#This Row],[Investment]]</f>
        <v>1170057.0789868315</v>
      </c>
      <c r="Q105" s="16" t="s">
        <v>502</v>
      </c>
    </row>
    <row r="106" spans="1:17" ht="14.4" x14ac:dyDescent="0.3">
      <c r="A106" s="4" t="s">
        <v>503</v>
      </c>
      <c r="B106" s="14" t="s">
        <v>504</v>
      </c>
      <c r="C106" s="6">
        <v>97.52</v>
      </c>
      <c r="D106" s="6" t="s">
        <v>505</v>
      </c>
      <c r="E106" s="15">
        <v>5.9999999999999995E-4</v>
      </c>
      <c r="F106" s="6">
        <v>0.76</v>
      </c>
      <c r="G106" s="3">
        <f t="shared" si="6"/>
        <v>153360000</v>
      </c>
      <c r="H106" s="3" t="b">
        <f t="shared" si="7"/>
        <v>0</v>
      </c>
      <c r="I106" s="26">
        <f>Table1[[#This Row],[Tech]]*$T$7+Table1[[#This Row],[Beta]]*($T$6-$T$8)+$T$8</f>
        <v>8.4736000000000006E-2</v>
      </c>
      <c r="J106" s="42">
        <v>19181057.420000002</v>
      </c>
      <c r="K106" s="56">
        <f>Table1[[#This Row],[Investment]]/Table1[[#This Row],[Dollar Volume]]</f>
        <v>0.12507210106937924</v>
      </c>
      <c r="L106" s="34">
        <f>IFERROR(MAX($T$11+$T$12*LN(Table1[[#This Row],[Frac ADV]]),0),0)*0.0001+0.005/Table1[[#This Row],[Stock Price]]+Table1[[#This Row],[Expense Ratio]]</f>
        <v>2.1724907758020984E-2</v>
      </c>
      <c r="M106" s="24">
        <f>(Table1[[#This Row],[Expected Return]]-Table1[[#This Row],[Tcosts]])*Table1[[#This Row],[Investment]]</f>
        <v>1208619.3783903164</v>
      </c>
      <c r="Q106" s="13" t="s">
        <v>506</v>
      </c>
    </row>
    <row r="107" spans="1:17" ht="14.4" x14ac:dyDescent="0.3">
      <c r="A107" s="2" t="s">
        <v>507</v>
      </c>
      <c r="B107" s="10" t="s">
        <v>508</v>
      </c>
      <c r="C107" s="11">
        <v>222.21</v>
      </c>
      <c r="D107" s="11" t="s">
        <v>509</v>
      </c>
      <c r="E107" s="12">
        <v>1.8E-3</v>
      </c>
      <c r="F107" s="11">
        <v>0.75</v>
      </c>
      <c r="G107" s="3">
        <f t="shared" si="6"/>
        <v>511880000</v>
      </c>
      <c r="H107" s="3" t="b">
        <f t="shared" si="7"/>
        <v>0</v>
      </c>
      <c r="I107" s="26">
        <f>Table1[[#This Row],[Tech]]*$T$7+Table1[[#This Row],[Beta]]*($T$6-$T$8)+$T$8</f>
        <v>8.4100000000000008E-2</v>
      </c>
      <c r="J107" s="42">
        <v>19163185.239999998</v>
      </c>
      <c r="K107" s="56">
        <f>Table1[[#This Row],[Investment]]/Table1[[#This Row],[Dollar Volume]]</f>
        <v>3.7436870438383993E-2</v>
      </c>
      <c r="L107" s="34">
        <f>IFERROR(MAX($T$11+$T$12*LN(Table1[[#This Row],[Frac ADV]]),0),0)*0.0001+0.005/Table1[[#This Row],[Stock Price]]+Table1[[#This Row],[Expense Ratio]]</f>
        <v>1.6987753771740811E-2</v>
      </c>
      <c r="M107" s="24">
        <f>(Table1[[#This Row],[Expected Return]]-Table1[[#This Row],[Tcosts]])*Table1[[#This Row],[Investment]]</f>
        <v>1286084.4063446224</v>
      </c>
      <c r="Q107" s="16" t="s">
        <v>510</v>
      </c>
    </row>
    <row r="108" spans="1:17" ht="14.4" x14ac:dyDescent="0.3">
      <c r="A108" s="4" t="s">
        <v>511</v>
      </c>
      <c r="B108" s="14" t="s">
        <v>512</v>
      </c>
      <c r="C108" s="6">
        <v>80.260000000000005</v>
      </c>
      <c r="D108" s="6" t="s">
        <v>513</v>
      </c>
      <c r="E108" s="15">
        <v>4.0000000000000002E-4</v>
      </c>
      <c r="F108" s="6">
        <v>0.69</v>
      </c>
      <c r="G108" s="3">
        <f t="shared" si="6"/>
        <v>98130000</v>
      </c>
      <c r="H108" s="3" t="b">
        <f t="shared" si="7"/>
        <v>0</v>
      </c>
      <c r="I108" s="26">
        <f>Table1[[#This Row],[Tech]]*$T$7+Table1[[#This Row],[Beta]]*($T$6-$T$8)+$T$8</f>
        <v>8.0283999999999994E-2</v>
      </c>
      <c r="J108" s="42">
        <v>17794112.879999999</v>
      </c>
      <c r="K108" s="56">
        <f>Table1[[#This Row],[Investment]]/Table1[[#This Row],[Dollar Volume]]</f>
        <v>0.18133203790889635</v>
      </c>
      <c r="L108" s="34">
        <f>IFERROR(MAX($T$11+$T$12*LN(Table1[[#This Row],[Frac ADV]]),0),0)*0.0001+0.005/Table1[[#This Row],[Stock Price]]+Table1[[#This Row],[Expense Ratio]]</f>
        <v>2.3355320472407459E-2</v>
      </c>
      <c r="M108" s="24">
        <f>(Table1[[#This Row],[Expected Return]]-Table1[[#This Row],[Tcosts]])*Table1[[#This Row],[Investment]]</f>
        <v>1012995.3496233266</v>
      </c>
      <c r="Q108" s="13" t="s">
        <v>514</v>
      </c>
    </row>
    <row r="109" spans="1:17" ht="14.4" x14ac:dyDescent="0.3">
      <c r="A109" s="4" t="s">
        <v>515</v>
      </c>
      <c r="B109" s="14" t="s">
        <v>516</v>
      </c>
      <c r="C109" s="6">
        <v>28.79</v>
      </c>
      <c r="D109" s="6" t="s">
        <v>517</v>
      </c>
      <c r="E109" s="15">
        <v>2.5000000000000001E-3</v>
      </c>
      <c r="F109" s="6">
        <v>0.82</v>
      </c>
      <c r="G109" s="3">
        <f t="shared" si="6"/>
        <v>1900000000</v>
      </c>
      <c r="H109" s="3" t="b">
        <f t="shared" si="7"/>
        <v>0</v>
      </c>
      <c r="I109" s="26">
        <f>Table1[[#This Row],[Tech]]*$T$7+Table1[[#This Row],[Beta]]*($T$6-$T$8)+$T$8</f>
        <v>8.8551999999999992E-2</v>
      </c>
      <c r="J109" s="42">
        <v>17499893.469999999</v>
      </c>
      <c r="K109" s="56">
        <f>Table1[[#This Row],[Investment]]/Table1[[#This Row],[Dollar Volume]]</f>
        <v>9.210470247368421E-3</v>
      </c>
      <c r="L109" s="34">
        <f>IFERROR(MAX($T$11+$T$12*LN(Table1[[#This Row],[Frac ADV]]),0),0)*0.0001+0.005/Table1[[#This Row],[Stock Price]]+Table1[[#This Row],[Expense Ratio]]</f>
        <v>1.097009603108122E-2</v>
      </c>
      <c r="M109" s="24">
        <f>(Table1[[#This Row],[Expected Return]]-Table1[[#This Row],[Tcosts]])*Table1[[#This Row],[Investment]]</f>
        <v>1357675.0546558485</v>
      </c>
      <c r="Q109" s="16" t="s">
        <v>518</v>
      </c>
    </row>
    <row r="110" spans="1:17" ht="14.4" x14ac:dyDescent="0.3">
      <c r="A110" s="2" t="s">
        <v>519</v>
      </c>
      <c r="B110" s="10" t="s">
        <v>520</v>
      </c>
      <c r="C110" s="11">
        <v>76.209999999999994</v>
      </c>
      <c r="D110" s="11" t="s">
        <v>521</v>
      </c>
      <c r="E110" s="12">
        <v>1.9E-3</v>
      </c>
      <c r="F110" s="11">
        <v>0.83</v>
      </c>
      <c r="G110" s="3">
        <f t="shared" si="6"/>
        <v>126450000</v>
      </c>
      <c r="H110" s="3" t="b">
        <f t="shared" si="7"/>
        <v>0</v>
      </c>
      <c r="I110" s="26">
        <f>Table1[[#This Row],[Tech]]*$T$7+Table1[[#This Row],[Beta]]*($T$6-$T$8)+$T$8</f>
        <v>8.9188000000000003E-2</v>
      </c>
      <c r="J110" s="42">
        <v>17190331.43</v>
      </c>
      <c r="K110" s="56">
        <f>Table1[[#This Row],[Investment]]/Table1[[#This Row],[Dollar Volume]]</f>
        <v>0.13594568153420325</v>
      </c>
      <c r="L110" s="34">
        <f>IFERROR(MAX($T$11+$T$12*LN(Table1[[#This Row],[Frac ADV]]),0),0)*0.0001+0.005/Table1[[#This Row],[Stock Price]]+Table1[[#This Row],[Expense Ratio]]</f>
        <v>2.3447583447762054E-2</v>
      </c>
      <c r="M110" s="24">
        <f>(Table1[[#This Row],[Expected Return]]-Table1[[#This Row],[Tcosts]])*Table1[[#This Row],[Investment]]</f>
        <v>1130099.5488792281</v>
      </c>
      <c r="Q110" s="13" t="s">
        <v>522</v>
      </c>
    </row>
    <row r="111" spans="1:17" ht="14.4" x14ac:dyDescent="0.3">
      <c r="A111" s="4" t="s">
        <v>523</v>
      </c>
      <c r="B111" s="14" t="s">
        <v>524</v>
      </c>
      <c r="C111" s="6">
        <v>58.66</v>
      </c>
      <c r="D111" s="6" t="s">
        <v>525</v>
      </c>
      <c r="E111" s="15">
        <v>4.0000000000000002E-4</v>
      </c>
      <c r="F111" s="6">
        <v>0.77</v>
      </c>
      <c r="G111" s="3">
        <f t="shared" si="6"/>
        <v>140740000</v>
      </c>
      <c r="H111" s="3" t="b">
        <f t="shared" si="7"/>
        <v>0</v>
      </c>
      <c r="I111" s="26">
        <f>Table1[[#This Row],[Tech]]*$T$7+Table1[[#This Row],[Beta]]*($T$6-$T$8)+$T$8</f>
        <v>8.5372000000000003E-2</v>
      </c>
      <c r="J111" s="42">
        <v>16747266.91</v>
      </c>
      <c r="K111" s="56">
        <f>Table1[[#This Row],[Investment]]/Table1[[#This Row],[Dollar Volume]]</f>
        <v>0.11899436485718345</v>
      </c>
      <c r="L111" s="34">
        <f>IFERROR(MAX($T$11+$T$12*LN(Table1[[#This Row],[Frac ADV]]),0),0)*0.0001+0.005/Table1[[#This Row],[Stock Price]]+Table1[[#This Row],[Expense Ratio]]</f>
        <v>2.1314872785480273E-2</v>
      </c>
      <c r="M111" s="24">
        <f>(Table1[[#This Row],[Expected Return]]-Table1[[#This Row],[Tcosts]])*Table1[[#This Row],[Investment]]</f>
        <v>1072781.8069493866</v>
      </c>
      <c r="Q111" s="16" t="s">
        <v>526</v>
      </c>
    </row>
    <row r="112" spans="1:17" ht="14.4" x14ac:dyDescent="0.3">
      <c r="A112" s="2" t="s">
        <v>527</v>
      </c>
      <c r="B112" s="10" t="s">
        <v>528</v>
      </c>
      <c r="C112" s="11">
        <v>150.43</v>
      </c>
      <c r="D112" s="11" t="s">
        <v>529</v>
      </c>
      <c r="E112" s="12">
        <v>2.3E-3</v>
      </c>
      <c r="F112" s="11">
        <v>0.77</v>
      </c>
      <c r="G112" s="3">
        <f t="shared" si="6"/>
        <v>3310000000</v>
      </c>
      <c r="H112" s="3" t="b">
        <f t="shared" si="7"/>
        <v>0</v>
      </c>
      <c r="I112" s="26">
        <f>Table1[[#This Row],[Tech]]*$T$7+Table1[[#This Row],[Beta]]*($T$6-$T$8)+$T$8</f>
        <v>8.5372000000000003E-2</v>
      </c>
      <c r="J112" s="42">
        <v>16485711.189999999</v>
      </c>
      <c r="K112" s="56">
        <f>Table1[[#This Row],[Investment]]/Table1[[#This Row],[Dollar Volume]]</f>
        <v>4.9805773987915405E-3</v>
      </c>
      <c r="L112" s="34">
        <f>IFERROR(MAX($T$11+$T$12*LN(Table1[[#This Row],[Frac ADV]]),0),0)*0.0001+0.005/Table1[[#This Row],[Stock Price]]+Table1[[#This Row],[Expense Ratio]]</f>
        <v>7.6182699734439457E-3</v>
      </c>
      <c r="M112" s="24">
        <f>(Table1[[#This Row],[Expected Return]]-Table1[[#This Row],[Tcosts]])*Table1[[#This Row],[Investment]]</f>
        <v>1281825.5371630341</v>
      </c>
      <c r="Q112" s="13" t="s">
        <v>530</v>
      </c>
    </row>
    <row r="113" spans="1:17" ht="14.4" x14ac:dyDescent="0.3">
      <c r="A113" s="4" t="s">
        <v>531</v>
      </c>
      <c r="B113" s="14" t="s">
        <v>532</v>
      </c>
      <c r="C113" s="6">
        <v>36.07</v>
      </c>
      <c r="D113" s="6" t="s">
        <v>533</v>
      </c>
      <c r="E113" s="15">
        <v>2.8999999999999998E-3</v>
      </c>
      <c r="F113" s="6">
        <v>0.66</v>
      </c>
      <c r="G113" s="3">
        <f t="shared" si="6"/>
        <v>2060000000</v>
      </c>
      <c r="H113" s="3" t="b">
        <f t="shared" si="7"/>
        <v>0</v>
      </c>
      <c r="I113" s="26">
        <f>Table1[[#This Row],[Tech]]*$T$7+Table1[[#This Row],[Beta]]*($T$6-$T$8)+$T$8</f>
        <v>7.8376000000000001E-2</v>
      </c>
      <c r="J113" s="42">
        <v>16237077.77</v>
      </c>
      <c r="K113" s="56">
        <f>Table1[[#This Row],[Investment]]/Table1[[#This Row],[Dollar Volume]]</f>
        <v>7.8820765873786405E-3</v>
      </c>
      <c r="L113" s="34">
        <f>IFERROR(MAX($T$11+$T$12*LN(Table1[[#This Row],[Frac ADV]]),0),0)*0.0001+0.005/Table1[[#This Row],[Stock Price]]+Table1[[#This Row],[Expense Ratio]]</f>
        <v>1.0572150839135801E-2</v>
      </c>
      <c r="M113" s="24">
        <f>(Table1[[#This Row],[Expected Return]]-Table1[[#This Row],[Tcosts]])*Table1[[#This Row],[Investment]]</f>
        <v>1100936.3719303012</v>
      </c>
      <c r="Q113" s="16" t="s">
        <v>534</v>
      </c>
    </row>
    <row r="114" spans="1:17" ht="14.4" x14ac:dyDescent="0.3">
      <c r="A114" s="4" t="s">
        <v>535</v>
      </c>
      <c r="B114" s="14" t="s">
        <v>536</v>
      </c>
      <c r="C114" s="6">
        <v>35.200000000000003</v>
      </c>
      <c r="D114" s="6" t="s">
        <v>537</v>
      </c>
      <c r="E114" s="15">
        <v>6.9999999999999999E-4</v>
      </c>
      <c r="F114" s="6">
        <v>0.67</v>
      </c>
      <c r="G114" s="3">
        <f t="shared" si="6"/>
        <v>70210000</v>
      </c>
      <c r="H114" s="3" t="b">
        <f t="shared" si="7"/>
        <v>0</v>
      </c>
      <c r="I114" s="26">
        <f>Table1[[#This Row],[Tech]]*$T$7+Table1[[#This Row],[Beta]]*($T$6-$T$8)+$T$8</f>
        <v>7.9011999999999999E-2</v>
      </c>
      <c r="J114" s="42">
        <v>16146416.42</v>
      </c>
      <c r="K114" s="56">
        <f>Table1[[#This Row],[Investment]]/Table1[[#This Row],[Dollar Volume]]</f>
        <v>0.22997317219769264</v>
      </c>
      <c r="L114" s="34">
        <f>IFERROR(MAX($T$11+$T$12*LN(Table1[[#This Row],[Frac ADV]]),0),0)*0.0001+0.005/Table1[[#This Row],[Stock Price]]+Table1[[#This Row],[Expense Ratio]]</f>
        <v>2.4899042924757083E-2</v>
      </c>
      <c r="M114" s="24">
        <f>(Table1[[#This Row],[Expected Return]]-Table1[[#This Row],[Tcosts]])*Table1[[#This Row],[Investment]]</f>
        <v>873730.33865445736</v>
      </c>
      <c r="Q114" s="13" t="s">
        <v>538</v>
      </c>
    </row>
    <row r="115" spans="1:17" ht="14.4" x14ac:dyDescent="0.3">
      <c r="A115" s="4" t="s">
        <v>539</v>
      </c>
      <c r="B115" s="14" t="s">
        <v>540</v>
      </c>
      <c r="C115" s="6">
        <v>68.5</v>
      </c>
      <c r="D115" s="6" t="s">
        <v>541</v>
      </c>
      <c r="E115" s="15">
        <v>2.9999999999999997E-4</v>
      </c>
      <c r="F115" s="6">
        <v>0.71</v>
      </c>
      <c r="G115" s="3">
        <f t="shared" si="6"/>
        <v>86740000</v>
      </c>
      <c r="H115" s="3" t="b">
        <f t="shared" si="7"/>
        <v>0</v>
      </c>
      <c r="I115" s="26">
        <f>Table1[[#This Row],[Tech]]*$T$7+Table1[[#This Row],[Beta]]*($T$6-$T$8)+$T$8</f>
        <v>8.1556000000000003E-2</v>
      </c>
      <c r="J115" s="42">
        <v>14822368.689999999</v>
      </c>
      <c r="K115" s="56">
        <f>Table1[[#This Row],[Investment]]/Table1[[#This Row],[Dollar Volume]]</f>
        <v>0.17088273795250172</v>
      </c>
      <c r="L115" s="34">
        <f>IFERROR(MAX($T$11+$T$12*LN(Table1[[#This Row],[Frac ADV]]),0),0)*0.0001+0.005/Table1[[#This Row],[Stock Price]]+Table1[[#This Row],[Expense Ratio]]</f>
        <v>2.2975296186107816E-2</v>
      </c>
      <c r="M115" s="24">
        <f>(Table1[[#This Row],[Expected Return]]-Table1[[#This Row],[Tcosts]])*Table1[[#This Row],[Investment]]</f>
        <v>868304.79004919913</v>
      </c>
      <c r="Q115" s="16" t="s">
        <v>542</v>
      </c>
    </row>
    <row r="116" spans="1:17" ht="14.4" x14ac:dyDescent="0.3">
      <c r="A116" s="4" t="s">
        <v>543</v>
      </c>
      <c r="B116" s="14" t="s">
        <v>544</v>
      </c>
      <c r="C116" s="6">
        <v>89.17</v>
      </c>
      <c r="D116" s="6" t="s">
        <v>545</v>
      </c>
      <c r="E116" s="15">
        <v>4.0000000000000002E-4</v>
      </c>
      <c r="F116" s="6">
        <v>0.71</v>
      </c>
      <c r="G116" s="3">
        <f t="shared" si="6"/>
        <v>45870000</v>
      </c>
      <c r="H116" s="3" t="b">
        <f t="shared" si="7"/>
        <v>0</v>
      </c>
      <c r="I116" s="26">
        <f>Table1[[#This Row],[Tech]]*$T$7+Table1[[#This Row],[Beta]]*($T$6-$T$8)+$T$8</f>
        <v>8.1556000000000003E-2</v>
      </c>
      <c r="J116" s="42">
        <v>14784308.369999999</v>
      </c>
      <c r="K116" s="56">
        <f>Table1[[#This Row],[Investment]]/Table1[[#This Row],[Dollar Volume]]</f>
        <v>0.3223088809679529</v>
      </c>
      <c r="L116" s="34">
        <f>IFERROR(MAX($T$11+$T$12*LN(Table1[[#This Row],[Frac ADV]]),0),0)*0.0001+0.005/Table1[[#This Row],[Stock Price]]+Table1[[#This Row],[Expense Ratio]]</f>
        <v>2.6166448092602931E-2</v>
      </c>
      <c r="M116" s="24">
        <f>(Table1[[#This Row],[Expected Return]]-Table1[[#This Row],[Tcosts]])*Table1[[#This Row],[Investment]]</f>
        <v>818896.21587507986</v>
      </c>
      <c r="Q116" s="13" t="s">
        <v>546</v>
      </c>
    </row>
    <row r="117" spans="1:17" ht="14.4" x14ac:dyDescent="0.3">
      <c r="A117" s="4" t="s">
        <v>547</v>
      </c>
      <c r="B117" s="14" t="s">
        <v>548</v>
      </c>
      <c r="C117" s="6">
        <v>74.650000000000006</v>
      </c>
      <c r="D117" s="6" t="s">
        <v>549</v>
      </c>
      <c r="E117" s="15">
        <v>8.9999999999999998E-4</v>
      </c>
      <c r="F117" s="6">
        <v>0.7</v>
      </c>
      <c r="G117" s="3">
        <f t="shared" si="6"/>
        <v>264190000</v>
      </c>
      <c r="H117" s="3" t="b">
        <f t="shared" si="7"/>
        <v>0</v>
      </c>
      <c r="I117" s="26">
        <f>Table1[[#This Row],[Tech]]*$T$7+Table1[[#This Row],[Beta]]*($T$6-$T$8)+$T$8</f>
        <v>8.0919999999999992E-2</v>
      </c>
      <c r="J117" s="42">
        <v>14755590.42</v>
      </c>
      <c r="K117" s="56">
        <f>Table1[[#This Row],[Investment]]/Table1[[#This Row],[Dollar Volume]]</f>
        <v>5.5852191301714676E-2</v>
      </c>
      <c r="L117" s="34">
        <f>IFERROR(MAX($T$11+$T$12*LN(Table1[[#This Row],[Frac ADV]]),0),0)*0.0001+0.005/Table1[[#This Row],[Stock Price]]+Table1[[#This Row],[Expense Ratio]]</f>
        <v>1.8091772146080723E-2</v>
      </c>
      <c r="M117" s="24">
        <f>(Table1[[#This Row],[Expected Return]]-Table1[[#This Row],[Tcosts]])*Table1[[#This Row],[Investment]]</f>
        <v>927067.59702686837</v>
      </c>
      <c r="Q117" s="16" t="s">
        <v>550</v>
      </c>
    </row>
    <row r="118" spans="1:17" ht="14.4" x14ac:dyDescent="0.3">
      <c r="A118" s="2" t="s">
        <v>551</v>
      </c>
      <c r="B118" s="10" t="s">
        <v>552</v>
      </c>
      <c r="C118" s="11">
        <v>92.51</v>
      </c>
      <c r="D118" s="11" t="s">
        <v>553</v>
      </c>
      <c r="E118" s="12">
        <v>2.8E-3</v>
      </c>
      <c r="F118" s="11">
        <v>0.77</v>
      </c>
      <c r="G118" s="3">
        <f t="shared" si="6"/>
        <v>62990000</v>
      </c>
      <c r="H118" s="3" t="b">
        <f t="shared" si="7"/>
        <v>0</v>
      </c>
      <c r="I118" s="26">
        <f>Table1[[#This Row],[Tech]]*$T$7+Table1[[#This Row],[Beta]]*($T$6-$T$8)+$T$8</f>
        <v>8.5372000000000003E-2</v>
      </c>
      <c r="J118" s="42">
        <v>14645058.6</v>
      </c>
      <c r="K118" s="56">
        <f>Table1[[#This Row],[Investment]]/Table1[[#This Row],[Dollar Volume]]</f>
        <v>0.23249815208763294</v>
      </c>
      <c r="L118" s="34">
        <f>IFERROR(MAX($T$11+$T$12*LN(Table1[[#This Row],[Frac ADV]]),0),0)*0.0001+0.005/Table1[[#This Row],[Stock Price]]+Table1[[#This Row],[Expense Ratio]]</f>
        <v>2.6964532212617943E-2</v>
      </c>
      <c r="M118" s="24">
        <f>(Table1[[#This Row],[Expected Return]]-Table1[[#This Row],[Tcosts]])*Table1[[#This Row],[Investment]]</f>
        <v>855380.78842382261</v>
      </c>
      <c r="Q118" s="13" t="s">
        <v>554</v>
      </c>
    </row>
    <row r="119" spans="1:17" ht="14.4" x14ac:dyDescent="0.3">
      <c r="A119" s="4" t="s">
        <v>555</v>
      </c>
      <c r="B119" s="14" t="s">
        <v>556</v>
      </c>
      <c r="C119" s="6">
        <v>48.65</v>
      </c>
      <c r="D119" s="6" t="s">
        <v>557</v>
      </c>
      <c r="E119" s="15">
        <v>2.9999999999999997E-4</v>
      </c>
      <c r="F119" s="6">
        <v>0.69</v>
      </c>
      <c r="G119" s="3">
        <f t="shared" si="6"/>
        <v>103250000</v>
      </c>
      <c r="H119" s="3" t="b">
        <f t="shared" si="7"/>
        <v>0</v>
      </c>
      <c r="I119" s="26">
        <f>Table1[[#This Row],[Tech]]*$T$7+Table1[[#This Row],[Beta]]*($T$6-$T$8)+$T$8</f>
        <v>8.0283999999999994E-2</v>
      </c>
      <c r="J119" s="42">
        <v>14635761.92</v>
      </c>
      <c r="K119" s="56">
        <f>Table1[[#This Row],[Investment]]/Table1[[#This Row],[Dollar Volume]]</f>
        <v>0.1417507207748184</v>
      </c>
      <c r="L119" s="34">
        <f>IFERROR(MAX($T$11+$T$12*LN(Table1[[#This Row],[Frac ADV]]),0),0)*0.0001+0.005/Table1[[#This Row],[Stock Price]]+Table1[[#This Row],[Expense Ratio]]</f>
        <v>2.2089566797781488E-2</v>
      </c>
      <c r="M119" s="24">
        <f>(Table1[[#This Row],[Expected Return]]-Table1[[#This Row],[Tcosts]])*Table1[[#This Row],[Investment]]</f>
        <v>851719.86941701337</v>
      </c>
      <c r="Q119" s="16" t="s">
        <v>558</v>
      </c>
    </row>
    <row r="120" spans="1:17" ht="14.4" x14ac:dyDescent="0.3">
      <c r="A120" s="4" t="s">
        <v>559</v>
      </c>
      <c r="B120" s="14" t="s">
        <v>560</v>
      </c>
      <c r="C120" s="6">
        <v>57.76</v>
      </c>
      <c r="D120" s="6" t="s">
        <v>561</v>
      </c>
      <c r="E120" s="15">
        <v>5.9999999999999995E-4</v>
      </c>
      <c r="F120" s="6">
        <v>0.66</v>
      </c>
      <c r="G120" s="3">
        <f t="shared" si="6"/>
        <v>125690000</v>
      </c>
      <c r="H120" s="3" t="b">
        <f t="shared" si="7"/>
        <v>0</v>
      </c>
      <c r="I120" s="26">
        <f>Table1[[#This Row],[Tech]]*$T$7+Table1[[#This Row],[Beta]]*($T$6-$T$8)+$T$8</f>
        <v>7.8376000000000001E-2</v>
      </c>
      <c r="J120" s="42">
        <v>14519140.300000001</v>
      </c>
      <c r="K120" s="56">
        <f>Table1[[#This Row],[Investment]]/Table1[[#This Row],[Dollar Volume]]</f>
        <v>0.11551547696714139</v>
      </c>
      <c r="L120" s="34">
        <f>IFERROR(MAX($T$11+$T$12*LN(Table1[[#This Row],[Frac ADV]]),0),0)*0.0001+0.005/Table1[[#This Row],[Stock Price]]+Table1[[#This Row],[Expense Ratio]]</f>
        <v>2.1370863242707927E-2</v>
      </c>
      <c r="M120" s="24">
        <f>(Table1[[#This Row],[Expected Return]]-Table1[[#This Row],[Tcosts]])*Table1[[#This Row],[Investment]]</f>
        <v>827665.57839981071</v>
      </c>
      <c r="Q120" s="13" t="s">
        <v>562</v>
      </c>
    </row>
    <row r="121" spans="1:17" ht="14.4" x14ac:dyDescent="0.3">
      <c r="A121" s="2" t="s">
        <v>563</v>
      </c>
      <c r="B121" s="10" t="s">
        <v>564</v>
      </c>
      <c r="C121" s="11">
        <v>156</v>
      </c>
      <c r="D121" s="11" t="s">
        <v>565</v>
      </c>
      <c r="E121" s="12">
        <v>8.0000000000000004E-4</v>
      </c>
      <c r="F121" s="11">
        <v>0.47</v>
      </c>
      <c r="G121" s="3">
        <f t="shared" si="6"/>
        <v>327520000</v>
      </c>
      <c r="H121" s="3" t="b">
        <f t="shared" si="7"/>
        <v>0</v>
      </c>
      <c r="I121" s="26">
        <f>Table1[[#This Row],[Tech]]*$T$7+Table1[[#This Row],[Beta]]*($T$6-$T$8)+$T$8</f>
        <v>6.6292000000000004E-2</v>
      </c>
      <c r="J121" s="42">
        <v>14034509.48</v>
      </c>
      <c r="K121" s="56">
        <f>Table1[[#This Row],[Investment]]/Table1[[#This Row],[Dollar Volume]]</f>
        <v>4.2850847215437228E-2</v>
      </c>
      <c r="L121" s="34">
        <f>IFERROR(MAX($T$11+$T$12*LN(Table1[[#This Row],[Frac ADV]]),0),0)*0.0001+0.005/Table1[[#This Row],[Stock Price]]+Table1[[#This Row],[Expense Ratio]]</f>
        <v>1.6658901296229465E-2</v>
      </c>
      <c r="M121" s="24">
        <f>(Table1[[#This Row],[Expected Return]]-Table1[[#This Row],[Tcosts]])*Table1[[#This Row],[Investment]]</f>
        <v>696576.19427984336</v>
      </c>
      <c r="Q121" s="16" t="s">
        <v>566</v>
      </c>
    </row>
    <row r="122" spans="1:17" ht="14.4" x14ac:dyDescent="0.3">
      <c r="A122" s="4" t="s">
        <v>567</v>
      </c>
      <c r="B122" s="14" t="s">
        <v>568</v>
      </c>
      <c r="C122" s="6">
        <v>41.46</v>
      </c>
      <c r="D122" s="6" t="s">
        <v>569</v>
      </c>
      <c r="E122" s="15">
        <v>1.8E-3</v>
      </c>
      <c r="F122" s="6">
        <v>0.68</v>
      </c>
      <c r="G122" s="3">
        <f t="shared" si="6"/>
        <v>253220000</v>
      </c>
      <c r="H122" s="3" t="b">
        <f t="shared" si="7"/>
        <v>0</v>
      </c>
      <c r="I122" s="26">
        <f>Table1[[#This Row],[Tech]]*$T$7+Table1[[#This Row],[Beta]]*($T$6-$T$8)+$T$8</f>
        <v>7.964800000000001E-2</v>
      </c>
      <c r="J122" s="42">
        <v>13485014.119999999</v>
      </c>
      <c r="K122" s="56">
        <f>Table1[[#This Row],[Investment]]/Table1[[#This Row],[Dollar Volume]]</f>
        <v>5.3254143116657451E-2</v>
      </c>
      <c r="L122" s="34">
        <f>IFERROR(MAX($T$11+$T$12*LN(Table1[[#This Row],[Frac ADV]]),0),0)*0.0001+0.005/Table1[[#This Row],[Stock Price]]+Table1[[#This Row],[Expense Ratio]]</f>
        <v>1.8812074097039999E-2</v>
      </c>
      <c r="M122" s="24">
        <f>(Table1[[#This Row],[Expected Return]]-Table1[[#This Row],[Tcosts]])*Table1[[#This Row],[Investment]]</f>
        <v>820373.3198046895</v>
      </c>
      <c r="Q122" s="13" t="s">
        <v>570</v>
      </c>
    </row>
    <row r="123" spans="1:17" ht="14.4" x14ac:dyDescent="0.3">
      <c r="A123" s="4" t="s">
        <v>571</v>
      </c>
      <c r="B123" s="14" t="s">
        <v>572</v>
      </c>
      <c r="C123" s="6">
        <v>49.94</v>
      </c>
      <c r="D123" s="6" t="s">
        <v>573</v>
      </c>
      <c r="E123" s="15">
        <v>2.0999999999999999E-3</v>
      </c>
      <c r="F123" s="6">
        <v>0.82</v>
      </c>
      <c r="G123" s="3">
        <f t="shared" si="6"/>
        <v>135250000</v>
      </c>
      <c r="H123" s="3" t="b">
        <f t="shared" si="7"/>
        <v>0</v>
      </c>
      <c r="I123" s="26">
        <f>Table1[[#This Row],[Tech]]*$T$7+Table1[[#This Row],[Beta]]*($T$6-$T$8)+$T$8</f>
        <v>8.8551999999999992E-2</v>
      </c>
      <c r="J123" s="42">
        <v>12967311.18</v>
      </c>
      <c r="K123" s="56">
        <f>Table1[[#This Row],[Investment]]/Table1[[#This Row],[Dollar Volume]]</f>
        <v>9.5876607615526799E-2</v>
      </c>
      <c r="L123" s="34">
        <f>IFERROR(MAX($T$11+$T$12*LN(Table1[[#This Row],[Frac ADV]]),0),0)*0.0001+0.005/Table1[[#This Row],[Stock Price]]+Table1[[#This Row],[Expense Ratio]]</f>
        <v>2.1971674447483922E-2</v>
      </c>
      <c r="M123" s="24">
        <f>(Table1[[#This Row],[Expected Return]]-Table1[[#This Row],[Tcosts]])*Table1[[#This Row],[Investment]]</f>
        <v>863367.79990518128</v>
      </c>
      <c r="Q123" s="16" t="s">
        <v>574</v>
      </c>
    </row>
    <row r="124" spans="1:17" ht="14.4" x14ac:dyDescent="0.3">
      <c r="A124" s="2" t="s">
        <v>575</v>
      </c>
      <c r="B124" s="10" t="s">
        <v>576</v>
      </c>
      <c r="C124" s="11">
        <v>50.29</v>
      </c>
      <c r="D124" s="11" t="s">
        <v>577</v>
      </c>
      <c r="E124" s="12">
        <v>6.9999999999999999E-4</v>
      </c>
      <c r="F124" s="11">
        <v>0.64</v>
      </c>
      <c r="G124" s="3">
        <f t="shared" si="6"/>
        <v>161370000</v>
      </c>
      <c r="H124" s="3" t="b">
        <f t="shared" si="7"/>
        <v>0</v>
      </c>
      <c r="I124" s="26">
        <f>Table1[[#This Row],[Tech]]*$T$7+Table1[[#This Row],[Beta]]*($T$6-$T$8)+$T$8</f>
        <v>7.7104000000000006E-2</v>
      </c>
      <c r="J124" s="42">
        <v>12867317.91</v>
      </c>
      <c r="K124" s="56">
        <f>Table1[[#This Row],[Investment]]/Table1[[#This Row],[Dollar Volume]]</f>
        <v>7.9737980479643061E-2</v>
      </c>
      <c r="L124" s="34">
        <f>IFERROR(MAX($T$11+$T$12*LN(Table1[[#This Row],[Frac ADV]]),0),0)*0.0001+0.005/Table1[[#This Row],[Stock Price]]+Table1[[#This Row],[Expense Ratio]]</f>
        <v>1.9668159927341226E-2</v>
      </c>
      <c r="M124" s="24">
        <f>(Table1[[#This Row],[Expected Return]]-Table1[[#This Row],[Tcosts]])*Table1[[#This Row],[Investment]]</f>
        <v>739045.21364281804</v>
      </c>
      <c r="Q124" s="13" t="s">
        <v>578</v>
      </c>
    </row>
    <row r="125" spans="1:17" ht="14.4" x14ac:dyDescent="0.3">
      <c r="A125" s="4" t="s">
        <v>579</v>
      </c>
      <c r="B125" s="14" t="s">
        <v>580</v>
      </c>
      <c r="C125" s="6">
        <v>88.75</v>
      </c>
      <c r="D125" s="6" t="s">
        <v>581</v>
      </c>
      <c r="E125" s="15">
        <v>5.9999999999999995E-4</v>
      </c>
      <c r="F125" s="6">
        <v>0.68</v>
      </c>
      <c r="G125" s="3">
        <f t="shared" si="6"/>
        <v>132770000.00000001</v>
      </c>
      <c r="H125" s="3" t="b">
        <f t="shared" si="7"/>
        <v>0</v>
      </c>
      <c r="I125" s="26">
        <f>Table1[[#This Row],[Tech]]*$T$7+Table1[[#This Row],[Beta]]*($T$6-$T$8)+$T$8</f>
        <v>7.964800000000001E-2</v>
      </c>
      <c r="J125" s="42">
        <v>12290261.07</v>
      </c>
      <c r="K125" s="56">
        <f>Table1[[#This Row],[Investment]]/Table1[[#This Row],[Dollar Volume]]</f>
        <v>9.2568058070347209E-2</v>
      </c>
      <c r="L125" s="34">
        <f>IFERROR(MAX($T$11+$T$12*LN(Table1[[#This Row],[Frac ADV]]),0),0)*0.0001+0.005/Table1[[#This Row],[Stock Price]]+Table1[[#This Row],[Expense Ratio]]</f>
        <v>2.0255877684050159E-2</v>
      </c>
      <c r="M125" s="24">
        <f>(Table1[[#This Row],[Expected Return]]-Table1[[#This Row],[Tcosts]])*Table1[[#This Row],[Investment]]</f>
        <v>729944.68876439671</v>
      </c>
      <c r="Q125" s="16" t="s">
        <v>582</v>
      </c>
    </row>
    <row r="126" spans="1:17" ht="14.4" x14ac:dyDescent="0.3">
      <c r="A126" s="4" t="s">
        <v>583</v>
      </c>
      <c r="B126" s="14" t="s">
        <v>584</v>
      </c>
      <c r="C126" s="6">
        <v>85.95</v>
      </c>
      <c r="D126" s="6" t="s">
        <v>585</v>
      </c>
      <c r="E126" s="15">
        <v>3.3E-3</v>
      </c>
      <c r="F126" s="6">
        <v>0.69</v>
      </c>
      <c r="G126" s="3">
        <f t="shared" si="6"/>
        <v>134650000</v>
      </c>
      <c r="H126" s="3" t="b">
        <f t="shared" si="7"/>
        <v>0</v>
      </c>
      <c r="I126" s="26">
        <f>Table1[[#This Row],[Tech]]*$T$7+Table1[[#This Row],[Beta]]*($T$6-$T$8)+$T$8</f>
        <v>8.0283999999999994E-2</v>
      </c>
      <c r="J126" s="42">
        <v>11885009.4</v>
      </c>
      <c r="K126" s="56">
        <f>Table1[[#This Row],[Investment]]/Table1[[#This Row],[Dollar Volume]]</f>
        <v>8.8265944300037133E-2</v>
      </c>
      <c r="L126" s="34">
        <f>IFERROR(MAX($T$11+$T$12*LN(Table1[[#This Row],[Frac ADV]]),0),0)*0.0001+0.005/Table1[[#This Row],[Stock Price]]+Table1[[#This Row],[Expense Ratio]]</f>
        <v>2.2724608459365268E-2</v>
      </c>
      <c r="M126" s="24">
        <f>(Table1[[#This Row],[Expected Return]]-Table1[[#This Row],[Tcosts]])*Table1[[#This Row],[Investment]]</f>
        <v>684093.90951872419</v>
      </c>
      <c r="Q126" s="13" t="s">
        <v>586</v>
      </c>
    </row>
    <row r="127" spans="1:17" ht="14.4" x14ac:dyDescent="0.3">
      <c r="A127" s="2" t="s">
        <v>587</v>
      </c>
      <c r="B127" s="10" t="s">
        <v>588</v>
      </c>
      <c r="C127" s="11">
        <v>83.77</v>
      </c>
      <c r="D127" s="11" t="s">
        <v>589</v>
      </c>
      <c r="E127" s="12">
        <v>2.5000000000000001E-3</v>
      </c>
      <c r="F127" s="11">
        <v>0.73</v>
      </c>
      <c r="G127" s="3">
        <f t="shared" si="6"/>
        <v>97020000</v>
      </c>
      <c r="H127" s="3" t="b">
        <f t="shared" si="7"/>
        <v>0</v>
      </c>
      <c r="I127" s="26">
        <f>Table1[[#This Row],[Tech]]*$T$7+Table1[[#This Row],[Beta]]*($T$6-$T$8)+$T$8</f>
        <v>8.2828000000000013E-2</v>
      </c>
      <c r="J127" s="42">
        <v>10934633.68</v>
      </c>
      <c r="K127" s="56">
        <f>Table1[[#This Row],[Investment]]/Table1[[#This Row],[Dollar Volume]]</f>
        <v>0.11270494413522984</v>
      </c>
      <c r="L127" s="34">
        <f>IFERROR(MAX($T$11+$T$12*LN(Table1[[#This Row],[Frac ADV]]),0),0)*0.0001+0.005/Table1[[#This Row],[Stock Price]]+Table1[[#This Row],[Expense Ratio]]</f>
        <v>2.3123336552531546E-2</v>
      </c>
      <c r="M127" s="24">
        <f>(Table1[[#This Row],[Expected Return]]-Table1[[#This Row],[Tcosts]])*Table1[[#This Row],[Investment]]</f>
        <v>652848.62378575362</v>
      </c>
      <c r="Q127" s="16" t="s">
        <v>590</v>
      </c>
    </row>
    <row r="128" spans="1:17" ht="14.4" x14ac:dyDescent="0.3">
      <c r="A128" s="4" t="s">
        <v>591</v>
      </c>
      <c r="B128" s="14" t="s">
        <v>592</v>
      </c>
      <c r="C128" s="6">
        <v>73.28</v>
      </c>
      <c r="D128" s="6" t="s">
        <v>593</v>
      </c>
      <c r="E128" s="15">
        <v>8.0000000000000004E-4</v>
      </c>
      <c r="F128" s="6">
        <v>0.7</v>
      </c>
      <c r="G128" s="3">
        <f t="shared" si="6"/>
        <v>55380000</v>
      </c>
      <c r="H128" s="3" t="b">
        <f t="shared" si="7"/>
        <v>0</v>
      </c>
      <c r="I128" s="26">
        <f>Table1[[#This Row],[Tech]]*$T$7+Table1[[#This Row],[Beta]]*($T$6-$T$8)+$T$8</f>
        <v>8.0919999999999992E-2</v>
      </c>
      <c r="J128" s="42">
        <v>10807196.4</v>
      </c>
      <c r="K128" s="56">
        <f>Table1[[#This Row],[Investment]]/Table1[[#This Row],[Dollar Volume]]</f>
        <v>0.19514619718309859</v>
      </c>
      <c r="L128" s="34">
        <f>IFERROR(MAX($T$11+$T$12*LN(Table1[[#This Row],[Frac ADV]]),0),0)*0.0001+0.005/Table1[[#This Row],[Stock Price]]+Table1[[#This Row],[Expense Ratio]]</f>
        <v>2.4120876679664876E-2</v>
      </c>
      <c r="M128" s="24">
        <f>(Table1[[#This Row],[Expected Return]]-Table1[[#This Row],[Tcosts]])*Table1[[#This Row],[Investment]]</f>
        <v>613839.28107068175</v>
      </c>
      <c r="Q128" s="13" t="s">
        <v>594</v>
      </c>
    </row>
    <row r="129" spans="1:17" ht="14.4" x14ac:dyDescent="0.3">
      <c r="A129" s="2" t="s">
        <v>595</v>
      </c>
      <c r="B129" s="10" t="s">
        <v>596</v>
      </c>
      <c r="C129" s="11">
        <v>107.32</v>
      </c>
      <c r="D129" s="11" t="s">
        <v>597</v>
      </c>
      <c r="E129" s="12">
        <v>3.5999999999999999E-3</v>
      </c>
      <c r="F129" s="11">
        <v>0.74</v>
      </c>
      <c r="G129" s="3">
        <f t="shared" si="6"/>
        <v>90940000</v>
      </c>
      <c r="H129" s="3" t="b">
        <f t="shared" si="7"/>
        <v>0</v>
      </c>
      <c r="I129" s="26">
        <f>Table1[[#This Row],[Tech]]*$T$7+Table1[[#This Row],[Beta]]*($T$6-$T$8)+$T$8</f>
        <v>8.346400000000001E-2</v>
      </c>
      <c r="J129" s="42">
        <v>10058219.289999999</v>
      </c>
      <c r="K129" s="56">
        <f>Table1[[#This Row],[Investment]]/Table1[[#This Row],[Dollar Volume]]</f>
        <v>0.1106028072355399</v>
      </c>
      <c r="L129" s="34">
        <f>IFERROR(MAX($T$11+$T$12*LN(Table1[[#This Row],[Frac ADV]]),0),0)*0.0001+0.005/Table1[[#This Row],[Stock Price]]+Table1[[#This Row],[Expense Ratio]]</f>
        <v>2.4118016422294948E-2</v>
      </c>
      <c r="M129" s="24">
        <f>(Table1[[#This Row],[Expected Return]]-Table1[[#This Row],[Tcosts]])*Table1[[#This Row],[Investment]]</f>
        <v>596914.9168052962</v>
      </c>
      <c r="Q129" s="16" t="s">
        <v>598</v>
      </c>
    </row>
    <row r="130" spans="1:17" ht="14.4" x14ac:dyDescent="0.3">
      <c r="A130" s="4" t="s">
        <v>599</v>
      </c>
      <c r="B130" s="14" t="s">
        <v>600</v>
      </c>
      <c r="C130" s="6">
        <v>63.52</v>
      </c>
      <c r="D130" s="6" t="s">
        <v>322</v>
      </c>
      <c r="E130" s="15">
        <v>4.8999999999999998E-3</v>
      </c>
      <c r="F130" s="6">
        <v>0.8</v>
      </c>
      <c r="G130" s="3">
        <f t="shared" ref="G130:G161" si="8">IF(RIGHT(Q130,1)="B", VALUE(SUBSTITUTE(Q130,"B",""))*1000000000,
 IF(RIGHT(Q130,1)="M", VALUE(SUBSTITUTE(Q130,"M",""))*1000000, VALUE(Q130)))</f>
        <v>956440000</v>
      </c>
      <c r="H130" s="3" t="b">
        <f t="shared" ref="H130:H161" si="9">OR(
  ISNUMBER(SEARCH("technology",B130)),
  ISNUMBER(SEARCH("tech",B130)),
  ISNUMBER(SEARCH("qqq",B130)),
  ISNUMBER(SEARCH("semiconductor",B130)),
  ISNUMBER(SEARCH("information technology",B130)),
  ISNUMBER(SEARCH("nasdaq",B130)),
  ISNUMBER(SEARCH("communication",B130))
)</f>
        <v>0</v>
      </c>
      <c r="I130" s="26">
        <f>Table1[[#This Row],[Tech]]*$T$7+Table1[[#This Row],[Beta]]*($T$6-$T$8)+$T$8</f>
        <v>8.728000000000001E-2</v>
      </c>
      <c r="J130" s="42">
        <v>9659312.5399999991</v>
      </c>
      <c r="K130" s="56">
        <f>Table1[[#This Row],[Investment]]/Table1[[#This Row],[Dollar Volume]]</f>
        <v>1.0099235226464807E-2</v>
      </c>
      <c r="L130" s="34">
        <f>IFERROR(MAX($T$11+$T$12*LN(Table1[[#This Row],[Frac ADV]]),0),0)*0.0001+0.005/Table1[[#This Row],[Stock Price]]+Table1[[#This Row],[Expense Ratio]]</f>
        <v>1.3726356771982912E-2</v>
      </c>
      <c r="M130" s="24">
        <f>(Table1[[#This Row],[Expected Return]]-Table1[[#This Row],[Tcosts]])*Table1[[#This Row],[Investment]]</f>
        <v>710477.62839507149</v>
      </c>
      <c r="Q130" s="13" t="s">
        <v>601</v>
      </c>
    </row>
    <row r="131" spans="1:17" ht="14.4" x14ac:dyDescent="0.3">
      <c r="A131" s="2" t="s">
        <v>602</v>
      </c>
      <c r="B131" s="10" t="s">
        <v>603</v>
      </c>
      <c r="C131" s="11">
        <v>102.87</v>
      </c>
      <c r="D131" s="11" t="s">
        <v>604</v>
      </c>
      <c r="E131" s="12">
        <v>2E-3</v>
      </c>
      <c r="F131" s="11">
        <v>0.72</v>
      </c>
      <c r="G131" s="3">
        <f t="shared" si="8"/>
        <v>392540000</v>
      </c>
      <c r="H131" s="3" t="b">
        <f t="shared" si="9"/>
        <v>0</v>
      </c>
      <c r="I131" s="26">
        <f>Table1[[#This Row],[Tech]]*$T$7+Table1[[#This Row],[Beta]]*($T$6-$T$8)+$T$8</f>
        <v>8.2192000000000001E-2</v>
      </c>
      <c r="J131" s="42">
        <v>9383853.8100000005</v>
      </c>
      <c r="K131" s="56">
        <f>Table1[[#This Row],[Investment]]/Table1[[#This Row],[Dollar Volume]]</f>
        <v>2.3905471569776331E-2</v>
      </c>
      <c r="L131" s="34">
        <f>IFERROR(MAX($T$11+$T$12*LN(Table1[[#This Row],[Frac ADV]]),0),0)*0.0001+0.005/Table1[[#This Row],[Stock Price]]+Table1[[#This Row],[Expense Ratio]]</f>
        <v>1.5016773865578521E-2</v>
      </c>
      <c r="M131" s="24">
        <f>(Table1[[#This Row],[Expected Return]]-Table1[[#This Row],[Tcosts]])*Table1[[#This Row],[Investment]]</f>
        <v>630362.50169910258</v>
      </c>
      <c r="Q131" s="16" t="s">
        <v>605</v>
      </c>
    </row>
    <row r="132" spans="1:17" ht="14.4" x14ac:dyDescent="0.3">
      <c r="A132" s="4" t="s">
        <v>606</v>
      </c>
      <c r="B132" s="14" t="s">
        <v>607</v>
      </c>
      <c r="C132" s="6">
        <v>37.71</v>
      </c>
      <c r="D132" s="6" t="s">
        <v>608</v>
      </c>
      <c r="E132" s="15">
        <v>2.3E-3</v>
      </c>
      <c r="F132" s="6">
        <v>0.65</v>
      </c>
      <c r="G132" s="3">
        <f t="shared" si="8"/>
        <v>174030000</v>
      </c>
      <c r="H132" s="3" t="b">
        <f t="shared" si="9"/>
        <v>0</v>
      </c>
      <c r="I132" s="26">
        <f>Table1[[#This Row],[Tech]]*$T$7+Table1[[#This Row],[Beta]]*($T$6-$T$8)+$T$8</f>
        <v>7.7740000000000004E-2</v>
      </c>
      <c r="J132" s="42">
        <v>8048771.9100000001</v>
      </c>
      <c r="K132" s="56">
        <f>Table1[[#This Row],[Investment]]/Table1[[#This Row],[Dollar Volume]]</f>
        <v>4.6249335804171697E-2</v>
      </c>
      <c r="L132" s="34">
        <f>IFERROR(MAX($T$11+$T$12*LN(Table1[[#This Row],[Frac ADV]]),0),0)*0.0001+0.005/Table1[[#This Row],[Stock Price]]+Table1[[#This Row],[Expense Ratio]]</f>
        <v>1.8633280149656466E-2</v>
      </c>
      <c r="M132" s="24">
        <f>(Table1[[#This Row],[Expected Return]]-Table1[[#This Row],[Tcosts]])*Table1[[#This Row],[Investment]]</f>
        <v>475736.50642368442</v>
      </c>
      <c r="Q132" s="13" t="s">
        <v>609</v>
      </c>
    </row>
    <row r="133" spans="1:17" ht="14.4" x14ac:dyDescent="0.3">
      <c r="A133" s="2" t="s">
        <v>610</v>
      </c>
      <c r="B133" s="10" t="s">
        <v>611</v>
      </c>
      <c r="C133" s="11">
        <v>138.38999999999999</v>
      </c>
      <c r="D133" s="11" t="s">
        <v>612</v>
      </c>
      <c r="E133" s="12">
        <v>8.0000000000000004E-4</v>
      </c>
      <c r="F133" s="11">
        <v>0.35</v>
      </c>
      <c r="G133" s="3">
        <f t="shared" si="8"/>
        <v>229180000</v>
      </c>
      <c r="H133" s="3" t="b">
        <f t="shared" si="9"/>
        <v>0</v>
      </c>
      <c r="I133" s="26">
        <f>Table1[[#This Row],[Tech]]*$T$7+Table1[[#This Row],[Beta]]*($T$6-$T$8)+$T$8</f>
        <v>5.8660000000000004E-2</v>
      </c>
      <c r="J133" s="42">
        <v>7561416.0499999998</v>
      </c>
      <c r="K133" s="56">
        <f>Table1[[#This Row],[Investment]]/Table1[[#This Row],[Dollar Volume]]</f>
        <v>3.2993350423248101E-2</v>
      </c>
      <c r="L133" s="34">
        <f>IFERROR(MAX($T$11+$T$12*LN(Table1[[#This Row],[Frac ADV]]),0),0)*0.0001+0.005/Table1[[#This Row],[Stock Price]]+Table1[[#This Row],[Expense Ratio]]</f>
        <v>1.5382493935338413E-2</v>
      </c>
      <c r="M133" s="24">
        <f>(Table1[[#This Row],[Expected Return]]-Table1[[#This Row],[Tcosts]])*Table1[[#This Row],[Investment]]</f>
        <v>327239.22896130447</v>
      </c>
      <c r="Q133" s="16" t="s">
        <v>613</v>
      </c>
    </row>
    <row r="134" spans="1:17" ht="14.4" x14ac:dyDescent="0.3">
      <c r="A134" s="4" t="s">
        <v>614</v>
      </c>
      <c r="B134" s="14" t="s">
        <v>615</v>
      </c>
      <c r="C134" s="6">
        <v>51.15</v>
      </c>
      <c r="D134" s="6" t="s">
        <v>616</v>
      </c>
      <c r="E134" s="15">
        <v>2.5000000000000001E-3</v>
      </c>
      <c r="F134" s="6">
        <v>0.67</v>
      </c>
      <c r="G134" s="3">
        <f t="shared" si="8"/>
        <v>91260000</v>
      </c>
      <c r="H134" s="3" t="b">
        <f t="shared" si="9"/>
        <v>0</v>
      </c>
      <c r="I134" s="26">
        <f>Table1[[#This Row],[Tech]]*$T$7+Table1[[#This Row],[Beta]]*($T$6-$T$8)+$T$8</f>
        <v>7.9011999999999999E-2</v>
      </c>
      <c r="J134" s="42">
        <v>6856209.2199999997</v>
      </c>
      <c r="K134" s="56">
        <f>Table1[[#This Row],[Investment]]/Table1[[#This Row],[Dollar Volume]]</f>
        <v>7.5128306158229227E-2</v>
      </c>
      <c r="L134" s="34">
        <f>IFERROR(MAX($T$11+$T$12*LN(Table1[[#This Row],[Frac ADV]]),0),0)*0.0001+0.005/Table1[[#This Row],[Stock Price]]+Table1[[#This Row],[Expense Ratio]]</f>
        <v>2.1174806936152889E-2</v>
      </c>
      <c r="M134" s="24">
        <f>(Table1[[#This Row],[Expected Return]]-Table1[[#This Row],[Tcosts]])*Table1[[#This Row],[Investment]]</f>
        <v>396543.89634326857</v>
      </c>
      <c r="Q134" s="13" t="s">
        <v>617</v>
      </c>
    </row>
    <row r="135" spans="1:17" ht="14.4" x14ac:dyDescent="0.3">
      <c r="A135" s="4" t="s">
        <v>618</v>
      </c>
      <c r="B135" s="14" t="s">
        <v>619</v>
      </c>
      <c r="C135" s="6">
        <v>53.98</v>
      </c>
      <c r="D135" s="6" t="s">
        <v>620</v>
      </c>
      <c r="E135" s="15">
        <v>8.0000000000000004E-4</v>
      </c>
      <c r="F135" s="6">
        <v>0.63</v>
      </c>
      <c r="G135" s="3">
        <f t="shared" si="8"/>
        <v>96950000</v>
      </c>
      <c r="H135" s="3" t="b">
        <f t="shared" si="9"/>
        <v>0</v>
      </c>
      <c r="I135" s="26">
        <f>Table1[[#This Row],[Tech]]*$T$7+Table1[[#This Row],[Beta]]*($T$6-$T$8)+$T$8</f>
        <v>7.6468000000000008E-2</v>
      </c>
      <c r="J135" s="42">
        <v>6024080.25</v>
      </c>
      <c r="K135" s="56">
        <f>Table1[[#This Row],[Investment]]/Table1[[#This Row],[Dollar Volume]]</f>
        <v>6.2135948942753996E-2</v>
      </c>
      <c r="L135" s="34">
        <f>IFERROR(MAX($T$11+$T$12*LN(Table1[[#This Row],[Frac ADV]]),0),0)*0.0001+0.005/Table1[[#This Row],[Stock Price]]+Table1[[#This Row],[Expense Ratio]]</f>
        <v>1.8539646646778096E-2</v>
      </c>
      <c r="M135" s="24">
        <f>(Table1[[#This Row],[Expected Return]]-Table1[[#This Row],[Tcosts]])*Table1[[#This Row],[Investment]]</f>
        <v>348965.04935016541</v>
      </c>
      <c r="Q135" s="16" t="s">
        <v>621</v>
      </c>
    </row>
    <row r="136" spans="1:17" ht="14.4" x14ac:dyDescent="0.3">
      <c r="A136" s="4" t="s">
        <v>622</v>
      </c>
      <c r="B136" s="14" t="s">
        <v>623</v>
      </c>
      <c r="C136" s="6">
        <v>37.049999999999997</v>
      </c>
      <c r="D136" s="6" t="s">
        <v>624</v>
      </c>
      <c r="E136" s="15">
        <v>2.5000000000000001E-3</v>
      </c>
      <c r="F136" s="6">
        <v>0.59</v>
      </c>
      <c r="G136" s="3">
        <f t="shared" si="8"/>
        <v>54550000</v>
      </c>
      <c r="H136" s="3" t="b">
        <f t="shared" si="9"/>
        <v>0</v>
      </c>
      <c r="I136" s="26">
        <f>Table1[[#This Row],[Tech]]*$T$7+Table1[[#This Row],[Beta]]*($T$6-$T$8)+$T$8</f>
        <v>7.3924000000000004E-2</v>
      </c>
      <c r="J136" s="42">
        <v>5685998.6500000004</v>
      </c>
      <c r="K136" s="56">
        <f>Table1[[#This Row],[Investment]]/Table1[[#This Row],[Dollar Volume]]</f>
        <v>0.10423462236480294</v>
      </c>
      <c r="L136" s="34">
        <f>IFERROR(MAX($T$11+$T$12*LN(Table1[[#This Row],[Frac ADV]]),0),0)*0.0001+0.005/Table1[[#This Row],[Stock Price]]+Table1[[#This Row],[Expense Ratio]]</f>
        <v>2.2815910433038079E-2</v>
      </c>
      <c r="M136" s="24">
        <f>(Table1[[#This Row],[Expected Return]]-Table1[[#This Row],[Tcosts]])*Table1[[#This Row],[Investment]]</f>
        <v>290600.52828182461</v>
      </c>
      <c r="Q136" s="13" t="s">
        <v>625</v>
      </c>
    </row>
    <row r="137" spans="1:17" ht="14.4" x14ac:dyDescent="0.3">
      <c r="A137" s="4" t="s">
        <v>626</v>
      </c>
      <c r="B137" s="14" t="s">
        <v>627</v>
      </c>
      <c r="C137" s="6">
        <v>50.27</v>
      </c>
      <c r="D137" s="6" t="s">
        <v>628</v>
      </c>
      <c r="E137" s="15">
        <v>8.5000000000000006E-3</v>
      </c>
      <c r="F137" s="6">
        <v>0.38</v>
      </c>
      <c r="G137" s="3">
        <f t="shared" si="8"/>
        <v>3810000000</v>
      </c>
      <c r="H137" s="3" t="b">
        <f t="shared" si="9"/>
        <v>0</v>
      </c>
      <c r="I137" s="26">
        <f>Table1[[#This Row],[Tech]]*$T$7+Table1[[#This Row],[Beta]]*($T$6-$T$8)+$T$8</f>
        <v>6.0568000000000004E-2</v>
      </c>
      <c r="J137" s="42">
        <v>5434964.2999999998</v>
      </c>
      <c r="K137" s="56">
        <f>Table1[[#This Row],[Investment]]/Table1[[#This Row],[Dollar Volume]]</f>
        <v>1.4264998162729658E-3</v>
      </c>
      <c r="L137" s="34">
        <f>IFERROR(MAX($T$11+$T$12*LN(Table1[[#This Row],[Frac ADV]]),0),0)*0.0001+0.005/Table1[[#This Row],[Stock Price]]+Table1[[#This Row],[Expense Ratio]]</f>
        <v>8.5994629003381742E-3</v>
      </c>
      <c r="M137" s="24">
        <f>(Table1[[#This Row],[Expected Return]]-Table1[[#This Row],[Tcosts]])*Table1[[#This Row],[Investment]]</f>
        <v>282447.14385988755</v>
      </c>
      <c r="Q137" s="16" t="s">
        <v>629</v>
      </c>
    </row>
    <row r="138" spans="1:17" ht="14.4" x14ac:dyDescent="0.3">
      <c r="A138" s="2" t="s">
        <v>630</v>
      </c>
      <c r="B138" s="10" t="s">
        <v>631</v>
      </c>
      <c r="C138" s="11">
        <v>156.34</v>
      </c>
      <c r="D138" s="11" t="s">
        <v>632</v>
      </c>
      <c r="E138" s="12">
        <v>3.8E-3</v>
      </c>
      <c r="F138" s="11">
        <v>0.61</v>
      </c>
      <c r="G138" s="3">
        <f t="shared" si="8"/>
        <v>96500000</v>
      </c>
      <c r="H138" s="3" t="b">
        <f t="shared" si="9"/>
        <v>0</v>
      </c>
      <c r="I138" s="26">
        <f>Table1[[#This Row],[Tech]]*$T$7+Table1[[#This Row],[Beta]]*($T$6-$T$8)+$T$8</f>
        <v>7.5196000000000013E-2</v>
      </c>
      <c r="J138" s="42">
        <v>5341416.2300000004</v>
      </c>
      <c r="K138" s="56">
        <f>Table1[[#This Row],[Investment]]/Table1[[#This Row],[Dollar Volume]]</f>
        <v>5.5351463523316068E-2</v>
      </c>
      <c r="L138" s="34">
        <f>IFERROR(MAX($T$11+$T$12*LN(Table1[[#This Row],[Frac ADV]]),0),0)*0.0001+0.005/Table1[[#This Row],[Stock Price]]+Table1[[#This Row],[Expense Ratio]]</f>
        <v>2.0912662913264664E-2</v>
      </c>
      <c r="M138" s="24">
        <f>(Table1[[#This Row],[Expected Return]]-Table1[[#This Row],[Tcosts]])*Table1[[#This Row],[Investment]]</f>
        <v>289949.89773364912</v>
      </c>
      <c r="Q138" s="13" t="s">
        <v>633</v>
      </c>
    </row>
    <row r="139" spans="1:17" ht="14.4" x14ac:dyDescent="0.3">
      <c r="A139" s="4" t="s">
        <v>634</v>
      </c>
      <c r="B139" s="14" t="s">
        <v>635</v>
      </c>
      <c r="C139" s="6">
        <v>48.43</v>
      </c>
      <c r="D139" s="6" t="s">
        <v>636</v>
      </c>
      <c r="E139" s="15">
        <v>3.0000000000000001E-3</v>
      </c>
      <c r="F139" s="6">
        <v>0.67</v>
      </c>
      <c r="G139" s="3">
        <f t="shared" si="8"/>
        <v>93410000</v>
      </c>
      <c r="H139" s="3" t="b">
        <f t="shared" si="9"/>
        <v>0</v>
      </c>
      <c r="I139" s="26">
        <f>Table1[[#This Row],[Tech]]*$T$7+Table1[[#This Row],[Beta]]*($T$6-$T$8)+$T$8</f>
        <v>7.9011999999999999E-2</v>
      </c>
      <c r="J139" s="42">
        <v>4676855.37</v>
      </c>
      <c r="K139" s="56">
        <f>Table1[[#This Row],[Investment]]/Table1[[#This Row],[Dollar Volume]]</f>
        <v>5.0068037362166792E-2</v>
      </c>
      <c r="L139" s="34">
        <f>IFERROR(MAX($T$11+$T$12*LN(Table1[[#This Row],[Frac ADV]]),0),0)*0.0001+0.005/Table1[[#This Row],[Stock Price]]+Table1[[#This Row],[Expense Ratio]]</f>
        <v>1.9692533808059035E-2</v>
      </c>
      <c r="M139" s="24">
        <f>(Table1[[#This Row],[Expected Return]]-Table1[[#This Row],[Tcosts]])*Table1[[#This Row],[Investment]]</f>
        <v>277428.56400531257</v>
      </c>
      <c r="Q139" s="16" t="s">
        <v>637</v>
      </c>
    </row>
    <row r="140" spans="1:17" ht="14.4" x14ac:dyDescent="0.3">
      <c r="A140" s="4" t="s">
        <v>638</v>
      </c>
      <c r="B140" s="14" t="s">
        <v>639</v>
      </c>
      <c r="C140" s="6">
        <v>55.21</v>
      </c>
      <c r="D140" s="6" t="s">
        <v>640</v>
      </c>
      <c r="E140" s="15">
        <v>2.7000000000000001E-3</v>
      </c>
      <c r="F140" s="6">
        <v>0.67</v>
      </c>
      <c r="G140" s="3">
        <f t="shared" si="8"/>
        <v>437940000</v>
      </c>
      <c r="H140" s="3" t="b">
        <f t="shared" si="9"/>
        <v>0</v>
      </c>
      <c r="I140" s="26">
        <f>Table1[[#This Row],[Tech]]*$T$7+Table1[[#This Row],[Beta]]*($T$6-$T$8)+$T$8</f>
        <v>7.9011999999999999E-2</v>
      </c>
      <c r="J140" s="42">
        <v>4372305.96</v>
      </c>
      <c r="K140" s="56">
        <f>Table1[[#This Row],[Investment]]/Table1[[#This Row],[Dollar Volume]]</f>
        <v>9.9838013426496782E-3</v>
      </c>
      <c r="L140" s="34">
        <f>IFERROR(MAX($T$11+$T$12*LN(Table1[[#This Row],[Frac ADV]]),0),0)*0.0001+0.005/Table1[[#This Row],[Stock Price]]+Table1[[#This Row],[Expense Ratio]]</f>
        <v>1.1481895982494383E-2</v>
      </c>
      <c r="M140" s="24">
        <f>(Table1[[#This Row],[Expected Return]]-Table1[[#This Row],[Tcosts]])*Table1[[#This Row],[Investment]]</f>
        <v>295262.27627515973</v>
      </c>
      <c r="Q140" s="13" t="s">
        <v>641</v>
      </c>
    </row>
    <row r="141" spans="1:17" ht="14.4" x14ac:dyDescent="0.3">
      <c r="A141" s="4" t="s">
        <v>642</v>
      </c>
      <c r="B141" s="14" t="s">
        <v>643</v>
      </c>
      <c r="C141" s="6">
        <v>59.01</v>
      </c>
      <c r="D141" s="6" t="s">
        <v>644</v>
      </c>
      <c r="E141" s="15">
        <v>3.5000000000000001E-3</v>
      </c>
      <c r="F141" s="6">
        <v>0.61</v>
      </c>
      <c r="G141" s="3">
        <f t="shared" si="8"/>
        <v>3150000000</v>
      </c>
      <c r="H141" s="3" t="b">
        <f t="shared" si="9"/>
        <v>0</v>
      </c>
      <c r="I141" s="26">
        <f>Table1[[#This Row],[Tech]]*$T$7+Table1[[#This Row],[Beta]]*($T$6-$T$8)+$T$8</f>
        <v>7.5196000000000013E-2</v>
      </c>
      <c r="J141" s="42">
        <v>3634205.96</v>
      </c>
      <c r="K141" s="56">
        <f>Table1[[#This Row],[Investment]]/Table1[[#This Row],[Dollar Volume]]</f>
        <v>1.1537161777777777E-3</v>
      </c>
      <c r="L141" s="34">
        <f>IFERROR(MAX($T$11+$T$12*LN(Table1[[#This Row],[Frac ADV]]),0),0)*0.0001+0.005/Table1[[#This Row],[Stock Price]]+Table1[[#This Row],[Expense Ratio]]</f>
        <v>3.5847314014573802E-3</v>
      </c>
      <c r="M141" s="24">
        <f>(Table1[[#This Row],[Expected Return]]-Table1[[#This Row],[Tcosts]])*Table1[[#This Row],[Investment]]</f>
        <v>260250.09914398449</v>
      </c>
      <c r="Q141" s="16" t="s">
        <v>645</v>
      </c>
    </row>
    <row r="142" spans="1:17" ht="14.4" x14ac:dyDescent="0.3">
      <c r="A142" s="2" t="s">
        <v>646</v>
      </c>
      <c r="B142" s="10" t="s">
        <v>647</v>
      </c>
      <c r="C142" s="11">
        <v>287.81</v>
      </c>
      <c r="D142" s="11" t="s">
        <v>648</v>
      </c>
      <c r="E142" s="12">
        <v>8.9999999999999998E-4</v>
      </c>
      <c r="F142" s="11">
        <v>0.53</v>
      </c>
      <c r="G142" s="3">
        <f t="shared" si="8"/>
        <v>273110000</v>
      </c>
      <c r="H142" s="3" t="b">
        <f t="shared" si="9"/>
        <v>0</v>
      </c>
      <c r="I142" s="26">
        <f>Table1[[#This Row],[Tech]]*$T$7+Table1[[#This Row],[Beta]]*($T$6-$T$8)+$T$8</f>
        <v>7.0108000000000004E-2</v>
      </c>
      <c r="J142" s="42">
        <v>3136602.02</v>
      </c>
      <c r="K142" s="56">
        <f>Table1[[#This Row],[Investment]]/Table1[[#This Row],[Dollar Volume]]</f>
        <v>1.1484757130826407E-2</v>
      </c>
      <c r="L142" s="34">
        <f>IFERROR(MAX($T$11+$T$12*LN(Table1[[#This Row],[Frac ADV]]),0),0)*0.0001+0.005/Table1[[#This Row],[Stock Price]]+Table1[[#This Row],[Expense Ratio]]</f>
        <v>1.029473213118777E-2</v>
      </c>
      <c r="M142" s="24">
        <f>(Table1[[#This Row],[Expected Return]]-Table1[[#This Row],[Tcosts]])*Table1[[#This Row],[Investment]]</f>
        <v>187610.41682011753</v>
      </c>
      <c r="Q142" s="13" t="s">
        <v>649</v>
      </c>
    </row>
    <row r="143" spans="1:17" ht="14.4" x14ac:dyDescent="0.3">
      <c r="A143" s="4" t="s">
        <v>650</v>
      </c>
      <c r="B143" s="14" t="s">
        <v>651</v>
      </c>
      <c r="C143" s="6">
        <v>78.88</v>
      </c>
      <c r="D143" s="6" t="s">
        <v>652</v>
      </c>
      <c r="E143" s="15">
        <v>3.3E-3</v>
      </c>
      <c r="F143" s="6">
        <v>0.61</v>
      </c>
      <c r="G143" s="3">
        <f t="shared" si="8"/>
        <v>251580000</v>
      </c>
      <c r="H143" s="3" t="b">
        <f t="shared" si="9"/>
        <v>0</v>
      </c>
      <c r="I143" s="26">
        <f>Table1[[#This Row],[Tech]]*$T$7+Table1[[#This Row],[Beta]]*($T$6-$T$8)+$T$8</f>
        <v>7.5196000000000013E-2</v>
      </c>
      <c r="J143" s="42">
        <v>2821252.83</v>
      </c>
      <c r="K143" s="56">
        <f>Table1[[#This Row],[Investment]]/Table1[[#This Row],[Dollar Volume]]</f>
        <v>1.1214137968041975E-2</v>
      </c>
      <c r="L143" s="34">
        <f>IFERROR(MAX($T$11+$T$12*LN(Table1[[#This Row],[Frac ADV]]),0),0)*0.0001+0.005/Table1[[#This Row],[Stock Price]]+Table1[[#This Row],[Expense Ratio]]</f>
        <v>1.2623947367919074E-2</v>
      </c>
      <c r="M143" s="24">
        <f>(Table1[[#This Row],[Expected Return]]-Table1[[#This Row],[Tcosts]])*Table1[[#This Row],[Investment]]</f>
        <v>176531.58056716729</v>
      </c>
      <c r="Q143" s="16" t="s">
        <v>653</v>
      </c>
    </row>
    <row r="144" spans="1:17" ht="14.4" x14ac:dyDescent="0.3">
      <c r="A144" s="2" t="s">
        <v>654</v>
      </c>
      <c r="B144" s="10" t="s">
        <v>655</v>
      </c>
      <c r="C144" s="11">
        <v>113.28</v>
      </c>
      <c r="D144" s="11" t="s">
        <v>656</v>
      </c>
      <c r="E144" s="12">
        <v>3.5000000000000001E-3</v>
      </c>
      <c r="F144" s="11">
        <v>0.52</v>
      </c>
      <c r="G144" s="3">
        <f t="shared" si="8"/>
        <v>87610000</v>
      </c>
      <c r="H144" s="3" t="b">
        <f t="shared" si="9"/>
        <v>0</v>
      </c>
      <c r="I144" s="26">
        <f>Table1[[#This Row],[Tech]]*$T$7+Table1[[#This Row],[Beta]]*($T$6-$T$8)+$T$8</f>
        <v>6.9472000000000006E-2</v>
      </c>
      <c r="J144" s="42">
        <v>2615064.2599999998</v>
      </c>
      <c r="K144" s="56">
        <f>Table1[[#This Row],[Investment]]/Table1[[#This Row],[Dollar Volume]]</f>
        <v>2.9848924323707338E-2</v>
      </c>
      <c r="L144" s="34">
        <f>IFERROR(MAX($T$11+$T$12*LN(Table1[[#This Row],[Frac ADV]]),0),0)*0.0001+0.005/Table1[[#This Row],[Stock Price]]+Table1[[#This Row],[Expense Ratio]]</f>
        <v>1.7599911843459774E-2</v>
      </c>
      <c r="M144" s="24">
        <f>(Table1[[#This Row],[Expected Return]]-Table1[[#This Row],[Tcosts]])*Table1[[#This Row],[Investment]]</f>
        <v>135648.84382973766</v>
      </c>
      <c r="Q144" s="13" t="s">
        <v>657</v>
      </c>
    </row>
    <row r="145" spans="1:17" ht="14.4" x14ac:dyDescent="0.3">
      <c r="A145" s="4" t="s">
        <v>658</v>
      </c>
      <c r="B145" s="14" t="s">
        <v>659</v>
      </c>
      <c r="C145" s="6">
        <v>45.25</v>
      </c>
      <c r="D145" s="6" t="s">
        <v>354</v>
      </c>
      <c r="E145" s="15">
        <v>8.0000000000000004E-4</v>
      </c>
      <c r="F145" s="6">
        <v>0.32</v>
      </c>
      <c r="G145" s="3">
        <f t="shared" si="8"/>
        <v>178060000</v>
      </c>
      <c r="H145" s="3" t="b">
        <f t="shared" si="9"/>
        <v>0</v>
      </c>
      <c r="I145" s="26">
        <f>Table1[[#This Row],[Tech]]*$T$7+Table1[[#This Row],[Beta]]*($T$6-$T$8)+$T$8</f>
        <v>5.6752000000000004E-2</v>
      </c>
      <c r="J145" s="42">
        <v>2594010.36</v>
      </c>
      <c r="K145" s="56">
        <f>Table1[[#This Row],[Investment]]/Table1[[#This Row],[Dollar Volume]]</f>
        <v>1.4568181287206558E-2</v>
      </c>
      <c r="L145" s="34">
        <f>IFERROR(MAX($T$11+$T$12*LN(Table1[[#This Row],[Frac ADV]]),0),0)*0.0001+0.005/Table1[[#This Row],[Stock Price]]+Table1[[#This Row],[Expense Ratio]]</f>
        <v>1.1452743628251874E-2</v>
      </c>
      <c r="M145" s="24">
        <f>(Table1[[#This Row],[Expected Return]]-Table1[[#This Row],[Tcosts]])*Table1[[#This Row],[Investment]]</f>
        <v>117506.74032861066</v>
      </c>
      <c r="Q145" s="16" t="s">
        <v>660</v>
      </c>
    </row>
    <row r="146" spans="1:17" ht="14.4" x14ac:dyDescent="0.3">
      <c r="A146" s="4" t="s">
        <v>661</v>
      </c>
      <c r="B146" s="14" t="s">
        <v>662</v>
      </c>
      <c r="C146" s="6">
        <v>60.86</v>
      </c>
      <c r="D146" s="6" t="s">
        <v>663</v>
      </c>
      <c r="E146" s="15">
        <v>7.1999999999999998E-3</v>
      </c>
      <c r="F146" s="6">
        <v>0.71</v>
      </c>
      <c r="G146" s="3">
        <f t="shared" si="8"/>
        <v>226700000</v>
      </c>
      <c r="H146" s="3" t="b">
        <f t="shared" si="9"/>
        <v>0</v>
      </c>
      <c r="I146" s="26">
        <f>Table1[[#This Row],[Tech]]*$T$7+Table1[[#This Row],[Beta]]*($T$6-$T$8)+$T$8</f>
        <v>8.1556000000000003E-2</v>
      </c>
      <c r="J146" s="42">
        <v>2108397.09</v>
      </c>
      <c r="K146" s="56">
        <f>Table1[[#This Row],[Investment]]/Table1[[#This Row],[Dollar Volume]]</f>
        <v>9.3003841640935149E-3</v>
      </c>
      <c r="L146" s="34">
        <f>IFERROR(MAX($T$11+$T$12*LN(Table1[[#This Row],[Frac ADV]]),0),0)*0.0001+0.005/Table1[[#This Row],[Stock Price]]+Table1[[#This Row],[Expense Ratio]]</f>
        <v>1.5626165472215094E-2</v>
      </c>
      <c r="M146" s="24">
        <f>(Table1[[#This Row],[Expected Return]]-Table1[[#This Row],[Tcosts]])*Table1[[#This Row],[Investment]]</f>
        <v>139006.27126256321</v>
      </c>
      <c r="Q146" s="13" t="s">
        <v>664</v>
      </c>
    </row>
    <row r="147" spans="1:17" ht="14.4" x14ac:dyDescent="0.3">
      <c r="A147" s="4" t="s">
        <v>665</v>
      </c>
      <c r="B147" s="14" t="s">
        <v>666</v>
      </c>
      <c r="C147" s="6">
        <v>98.28</v>
      </c>
      <c r="D147" s="6" t="s">
        <v>667</v>
      </c>
      <c r="E147" s="15">
        <v>5.1000000000000004E-3</v>
      </c>
      <c r="F147" s="6">
        <v>0.53</v>
      </c>
      <c r="G147" s="3">
        <f t="shared" si="8"/>
        <v>126850000</v>
      </c>
      <c r="H147" s="3" t="b">
        <f t="shared" si="9"/>
        <v>0</v>
      </c>
      <c r="I147" s="26">
        <f>Table1[[#This Row],[Tech]]*$T$7+Table1[[#This Row],[Beta]]*($T$6-$T$8)+$T$8</f>
        <v>7.0108000000000004E-2</v>
      </c>
      <c r="J147" s="42">
        <v>2017488.03</v>
      </c>
      <c r="K147" s="56">
        <f>Table1[[#This Row],[Investment]]/Table1[[#This Row],[Dollar Volume]]</f>
        <v>1.5904517382735513E-2</v>
      </c>
      <c r="L147" s="34">
        <f>IFERROR(MAX($T$11+$T$12*LN(Table1[[#This Row],[Frac ADV]]),0),0)*0.0001+0.005/Table1[[#This Row],[Stock Price]]+Table1[[#This Row],[Expense Ratio]]</f>
        <v>1.6123004590798219E-2</v>
      </c>
      <c r="M147" s="24">
        <f>(Table1[[#This Row],[Expected Return]]-Table1[[#This Row],[Tcosts]])*Table1[[#This Row],[Investment]]</f>
        <v>108914.08203766955</v>
      </c>
      <c r="Q147" s="16" t="s">
        <v>668</v>
      </c>
    </row>
    <row r="148" spans="1:17" ht="14.4" x14ac:dyDescent="0.3">
      <c r="A148" s="2" t="s">
        <v>669</v>
      </c>
      <c r="B148" s="10" t="s">
        <v>670</v>
      </c>
      <c r="C148" s="11">
        <v>93.25</v>
      </c>
      <c r="D148" s="11" t="s">
        <v>671</v>
      </c>
      <c r="E148" s="12">
        <v>1.2999999999999999E-3</v>
      </c>
      <c r="F148" s="11">
        <v>0.42</v>
      </c>
      <c r="G148" s="3">
        <f t="shared" si="8"/>
        <v>61790000</v>
      </c>
      <c r="H148" s="3" t="b">
        <f t="shared" si="9"/>
        <v>0</v>
      </c>
      <c r="I148" s="26">
        <f>Table1[[#This Row],[Tech]]*$T$7+Table1[[#This Row],[Beta]]*($T$6-$T$8)+$T$8</f>
        <v>6.3112000000000001E-2</v>
      </c>
      <c r="J148" s="42">
        <v>1817154.52</v>
      </c>
      <c r="K148" s="56">
        <f>Table1[[#This Row],[Investment]]/Table1[[#This Row],[Dollar Volume]]</f>
        <v>2.9408553487619355E-2</v>
      </c>
      <c r="L148" s="34">
        <f>IFERROR(MAX($T$11+$T$12*LN(Table1[[#This Row],[Frac ADV]]),0),0)*0.0001+0.005/Table1[[#This Row],[Stock Price]]+Table1[[#This Row],[Expense Ratio]]</f>
        <v>1.5336589541943991E-2</v>
      </c>
      <c r="M148" s="24">
        <f>(Table1[[#This Row],[Expected Return]]-Table1[[#This Row],[Tcosts]])*Table1[[#This Row],[Investment]]</f>
        <v>86815.303058711754</v>
      </c>
      <c r="Q148" s="13" t="s">
        <v>672</v>
      </c>
    </row>
    <row r="149" spans="1:17" ht="14.4" x14ac:dyDescent="0.3">
      <c r="A149" s="2" t="s">
        <v>673</v>
      </c>
      <c r="B149" s="10" t="s">
        <v>674</v>
      </c>
      <c r="C149" s="11">
        <v>31.34</v>
      </c>
      <c r="D149" s="11" t="s">
        <v>675</v>
      </c>
      <c r="E149" s="12">
        <v>5.9999999999999995E-4</v>
      </c>
      <c r="F149" s="11">
        <v>0.55000000000000004</v>
      </c>
      <c r="G149" s="3">
        <f t="shared" si="8"/>
        <v>722670000</v>
      </c>
      <c r="H149" s="3" t="b">
        <f t="shared" si="9"/>
        <v>0</v>
      </c>
      <c r="I149" s="26">
        <f>Table1[[#This Row],[Tech]]*$T$7+Table1[[#This Row],[Beta]]*($T$6-$T$8)+$T$8</f>
        <v>7.1379999999999999E-2</v>
      </c>
      <c r="J149" s="42">
        <v>1402501.66</v>
      </c>
      <c r="K149" s="56">
        <f>Table1[[#This Row],[Investment]]/Table1[[#This Row],[Dollar Volume]]</f>
        <v>1.9407221276654626E-3</v>
      </c>
      <c r="L149" s="34">
        <f>IFERROR(MAX($T$11+$T$12*LN(Table1[[#This Row],[Frac ADV]]),0),0)*0.0001+0.005/Table1[[#This Row],[Stock Price]]+Table1[[#This Row],[Expense Ratio]]</f>
        <v>1.4280837545861953E-3</v>
      </c>
      <c r="M149" s="24">
        <f>(Table1[[#This Row],[Expected Return]]-Table1[[#This Row],[Tcosts]])*Table1[[#This Row],[Investment]]</f>
        <v>98107.678654373827</v>
      </c>
      <c r="Q149" s="16" t="s">
        <v>676</v>
      </c>
    </row>
    <row r="150" spans="1:17" ht="14.4" x14ac:dyDescent="0.3">
      <c r="A150" s="2" t="s">
        <v>677</v>
      </c>
      <c r="B150" s="10" t="s">
        <v>678</v>
      </c>
      <c r="C150" s="11">
        <v>154.11000000000001</v>
      </c>
      <c r="D150" s="11" t="s">
        <v>679</v>
      </c>
      <c r="E150" s="12">
        <v>3.5000000000000001E-3</v>
      </c>
      <c r="F150" s="11">
        <v>0.48</v>
      </c>
      <c r="G150" s="3">
        <f t="shared" si="8"/>
        <v>102790000</v>
      </c>
      <c r="H150" s="3" t="b">
        <f t="shared" si="9"/>
        <v>0</v>
      </c>
      <c r="I150" s="26">
        <f>Table1[[#This Row],[Tech]]*$T$7+Table1[[#This Row],[Beta]]*($T$6-$T$8)+$T$8</f>
        <v>6.6928000000000001E-2</v>
      </c>
      <c r="J150" s="42">
        <v>1082028.57</v>
      </c>
      <c r="K150" s="56">
        <f>Table1[[#This Row],[Investment]]/Table1[[#This Row],[Dollar Volume]]</f>
        <v>1.0526593734799106E-2</v>
      </c>
      <c r="L150" s="34">
        <f>IFERROR(MAX($T$11+$T$12*LN(Table1[[#This Row],[Frac ADV]]),0),0)*0.0001+0.005/Table1[[#This Row],[Stock Price]]+Table1[[#This Row],[Expense Ratio]]</f>
        <v>1.2483092341132495E-2</v>
      </c>
      <c r="M150" s="24">
        <f>(Table1[[#This Row],[Expected Return]]-Table1[[#This Row],[Tcosts]])*Table1[[#This Row],[Investment]]</f>
        <v>58910.945577906452</v>
      </c>
      <c r="Q150" s="13" t="s">
        <v>680</v>
      </c>
    </row>
    <row r="151" spans="1:17" ht="14.4" x14ac:dyDescent="0.3">
      <c r="A151" s="4" t="s">
        <v>681</v>
      </c>
      <c r="B151" s="14" t="s">
        <v>682</v>
      </c>
      <c r="C151" s="6">
        <v>95.19</v>
      </c>
      <c r="D151" s="6" t="s">
        <v>683</v>
      </c>
      <c r="E151" s="15">
        <v>1.5E-3</v>
      </c>
      <c r="F151" s="6">
        <v>0.49</v>
      </c>
      <c r="G151" s="3">
        <f t="shared" si="8"/>
        <v>72150000</v>
      </c>
      <c r="H151" s="3" t="b">
        <f t="shared" si="9"/>
        <v>0</v>
      </c>
      <c r="I151" s="26">
        <f>Table1[[#This Row],[Tech]]*$T$7+Table1[[#This Row],[Beta]]*($T$6-$T$8)+$T$8</f>
        <v>6.7563999999999999E-2</v>
      </c>
      <c r="J151" s="42">
        <v>871468.01</v>
      </c>
      <c r="K151" s="56">
        <f>Table1[[#This Row],[Investment]]/Table1[[#This Row],[Dollar Volume]]</f>
        <v>1.2078558697158697E-2</v>
      </c>
      <c r="L151" s="34">
        <f>IFERROR(MAX($T$11+$T$12*LN(Table1[[#This Row],[Frac ADV]]),0),0)*0.0001+0.005/Table1[[#This Row],[Stock Price]]+Table1[[#This Row],[Expense Ratio]]</f>
        <v>1.1176810423083201E-2</v>
      </c>
      <c r="M151" s="24">
        <f>(Table1[[#This Row],[Expected Return]]-Table1[[#This Row],[Tcosts]])*Table1[[#This Row],[Investment]]</f>
        <v>49139.631890088422</v>
      </c>
      <c r="Q151" s="16" t="s">
        <v>684</v>
      </c>
    </row>
    <row r="152" spans="1:17" ht="14.4" x14ac:dyDescent="0.3">
      <c r="A152" s="4" t="s">
        <v>685</v>
      </c>
      <c r="B152" s="14" t="s">
        <v>686</v>
      </c>
      <c r="C152" s="6">
        <v>89.21</v>
      </c>
      <c r="D152" s="6" t="s">
        <v>687</v>
      </c>
      <c r="E152" s="15">
        <v>8.0000000000000004E-4</v>
      </c>
      <c r="F152" s="6">
        <v>0.21</v>
      </c>
      <c r="G152" s="3">
        <f t="shared" si="8"/>
        <v>157240000</v>
      </c>
      <c r="H152" s="3" t="b">
        <f t="shared" si="9"/>
        <v>0</v>
      </c>
      <c r="I152" s="26">
        <f>Table1[[#This Row],[Tech]]*$T$7+Table1[[#This Row],[Beta]]*($T$6-$T$8)+$T$8</f>
        <v>4.9756000000000002E-2</v>
      </c>
      <c r="J152" s="42">
        <v>690503.98</v>
      </c>
      <c r="K152" s="56">
        <f>Table1[[#This Row],[Investment]]/Table1[[#This Row],[Dollar Volume]]</f>
        <v>4.3914015517679981E-3</v>
      </c>
      <c r="L152" s="34">
        <f>IFERROR(MAX($T$11+$T$12*LN(Table1[[#This Row],[Frac ADV]]),0),0)*0.0001+0.005/Table1[[#This Row],[Stock Price]]+Table1[[#This Row],[Expense Ratio]]</f>
        <v>5.5244081433903428E-3</v>
      </c>
      <c r="M152" s="24">
        <f>(Table1[[#This Row],[Expected Return]]-Table1[[#This Row],[Tcosts]])*Table1[[#This Row],[Investment]]</f>
        <v>30542.090218724559</v>
      </c>
      <c r="Q152" s="13" t="s">
        <v>688</v>
      </c>
    </row>
    <row r="153" spans="1:17" ht="14.4" x14ac:dyDescent="0.3">
      <c r="A153" s="4" t="s">
        <v>689</v>
      </c>
      <c r="B153" s="14" t="s">
        <v>690</v>
      </c>
      <c r="C153" s="6">
        <v>80.790000000000006</v>
      </c>
      <c r="D153" s="6" t="s">
        <v>691</v>
      </c>
      <c r="E153" s="15">
        <v>4.8999999999999998E-3</v>
      </c>
      <c r="F153" s="6">
        <v>0.2</v>
      </c>
      <c r="G153" s="3">
        <f t="shared" si="8"/>
        <v>113530000</v>
      </c>
      <c r="H153" s="3" t="b">
        <f t="shared" si="9"/>
        <v>0</v>
      </c>
      <c r="I153" s="26">
        <f>Table1[[#This Row],[Tech]]*$T$7+Table1[[#This Row],[Beta]]*($T$6-$T$8)+$T$8</f>
        <v>4.9120000000000004E-2</v>
      </c>
      <c r="J153" s="42">
        <v>292067.68</v>
      </c>
      <c r="K153" s="56">
        <f>Table1[[#This Row],[Investment]]/Table1[[#This Row],[Dollar Volume]]</f>
        <v>2.5726035409142957E-3</v>
      </c>
      <c r="L153" s="34">
        <f>IFERROR(MAX($T$11+$T$12*LN(Table1[[#This Row],[Frac ADV]]),0),0)*0.0001+0.005/Table1[[#This Row],[Stock Price]]+Table1[[#This Row],[Expense Ratio]]</f>
        <v>7.0110319917277043E-3</v>
      </c>
      <c r="M153" s="24">
        <f>(Table1[[#This Row],[Expected Return]]-Table1[[#This Row],[Tcosts]])*Table1[[#This Row],[Investment]]</f>
        <v>12298.66859337031</v>
      </c>
      <c r="Q153" s="16" t="s">
        <v>692</v>
      </c>
    </row>
    <row r="154" spans="1:17" ht="14.4" x14ac:dyDescent="0.3">
      <c r="A154" s="2" t="s">
        <v>693</v>
      </c>
      <c r="B154" s="10" t="s">
        <v>694</v>
      </c>
      <c r="C154" s="11">
        <v>37.450000000000003</v>
      </c>
      <c r="D154" s="11" t="s">
        <v>695</v>
      </c>
      <c r="E154" s="12">
        <v>8.0000000000000004E-4</v>
      </c>
      <c r="F154" s="11">
        <v>0.21</v>
      </c>
      <c r="G154" s="3">
        <f t="shared" si="8"/>
        <v>112700000</v>
      </c>
      <c r="H154" s="3" t="b">
        <f t="shared" si="9"/>
        <v>0</v>
      </c>
      <c r="I154" s="26">
        <f>Table1[[#This Row],[Tech]]*$T$7+Table1[[#This Row],[Beta]]*($T$6-$T$8)+$T$8</f>
        <v>4.9756000000000002E-2</v>
      </c>
      <c r="J154" s="42">
        <v>116728.27</v>
      </c>
      <c r="K154" s="56">
        <f>Table1[[#This Row],[Investment]]/Table1[[#This Row],[Dollar Volume]]</f>
        <v>1.0357433007985803E-3</v>
      </c>
      <c r="L154" s="34">
        <f>IFERROR(MAX($T$11+$T$12*LN(Table1[[#This Row],[Frac ADV]]),0),0)*0.0001+0.005/Table1[[#This Row],[Stock Price]]+Table1[[#This Row],[Expense Ratio]]</f>
        <v>9.3351134846461951E-4</v>
      </c>
      <c r="M154" s="24">
        <f>(Table1[[#This Row],[Expected Return]]-Table1[[#This Row],[Tcosts]])*Table1[[#This Row],[Investment]]</f>
        <v>5698.9646373883588</v>
      </c>
      <c r="Q154" s="13" t="s">
        <v>696</v>
      </c>
    </row>
    <row r="155" spans="1:17" ht="14.4" x14ac:dyDescent="0.3">
      <c r="A155" s="4" t="s">
        <v>697</v>
      </c>
      <c r="B155" s="14" t="s">
        <v>698</v>
      </c>
      <c r="C155" s="6">
        <v>50.71</v>
      </c>
      <c r="D155" s="6" t="s">
        <v>699</v>
      </c>
      <c r="E155" s="15">
        <v>2E-3</v>
      </c>
      <c r="F155" s="6">
        <v>0.05</v>
      </c>
      <c r="G155" s="3">
        <f t="shared" si="8"/>
        <v>76130000</v>
      </c>
      <c r="H155" s="3" t="b">
        <f t="shared" si="9"/>
        <v>0</v>
      </c>
      <c r="I155" s="26">
        <f>Table1[[#This Row],[Tech]]*$T$7+Table1[[#This Row],[Beta]]*($T$6-$T$8)+$T$8</f>
        <v>3.9580000000000004E-2</v>
      </c>
      <c r="J155" s="42">
        <v>92232.07</v>
      </c>
      <c r="K155" s="56">
        <f>Table1[[#This Row],[Investment]]/Table1[[#This Row],[Dollar Volume]]</f>
        <v>1.2115075528700908E-3</v>
      </c>
      <c r="L155" s="34">
        <f>IFERROR(MAX($T$11+$T$12*LN(Table1[[#This Row],[Frac ADV]]),0),0)*0.0001+0.005/Table1[[#This Row],[Stock Price]]+Table1[[#This Row],[Expense Ratio]]</f>
        <v>2.0985998816801421E-3</v>
      </c>
      <c r="M155" s="24">
        <f>(Table1[[#This Row],[Expected Return]]-Table1[[#This Row],[Tcosts]])*Table1[[#This Row],[Investment]]</f>
        <v>3456.987119410886</v>
      </c>
      <c r="Q155" s="16" t="s">
        <v>700</v>
      </c>
    </row>
    <row r="156" spans="1:17" ht="14.4" x14ac:dyDescent="0.3">
      <c r="A156" s="2" t="s">
        <v>701</v>
      </c>
      <c r="B156" s="10" t="s">
        <v>702</v>
      </c>
      <c r="C156" s="11">
        <v>53.11</v>
      </c>
      <c r="D156" s="11" t="s">
        <v>703</v>
      </c>
      <c r="E156" s="12">
        <v>4.0000000000000001E-3</v>
      </c>
      <c r="F156" s="11">
        <v>7.0000000000000007E-2</v>
      </c>
      <c r="G156" s="3">
        <f t="shared" si="8"/>
        <v>117390000</v>
      </c>
      <c r="H156" s="3" t="b">
        <f t="shared" si="9"/>
        <v>0</v>
      </c>
      <c r="I156" s="26">
        <f>Table1[[#This Row],[Tech]]*$T$7+Table1[[#This Row],[Beta]]*($T$6-$T$8)+$T$8</f>
        <v>4.0851999999999999E-2</v>
      </c>
      <c r="J156" s="42">
        <v>70572.38</v>
      </c>
      <c r="K156" s="56">
        <f>Table1[[#This Row],[Investment]]/Table1[[#This Row],[Dollar Volume]]</f>
        <v>6.011788056904336E-4</v>
      </c>
      <c r="L156" s="34">
        <f>IFERROR(MAX($T$11+$T$12*LN(Table1[[#This Row],[Frac ADV]]),0),0)*0.0001+0.005/Table1[[#This Row],[Stock Price]]+Table1[[#This Row],[Expense Ratio]]</f>
        <v>4.0941442289587652E-3</v>
      </c>
      <c r="M156" s="24">
        <f>(Table1[[#This Row],[Expected Return]]-Table1[[#This Row],[Tcosts]])*Table1[[#This Row],[Investment]]</f>
        <v>2594.0893654591155</v>
      </c>
      <c r="Q156" s="13" t="s">
        <v>704</v>
      </c>
    </row>
    <row r="157" spans="1:17" ht="14.4" x14ac:dyDescent="0.3">
      <c r="A157" s="4" t="s">
        <v>705</v>
      </c>
      <c r="B157" s="14" t="s">
        <v>706</v>
      </c>
      <c r="C157" s="6">
        <v>97.25</v>
      </c>
      <c r="D157" s="6" t="s">
        <v>707</v>
      </c>
      <c r="E157" s="15">
        <v>3.8999999999999998E-3</v>
      </c>
      <c r="F157" s="6">
        <v>0.14000000000000001</v>
      </c>
      <c r="G157" s="3">
        <f t="shared" si="8"/>
        <v>202270000</v>
      </c>
      <c r="H157" s="3" t="b">
        <f t="shared" si="9"/>
        <v>0</v>
      </c>
      <c r="I157" s="26">
        <f>Table1[[#This Row],[Tech]]*$T$7+Table1[[#This Row],[Beta]]*($T$6-$T$8)+$T$8</f>
        <v>4.5304000000000004E-2</v>
      </c>
      <c r="J157" s="42">
        <v>69323.490000000005</v>
      </c>
      <c r="K157" s="56">
        <f>Table1[[#This Row],[Investment]]/Table1[[#This Row],[Dollar Volume]]</f>
        <v>3.4272749295496122E-4</v>
      </c>
      <c r="L157" s="34">
        <f>IFERROR(MAX($T$11+$T$12*LN(Table1[[#This Row],[Frac ADV]]),0),0)*0.0001+0.005/Table1[[#This Row],[Stock Price]]+Table1[[#This Row],[Expense Ratio]]</f>
        <v>3.9514138817480721E-3</v>
      </c>
      <c r="M157" s="24">
        <f>(Table1[[#This Row],[Expected Return]]-Table1[[#This Row],[Tcosts]])*Table1[[#This Row],[Investment]]</f>
        <v>2866.7055902427769</v>
      </c>
      <c r="Q157" s="16" t="s">
        <v>708</v>
      </c>
    </row>
    <row r="158" spans="1:17" ht="14.4" x14ac:dyDescent="0.3">
      <c r="A158" s="2" t="s">
        <v>709</v>
      </c>
      <c r="B158" s="10" t="s">
        <v>710</v>
      </c>
      <c r="C158" s="11">
        <v>31.48</v>
      </c>
      <c r="D158" s="11" t="s">
        <v>711</v>
      </c>
      <c r="E158" s="12">
        <v>4.4999999999999997E-3</v>
      </c>
      <c r="F158" s="11">
        <v>0.33</v>
      </c>
      <c r="G158" s="3">
        <f t="shared" si="8"/>
        <v>150780000</v>
      </c>
      <c r="H158" s="3" t="b">
        <f t="shared" si="9"/>
        <v>0</v>
      </c>
      <c r="I158" s="26">
        <f>Table1[[#This Row],[Tech]]*$T$7+Table1[[#This Row],[Beta]]*($T$6-$T$8)+$T$8</f>
        <v>5.7388000000000008E-2</v>
      </c>
      <c r="J158" s="42">
        <v>59490.38</v>
      </c>
      <c r="K158" s="56">
        <f>Table1[[#This Row],[Investment]]/Table1[[#This Row],[Dollar Volume]]</f>
        <v>3.9455086881549277E-4</v>
      </c>
      <c r="L158" s="34">
        <f>IFERROR(MAX($T$11+$T$12*LN(Table1[[#This Row],[Frac ADV]]),0),0)*0.0001+0.005/Table1[[#This Row],[Stock Price]]+Table1[[#This Row],[Expense Ratio]]</f>
        <v>4.6588310038119434E-3</v>
      </c>
      <c r="M158" s="24">
        <f>(Table1[[#This Row],[Expected Return]]-Table1[[#This Row],[Tcosts]])*Table1[[#This Row],[Investment]]</f>
        <v>3136.8783006674462</v>
      </c>
      <c r="Q158" s="13" t="s">
        <v>712</v>
      </c>
    </row>
    <row r="159" spans="1:17" ht="14.4" x14ac:dyDescent="0.3">
      <c r="A159" s="2" t="s">
        <v>713</v>
      </c>
      <c r="B159" s="10" t="s">
        <v>714</v>
      </c>
      <c r="C159" s="11">
        <v>100.48</v>
      </c>
      <c r="D159" s="11" t="s">
        <v>715</v>
      </c>
      <c r="E159" s="12">
        <v>8.9999999999999998E-4</v>
      </c>
      <c r="F159" s="11">
        <v>0.01</v>
      </c>
      <c r="G159" s="3">
        <f t="shared" si="8"/>
        <v>34700000</v>
      </c>
      <c r="H159" s="3" t="b">
        <f t="shared" si="9"/>
        <v>0</v>
      </c>
      <c r="I159" s="26">
        <f>Table1[[#This Row],[Tech]]*$T$7+Table1[[#This Row],[Beta]]*($T$6-$T$8)+$T$8</f>
        <v>3.7035999999999999E-2</v>
      </c>
      <c r="J159" s="42">
        <v>50472.35</v>
      </c>
      <c r="K159" s="56">
        <f>Table1[[#This Row],[Investment]]/Table1[[#This Row],[Dollar Volume]]</f>
        <v>1.4545345821325648E-3</v>
      </c>
      <c r="L159" s="34">
        <f>IFERROR(MAX($T$11+$T$12*LN(Table1[[#This Row],[Frac ADV]]),0),0)*0.0001+0.005/Table1[[#This Row],[Stock Price]]+Table1[[#This Row],[Expense Ratio]]</f>
        <v>9.4976114649681525E-4</v>
      </c>
      <c r="M159" s="24">
        <f>(Table1[[#This Row],[Expected Return]]-Table1[[#This Row],[Tcosts]])*Table1[[#This Row],[Investment]]</f>
        <v>1821.3572775976113</v>
      </c>
      <c r="Q159" s="16" t="s">
        <v>716</v>
      </c>
    </row>
    <row r="160" spans="1:17" ht="14.4" x14ac:dyDescent="0.3">
      <c r="A160" s="2" t="s">
        <v>717</v>
      </c>
      <c r="B160" s="10" t="s">
        <v>718</v>
      </c>
      <c r="C160" s="11">
        <v>53.05</v>
      </c>
      <c r="D160" s="11" t="s">
        <v>719</v>
      </c>
      <c r="E160" s="12">
        <v>4.0000000000000002E-4</v>
      </c>
      <c r="F160" s="11">
        <v>0</v>
      </c>
      <c r="G160" s="3">
        <f t="shared" si="8"/>
        <v>61090000</v>
      </c>
      <c r="H160" s="3" t="b">
        <f t="shared" si="9"/>
        <v>0</v>
      </c>
      <c r="I160" s="26">
        <f>Table1[[#This Row],[Tech]]*$T$7+Table1[[#This Row],[Beta]]*($T$6-$T$8)+$T$8</f>
        <v>3.6400000000000002E-2</v>
      </c>
      <c r="J160" s="42">
        <v>45066.58</v>
      </c>
      <c r="K160" s="56">
        <f>Table1[[#This Row],[Investment]]/Table1[[#This Row],[Dollar Volume]]</f>
        <v>7.3770797184481913E-4</v>
      </c>
      <c r="L160" s="34">
        <f>IFERROR(MAX($T$11+$T$12*LN(Table1[[#This Row],[Frac ADV]]),0),0)*0.0001+0.005/Table1[[#This Row],[Stock Price]]+Table1[[#This Row],[Expense Ratio]]</f>
        <v>4.9425070688030159E-4</v>
      </c>
      <c r="M160" s="24">
        <f>(Table1[[#This Row],[Expected Return]]-Table1[[#This Row],[Tcosts]])*Table1[[#This Row],[Investment]]</f>
        <v>1618.1493229783225</v>
      </c>
      <c r="Q160" s="13" t="s">
        <v>720</v>
      </c>
    </row>
    <row r="161" spans="1:17" ht="14.4" x14ac:dyDescent="0.3">
      <c r="A161" s="4" t="s">
        <v>721</v>
      </c>
      <c r="B161" s="14" t="s">
        <v>722</v>
      </c>
      <c r="C161" s="6">
        <v>52.14</v>
      </c>
      <c r="D161" s="6" t="s">
        <v>703</v>
      </c>
      <c r="E161" s="15">
        <v>4.0000000000000002E-4</v>
      </c>
      <c r="F161" s="6">
        <v>0</v>
      </c>
      <c r="G161" s="3">
        <f t="shared" si="8"/>
        <v>130580000.00000001</v>
      </c>
      <c r="H161" s="3" t="b">
        <f t="shared" si="9"/>
        <v>0</v>
      </c>
      <c r="I161" s="26">
        <f>Table1[[#This Row],[Tech]]*$T$7+Table1[[#This Row],[Beta]]*($T$6-$T$8)+$T$8</f>
        <v>3.6400000000000002E-2</v>
      </c>
      <c r="J161" s="42">
        <v>45014.49</v>
      </c>
      <c r="K161" s="56">
        <f>Table1[[#This Row],[Investment]]/Table1[[#This Row],[Dollar Volume]]</f>
        <v>3.4472729361311068E-4</v>
      </c>
      <c r="L161" s="34">
        <f>IFERROR(MAX($T$11+$T$12*LN(Table1[[#This Row],[Frac ADV]]),0),0)*0.0001+0.005/Table1[[#This Row],[Stock Price]]+Table1[[#This Row],[Expense Ratio]]</f>
        <v>4.9589566551591874E-4</v>
      </c>
      <c r="M161" s="24">
        <f>(Table1[[#This Row],[Expected Return]]-Table1[[#This Row],[Tcosts]])*Table1[[#This Row],[Investment]]</f>
        <v>1616.2049455235904</v>
      </c>
      <c r="Q161" s="16" t="s">
        <v>723</v>
      </c>
    </row>
    <row r="162" spans="1:17" ht="14.4" x14ac:dyDescent="0.3">
      <c r="A162" s="4" t="s">
        <v>724</v>
      </c>
      <c r="B162" s="14" t="s">
        <v>725</v>
      </c>
      <c r="C162" s="6">
        <v>91.47</v>
      </c>
      <c r="D162" s="6" t="s">
        <v>726</v>
      </c>
      <c r="E162" s="15">
        <v>1.4E-3</v>
      </c>
      <c r="F162" s="6">
        <v>0.01</v>
      </c>
      <c r="G162" s="3">
        <f t="shared" ref="G162:G193" si="10">IF(RIGHT(Q162,1)="B", VALUE(SUBSTITUTE(Q162,"B",""))*1000000000,
 IF(RIGHT(Q162,1)="M", VALUE(SUBSTITUTE(Q162,"M",""))*1000000, VALUE(Q162)))</f>
        <v>462550000</v>
      </c>
      <c r="H162" s="3" t="b">
        <f t="shared" ref="H162:H193" si="11">OR(
  ISNUMBER(SEARCH("technology",B162)),
  ISNUMBER(SEARCH("tech",B162)),
  ISNUMBER(SEARCH("qqq",B162)),
  ISNUMBER(SEARCH("semiconductor",B162)),
  ISNUMBER(SEARCH("information technology",B162)),
  ISNUMBER(SEARCH("nasdaq",B162)),
  ISNUMBER(SEARCH("communication",B162))
)</f>
        <v>0</v>
      </c>
      <c r="I162" s="26">
        <f>Table1[[#This Row],[Tech]]*$T$7+Table1[[#This Row],[Beta]]*($T$6-$T$8)+$T$8</f>
        <v>3.7035999999999999E-2</v>
      </c>
      <c r="J162" s="42">
        <v>35355.339999999997</v>
      </c>
      <c r="K162" s="56">
        <f>Table1[[#This Row],[Investment]]/Table1[[#This Row],[Dollar Volume]]</f>
        <v>7.6435715057831573E-5</v>
      </c>
      <c r="L162" s="34">
        <f>IFERROR(MAX($T$11+$T$12*LN(Table1[[#This Row],[Frac ADV]]),0),0)*0.0001+0.005/Table1[[#This Row],[Stock Price]]+Table1[[#This Row],[Expense Ratio]]</f>
        <v>1.4546627309500384E-3</v>
      </c>
      <c r="M162" s="24">
        <f>(Table1[[#This Row],[Expected Return]]-Table1[[#This Row],[Tcosts]])*Table1[[#This Row],[Investment]]</f>
        <v>1257.9902768019326</v>
      </c>
      <c r="Q162" s="13" t="s">
        <v>727</v>
      </c>
    </row>
    <row r="163" spans="1:17" ht="14.4" x14ac:dyDescent="0.3">
      <c r="A163" s="2" t="s">
        <v>728</v>
      </c>
      <c r="B163" s="10" t="s">
        <v>729</v>
      </c>
      <c r="C163" s="11">
        <v>102.99</v>
      </c>
      <c r="D163" s="11" t="s">
        <v>730</v>
      </c>
      <c r="E163" s="12">
        <v>2.9999999999999997E-4</v>
      </c>
      <c r="F163" s="11">
        <v>-0.01</v>
      </c>
      <c r="G163" s="3">
        <f t="shared" si="10"/>
        <v>80470000</v>
      </c>
      <c r="H163" s="3" t="b">
        <f t="shared" si="11"/>
        <v>0</v>
      </c>
      <c r="I163" s="26">
        <f>Table1[[#This Row],[Tech]]*$T$7+Table1[[#This Row],[Beta]]*($T$6-$T$8)+$T$8</f>
        <v>3.5764000000000004E-2</v>
      </c>
      <c r="J163" s="42">
        <v>30395.03</v>
      </c>
      <c r="K163" s="56">
        <f>Table1[[#This Row],[Investment]]/Table1[[#This Row],[Dollar Volume]]</f>
        <v>3.7771877718404372E-4</v>
      </c>
      <c r="L163" s="34">
        <f>IFERROR(MAX($T$11+$T$12*LN(Table1[[#This Row],[Frac ADV]]),0),0)*0.0001+0.005/Table1[[#This Row],[Stock Price]]+Table1[[#This Row],[Expense Ratio]]</f>
        <v>3.4854840275754927E-4</v>
      </c>
      <c r="M163" s="24">
        <f>(Table1[[#This Row],[Expected Return]]-Table1[[#This Row],[Tcosts]])*Table1[[#This Row],[Investment]]</f>
        <v>1076.4537137617324</v>
      </c>
      <c r="Q163" s="16" t="s">
        <v>731</v>
      </c>
    </row>
    <row r="164" spans="1:17" ht="14.4" x14ac:dyDescent="0.3">
      <c r="A164" s="4" t="s">
        <v>732</v>
      </c>
      <c r="B164" s="14" t="s">
        <v>733</v>
      </c>
      <c r="C164" s="6">
        <v>79.97</v>
      </c>
      <c r="D164" s="6" t="s">
        <v>734</v>
      </c>
      <c r="E164" s="15">
        <v>2.9999999999999997E-4</v>
      </c>
      <c r="F164" s="6">
        <v>-0.01</v>
      </c>
      <c r="G164" s="3">
        <f t="shared" si="10"/>
        <v>90770000</v>
      </c>
      <c r="H164" s="3" t="b">
        <f t="shared" si="11"/>
        <v>0</v>
      </c>
      <c r="I164" s="26">
        <f>Table1[[#This Row],[Tech]]*$T$7+Table1[[#This Row],[Beta]]*($T$6-$T$8)+$T$8</f>
        <v>3.5764000000000004E-2</v>
      </c>
      <c r="J164" s="42">
        <v>29977.03</v>
      </c>
      <c r="K164" s="56">
        <f>Table1[[#This Row],[Investment]]/Table1[[#This Row],[Dollar Volume]]</f>
        <v>3.3025261650324993E-4</v>
      </c>
      <c r="L164" s="34">
        <f>IFERROR(MAX($T$11+$T$12*LN(Table1[[#This Row],[Frac ADV]]),0),0)*0.0001+0.005/Table1[[#This Row],[Stock Price]]+Table1[[#This Row],[Expense Ratio]]</f>
        <v>3.6252344629235963E-4</v>
      </c>
      <c r="M164" s="24">
        <f>(Table1[[#This Row],[Expected Return]]-Table1[[#This Row],[Tcosts]])*Table1[[#This Row],[Investment]]</f>
        <v>1061.2311246947907</v>
      </c>
      <c r="Q164" s="13" t="s">
        <v>735</v>
      </c>
    </row>
    <row r="165" spans="1:17" ht="14.4" x14ac:dyDescent="0.3">
      <c r="A165" s="2" t="s">
        <v>736</v>
      </c>
      <c r="B165" s="10" t="s">
        <v>737</v>
      </c>
      <c r="C165" s="11">
        <v>50.68</v>
      </c>
      <c r="D165" s="11" t="s">
        <v>738</v>
      </c>
      <c r="E165" s="12">
        <v>1.8E-3</v>
      </c>
      <c r="F165" s="11">
        <v>0.01</v>
      </c>
      <c r="G165" s="3">
        <f t="shared" si="10"/>
        <v>113530000</v>
      </c>
      <c r="H165" s="3" t="b">
        <f t="shared" si="11"/>
        <v>0</v>
      </c>
      <c r="I165" s="26">
        <f>Table1[[#This Row],[Tech]]*$T$7+Table1[[#This Row],[Beta]]*($T$6-$T$8)+$T$8</f>
        <v>3.7035999999999999E-2</v>
      </c>
      <c r="J165" s="42">
        <v>22069.72</v>
      </c>
      <c r="K165" s="56">
        <f>Table1[[#This Row],[Investment]]/Table1[[#This Row],[Dollar Volume]]</f>
        <v>1.9439549017880739E-4</v>
      </c>
      <c r="L165" s="34">
        <f>IFERROR(MAX($T$11+$T$12*LN(Table1[[#This Row],[Frac ADV]]),0),0)*0.0001+0.005/Table1[[#This Row],[Stock Price]]+Table1[[#This Row],[Expense Ratio]]</f>
        <v>1.8986582478295185E-3</v>
      </c>
      <c r="M165" s="24">
        <f>(Table1[[#This Row],[Expected Return]]-Table1[[#This Row],[Tcosts]])*Table1[[#This Row],[Investment]]</f>
        <v>775.47129401471193</v>
      </c>
      <c r="Q165" s="16" t="s">
        <v>692</v>
      </c>
    </row>
    <row r="166" spans="1:17" ht="14.4" x14ac:dyDescent="0.3">
      <c r="A166" s="4" t="s">
        <v>739</v>
      </c>
      <c r="B166" s="14" t="s">
        <v>740</v>
      </c>
      <c r="C166" s="6">
        <v>50.47</v>
      </c>
      <c r="D166" s="6" t="s">
        <v>741</v>
      </c>
      <c r="E166" s="15">
        <v>6.9999999999999999E-4</v>
      </c>
      <c r="F166" s="6">
        <v>-0.01</v>
      </c>
      <c r="G166" s="3">
        <f t="shared" si="10"/>
        <v>111170000</v>
      </c>
      <c r="H166" s="3" t="b">
        <f t="shared" si="11"/>
        <v>0</v>
      </c>
      <c r="I166" s="26">
        <f>Table1[[#This Row],[Tech]]*$T$7+Table1[[#This Row],[Beta]]*($T$6-$T$8)+$T$8</f>
        <v>3.5764000000000004E-2</v>
      </c>
      <c r="J166" s="42">
        <v>16904.849999999999</v>
      </c>
      <c r="K166" s="56">
        <f>Table1[[#This Row],[Investment]]/Table1[[#This Row],[Dollar Volume]]</f>
        <v>1.5206305658001259E-4</v>
      </c>
      <c r="L166" s="34">
        <f>IFERROR(MAX($T$11+$T$12*LN(Table1[[#This Row],[Frac ADV]]),0),0)*0.0001+0.005/Table1[[#This Row],[Stock Price]]+Table1[[#This Row],[Expense Ratio]]</f>
        <v>7.9906875371507831E-4</v>
      </c>
      <c r="M166" s="24">
        <f>(Table1[[#This Row],[Expected Return]]-Table1[[#This Row],[Tcosts]])*Table1[[#This Row],[Investment]]</f>
        <v>591.07691797875975</v>
      </c>
      <c r="Q166" s="13" t="s">
        <v>742</v>
      </c>
    </row>
    <row r="167" spans="1:17" ht="14.4" x14ac:dyDescent="0.3">
      <c r="A167" s="4" t="s">
        <v>743</v>
      </c>
      <c r="B167" s="14" t="s">
        <v>744</v>
      </c>
      <c r="C167" s="6">
        <v>48.8</v>
      </c>
      <c r="D167" s="6" t="s">
        <v>745</v>
      </c>
      <c r="E167" s="15">
        <v>6.9999999999999999E-4</v>
      </c>
      <c r="F167" s="6">
        <v>-0.01</v>
      </c>
      <c r="G167" s="3">
        <f t="shared" si="10"/>
        <v>267070000</v>
      </c>
      <c r="H167" s="3" t="b">
        <f t="shared" si="11"/>
        <v>0</v>
      </c>
      <c r="I167" s="26">
        <f>Table1[[#This Row],[Tech]]*$T$7+Table1[[#This Row],[Beta]]*($T$6-$T$8)+$T$8</f>
        <v>3.5764000000000004E-2</v>
      </c>
      <c r="J167" s="42">
        <v>16808.53</v>
      </c>
      <c r="K167" s="56">
        <f>Table1[[#This Row],[Investment]]/Table1[[#This Row],[Dollar Volume]]</f>
        <v>6.2936795596660054E-5</v>
      </c>
      <c r="L167" s="34">
        <f>IFERROR(MAX($T$11+$T$12*LN(Table1[[#This Row],[Frac ADV]]),0),0)*0.0001+0.005/Table1[[#This Row],[Stock Price]]+Table1[[#This Row],[Expense Ratio]]</f>
        <v>8.0245901639344264E-4</v>
      </c>
      <c r="M167" s="24">
        <f>(Table1[[#This Row],[Expected Return]]-Table1[[#This Row],[Tcosts]])*Table1[[#This Row],[Investment]]</f>
        <v>587.65211046918034</v>
      </c>
      <c r="Q167" s="16" t="s">
        <v>746</v>
      </c>
    </row>
    <row r="168" spans="1:17" ht="14.4" x14ac:dyDescent="0.3">
      <c r="A168" s="2" t="s">
        <v>747</v>
      </c>
      <c r="B168" s="10" t="s">
        <v>748</v>
      </c>
      <c r="C168" s="11">
        <v>111.22</v>
      </c>
      <c r="D168" s="11" t="s">
        <v>749</v>
      </c>
      <c r="E168" s="12">
        <v>1.4E-3</v>
      </c>
      <c r="F168" s="11">
        <v>0</v>
      </c>
      <c r="G168" s="3">
        <f t="shared" si="10"/>
        <v>117950000</v>
      </c>
      <c r="H168" s="3" t="b">
        <f t="shared" si="11"/>
        <v>0</v>
      </c>
      <c r="I168" s="26">
        <f>Table1[[#This Row],[Tech]]*$T$7+Table1[[#This Row],[Beta]]*($T$6-$T$8)+$T$8</f>
        <v>3.6400000000000002E-2</v>
      </c>
      <c r="J168" s="42">
        <v>16612.89</v>
      </c>
      <c r="K168" s="56">
        <f>Table1[[#This Row],[Investment]]/Table1[[#This Row],[Dollar Volume]]</f>
        <v>1.4084688427299703E-4</v>
      </c>
      <c r="L168" s="34">
        <f>IFERROR(MAX($T$11+$T$12*LN(Table1[[#This Row],[Frac ADV]]),0),0)*0.0001+0.005/Table1[[#This Row],[Stock Price]]+Table1[[#This Row],[Expense Ratio]]</f>
        <v>1.4449559431756879E-3</v>
      </c>
      <c r="M168" s="24">
        <f>(Table1[[#This Row],[Expected Return]]-Table1[[#This Row],[Tcosts]])*Table1[[#This Row],[Investment]]</f>
        <v>580.70430186117608</v>
      </c>
      <c r="Q168" s="13" t="s">
        <v>750</v>
      </c>
    </row>
    <row r="169" spans="1:17" ht="14.4" x14ac:dyDescent="0.3">
      <c r="A169" s="2" t="s">
        <v>751</v>
      </c>
      <c r="B169" s="10" t="s">
        <v>752</v>
      </c>
      <c r="C169" s="11">
        <v>451.39</v>
      </c>
      <c r="D169" s="11" t="s">
        <v>753</v>
      </c>
      <c r="E169" s="12">
        <v>4.0000000000000001E-3</v>
      </c>
      <c r="F169" s="11">
        <v>-0.05</v>
      </c>
      <c r="G169" s="3">
        <f t="shared" si="10"/>
        <v>25390000</v>
      </c>
      <c r="H169" s="3" t="b">
        <f t="shared" si="11"/>
        <v>0</v>
      </c>
      <c r="I169" s="26">
        <f>Table1[[#This Row],[Tech]]*$T$7+Table1[[#This Row],[Beta]]*($T$6-$T$8)+$T$8</f>
        <v>3.322E-2</v>
      </c>
      <c r="J169" s="42">
        <v>14783.73</v>
      </c>
      <c r="K169" s="56">
        <f>Table1[[#This Row],[Investment]]/Table1[[#This Row],[Dollar Volume]]</f>
        <v>5.822658526979126E-4</v>
      </c>
      <c r="L169" s="34">
        <f>IFERROR(MAX($T$11+$T$12*LN(Table1[[#This Row],[Frac ADV]]),0),0)*0.0001+0.005/Table1[[#This Row],[Stock Price]]+Table1[[#This Row],[Expense Ratio]]</f>
        <v>4.0110768958107178E-3</v>
      </c>
      <c r="M169" s="24">
        <f>(Table1[[#This Row],[Expected Return]]-Table1[[#This Row],[Tcosts]])*Table1[[#This Row],[Investment]]</f>
        <v>431.81683276309616</v>
      </c>
      <c r="Q169" s="16" t="s">
        <v>754</v>
      </c>
    </row>
    <row r="170" spans="1:17" ht="14.4" x14ac:dyDescent="0.3">
      <c r="A170" s="4" t="s">
        <v>755</v>
      </c>
      <c r="B170" s="14" t="s">
        <v>756</v>
      </c>
      <c r="C170" s="6">
        <v>119.82</v>
      </c>
      <c r="D170" s="6" t="s">
        <v>757</v>
      </c>
      <c r="E170" s="15">
        <v>1.5E-3</v>
      </c>
      <c r="F170" s="6">
        <v>-0.09</v>
      </c>
      <c r="G170" s="3">
        <f t="shared" si="10"/>
        <v>125670000</v>
      </c>
      <c r="H170" s="3" t="b">
        <f t="shared" si="11"/>
        <v>0</v>
      </c>
      <c r="I170" s="26">
        <f>Table1[[#This Row],[Tech]]*$T$7+Table1[[#This Row],[Beta]]*($T$6-$T$8)+$T$8</f>
        <v>3.0676000000000002E-2</v>
      </c>
      <c r="J170" s="42">
        <v>14405.19</v>
      </c>
      <c r="K170" s="56">
        <f>Table1[[#This Row],[Investment]]/Table1[[#This Row],[Dollar Volume]]</f>
        <v>1.1462711864406779E-4</v>
      </c>
      <c r="L170" s="34">
        <f>IFERROR(MAX($T$11+$T$12*LN(Table1[[#This Row],[Frac ADV]]),0),0)*0.0001+0.005/Table1[[#This Row],[Stock Price]]+Table1[[#This Row],[Expense Ratio]]</f>
        <v>1.541729260557503E-3</v>
      </c>
      <c r="M170" s="24">
        <f>(Table1[[#This Row],[Expected Return]]-Table1[[#This Row],[Tcosts]])*Table1[[#This Row],[Investment]]</f>
        <v>419.68470551310969</v>
      </c>
      <c r="Q170" s="13" t="s">
        <v>758</v>
      </c>
    </row>
    <row r="171" spans="1:17" ht="14.4" x14ac:dyDescent="0.3">
      <c r="A171" s="2" t="s">
        <v>759</v>
      </c>
      <c r="B171" s="10" t="s">
        <v>760</v>
      </c>
      <c r="C171" s="11">
        <v>46.44</v>
      </c>
      <c r="D171" s="11" t="s">
        <v>761</v>
      </c>
      <c r="E171" s="12">
        <v>3.5999999999999999E-3</v>
      </c>
      <c r="F171" s="11">
        <v>-0.06</v>
      </c>
      <c r="G171" s="3">
        <f t="shared" si="10"/>
        <v>177210000</v>
      </c>
      <c r="H171" s="3" t="b">
        <f t="shared" si="11"/>
        <v>0</v>
      </c>
      <c r="I171" s="26">
        <f>Table1[[#This Row],[Tech]]*$T$7+Table1[[#This Row],[Beta]]*($T$6-$T$8)+$T$8</f>
        <v>3.2584000000000002E-2</v>
      </c>
      <c r="J171" s="42">
        <v>13099.15</v>
      </c>
      <c r="K171" s="56">
        <f>Table1[[#This Row],[Investment]]/Table1[[#This Row],[Dollar Volume]]</f>
        <v>7.3918796907623718E-5</v>
      </c>
      <c r="L171" s="34">
        <f>IFERROR(MAX($T$11+$T$12*LN(Table1[[#This Row],[Frac ADV]]),0),0)*0.0001+0.005/Table1[[#This Row],[Stock Price]]+Table1[[#This Row],[Expense Ratio]]</f>
        <v>3.7076658053402239E-3</v>
      </c>
      <c r="M171" s="24">
        <f>(Table1[[#This Row],[Expected Return]]-Table1[[#This Row],[Tcosts]])*Table1[[#This Row],[Investment]]</f>
        <v>378.25543306597763</v>
      </c>
      <c r="Q171" s="16" t="s">
        <v>762</v>
      </c>
    </row>
    <row r="172" spans="1:17" ht="14.4" x14ac:dyDescent="0.3">
      <c r="A172" s="2" t="s">
        <v>763</v>
      </c>
      <c r="B172" s="10" t="s">
        <v>764</v>
      </c>
      <c r="C172" s="11">
        <v>58.82</v>
      </c>
      <c r="D172" s="11" t="s">
        <v>765</v>
      </c>
      <c r="E172" s="12">
        <v>2.9999999999999997E-4</v>
      </c>
      <c r="F172" s="11">
        <v>-0.02</v>
      </c>
      <c r="G172" s="3">
        <f t="shared" si="10"/>
        <v>176940000</v>
      </c>
      <c r="H172" s="3" t="b">
        <f t="shared" si="11"/>
        <v>0</v>
      </c>
      <c r="I172" s="26">
        <f>Table1[[#This Row],[Tech]]*$T$7+Table1[[#This Row],[Beta]]*($T$6-$T$8)+$T$8</f>
        <v>3.5128E-2</v>
      </c>
      <c r="J172" s="42">
        <v>10263.209999999999</v>
      </c>
      <c r="K172" s="56">
        <f>Table1[[#This Row],[Investment]]/Table1[[#This Row],[Dollar Volume]]</f>
        <v>5.8003899626992198E-5</v>
      </c>
      <c r="L172" s="34">
        <f>IFERROR(MAX($T$11+$T$12*LN(Table1[[#This Row],[Frac ADV]]),0),0)*0.0001+0.005/Table1[[#This Row],[Stock Price]]+Table1[[#This Row],[Expense Ratio]]</f>
        <v>3.8500510030601832E-4</v>
      </c>
      <c r="M172" s="24">
        <f>(Table1[[#This Row],[Expected Return]]-Table1[[#This Row],[Tcosts]])*Table1[[#This Row],[Investment]]</f>
        <v>356.57465268448823</v>
      </c>
      <c r="Q172" s="13" t="s">
        <v>766</v>
      </c>
    </row>
    <row r="173" spans="1:17" ht="14.4" x14ac:dyDescent="0.3">
      <c r="A173" s="2" t="s">
        <v>767</v>
      </c>
      <c r="B173" s="10" t="s">
        <v>768</v>
      </c>
      <c r="C173" s="11">
        <v>110.22</v>
      </c>
      <c r="D173" s="11" t="s">
        <v>769</v>
      </c>
      <c r="E173" s="12">
        <v>1.5E-3</v>
      </c>
      <c r="F173" s="11">
        <v>0.01</v>
      </c>
      <c r="G173" s="3">
        <f t="shared" si="10"/>
        <v>203900000</v>
      </c>
      <c r="H173" s="3" t="b">
        <f t="shared" si="11"/>
        <v>0</v>
      </c>
      <c r="I173" s="26">
        <f>Table1[[#This Row],[Tech]]*$T$7+Table1[[#This Row],[Beta]]*($T$6-$T$8)+$T$8</f>
        <v>3.7035999999999999E-2</v>
      </c>
      <c r="J173" s="42">
        <v>9011.74</v>
      </c>
      <c r="K173" s="56">
        <f>Table1[[#This Row],[Investment]]/Table1[[#This Row],[Dollar Volume]]</f>
        <v>4.4196861206473758E-5</v>
      </c>
      <c r="L173" s="34">
        <f>IFERROR(MAX($T$11+$T$12*LN(Table1[[#This Row],[Frac ADV]]),0),0)*0.0001+0.005/Table1[[#This Row],[Stock Price]]+Table1[[#This Row],[Expense Ratio]]</f>
        <v>1.5453638178189078E-3</v>
      </c>
      <c r="M173" s="24">
        <f>(Table1[[#This Row],[Expected Return]]-Table1[[#This Row],[Tcosts]])*Table1[[#This Row],[Investment]]</f>
        <v>319.83238570840859</v>
      </c>
      <c r="Q173" s="16" t="s">
        <v>770</v>
      </c>
    </row>
    <row r="174" spans="1:17" ht="14.4" x14ac:dyDescent="0.3">
      <c r="A174" s="4" t="s">
        <v>771</v>
      </c>
      <c r="B174" s="14" t="s">
        <v>772</v>
      </c>
      <c r="C174" s="6">
        <v>24.39</v>
      </c>
      <c r="D174" s="6" t="s">
        <v>773</v>
      </c>
      <c r="E174" s="15">
        <v>2.9999999999999997E-4</v>
      </c>
      <c r="F174" s="6">
        <v>-0.02</v>
      </c>
      <c r="G174" s="3">
        <f t="shared" si="10"/>
        <v>44860000</v>
      </c>
      <c r="H174" s="3" t="b">
        <f t="shared" si="11"/>
        <v>0</v>
      </c>
      <c r="I174" s="26">
        <f>Table1[[#This Row],[Tech]]*$T$7+Table1[[#This Row],[Beta]]*($T$6-$T$8)+$T$8</f>
        <v>3.5128E-2</v>
      </c>
      <c r="J174" s="42">
        <v>6674.58</v>
      </c>
      <c r="K174" s="56">
        <f>Table1[[#This Row],[Investment]]/Table1[[#This Row],[Dollar Volume]]</f>
        <v>1.4878689255461435E-4</v>
      </c>
      <c r="L174" s="34">
        <f>IFERROR(MAX($T$11+$T$12*LN(Table1[[#This Row],[Frac ADV]]),0),0)*0.0001+0.005/Table1[[#This Row],[Stock Price]]+Table1[[#This Row],[Expense Ratio]]</f>
        <v>5.0500205002050017E-4</v>
      </c>
      <c r="M174" s="24">
        <f>(Table1[[#This Row],[Expected Return]]-Table1[[#This Row],[Tcosts]])*Table1[[#This Row],[Investment]]</f>
        <v>231.09396965697417</v>
      </c>
      <c r="Q174" s="13" t="s">
        <v>774</v>
      </c>
    </row>
    <row r="175" spans="1:17" ht="14.4" x14ac:dyDescent="0.3">
      <c r="A175" s="2" t="s">
        <v>775</v>
      </c>
      <c r="B175" s="10" t="s">
        <v>776</v>
      </c>
      <c r="C175" s="11">
        <v>78.34</v>
      </c>
      <c r="D175" s="11" t="s">
        <v>777</v>
      </c>
      <c r="E175" s="12">
        <v>2.9999999999999997E-4</v>
      </c>
      <c r="F175" s="11">
        <v>-0.08</v>
      </c>
      <c r="G175" s="3">
        <f t="shared" si="10"/>
        <v>546640000</v>
      </c>
      <c r="H175" s="3" t="b">
        <f t="shared" si="11"/>
        <v>0</v>
      </c>
      <c r="I175" s="26">
        <f>Table1[[#This Row],[Tech]]*$T$7+Table1[[#This Row],[Beta]]*($T$6-$T$8)+$T$8</f>
        <v>3.1312E-2</v>
      </c>
      <c r="J175" s="42">
        <v>6542.12</v>
      </c>
      <c r="K175" s="56">
        <f>Table1[[#This Row],[Investment]]/Table1[[#This Row],[Dollar Volume]]</f>
        <v>1.1967876481779598E-5</v>
      </c>
      <c r="L175" s="34">
        <f>IFERROR(MAX($T$11+$T$12*LN(Table1[[#This Row],[Frac ADV]]),0),0)*0.0001+0.005/Table1[[#This Row],[Stock Price]]+Table1[[#This Row],[Expense Ratio]]</f>
        <v>3.6382435537401071E-4</v>
      </c>
      <c r="M175" s="24">
        <f>(Table1[[#This Row],[Expected Return]]-Table1[[#This Row],[Tcosts]])*Table1[[#This Row],[Investment]]</f>
        <v>202.46667884822057</v>
      </c>
      <c r="Q175" s="16" t="s">
        <v>778</v>
      </c>
    </row>
    <row r="176" spans="1:17" ht="14.4" x14ac:dyDescent="0.3">
      <c r="A176" s="2" t="s">
        <v>779</v>
      </c>
      <c r="B176" s="10" t="s">
        <v>780</v>
      </c>
      <c r="C176" s="11">
        <v>26.87</v>
      </c>
      <c r="D176" s="11" t="s">
        <v>781</v>
      </c>
      <c r="E176" s="12">
        <v>6.4000000000000003E-3</v>
      </c>
      <c r="F176" s="11">
        <v>0.03</v>
      </c>
      <c r="G176" s="3">
        <f t="shared" si="10"/>
        <v>42740000</v>
      </c>
      <c r="H176" s="3" t="b">
        <f t="shared" si="11"/>
        <v>0</v>
      </c>
      <c r="I176" s="26">
        <f>Table1[[#This Row],[Tech]]*$T$7+Table1[[#This Row],[Beta]]*($T$6-$T$8)+$T$8</f>
        <v>3.8308000000000002E-2</v>
      </c>
      <c r="J176" s="42">
        <v>3204.26</v>
      </c>
      <c r="K176" s="56">
        <f>Table1[[#This Row],[Investment]]/Table1[[#This Row],[Dollar Volume]]</f>
        <v>7.4970987365465615E-5</v>
      </c>
      <c r="L176" s="34">
        <f>IFERROR(MAX($T$11+$T$12*LN(Table1[[#This Row],[Frac ADV]]),0),0)*0.0001+0.005/Table1[[#This Row],[Stock Price]]+Table1[[#This Row],[Expense Ratio]]</f>
        <v>6.5860811313732791E-3</v>
      </c>
      <c r="M176" s="24">
        <f>(Table1[[#This Row],[Expected Return]]-Table1[[#This Row],[Tcosts]])*Table1[[#This Row],[Investment]]</f>
        <v>101.64527575398586</v>
      </c>
      <c r="Q176" s="13" t="s">
        <v>782</v>
      </c>
    </row>
    <row r="177" spans="1:17" ht="14.4" x14ac:dyDescent="0.3">
      <c r="A177" s="2" t="s">
        <v>783</v>
      </c>
      <c r="B177" s="10" t="s">
        <v>784</v>
      </c>
      <c r="C177" s="11">
        <v>54.2</v>
      </c>
      <c r="D177" s="11" t="s">
        <v>785</v>
      </c>
      <c r="E177" s="12">
        <v>4.0000000000000002E-4</v>
      </c>
      <c r="F177" s="11">
        <v>-0.01</v>
      </c>
      <c r="G177" s="3">
        <f t="shared" si="10"/>
        <v>45530000</v>
      </c>
      <c r="H177" s="3" t="b">
        <f t="shared" si="11"/>
        <v>0</v>
      </c>
      <c r="I177" s="26">
        <f>Table1[[#This Row],[Tech]]*$T$7+Table1[[#This Row],[Beta]]*($T$6-$T$8)+$T$8</f>
        <v>3.5764000000000004E-2</v>
      </c>
      <c r="J177" s="42">
        <v>2408.02</v>
      </c>
      <c r="K177" s="56">
        <f>Table1[[#This Row],[Investment]]/Table1[[#This Row],[Dollar Volume]]</f>
        <v>5.2888644849549747E-5</v>
      </c>
      <c r="L177" s="34">
        <f>IFERROR(MAX($T$11+$T$12*LN(Table1[[#This Row],[Frac ADV]]),0),0)*0.0001+0.005/Table1[[#This Row],[Stock Price]]+Table1[[#This Row],[Expense Ratio]]</f>
        <v>4.9225092250922511E-4</v>
      </c>
      <c r="M177" s="24">
        <f>(Table1[[#This Row],[Expected Return]]-Table1[[#This Row],[Tcosts]])*Table1[[#This Row],[Investment]]</f>
        <v>84.935077213579333</v>
      </c>
      <c r="Q177" s="16" t="s">
        <v>786</v>
      </c>
    </row>
    <row r="178" spans="1:17" ht="14.4" x14ac:dyDescent="0.3">
      <c r="A178" s="2" t="s">
        <v>787</v>
      </c>
      <c r="B178" s="10" t="s">
        <v>788</v>
      </c>
      <c r="C178" s="11">
        <v>50.41</v>
      </c>
      <c r="D178" s="11" t="s">
        <v>789</v>
      </c>
      <c r="E178" s="12">
        <v>1.5E-3</v>
      </c>
      <c r="F178" s="11">
        <v>-0.01</v>
      </c>
      <c r="G178" s="3">
        <f t="shared" si="10"/>
        <v>99420000</v>
      </c>
      <c r="H178" s="3" t="b">
        <f t="shared" si="11"/>
        <v>0</v>
      </c>
      <c r="I178" s="26">
        <f>Table1[[#This Row],[Tech]]*$T$7+Table1[[#This Row],[Beta]]*($T$6-$T$8)+$T$8</f>
        <v>3.5764000000000004E-2</v>
      </c>
      <c r="J178" s="42">
        <v>1310.73</v>
      </c>
      <c r="K178" s="56">
        <f>Table1[[#This Row],[Investment]]/Table1[[#This Row],[Dollar Volume]]</f>
        <v>1.3183765841882921E-5</v>
      </c>
      <c r="L178" s="34">
        <f>IFERROR(MAX($T$11+$T$12*LN(Table1[[#This Row],[Frac ADV]]),0),0)*0.0001+0.005/Table1[[#This Row],[Stock Price]]+Table1[[#This Row],[Expense Ratio]]</f>
        <v>1.5991866693116446E-3</v>
      </c>
      <c r="M178" s="24">
        <f>(Table1[[#This Row],[Expected Return]]-Table1[[#This Row],[Tcosts]])*Table1[[#This Row],[Investment]]</f>
        <v>44.780845776933155</v>
      </c>
      <c r="Q178" s="13" t="s">
        <v>790</v>
      </c>
    </row>
    <row r="179" spans="1:17" ht="14.4" x14ac:dyDescent="0.3">
      <c r="A179" s="2" t="s">
        <v>791</v>
      </c>
      <c r="B179" s="10" t="s">
        <v>792</v>
      </c>
      <c r="C179" s="11">
        <v>100.51</v>
      </c>
      <c r="D179" s="11" t="s">
        <v>793</v>
      </c>
      <c r="E179" s="12">
        <v>3.5999999999999999E-3</v>
      </c>
      <c r="F179" s="11">
        <v>0.02</v>
      </c>
      <c r="G179" s="3">
        <f t="shared" si="10"/>
        <v>35920000</v>
      </c>
      <c r="H179" s="3" t="b">
        <f t="shared" si="11"/>
        <v>0</v>
      </c>
      <c r="I179" s="26">
        <f>Table1[[#This Row],[Tech]]*$T$7+Table1[[#This Row],[Beta]]*($T$6-$T$8)+$T$8</f>
        <v>3.7672000000000004E-2</v>
      </c>
      <c r="J179" s="42">
        <v>1167.6300000000001</v>
      </c>
      <c r="K179" s="56">
        <f>Table1[[#This Row],[Investment]]/Table1[[#This Row],[Dollar Volume]]</f>
        <v>3.2506403118040092E-5</v>
      </c>
      <c r="L179" s="34">
        <f>IFERROR(MAX($T$11+$T$12*LN(Table1[[#This Row],[Frac ADV]]),0),0)*0.0001+0.005/Table1[[#This Row],[Stock Price]]+Table1[[#This Row],[Expense Ratio]]</f>
        <v>3.6497462939011041E-3</v>
      </c>
      <c r="M179" s="24">
        <f>(Table1[[#This Row],[Expected Return]]-Table1[[#This Row],[Tcosts]])*Table1[[#This Row],[Investment]]</f>
        <v>39.725404094852259</v>
      </c>
      <c r="Q179" s="16" t="s">
        <v>794</v>
      </c>
    </row>
    <row r="180" spans="1:17" ht="14.4" x14ac:dyDescent="0.3">
      <c r="A180" s="4" t="s">
        <v>795</v>
      </c>
      <c r="B180" s="14" t="s">
        <v>796</v>
      </c>
      <c r="C180" s="6">
        <v>82.93</v>
      </c>
      <c r="D180" s="6" t="s">
        <v>797</v>
      </c>
      <c r="E180" s="15">
        <v>1.5E-3</v>
      </c>
      <c r="F180" s="6">
        <v>-0.02</v>
      </c>
      <c r="G180" s="3">
        <f t="shared" si="10"/>
        <v>5330000000</v>
      </c>
      <c r="H180" s="3" t="b">
        <f t="shared" si="11"/>
        <v>0</v>
      </c>
      <c r="I180" s="26">
        <f>Table1[[#This Row],[Tech]]*$T$7+Table1[[#This Row],[Beta]]*($T$6-$T$8)+$T$8</f>
        <v>3.5128E-2</v>
      </c>
      <c r="J180" s="42">
        <v>716.95</v>
      </c>
      <c r="K180" s="56">
        <f>Table1[[#This Row],[Investment]]/Table1[[#This Row],[Dollar Volume]]</f>
        <v>1.3451219512195122E-7</v>
      </c>
      <c r="L180" s="34">
        <f>IFERROR(MAX($T$11+$T$12*LN(Table1[[#This Row],[Frac ADV]]),0),0)*0.0001+0.005/Table1[[#This Row],[Stock Price]]+Table1[[#This Row],[Expense Ratio]]</f>
        <v>1.5602918123718799E-3</v>
      </c>
      <c r="M180" s="24">
        <f>(Table1[[#This Row],[Expected Return]]-Table1[[#This Row],[Tcosts]])*Table1[[#This Row],[Investment]]</f>
        <v>24.066368385119983</v>
      </c>
      <c r="Q180" s="13" t="s">
        <v>798</v>
      </c>
    </row>
    <row r="181" spans="1:17" ht="14.4" x14ac:dyDescent="0.3">
      <c r="A181" s="2" t="s">
        <v>799</v>
      </c>
      <c r="B181" s="10" t="s">
        <v>800</v>
      </c>
      <c r="C181" s="11">
        <v>78.98</v>
      </c>
      <c r="D181" s="11" t="s">
        <v>801</v>
      </c>
      <c r="E181" s="12">
        <v>2.9999999999999997E-4</v>
      </c>
      <c r="F181" s="11">
        <v>-0.04</v>
      </c>
      <c r="G181" s="3">
        <f t="shared" si="10"/>
        <v>152890000</v>
      </c>
      <c r="H181" s="3" t="b">
        <f t="shared" si="11"/>
        <v>0</v>
      </c>
      <c r="I181" s="26">
        <f>Table1[[#This Row],[Tech]]*$T$7+Table1[[#This Row],[Beta]]*($T$6-$T$8)+$T$8</f>
        <v>3.3856000000000004E-2</v>
      </c>
      <c r="J181" s="42">
        <v>648.48</v>
      </c>
      <c r="K181" s="56">
        <f>Table1[[#This Row],[Investment]]/Table1[[#This Row],[Dollar Volume]]</f>
        <v>4.2414808031918376E-6</v>
      </c>
      <c r="L181" s="34">
        <f>IFERROR(MAX($T$11+$T$12*LN(Table1[[#This Row],[Frac ADV]]),0),0)*0.0001+0.005/Table1[[#This Row],[Stock Price]]+Table1[[#This Row],[Expense Ratio]]</f>
        <v>3.6330716637123319E-4</v>
      </c>
      <c r="M181" s="24">
        <f>(Table1[[#This Row],[Expected Return]]-Table1[[#This Row],[Tcosts]])*Table1[[#This Row],[Investment]]</f>
        <v>21.719341448751585</v>
      </c>
      <c r="Q181" s="16" t="s">
        <v>802</v>
      </c>
    </row>
    <row r="182" spans="1:17" ht="14.4" x14ac:dyDescent="0.3">
      <c r="A182" s="2" t="s">
        <v>803</v>
      </c>
      <c r="B182" s="10" t="s">
        <v>804</v>
      </c>
      <c r="C182" s="11">
        <v>49.74</v>
      </c>
      <c r="D182" s="11" t="s">
        <v>805</v>
      </c>
      <c r="E182" s="12">
        <v>2.9999999999999997E-4</v>
      </c>
      <c r="F182" s="11">
        <v>-0.04</v>
      </c>
      <c r="G182" s="3">
        <f t="shared" si="10"/>
        <v>113370000</v>
      </c>
      <c r="H182" s="3" t="b">
        <f t="shared" si="11"/>
        <v>0</v>
      </c>
      <c r="I182" s="26">
        <f>Table1[[#This Row],[Tech]]*$T$7+Table1[[#This Row],[Beta]]*($T$6-$T$8)+$T$8</f>
        <v>3.3856000000000004E-2</v>
      </c>
      <c r="J182" s="42">
        <v>604.16999999999996</v>
      </c>
      <c r="K182" s="56">
        <f>Table1[[#This Row],[Investment]]/Table1[[#This Row],[Dollar Volume]]</f>
        <v>5.3291876157713677E-6</v>
      </c>
      <c r="L182" s="34">
        <f>IFERROR(MAX($T$11+$T$12*LN(Table1[[#This Row],[Frac ADV]]),0),0)*0.0001+0.005/Table1[[#This Row],[Stock Price]]+Table1[[#This Row],[Expense Ratio]]</f>
        <v>4.0052271813429834E-4</v>
      </c>
      <c r="M182" s="24">
        <f>(Table1[[#This Row],[Expected Return]]-Table1[[#This Row],[Tcosts]])*Table1[[#This Row],[Investment]]</f>
        <v>20.212795709384803</v>
      </c>
      <c r="Q182" s="13" t="s">
        <v>806</v>
      </c>
    </row>
    <row r="183" spans="1:17" ht="14.4" x14ac:dyDescent="0.3">
      <c r="A183" s="4" t="s">
        <v>807</v>
      </c>
      <c r="B183" s="14" t="s">
        <v>808</v>
      </c>
      <c r="C183" s="6">
        <v>108.09</v>
      </c>
      <c r="D183" s="6" t="s">
        <v>809</v>
      </c>
      <c r="E183" s="15">
        <v>5.0000000000000001E-4</v>
      </c>
      <c r="F183" s="6">
        <v>-0.04</v>
      </c>
      <c r="G183" s="3">
        <f t="shared" si="10"/>
        <v>83690000</v>
      </c>
      <c r="H183" s="3" t="b">
        <f t="shared" si="11"/>
        <v>0</v>
      </c>
      <c r="I183" s="26">
        <f>Table1[[#This Row],[Tech]]*$T$7+Table1[[#This Row],[Beta]]*($T$6-$T$8)+$T$8</f>
        <v>3.3856000000000004E-2</v>
      </c>
      <c r="J183" s="42">
        <v>461.88</v>
      </c>
      <c r="K183" s="56">
        <f>Table1[[#This Row],[Investment]]/Table1[[#This Row],[Dollar Volume]]</f>
        <v>5.518938941331103E-6</v>
      </c>
      <c r="L183" s="34">
        <f>IFERROR(MAX($T$11+$T$12*LN(Table1[[#This Row],[Frac ADV]]),0),0)*0.0001+0.005/Table1[[#This Row],[Stock Price]]+Table1[[#This Row],[Expense Ratio]]</f>
        <v>5.4625774817281892E-4</v>
      </c>
      <c r="M183" s="24">
        <f>(Table1[[#This Row],[Expected Return]]-Table1[[#This Row],[Tcosts]])*Table1[[#This Row],[Investment]]</f>
        <v>15.385103751273942</v>
      </c>
      <c r="Q183" s="16" t="s">
        <v>810</v>
      </c>
    </row>
    <row r="184" spans="1:17" ht="14.4" x14ac:dyDescent="0.3">
      <c r="A184" s="2" t="s">
        <v>811</v>
      </c>
      <c r="B184" s="10" t="s">
        <v>812</v>
      </c>
      <c r="C184" s="11">
        <v>46.89</v>
      </c>
      <c r="D184" s="11" t="s">
        <v>813</v>
      </c>
      <c r="E184" s="12">
        <v>5.9999999999999995E-4</v>
      </c>
      <c r="F184" s="11">
        <v>-0.04</v>
      </c>
      <c r="G184" s="3">
        <f t="shared" si="10"/>
        <v>67300000</v>
      </c>
      <c r="H184" s="3" t="b">
        <f t="shared" si="11"/>
        <v>0</v>
      </c>
      <c r="I184" s="26">
        <f>Table1[[#This Row],[Tech]]*$T$7+Table1[[#This Row],[Beta]]*($T$6-$T$8)+$T$8</f>
        <v>3.3856000000000004E-2</v>
      </c>
      <c r="J184" s="42">
        <v>308.02</v>
      </c>
      <c r="K184" s="56">
        <f>Table1[[#This Row],[Investment]]/Table1[[#This Row],[Dollar Volume]]</f>
        <v>4.5768202080237741E-6</v>
      </c>
      <c r="L184" s="34">
        <f>IFERROR(MAX($T$11+$T$12*LN(Table1[[#This Row],[Frac ADV]]),0),0)*0.0001+0.005/Table1[[#This Row],[Stock Price]]+Table1[[#This Row],[Expense Ratio]]</f>
        <v>7.0663254425250581E-4</v>
      </c>
      <c r="M184" s="24">
        <f>(Table1[[#This Row],[Expected Return]]-Table1[[#This Row],[Tcosts]])*Table1[[#This Row],[Investment]]</f>
        <v>10.210668163719344</v>
      </c>
      <c r="Q184" s="13" t="s">
        <v>814</v>
      </c>
    </row>
    <row r="185" spans="1:17" ht="14.4" x14ac:dyDescent="0.3">
      <c r="A185" s="2" t="s">
        <v>815</v>
      </c>
      <c r="B185" s="10" t="s">
        <v>816</v>
      </c>
      <c r="C185" s="11">
        <v>49.68</v>
      </c>
      <c r="D185" s="11" t="s">
        <v>817</v>
      </c>
      <c r="E185" s="12">
        <v>1.5E-3</v>
      </c>
      <c r="F185" s="11">
        <v>0.02</v>
      </c>
      <c r="G185" s="3">
        <f t="shared" si="10"/>
        <v>2160000000</v>
      </c>
      <c r="H185" s="3" t="b">
        <f t="shared" si="11"/>
        <v>0</v>
      </c>
      <c r="I185" s="26">
        <f>Table1[[#This Row],[Tech]]*$T$7+Table1[[#This Row],[Beta]]*($T$6-$T$8)+$T$8</f>
        <v>3.7672000000000004E-2</v>
      </c>
      <c r="J185" s="42">
        <v>20.54</v>
      </c>
      <c r="K185" s="56">
        <f>Table1[[#This Row],[Investment]]/Table1[[#This Row],[Dollar Volume]]</f>
        <v>9.5092592592592597E-9</v>
      </c>
      <c r="L185" s="34">
        <f>IFERROR(MAX($T$11+$T$12*LN(Table1[[#This Row],[Frac ADV]]),0),0)*0.0001+0.005/Table1[[#This Row],[Stock Price]]+Table1[[#This Row],[Expense Ratio]]</f>
        <v>1.6006441223832529E-3</v>
      </c>
      <c r="M185" s="24">
        <f>(Table1[[#This Row],[Expected Return]]-Table1[[#This Row],[Tcosts]])*Table1[[#This Row],[Investment]]</f>
        <v>0.74090564972624795</v>
      </c>
      <c r="Q185" s="16" t="s">
        <v>818</v>
      </c>
    </row>
    <row r="186" spans="1:17" ht="14.4" x14ac:dyDescent="0.3">
      <c r="A186" s="2" t="s">
        <v>819</v>
      </c>
      <c r="B186" s="10" t="s">
        <v>820</v>
      </c>
      <c r="C186" s="11">
        <v>84.22</v>
      </c>
      <c r="D186" s="11" t="s">
        <v>821</v>
      </c>
      <c r="E186" s="12">
        <v>2.9999999999999997E-4</v>
      </c>
      <c r="F186" s="11">
        <v>-0.01</v>
      </c>
      <c r="G186" s="3">
        <f t="shared" si="10"/>
        <v>110680000</v>
      </c>
      <c r="H186" s="3" t="b">
        <f t="shared" si="11"/>
        <v>0</v>
      </c>
      <c r="I186" s="26">
        <f>Table1[[#This Row],[Tech]]*$T$7+Table1[[#This Row],[Beta]]*($T$6-$T$8)+$T$8</f>
        <v>3.5764000000000004E-2</v>
      </c>
      <c r="J186" s="42">
        <v>16.02</v>
      </c>
      <c r="K186" s="56">
        <f>Table1[[#This Row],[Investment]]/Table1[[#This Row],[Dollar Volume]]</f>
        <v>1.4474159739790387E-7</v>
      </c>
      <c r="L186" s="34">
        <f>IFERROR(MAX($T$11+$T$12*LN(Table1[[#This Row],[Frac ADV]]),0),0)*0.0001+0.005/Table1[[#This Row],[Stock Price]]+Table1[[#This Row],[Expense Ratio]]</f>
        <v>3.5936832106388028E-4</v>
      </c>
      <c r="M186" s="24">
        <f>(Table1[[#This Row],[Expected Return]]-Table1[[#This Row],[Tcosts]])*Table1[[#This Row],[Investment]]</f>
        <v>0.56718219949655668</v>
      </c>
      <c r="Q186" s="13" t="s">
        <v>822</v>
      </c>
    </row>
    <row r="187" spans="1:17" ht="14.4" x14ac:dyDescent="0.3">
      <c r="A187" s="2" t="s">
        <v>823</v>
      </c>
      <c r="B187" s="10" t="s">
        <v>824</v>
      </c>
      <c r="C187" s="11">
        <v>100.67</v>
      </c>
      <c r="D187" s="11" t="s">
        <v>825</v>
      </c>
      <c r="E187" s="12">
        <v>2.9999999999999997E-4</v>
      </c>
      <c r="F187" s="11">
        <v>-0.06</v>
      </c>
      <c r="G187" s="3">
        <f t="shared" si="10"/>
        <v>103190000</v>
      </c>
      <c r="H187" s="3" t="b">
        <f t="shared" si="11"/>
        <v>0</v>
      </c>
      <c r="I187" s="26">
        <f>Table1[[#This Row],[Tech]]*$T$7+Table1[[#This Row],[Beta]]*($T$6-$T$8)+$T$8</f>
        <v>3.2584000000000002E-2</v>
      </c>
      <c r="J187" s="42">
        <v>5.18</v>
      </c>
      <c r="K187" s="56">
        <f>Table1[[#This Row],[Investment]]/Table1[[#This Row],[Dollar Volume]]</f>
        <v>5.0198662661110568E-8</v>
      </c>
      <c r="L187" s="34">
        <f>IFERROR(MAX($T$11+$T$12*LN(Table1[[#This Row],[Frac ADV]]),0),0)*0.0001+0.005/Table1[[#This Row],[Stock Price]]+Table1[[#This Row],[Expense Ratio]]</f>
        <v>3.4966722956193501E-4</v>
      </c>
      <c r="M187" s="24">
        <f>(Table1[[#This Row],[Expected Return]]-Table1[[#This Row],[Tcosts]])*Table1[[#This Row],[Investment]]</f>
        <v>0.16697384375086916</v>
      </c>
      <c r="Q187" s="16" t="s">
        <v>826</v>
      </c>
    </row>
    <row r="188" spans="1:17" ht="14.4" x14ac:dyDescent="0.3">
      <c r="A188" s="2" t="s">
        <v>827</v>
      </c>
      <c r="B188" s="10" t="s">
        <v>828</v>
      </c>
      <c r="C188" s="11">
        <v>47.56</v>
      </c>
      <c r="D188" s="11" t="s">
        <v>829</v>
      </c>
      <c r="E188" s="12">
        <v>2.9999999999999997E-4</v>
      </c>
      <c r="F188" s="11">
        <v>-0.06</v>
      </c>
      <c r="G188" s="3">
        <f t="shared" si="10"/>
        <v>51210000</v>
      </c>
      <c r="H188" s="3" t="b">
        <f t="shared" si="11"/>
        <v>0</v>
      </c>
      <c r="I188" s="26">
        <f>Table1[[#This Row],[Tech]]*$T$7+Table1[[#This Row],[Beta]]*($T$6-$T$8)+$T$8</f>
        <v>3.2584000000000002E-2</v>
      </c>
      <c r="J188" s="42">
        <v>5.18</v>
      </c>
      <c r="K188" s="56">
        <f>Table1[[#This Row],[Investment]]/Table1[[#This Row],[Dollar Volume]]</f>
        <v>1.0115211872681116E-7</v>
      </c>
      <c r="L188" s="34">
        <f>IFERROR(MAX($T$11+$T$12*LN(Table1[[#This Row],[Frac ADV]]),0),0)*0.0001+0.005/Table1[[#This Row],[Stock Price]]+Table1[[#This Row],[Expense Ratio]]</f>
        <v>4.0513036164844401E-4</v>
      </c>
      <c r="M188" s="24">
        <f>(Table1[[#This Row],[Expected Return]]-Table1[[#This Row],[Tcosts]])*Table1[[#This Row],[Investment]]</f>
        <v>0.16668654472666106</v>
      </c>
      <c r="Q188" s="13" t="s">
        <v>830</v>
      </c>
    </row>
    <row r="189" spans="1:17" ht="14.4" x14ac:dyDescent="0.3">
      <c r="A189" s="2" t="s">
        <v>831</v>
      </c>
      <c r="B189" s="10" t="s">
        <v>832</v>
      </c>
      <c r="C189" s="11">
        <v>97.25</v>
      </c>
      <c r="D189" s="11" t="s">
        <v>833</v>
      </c>
      <c r="E189" s="12">
        <v>1E-3</v>
      </c>
      <c r="F189" s="11">
        <v>-0.05</v>
      </c>
      <c r="G189" s="3">
        <f t="shared" si="10"/>
        <v>140630000</v>
      </c>
      <c r="H189" s="3" t="b">
        <f t="shared" si="11"/>
        <v>0</v>
      </c>
      <c r="I189" s="26">
        <f>Table1[[#This Row],[Tech]]*$T$7+Table1[[#This Row],[Beta]]*($T$6-$T$8)+$T$8</f>
        <v>3.322E-2</v>
      </c>
      <c r="J189" s="42">
        <v>5.18</v>
      </c>
      <c r="K189" s="56">
        <f>Table1[[#This Row],[Investment]]/Table1[[#This Row],[Dollar Volume]]</f>
        <v>3.6834245893479343E-8</v>
      </c>
      <c r="L189" s="34">
        <f>IFERROR(MAX($T$11+$T$12*LN(Table1[[#This Row],[Frac ADV]]),0),0)*0.0001+0.005/Table1[[#This Row],[Stock Price]]+Table1[[#This Row],[Expense Ratio]]</f>
        <v>1.0514138817480721E-3</v>
      </c>
      <c r="M189" s="24">
        <f>(Table1[[#This Row],[Expected Return]]-Table1[[#This Row],[Tcosts]])*Table1[[#This Row],[Investment]]</f>
        <v>0.16663327609254497</v>
      </c>
      <c r="Q189" s="16" t="s">
        <v>834</v>
      </c>
    </row>
    <row r="190" spans="1:17" ht="14.4" x14ac:dyDescent="0.3">
      <c r="A190" s="4" t="s">
        <v>835</v>
      </c>
      <c r="B190" s="14" t="s">
        <v>836</v>
      </c>
      <c r="C190" s="6">
        <v>26.82</v>
      </c>
      <c r="D190" s="6" t="s">
        <v>837</v>
      </c>
      <c r="E190" s="15">
        <v>2.9999999999999997E-4</v>
      </c>
      <c r="F190" s="6">
        <v>-0.05</v>
      </c>
      <c r="G190" s="3">
        <f t="shared" si="10"/>
        <v>75700000</v>
      </c>
      <c r="H190" s="3" t="b">
        <f t="shared" si="11"/>
        <v>0</v>
      </c>
      <c r="I190" s="26">
        <f>Table1[[#This Row],[Tech]]*$T$7+Table1[[#This Row],[Beta]]*($T$6-$T$8)+$T$8</f>
        <v>3.322E-2</v>
      </c>
      <c r="J190" s="42">
        <v>5.18</v>
      </c>
      <c r="K190" s="56">
        <f>Table1[[#This Row],[Investment]]/Table1[[#This Row],[Dollar Volume]]</f>
        <v>6.8428005284015852E-8</v>
      </c>
      <c r="L190" s="34">
        <f>IFERROR(MAX($T$11+$T$12*LN(Table1[[#This Row],[Frac ADV]]),0),0)*0.0001+0.005/Table1[[#This Row],[Stock Price]]+Table1[[#This Row],[Expense Ratio]]</f>
        <v>4.8642803877703205E-4</v>
      </c>
      <c r="M190" s="24">
        <f>(Table1[[#This Row],[Expected Return]]-Table1[[#This Row],[Tcosts]])*Table1[[#This Row],[Investment]]</f>
        <v>0.16955990275913496</v>
      </c>
      <c r="Q190" s="13" t="s">
        <v>838</v>
      </c>
    </row>
    <row r="191" spans="1:17" ht="14.4" x14ac:dyDescent="0.3">
      <c r="A191" s="4" t="s">
        <v>839</v>
      </c>
      <c r="B191" s="14" t="s">
        <v>840</v>
      </c>
      <c r="C191" s="6">
        <v>111.25</v>
      </c>
      <c r="D191" s="6" t="s">
        <v>730</v>
      </c>
      <c r="E191" s="15">
        <v>1.8E-3</v>
      </c>
      <c r="F191" s="6">
        <v>-0.04</v>
      </c>
      <c r="G191" s="3">
        <f t="shared" si="10"/>
        <v>42420000</v>
      </c>
      <c r="H191" s="3" t="b">
        <f t="shared" si="11"/>
        <v>0</v>
      </c>
      <c r="I191" s="26">
        <f>Table1[[#This Row],[Tech]]*$T$7+Table1[[#This Row],[Beta]]*($T$6-$T$8)+$T$8</f>
        <v>3.3856000000000004E-2</v>
      </c>
      <c r="J191" s="42">
        <v>5.18</v>
      </c>
      <c r="K191" s="56">
        <f>Table1[[#This Row],[Investment]]/Table1[[#This Row],[Dollar Volume]]</f>
        <v>1.2211221122112211E-7</v>
      </c>
      <c r="L191" s="34">
        <f>IFERROR(MAX($T$11+$T$12*LN(Table1[[#This Row],[Frac ADV]]),0),0)*0.0001+0.005/Table1[[#This Row],[Stock Price]]+Table1[[#This Row],[Expense Ratio]]</f>
        <v>1.844943820224719E-3</v>
      </c>
      <c r="M191" s="24">
        <f>(Table1[[#This Row],[Expected Return]]-Table1[[#This Row],[Tcosts]])*Table1[[#This Row],[Investment]]</f>
        <v>0.16581727101123597</v>
      </c>
      <c r="Q191" s="16" t="s">
        <v>841</v>
      </c>
    </row>
    <row r="192" spans="1:17" ht="14.4" x14ac:dyDescent="0.3">
      <c r="A192" s="4" t="s">
        <v>842</v>
      </c>
      <c r="B192" s="14" t="s">
        <v>843</v>
      </c>
      <c r="C192" s="6">
        <v>60.21</v>
      </c>
      <c r="D192" s="6" t="s">
        <v>844</v>
      </c>
      <c r="E192" s="15">
        <v>2.9999999999999997E-4</v>
      </c>
      <c r="F192" s="6">
        <v>-0.09</v>
      </c>
      <c r="G192" s="3">
        <f t="shared" si="10"/>
        <v>146800000</v>
      </c>
      <c r="H192" s="3" t="b">
        <f t="shared" si="11"/>
        <v>0</v>
      </c>
      <c r="I192" s="26">
        <f>Table1[[#This Row],[Tech]]*$T$7+Table1[[#This Row],[Beta]]*($T$6-$T$8)+$T$8</f>
        <v>3.0676000000000002E-2</v>
      </c>
      <c r="J192" s="42">
        <v>0.37</v>
      </c>
      <c r="K192" s="56">
        <f>Table1[[#This Row],[Investment]]/Table1[[#This Row],[Dollar Volume]]</f>
        <v>2.5204359673024524E-9</v>
      </c>
      <c r="L192" s="34">
        <f>IFERROR(MAX($T$11+$T$12*LN(Table1[[#This Row],[Frac ADV]]),0),0)*0.0001+0.005/Table1[[#This Row],[Stock Price]]+Table1[[#This Row],[Expense Ratio]]</f>
        <v>3.8304268393954491E-4</v>
      </c>
      <c r="M192" s="24">
        <f>(Table1[[#This Row],[Expected Return]]-Table1[[#This Row],[Tcosts]])*Table1[[#This Row],[Investment]]</f>
        <v>1.1208394206942369E-2</v>
      </c>
      <c r="Q192" s="13" t="s">
        <v>845</v>
      </c>
    </row>
    <row r="193" spans="1:17" ht="14.4" x14ac:dyDescent="0.3">
      <c r="A193" s="2" t="s">
        <v>846</v>
      </c>
      <c r="B193" s="10" t="s">
        <v>847</v>
      </c>
      <c r="C193" s="11">
        <v>25.19</v>
      </c>
      <c r="D193" s="11" t="s">
        <v>848</v>
      </c>
      <c r="E193" s="12">
        <v>2.9999999999999997E-4</v>
      </c>
      <c r="F193" s="11">
        <v>-0.09</v>
      </c>
      <c r="G193" s="3">
        <f t="shared" si="10"/>
        <v>32799999.999999996</v>
      </c>
      <c r="H193" s="3" t="b">
        <f t="shared" si="11"/>
        <v>0</v>
      </c>
      <c r="I193" s="26">
        <f>Table1[[#This Row],[Tech]]*$T$7+Table1[[#This Row],[Beta]]*($T$6-$T$8)+$T$8</f>
        <v>3.0676000000000002E-2</v>
      </c>
      <c r="J193" s="42">
        <v>0.37</v>
      </c>
      <c r="K193" s="56">
        <f>Table1[[#This Row],[Investment]]/Table1[[#This Row],[Dollar Volume]]</f>
        <v>1.128048780487805E-8</v>
      </c>
      <c r="L193" s="34">
        <f>IFERROR(MAX($T$11+$T$12*LN(Table1[[#This Row],[Frac ADV]]),0),0)*0.0001+0.005/Table1[[#This Row],[Stock Price]]+Table1[[#This Row],[Expense Ratio]]</f>
        <v>4.9849146486701066E-4</v>
      </c>
      <c r="M193" s="24">
        <f>(Table1[[#This Row],[Expected Return]]-Table1[[#This Row],[Tcosts]])*Table1[[#This Row],[Investment]]</f>
        <v>1.1165678157999208E-2</v>
      </c>
      <c r="Q193" s="16" t="s">
        <v>849</v>
      </c>
    </row>
    <row r="194" spans="1:17" ht="14.4" x14ac:dyDescent="0.3">
      <c r="A194" s="2" t="s">
        <v>850</v>
      </c>
      <c r="B194" s="10" t="s">
        <v>851</v>
      </c>
      <c r="C194" s="11">
        <v>89.23</v>
      </c>
      <c r="D194" s="11" t="s">
        <v>852</v>
      </c>
      <c r="E194" s="12">
        <v>1.5E-3</v>
      </c>
      <c r="F194" s="11">
        <v>-0.18</v>
      </c>
      <c r="G194" s="3">
        <f t="shared" ref="G194:G201" si="12">IF(RIGHT(Q194,1)="B", VALUE(SUBSTITUTE(Q194,"B",""))*1000000000,
 IF(RIGHT(Q194,1)="M", VALUE(SUBSTITUTE(Q194,"M",""))*1000000, VALUE(Q194)))</f>
        <v>32170000</v>
      </c>
      <c r="H194" s="3" t="b">
        <f t="shared" ref="H194:H201" si="13">OR(
  ISNUMBER(SEARCH("technology",B194)),
  ISNUMBER(SEARCH("tech",B194)),
  ISNUMBER(SEARCH("qqq",B194)),
  ISNUMBER(SEARCH("semiconductor",B194)),
  ISNUMBER(SEARCH("information technology",B194)),
  ISNUMBER(SEARCH("nasdaq",B194)),
  ISNUMBER(SEARCH("communication",B194))
)</f>
        <v>0</v>
      </c>
      <c r="I194" s="26">
        <f>Table1[[#This Row],[Tech]]*$T$7+Table1[[#This Row],[Beta]]*($T$6-$T$8)+$T$8</f>
        <v>2.4952000000000002E-2</v>
      </c>
      <c r="J194" s="42">
        <v>0</v>
      </c>
      <c r="K194" s="56">
        <f>Table1[[#This Row],[Investment]]/Table1[[#This Row],[Dollar Volume]]</f>
        <v>0</v>
      </c>
      <c r="L194" s="33">
        <f>IFERROR(MAX($T$11+$T$12*LN(Table1[[#This Row],[Frac ADV]]),0),0)*0.0001+0.005/Table1[[#This Row],[Stock Price]]+Table1[[#This Row],[Expense Ratio]]</f>
        <v>1.5560349658186709E-3</v>
      </c>
      <c r="M194" s="24">
        <f>(Table1[[#This Row],[Expected Return]]-Table1[[#This Row],[Tcosts]])*Table1[[#This Row],[Investment]]</f>
        <v>0</v>
      </c>
      <c r="Q194" s="13" t="s">
        <v>853</v>
      </c>
    </row>
    <row r="195" spans="1:17" ht="14.4" x14ac:dyDescent="0.3">
      <c r="A195" s="2" t="s">
        <v>854</v>
      </c>
      <c r="B195" s="10" t="s">
        <v>855</v>
      </c>
      <c r="C195" s="11">
        <v>103.39</v>
      </c>
      <c r="D195" s="11" t="s">
        <v>856</v>
      </c>
      <c r="E195" s="12">
        <v>1.5E-3</v>
      </c>
      <c r="F195" s="11">
        <v>-0.17</v>
      </c>
      <c r="G195" s="3">
        <f t="shared" si="12"/>
        <v>66080000</v>
      </c>
      <c r="H195" s="3" t="b">
        <f t="shared" si="13"/>
        <v>0</v>
      </c>
      <c r="I195" s="26">
        <f>Table1[[#This Row],[Tech]]*$T$7+Table1[[#This Row],[Beta]]*($T$6-$T$8)+$T$8</f>
        <v>2.5588E-2</v>
      </c>
      <c r="J195" s="42">
        <v>0</v>
      </c>
      <c r="K195" s="56">
        <f>Table1[[#This Row],[Investment]]/Table1[[#This Row],[Dollar Volume]]</f>
        <v>0</v>
      </c>
      <c r="L195" s="34">
        <f>IFERROR(MAX($T$11+$T$12*LN(Table1[[#This Row],[Frac ADV]]),0),0)*0.0001+0.005/Table1[[#This Row],[Stock Price]]+Table1[[#This Row],[Expense Ratio]]</f>
        <v>1.5483605764580713E-3</v>
      </c>
      <c r="M195" s="24">
        <f>(Table1[[#This Row],[Expected Return]]-Table1[[#This Row],[Tcosts]])*Table1[[#This Row],[Investment]]</f>
        <v>0</v>
      </c>
      <c r="Q195" s="16" t="s">
        <v>857</v>
      </c>
    </row>
    <row r="196" spans="1:17" ht="14.4" x14ac:dyDescent="0.3">
      <c r="A196" s="2" t="s">
        <v>858</v>
      </c>
      <c r="B196" s="10" t="s">
        <v>859</v>
      </c>
      <c r="C196" s="11">
        <v>96.83</v>
      </c>
      <c r="D196" s="11" t="s">
        <v>860</v>
      </c>
      <c r="E196" s="12">
        <v>1.5E-3</v>
      </c>
      <c r="F196" s="11">
        <v>-0.12</v>
      </c>
      <c r="G196" s="3">
        <f t="shared" si="12"/>
        <v>24040000</v>
      </c>
      <c r="H196" s="3" t="b">
        <f t="shared" si="13"/>
        <v>0</v>
      </c>
      <c r="I196" s="26">
        <f>Table1[[#This Row],[Tech]]*$T$7+Table1[[#This Row],[Beta]]*($T$6-$T$8)+$T$8</f>
        <v>2.8768000000000002E-2</v>
      </c>
      <c r="J196" s="42">
        <v>0</v>
      </c>
      <c r="K196" s="56">
        <f>Table1[[#This Row],[Investment]]/Table1[[#This Row],[Dollar Volume]]</f>
        <v>0</v>
      </c>
      <c r="L196" s="34">
        <f>IFERROR(MAX($T$11+$T$12*LN(Table1[[#This Row],[Frac ADV]]),0),0)*0.0001+0.005/Table1[[#This Row],[Stock Price]]+Table1[[#This Row],[Expense Ratio]]</f>
        <v>1.5516368893937829E-3</v>
      </c>
      <c r="M196" s="24">
        <f>(Table1[[#This Row],[Expected Return]]-Table1[[#This Row],[Tcosts]])*Table1[[#This Row],[Investment]]</f>
        <v>0</v>
      </c>
      <c r="Q196" s="13" t="s">
        <v>861</v>
      </c>
    </row>
    <row r="197" spans="1:17" ht="14.4" x14ac:dyDescent="0.3">
      <c r="A197" s="4" t="s">
        <v>862</v>
      </c>
      <c r="B197" s="14" t="s">
        <v>863</v>
      </c>
      <c r="C197" s="6">
        <v>23.19</v>
      </c>
      <c r="D197" s="6" t="s">
        <v>864</v>
      </c>
      <c r="E197" s="15">
        <v>5.0000000000000001E-4</v>
      </c>
      <c r="F197" s="6">
        <v>-0.08</v>
      </c>
      <c r="G197" s="3">
        <f t="shared" si="12"/>
        <v>84260000</v>
      </c>
      <c r="H197" s="3" t="b">
        <f t="shared" si="13"/>
        <v>0</v>
      </c>
      <c r="I197" s="26">
        <f>Table1[[#This Row],[Tech]]*$T$7+Table1[[#This Row],[Beta]]*($T$6-$T$8)+$T$8</f>
        <v>3.1312E-2</v>
      </c>
      <c r="J197" s="42">
        <v>0</v>
      </c>
      <c r="K197" s="56">
        <f>Table1[[#This Row],[Investment]]/Table1[[#This Row],[Dollar Volume]]</f>
        <v>0</v>
      </c>
      <c r="L197" s="34">
        <f>IFERROR(MAX($T$11+$T$12*LN(Table1[[#This Row],[Frac ADV]]),0),0)*0.0001+0.005/Table1[[#This Row],[Stock Price]]+Table1[[#This Row],[Expense Ratio]]</f>
        <v>7.1561017680034497E-4</v>
      </c>
      <c r="M197" s="24">
        <f>(Table1[[#This Row],[Expected Return]]-Table1[[#This Row],[Tcosts]])*Table1[[#This Row],[Investment]]</f>
        <v>0</v>
      </c>
      <c r="Q197" s="16" t="s">
        <v>865</v>
      </c>
    </row>
    <row r="198" spans="1:17" ht="14.4" x14ac:dyDescent="0.3">
      <c r="A198" s="2" t="s">
        <v>866</v>
      </c>
      <c r="B198" s="10" t="s">
        <v>867</v>
      </c>
      <c r="C198" s="11">
        <v>74.66</v>
      </c>
      <c r="D198" s="11" t="s">
        <v>868</v>
      </c>
      <c r="E198" s="12">
        <v>2.9999999999999997E-4</v>
      </c>
      <c r="F198" s="11">
        <v>-0.05</v>
      </c>
      <c r="G198" s="3">
        <f t="shared" si="12"/>
        <v>301030000</v>
      </c>
      <c r="H198" s="3" t="b">
        <f t="shared" si="13"/>
        <v>0</v>
      </c>
      <c r="I198" s="26">
        <f>Table1[[#This Row],[Tech]]*$T$7+Table1[[#This Row],[Beta]]*($T$6-$T$8)+$T$8</f>
        <v>3.322E-2</v>
      </c>
      <c r="J198" s="42">
        <v>0</v>
      </c>
      <c r="K198" s="56">
        <f>Table1[[#This Row],[Investment]]/Table1[[#This Row],[Dollar Volume]]</f>
        <v>0</v>
      </c>
      <c r="L198" s="34">
        <f>IFERROR(MAX($T$11+$T$12*LN(Table1[[#This Row],[Frac ADV]]),0),0)*0.0001+0.005/Table1[[#This Row],[Stock Price]]+Table1[[#This Row],[Expense Ratio]]</f>
        <v>3.6697026520225018E-4</v>
      </c>
      <c r="M198" s="24">
        <f>(Table1[[#This Row],[Expected Return]]-Table1[[#This Row],[Tcosts]])*Table1[[#This Row],[Investment]]</f>
        <v>0</v>
      </c>
      <c r="Q198" s="13" t="s">
        <v>869</v>
      </c>
    </row>
    <row r="199" spans="1:17" ht="14.4" x14ac:dyDescent="0.3">
      <c r="A199" s="2" t="s">
        <v>870</v>
      </c>
      <c r="B199" s="10" t="s">
        <v>871</v>
      </c>
      <c r="C199" s="11">
        <v>92.48</v>
      </c>
      <c r="D199" s="11" t="s">
        <v>872</v>
      </c>
      <c r="E199" s="12">
        <v>2.5000000000000001E-3</v>
      </c>
      <c r="F199" s="11">
        <v>-0.05</v>
      </c>
      <c r="G199" s="3">
        <f t="shared" si="12"/>
        <v>98510000</v>
      </c>
      <c r="H199" s="3" t="b">
        <f t="shared" si="13"/>
        <v>0</v>
      </c>
      <c r="I199" s="26">
        <f>Table1[[#This Row],[Tech]]*$T$7+Table1[[#This Row],[Beta]]*($T$6-$T$8)+$T$8</f>
        <v>3.322E-2</v>
      </c>
      <c r="J199" s="42">
        <v>0</v>
      </c>
      <c r="K199" s="56">
        <f>Table1[[#This Row],[Investment]]/Table1[[#This Row],[Dollar Volume]]</f>
        <v>0</v>
      </c>
      <c r="L199" s="34">
        <f>IFERROR(MAX($T$11+$T$12*LN(Table1[[#This Row],[Frac ADV]]),0),0)*0.0001+0.005/Table1[[#This Row],[Stock Price]]+Table1[[#This Row],[Expense Ratio]]</f>
        <v>2.5540657439446367E-3</v>
      </c>
      <c r="M199" s="24">
        <f>(Table1[[#This Row],[Expected Return]]-Table1[[#This Row],[Tcosts]])*Table1[[#This Row],[Investment]]</f>
        <v>0</v>
      </c>
      <c r="Q199" s="16" t="s">
        <v>873</v>
      </c>
    </row>
    <row r="200" spans="1:17" ht="14.4" x14ac:dyDescent="0.3">
      <c r="A200" s="2" t="s">
        <v>874</v>
      </c>
      <c r="B200" s="10" t="s">
        <v>875</v>
      </c>
      <c r="C200" s="11">
        <v>50.77</v>
      </c>
      <c r="D200" s="11" t="s">
        <v>726</v>
      </c>
      <c r="E200" s="12">
        <v>2.9999999999999997E-4</v>
      </c>
      <c r="F200" s="11">
        <v>-0.05</v>
      </c>
      <c r="G200" s="3">
        <f t="shared" si="12"/>
        <v>64050000</v>
      </c>
      <c r="H200" s="3" t="b">
        <f t="shared" si="13"/>
        <v>0</v>
      </c>
      <c r="I200" s="26">
        <f>Table1[[#This Row],[Tech]]*$T$7+Table1[[#This Row],[Beta]]*($T$6-$T$8)+$T$8</f>
        <v>3.322E-2</v>
      </c>
      <c r="J200" s="42">
        <v>0</v>
      </c>
      <c r="K200" s="56">
        <f>Table1[[#This Row],[Investment]]/Table1[[#This Row],[Dollar Volume]]</f>
        <v>0</v>
      </c>
      <c r="L200" s="34">
        <f>IFERROR(MAX($T$11+$T$12*LN(Table1[[#This Row],[Frac ADV]]),0),0)*0.0001+0.005/Table1[[#This Row],[Stock Price]]+Table1[[#This Row],[Expense Ratio]]</f>
        <v>3.9848335631278314E-4</v>
      </c>
      <c r="M200" s="24">
        <f>(Table1[[#This Row],[Expected Return]]-Table1[[#This Row],[Tcosts]])*Table1[[#This Row],[Investment]]</f>
        <v>0</v>
      </c>
      <c r="Q200" s="13" t="s">
        <v>876</v>
      </c>
    </row>
    <row r="201" spans="1:17" ht="14.4" x14ac:dyDescent="0.3">
      <c r="A201" s="29" t="s">
        <v>877</v>
      </c>
      <c r="B201" s="30" t="s">
        <v>878</v>
      </c>
      <c r="C201" s="31">
        <v>96.14</v>
      </c>
      <c r="D201" s="31" t="s">
        <v>844</v>
      </c>
      <c r="E201" s="32">
        <v>4.0000000000000002E-4</v>
      </c>
      <c r="F201" s="31">
        <v>-0.05</v>
      </c>
      <c r="G201" s="5">
        <f t="shared" si="12"/>
        <v>24620000</v>
      </c>
      <c r="H201" s="5" t="b">
        <f t="shared" si="13"/>
        <v>0</v>
      </c>
      <c r="I201" s="36">
        <f>Table1[[#This Row],[Tech]]*$T$7+Table1[[#This Row],[Beta]]*($T$6-$T$8)+$T$8</f>
        <v>3.322E-2</v>
      </c>
      <c r="J201" s="43">
        <v>0</v>
      </c>
      <c r="K201" s="57">
        <f>Table1[[#This Row],[Investment]]/Table1[[#This Row],[Dollar Volume]]</f>
        <v>0</v>
      </c>
      <c r="L201" s="37">
        <f>IFERROR(MAX($T$11+$T$12*LN(Table1[[#This Row],[Frac ADV]]),0),0)*0.0001+0.005/Table1[[#This Row],[Stock Price]]+Table1[[#This Row],[Expense Ratio]]</f>
        <v>4.5200748907842732E-4</v>
      </c>
      <c r="M201" s="28">
        <f>(Table1[[#This Row],[Expected Return]]-Table1[[#This Row],[Tcosts]])*Table1[[#This Row],[Investment]]</f>
        <v>0</v>
      </c>
      <c r="Q201" s="38" t="s">
        <v>879</v>
      </c>
    </row>
  </sheetData>
  <hyperlinks>
    <hyperlink ref="A40" r:id="rId1" display="https://stockanalysis.com/etf/voo/" xr:uid="{3F28FE63-DD0C-466F-A526-209396B2A06C}"/>
    <hyperlink ref="A37" r:id="rId2" display="https://stockanalysis.com/etf/ivv/" xr:uid="{2E7FC6EB-FF24-47FD-9515-4D4500966C35}"/>
    <hyperlink ref="A41" r:id="rId3" display="https://stockanalysis.com/etf/spy/" xr:uid="{128757D1-724A-4B1B-AAAA-9D6DB9EC3D75}"/>
    <hyperlink ref="A74" r:id="rId4" display="https://stockanalysis.com/etf/vti/" xr:uid="{33C45526-848E-4F8F-B605-A88B730C4C79}"/>
    <hyperlink ref="A10" r:id="rId5" display="https://stockanalysis.com/etf/qqq/" xr:uid="{D5BA20E6-79A3-4D11-BDB8-0EEBEBBB07CB}"/>
    <hyperlink ref="A115" r:id="rId6" display="https://stockanalysis.com/etf/vea/" xr:uid="{AF5D3BA3-CA47-4286-BC0C-439714B3AF13}"/>
    <hyperlink ref="A26" r:id="rId7" display="https://stockanalysis.com/etf/vug/" xr:uid="{DCAAA6A1-C160-41CB-BBB0-1C8B8E190737}"/>
    <hyperlink ref="A96" r:id="rId8" display="https://stockanalysis.com/etf/iefa/" xr:uid="{7E380D50-7A05-43A5-B50D-E01D6ED89FDE}"/>
    <hyperlink ref="A169" r:id="rId9" display="https://stockanalysis.com/etf/gld/" xr:uid="{ACC32DFA-A05D-4F9E-ABFA-410BAC48F850}"/>
    <hyperlink ref="A105" r:id="rId10" display="https://stockanalysis.com/etf/vtv/" xr:uid="{6AC8004B-657A-4F4F-AE76-9B44F497ECCB}"/>
    <hyperlink ref="A198" r:id="rId11" display="https://stockanalysis.com/etf/bnd/" xr:uid="{F71CC012-0C81-48EC-9782-109E153321F6}"/>
    <hyperlink ref="A117" r:id="rId12" display="https://stockanalysis.com/etf/iemg/" xr:uid="{35EAB923-B139-4D3B-9AC3-5A8CA6550A57}"/>
    <hyperlink ref="A187" r:id="rId13" display="https://stockanalysis.com/etf/agg/" xr:uid="{A6F907AA-93CE-4C39-8BE7-8BF4600BE9D8}"/>
    <hyperlink ref="A52" r:id="rId14" display="https://stockanalysis.com/etf/vxus/" xr:uid="{7EEF0A31-7FD4-454F-9DFE-8107092AE8E6}"/>
    <hyperlink ref="A18" r:id="rId15" display="https://stockanalysis.com/etf/iwf/" xr:uid="{0F36F6B5-7F3B-4F34-8ABB-2370AF215D73}"/>
    <hyperlink ref="A120" r:id="rId16" display="https://stockanalysis.com/etf/vwo/" xr:uid="{2ACEFEDF-0876-4571-BCB1-9944004770C7}"/>
    <hyperlink ref="A7" r:id="rId17" display="https://stockanalysis.com/etf/vgt/" xr:uid="{AEC3A1EA-ECFE-4FB4-83F2-9E3ABE2E5956}"/>
    <hyperlink ref="A81" r:id="rId18" display="https://stockanalysis.com/etf/ijh/" xr:uid="{7A57DF3C-2CE3-45C1-BE5E-C36ECB5ADC9E}"/>
    <hyperlink ref="A51" r:id="rId19" display="https://stockanalysis.com/etf/spym/" xr:uid="{D3AC5585-A8B6-4A2C-A84D-193E7A91E462}"/>
    <hyperlink ref="A38" r:id="rId20" display="https://stockanalysis.com/etf/vig/" xr:uid="{9153C408-46C5-4F66-88B7-1CEED65734FE}"/>
    <hyperlink ref="A57" r:id="rId21" display="https://stockanalysis.com/etf/ijr/" xr:uid="{03DAD2DE-BC3F-46E8-A3D2-97043CA8A47C}"/>
    <hyperlink ref="A80" r:id="rId22" display="https://stockanalysis.com/etf/vo/" xr:uid="{4538BB58-1F96-4904-B346-CEEFB0E0265D}"/>
    <hyperlink ref="A8" r:id="rId23" display="https://stockanalysis.com/etf/xlk/" xr:uid="{072804FA-3FBC-41EE-B2FA-DFE542664D60}"/>
    <hyperlink ref="A56" r:id="rId24" display="https://stockanalysis.com/etf/rsp/" xr:uid="{30558135-93D5-4C31-91C9-A13C6F04A365}"/>
    <hyperlink ref="A149" r:id="rId25" display="https://stockanalysis.com/etf/schd/" xr:uid="{8DC2452F-18AD-42A8-9D6A-855B9E979311}"/>
    <hyperlink ref="A64" r:id="rId26" display="https://stockanalysis.com/etf/itot/" xr:uid="{5F3319C8-27CE-49CC-9CBA-81257536BFD2}"/>
    <hyperlink ref="A199" r:id="rId27" display="https://stockanalysis.com/etf/iau/" xr:uid="{2644184A-C04C-49A6-B13B-08675594B819}"/>
    <hyperlink ref="A75" r:id="rId28" display="https://stockanalysis.com/etf/iwm/" xr:uid="{49D9ECF8-0EA2-437B-8C9D-C8CAFF738AE1}"/>
    <hyperlink ref="A97" r:id="rId29" display="https://stockanalysis.com/etf/efa/" xr:uid="{5F57DF47-874B-4DF2-8C3E-09C95D0B295F}"/>
    <hyperlink ref="A167" r:id="rId30" display="https://stockanalysis.com/etf/bndx/" xr:uid="{D3082368-0E9F-4947-A638-129F65CCB785}"/>
    <hyperlink ref="A100" r:id="rId31" display="https://stockanalysis.com/etf/vym/" xr:uid="{CF977A88-E40F-4A6A-9F9F-598D92B9B7D5}"/>
    <hyperlink ref="A19" r:id="rId32" display="https://stockanalysis.com/etf/vb/" xr:uid="{98EA7FE7-2069-470C-9718-9CC3225044C4}"/>
    <hyperlink ref="A159" r:id="rId33" display="https://stockanalysis.com/etf/sgov/" xr:uid="{800B6FE3-00A0-4D4F-A7E0-4650FBF930EF}"/>
    <hyperlink ref="A11" r:id="rId34" display="https://stockanalysis.com/etf/qqqm/" xr:uid="{9EDD5A8A-D015-43C0-A148-62F8DC0FCA71}"/>
    <hyperlink ref="A107" r:id="rId35" display="https://stockanalysis.com/etf/iwd/" xr:uid="{9EF7BACC-4B4E-465D-A704-52F810D18830}"/>
    <hyperlink ref="A27" r:id="rId36" display="https://stockanalysis.com/etf/ivw/" xr:uid="{A89A7C16-4A80-4329-850A-C0961CC09BD9}"/>
    <hyperlink ref="A43" r:id="rId37" display="https://stockanalysis.com/etf/schx/" xr:uid="{91D70DA4-1706-47E7-9D0E-DEBB454F8E70}"/>
    <hyperlink ref="A88" r:id="rId38" display="https://stockanalysis.com/etf/vt/" xr:uid="{CD1D7D3F-70CB-44A0-8EE1-9EC0693C97C9}"/>
    <hyperlink ref="A186" r:id="rId39" display="https://stockanalysis.com/etf/vcit/" xr:uid="{A0AFF798-510E-4367-B78A-40F134196A1B}"/>
    <hyperlink ref="A108" r:id="rId40" display="https://stockanalysis.com/etf/veu/" xr:uid="{0C2A13FB-CABF-4825-B94B-8A8539B6C0A4}"/>
    <hyperlink ref="A101" r:id="rId41" display="https://stockanalysis.com/etf/schf/" xr:uid="{503CA095-3ED0-48E1-9CDE-A91290AD6FCF}"/>
    <hyperlink ref="A67" r:id="rId42" display="https://stockanalysis.com/etf/ixus/" xr:uid="{54C94540-2DFA-4662-8A19-740E0DAB0050}"/>
    <hyperlink ref="A48" r:id="rId43" display="https://stockanalysis.com/etf/xlf/" xr:uid="{D7171065-DC86-4FE5-B6EB-DA011D8B4D75}"/>
    <hyperlink ref="A136" r:id="rId44" display="https://stockanalysis.com/etf/ibit/" xr:uid="{001AB71B-72CC-49B1-921F-F687EA64C05F}"/>
    <hyperlink ref="A16" r:id="rId45" display="https://stockanalysis.com/etf/schg/" xr:uid="{AFA20AF3-225A-4708-A034-A3F5DD368BA3}"/>
    <hyperlink ref="A89" r:id="rId46" display="https://stockanalysis.com/etf/ive/" xr:uid="{A6729319-B3BE-4051-B42C-E787F76DF69A}"/>
    <hyperlink ref="A83" r:id="rId47" display="https://stockanalysis.com/etf/qual/" xr:uid="{D580D182-E62F-4D2B-98E6-8774C4B37FEA}"/>
    <hyperlink ref="A77" r:id="rId48" display="https://stockanalysis.com/etf/iwr/" xr:uid="{6A7DFE44-4C34-4489-A5FE-55CC20E0E62D}"/>
    <hyperlink ref="A42" r:id="rId49" display="https://stockanalysis.com/etf/vv/" xr:uid="{1D6F63A0-782A-460D-802C-AECDDF5CEE59}"/>
    <hyperlink ref="A50" r:id="rId50" display="https://stockanalysis.com/etf/iwb/" xr:uid="{D9F4E20D-4B93-4F80-8BFE-87DB747F9A2E}"/>
    <hyperlink ref="A196" r:id="rId51" display="https://stockanalysis.com/etf/ief/" xr:uid="{3E5997A1-5C6F-4F08-B622-42A29171DE86}"/>
    <hyperlink ref="A91" r:id="rId52" display="https://stockanalysis.com/etf/dia/" xr:uid="{0CD54951-1EA5-40A7-9F43-E0C5AE759A40}"/>
    <hyperlink ref="A3" r:id="rId53" display="https://stockanalysis.com/etf/smh/" xr:uid="{EE171BF2-E815-48CA-A2E4-89D9357A312D}"/>
    <hyperlink ref="A24" r:id="rId54" display="https://stockanalysis.com/etf/spyg/" xr:uid="{43177AB9-DE0A-4612-820D-7F1A7A3DC133}"/>
    <hyperlink ref="A194" r:id="rId55" display="https://stockanalysis.com/etf/tlt/" xr:uid="{EEE911F0-57FB-4994-8353-D6990AF317FA}"/>
    <hyperlink ref="A141" r:id="rId56" display="https://stockanalysis.com/etf/jepi/" xr:uid="{F4F47AA6-359C-4C2F-934F-AE234CAC4FEA}"/>
    <hyperlink ref="A181" r:id="rId57" display="https://stockanalysis.com/etf/bsv/" xr:uid="{514027B7-5647-46E0-B115-B0746B88E08E}"/>
    <hyperlink ref="A162" r:id="rId58" display="https://stockanalysis.com/etf/bil/" xr:uid="{5E1E7B9D-DEB1-47DE-9052-AEA53531FC28}"/>
    <hyperlink ref="A200" r:id="rId59" display="https://stockanalysis.com/etf/vteb/" xr:uid="{F7EE8C40-071B-47EC-8FAE-D4A9BDBE87C8}"/>
    <hyperlink ref="A183" r:id="rId60" display="https://stockanalysis.com/etf/mub/" xr:uid="{CE46861F-9A7F-4B24-A0A8-48840ECC05EA}"/>
    <hyperlink ref="A76" r:id="rId61" display="https://stockanalysis.com/etf/dfac/" xr:uid="{25456AC0-51A9-4421-AC98-FC45F78C1DF4}"/>
    <hyperlink ref="A94" r:id="rId62" display="https://stockanalysis.com/etf/slv/" xr:uid="{E95B812E-3FEF-4B3C-82D8-944BA67B488F}"/>
    <hyperlink ref="A121" r:id="rId63" display="https://stockanalysis.com/etf/xlv/" xr:uid="{34775F9E-15AC-440C-89F7-77A1209DF1DE}"/>
    <hyperlink ref="A164" r:id="rId64" display="https://stockanalysis.com/etf/vcsh/" xr:uid="{52E858E2-2E3D-4BA2-AC59-216A76745448}"/>
    <hyperlink ref="A201" r:id="rId65" display="https://stockanalysis.com/etf/mbb/" xr:uid="{039A7571-5E82-43D5-A0C4-2DCE7311F28A}"/>
    <hyperlink ref="A192" r:id="rId66" display="https://stockanalysis.com/etf/vgit/" xr:uid="{37092296-A3B9-493B-BDE7-158316F68A4D}"/>
    <hyperlink ref="A31" r:id="rId67" display="https://stockanalysis.com/etf/schb/" xr:uid="{83F3A9AB-54FC-4629-81B6-6023363963DC}"/>
    <hyperlink ref="A128" r:id="rId68" display="https://stockanalysis.com/etf/dgro/" xr:uid="{5140C07B-97E6-419E-B634-4D3E8F6D91C8}"/>
    <hyperlink ref="A28" r:id="rId69" display="https://stockanalysis.com/etf/vong/" xr:uid="{D2104D30-C003-4E11-9CAE-D88ECBE2548F}"/>
    <hyperlink ref="A119" r:id="rId70" display="https://stockanalysis.com/etf/spdw/" xr:uid="{A42FEBEA-C256-4924-BD1E-F22429EB8EF2}"/>
    <hyperlink ref="A165" r:id="rId71" display="https://stockanalysis.com/etf/jpst/" xr:uid="{C4BA3D97-2A80-46F3-B244-6C95483F9885}"/>
    <hyperlink ref="A135" r:id="rId72" display="https://stockanalysis.com/etf/xle/" xr:uid="{5373B1B2-4D2F-4E7E-84DB-0391F847103C}"/>
    <hyperlink ref="A148" r:id="rId73" display="https://stockanalysis.com/etf/vnq/" xr:uid="{636C6651-815C-4DA9-BF91-5E28902BB92A}"/>
    <hyperlink ref="A197" r:id="rId74" display="https://stockanalysis.com/etf/govt/" xr:uid="{95C96962-FC98-40B6-9B64-48841C2EA357}"/>
    <hyperlink ref="A184" r:id="rId75" display="https://stockanalysis.com/etf/iusb/" xr:uid="{A1B9E92B-13A6-4A61-ABB4-61D3E7038A08}"/>
    <hyperlink ref="A95" r:id="rId76" display="https://stockanalysis.com/etf/vbr/" xr:uid="{C5A638FA-2EB5-43BE-8FC0-A83319732D33}"/>
    <hyperlink ref="A13" r:id="rId77" display="https://stockanalysis.com/etf/jepq/" xr:uid="{F6CB2216-57D5-4C6C-8FAC-21A1170F78C2}"/>
    <hyperlink ref="A111" r:id="rId78" display="https://stockanalysis.com/etf/spyv/" xr:uid="{6F172A1F-A90B-49CD-8B01-0CE0A6DCB249}"/>
    <hyperlink ref="A47" r:id="rId79" display="https://stockanalysis.com/etf/dynf/" xr:uid="{84E12558-0A6F-45B4-88C5-E9C5037F0DB3}"/>
    <hyperlink ref="A147" r:id="rId80" display="https://stockanalysis.com/etf/gdx/" xr:uid="{125B9769-BC19-45A5-A7D5-61E47243F85A}"/>
    <hyperlink ref="A189" r:id="rId81" display="https://stockanalysis.com/etf/gldm/" xr:uid="{CED99672-BE91-4E25-860E-2C9A769035D0}"/>
    <hyperlink ref="A125" r:id="rId82" display="https://stockanalysis.com/etf/vgk/" xr:uid="{B9E075D9-157E-4CBD-AA11-D57EA8515A86}"/>
    <hyperlink ref="A23" r:id="rId83" display="https://stockanalysis.com/etf/mgk/" xr:uid="{E568E793-3B5F-4919-B66F-0CCE797BE13E}"/>
    <hyperlink ref="A143" r:id="rId84" display="https://stockanalysis.com/etf/efv/" xr:uid="{ABC16040-EA44-4531-90E8-49E4CA028101}"/>
    <hyperlink ref="A79" r:id="rId85" display="https://stockanalysis.com/etf/xli/" xr:uid="{A52AB4E7-4F4D-44DF-BF5A-CE266EB334F6}"/>
    <hyperlink ref="A99" r:id="rId86" display="https://stockanalysis.com/etf/cgdv/" xr:uid="{B94D2ADF-153B-4CC9-BD7C-CF481C3C98C1}"/>
    <hyperlink ref="A168" r:id="rId87" display="https://stockanalysis.com/etf/lqd/" xr:uid="{2467F38A-520C-40BA-B434-7503C5F693B3}"/>
    <hyperlink ref="A25" r:id="rId88" display="https://stockanalysis.com/etf/oef/" xr:uid="{F0B9FF79-10C1-42E6-B2EC-54F5252E9813}"/>
    <hyperlink ref="A2" r:id="rId89" display="https://stockanalysis.com/etf/tqqq/" xr:uid="{9192AF97-A916-4CA0-9404-D4FE3F730421}"/>
    <hyperlink ref="A116" r:id="rId90" display="https://stockanalysis.com/etf/idev/" xr:uid="{C5FAEA10-8D97-4539-B4B7-441DCB911041}"/>
    <hyperlink ref="A175" r:id="rId91" display="https://stockanalysis.com/etf/biv/" xr:uid="{00952752-B8B7-4C68-84B4-6EF59D1E30A9}"/>
    <hyperlink ref="A146" r:id="rId92" display="https://stockanalysis.com/etf/eem/" xr:uid="{6ECDC752-D369-42D4-89BF-2DC4FF6B7309}"/>
    <hyperlink ref="A172" r:id="rId93" display="https://stockanalysis.com/etf/vgsh/" xr:uid="{408244A2-55A3-4E81-8FD8-E0FCFF5A65FC}"/>
    <hyperlink ref="A14" r:id="rId94" display="https://stockanalysis.com/etf/iusg/" xr:uid="{AA13F0B5-35A6-4D4E-B75E-A813F392B160}"/>
    <hyperlink ref="A45" r:id="rId95" display="https://stockanalysis.com/etf/acwi/" xr:uid="{B47FB757-BC67-42C5-B6B8-AB647DED7922}"/>
    <hyperlink ref="A155" r:id="rId96" display="https://stockanalysis.com/etf/jaaa/" xr:uid="{06115E26-7A51-464D-B5E9-C905233C355C}"/>
    <hyperlink ref="A12" r:id="rId97" display="https://stockanalysis.com/etf/xlc/" xr:uid="{85F29C36-5B10-43DB-AF23-A687DB4869AE}"/>
    <hyperlink ref="A30" r:id="rId98" display="https://stockanalysis.com/etf/vxf/" xr:uid="{6389ADD1-1D4B-44D0-BC0D-D34154196FA4}"/>
    <hyperlink ref="A154" r:id="rId99" display="https://stockanalysis.com/etf/ushy/" xr:uid="{09619885-A30C-4793-AE6A-E9EF5068DA75}"/>
    <hyperlink ref="A90" r:id="rId100" display="https://stockanalysis.com/etf/mdy/" xr:uid="{7751111C-D770-491C-830D-7F5790F20FCE}"/>
    <hyperlink ref="A53" r:id="rId101" display="https://stockanalysis.com/etf/iusv/" xr:uid="{27E0B7F3-93EA-40D1-9336-6610E881435C}"/>
    <hyperlink ref="A180" r:id="rId102" display="https://stockanalysis.com/etf/shy/" xr:uid="{6D33F4DB-0D8D-4658-B880-5C727B227326}"/>
    <hyperlink ref="A171" r:id="rId103" display="https://stockanalysis.com/etf/fbnd/" xr:uid="{ECD33978-F5E4-4C8C-8989-5FAD6B4572D4}"/>
    <hyperlink ref="A109" r:id="rId104" display="https://stockanalysis.com/etf/fndx/" xr:uid="{2DCFD618-F987-42B8-BB12-0C29E34C8DB2}"/>
    <hyperlink ref="A58" r:id="rId105" display="https://stockanalysis.com/etf/avuv/" xr:uid="{50C197AD-5447-4200-85F8-0643785B3E44}"/>
    <hyperlink ref="A151" r:id="rId106" display="https://stockanalysis.com/etf/usmv/" xr:uid="{871BC18B-5284-4927-9968-F6EC2F816B9D}"/>
    <hyperlink ref="A138" r:id="rId107" display="https://stockanalysis.com/etf/dvy/" xr:uid="{8F1110D5-FD7C-47B3-AFD9-E7D86DBE0EB2}"/>
    <hyperlink ref="A46" r:id="rId108" display="https://stockanalysis.com/etf/xly/" xr:uid="{9F136538-1748-4530-96C0-EF24271BD5F2}"/>
    <hyperlink ref="A160" r:id="rId109" display="https://stockanalysis.com/etf/igsb/" xr:uid="{42D0CF11-9CA6-4690-BE5D-801F7BE32884}"/>
    <hyperlink ref="A15" r:id="rId110" display="https://stockanalysis.com/etf/voog/" xr:uid="{72908809-C3A2-44FF-8FEC-CA4945B60D16}"/>
    <hyperlink ref="A4" r:id="rId111" display="https://stockanalysis.com/etf/soxx/" xr:uid="{C6FA7FBF-3C48-4D58-B214-697A6A2A004A}"/>
    <hyperlink ref="A145" r:id="rId112" display="https://stockanalysis.com/etf/xlu/" xr:uid="{FAFF8F89-9D75-4B74-A25A-CF1BE4D9C941}"/>
    <hyperlink ref="A68" r:id="rId113" display="https://stockanalysis.com/etf/voe/" xr:uid="{B394FDD7-C6CB-43C4-9C75-FAD96CF9A205}"/>
    <hyperlink ref="A134" r:id="rId114" display="https://stockanalysis.com/etf/fndf/" xr:uid="{66C1BDAA-4E4B-4F7E-8D01-9E81171C9BD8}"/>
    <hyperlink ref="A150" r:id="rId115" display="https://stockanalysis.com/etf/sdy/" xr:uid="{57896ACE-666C-41AE-8868-E671917FD057}"/>
    <hyperlink ref="A35" r:id="rId116" display="https://stockanalysis.com/etf/mtum/" xr:uid="{2DD9B1B3-0245-4A58-B877-3CD1EFDA281F}"/>
    <hyperlink ref="A32" r:id="rId117" display="https://stockanalysis.com/etf/vbk/" xr:uid="{12A55CA9-F4A4-452A-8FD2-DEF3375F0100}"/>
    <hyperlink ref="A29" r:id="rId118" display="https://stockanalysis.com/etf/scha/" xr:uid="{2F12ED39-C1D7-4A79-8194-FA8FA16D0E4D}"/>
    <hyperlink ref="A102" r:id="rId119" display="https://stockanalysis.com/etf/rdvy/" xr:uid="{349964F0-2C79-4554-A470-51FAAD06AE49}"/>
    <hyperlink ref="A9" r:id="rId120" display="https://stockanalysis.com/etf/iyw/" xr:uid="{F5BF451F-BA5E-4FE3-B4B3-21FC542CFAE9}"/>
    <hyperlink ref="A173" r:id="rId121" display="https://stockanalysis.com/etf/shv/" xr:uid="{76C5D1C7-DDB1-4CC9-B26F-C70A613988F0}"/>
    <hyperlink ref="A33" r:id="rId122" display="https://stockanalysis.com/etf/iwp/" xr:uid="{2260CA6D-EA79-462B-8231-4CFF3257E576}"/>
    <hyperlink ref="A21" r:id="rId123" display="https://stockanalysis.com/etf/cggr/" xr:uid="{808E4EEF-7AF1-4100-9F85-E2C342DC8C99}"/>
    <hyperlink ref="A126" r:id="rId124" display="https://stockanalysis.com/etf/avem/" xr:uid="{7ABE671D-68A5-414D-ADC6-D74A492F16ED}"/>
    <hyperlink ref="A60" r:id="rId125" display="https://stockanalysis.com/etf/iwv/" xr:uid="{787E6436-FDAB-4D59-B7C4-7C6963692DA8}"/>
    <hyperlink ref="A130" r:id="rId126" display="https://stockanalysis.com/etf/cowz/" xr:uid="{8B86AD3A-FF5E-40B2-A892-A8F55BFC31D3}"/>
    <hyperlink ref="A36" r:id="rId127" display="https://stockanalysis.com/etf/dfus/" xr:uid="{D393B3CD-3227-49D8-988C-0BF9D66B98C6}"/>
    <hyperlink ref="A140" r:id="rId128" display="https://stockanalysis.com/etf/dfiv/" xr:uid="{C8259A8F-B4E8-406E-822F-EFF806530452}"/>
    <hyperlink ref="A98" r:id="rId129" display="https://stockanalysis.com/etf/ewj/" xr:uid="{1C97B726-122E-4202-A9E4-1F7D847A0A96}"/>
    <hyperlink ref="A170" r:id="rId130" display="https://stockanalysis.com/etf/iei/" xr:uid="{ABE1EFBC-070B-4856-BB08-ABA4184676BC}"/>
    <hyperlink ref="A177" r:id="rId131" display="https://stockanalysis.com/etf/igib/" xr:uid="{54A27F69-4FC5-4A3B-B06C-30CBC27D75A8}"/>
    <hyperlink ref="A85" r:id="rId132" display="https://stockanalysis.com/etf/vymi/" xr:uid="{B34447F1-498B-4048-9A27-6A4589AC1938}"/>
    <hyperlink ref="A129" r:id="rId133" display="https://stockanalysis.com/etf/avdv/" xr:uid="{561E8E23-B520-42D2-A7FA-E589495C2443}"/>
    <hyperlink ref="A71" r:id="rId134" display="https://stockanalysis.com/etf/vot/" xr:uid="{7B7A7135-32F0-4632-8E43-0645D2161CF5}"/>
    <hyperlink ref="A142" r:id="rId135" display="https://stockanalysis.com/etf/vht/" xr:uid="{282E5511-46DB-4324-AB93-1A38087EC8C7}"/>
    <hyperlink ref="A153" r:id="rId136" display="https://stockanalysis.com/etf/hyg/" xr:uid="{4C0A5109-E276-4033-9F57-30DF2C197C45}"/>
    <hyperlink ref="A156" r:id="rId137" display="https://stockanalysis.com/etf/binc/" xr:uid="{E07A3EEF-FFB8-433E-8143-3F1CDD00BC15}"/>
    <hyperlink ref="A161" r:id="rId138" display="https://stockanalysis.com/etf/usig/" xr:uid="{3988CF3A-8911-479F-8549-470238B14882}"/>
    <hyperlink ref="A124" r:id="rId139" display="https://stockanalysis.com/etf/spem/" xr:uid="{ADB4E328-C40E-4206-BCC9-1E962AAB8FD9}"/>
    <hyperlink ref="A152" r:id="rId140" display="https://stockanalysis.com/etf/xlp/" xr:uid="{5BF466AA-ECF0-47CB-A96B-E96A7D8576B9}"/>
    <hyperlink ref="A127" r:id="rId141" display="https://stockanalysis.com/etf/emxc/" xr:uid="{6282EA1B-3834-41BA-A693-0013E814686E}"/>
    <hyperlink ref="A84" r:id="rId142" display="https://stockanalysis.com/etf/spmd/" xr:uid="{344689FC-5361-46F2-A6BE-B9EAB3C58C70}"/>
    <hyperlink ref="A118" r:id="rId143" display="https://stockanalysis.com/etf/dgrw/" xr:uid="{6F2A3E6C-A26A-4167-B0B4-F90837ED944A}"/>
    <hyperlink ref="A70" r:id="rId144" display="https://stockanalysis.com/etf/sphq/" xr:uid="{7FC503A6-71EB-49F1-BEFF-162B0213803C}"/>
    <hyperlink ref="A178" r:id="rId145" display="https://stockanalysis.com/etf/usfr/" xr:uid="{8384892F-A54A-45E2-AB61-80428A294287}"/>
    <hyperlink ref="A6" r:id="rId146" display="https://stockanalysis.com/etf/ftec/" xr:uid="{C4626E57-5240-4C12-9CF7-87C3B770292C}"/>
    <hyperlink ref="A182" r:id="rId147" display="https://stockanalysis.com/etf/vtip/" xr:uid="{20DC9211-9CCD-48E6-8A7A-8078F0017484}"/>
    <hyperlink ref="A157" r:id="rId148" display="https://stockanalysis.com/etf/emb/" xr:uid="{7E867648-820B-4874-9751-972F1F6E3A9C}"/>
    <hyperlink ref="A17" r:id="rId149" display="https://stockanalysis.com/etf/iwy/" xr:uid="{36B33437-5887-461C-9A9E-C2568915FB5B}"/>
    <hyperlink ref="A62" r:id="rId150" display="https://stockanalysis.com/etf/esgu/" xr:uid="{C1DD6F7D-C3C2-432F-BBCC-8D206CF0E586}"/>
    <hyperlink ref="A110" r:id="rId151" display="https://stockanalysis.com/etf/bbjp/" xr:uid="{1B480898-2806-46F5-83D1-52FA6174D644}"/>
    <hyperlink ref="A106" r:id="rId152" display="https://stockanalysis.com/etf/vonv/" xr:uid="{0395E7C9-1EEC-490E-8A90-06FFE7F61614}"/>
    <hyperlink ref="A86" r:id="rId153" display="https://stockanalysis.com/etf/schv/" xr:uid="{009626E8-41BD-4CA4-84F2-E5CB5DFF51B4}"/>
    <hyperlink ref="A190" r:id="rId154" display="https://stockanalysis.com/etf/schp/" xr:uid="{B387ABEF-7A00-4C6C-BD5D-BF6DCD22B9D0}"/>
    <hyperlink ref="A112" r:id="rId155" display="https://stockanalysis.com/etf/iws/" xr:uid="{953C328A-28D7-4F3F-9B28-908166866A1E}"/>
    <hyperlink ref="A44" r:id="rId156" display="https://stockanalysis.com/etf/ita/" xr:uid="{280AB2D9-0455-4146-8DC2-A40CFD304885}"/>
    <hyperlink ref="A179" r:id="rId157" display="https://stockanalysis.com/etf/mint/" xr:uid="{8E78700E-32C5-4A63-B79D-63EC38A773B4}"/>
    <hyperlink ref="A59" r:id="rId158" display="https://stockanalysis.com/etf/gslc/" xr:uid="{CF5227BB-8C81-414F-A4FF-00D8B387C9E8}"/>
    <hyperlink ref="A188" r:id="rId159" display="https://stockanalysis.com/etf/vmbs/" xr:uid="{2D564104-0267-41FC-B7D1-F8A12B039F32}"/>
    <hyperlink ref="A22" r:id="rId160" display="https://stockanalysis.com/etf/spsm/" xr:uid="{2EC76D94-3A91-474B-A9F9-BF50E21F7B59}"/>
    <hyperlink ref="A63" r:id="rId161" display="https://stockanalysis.com/etf/vtwo/" xr:uid="{3F90A59A-BF71-47D7-8BB9-48BA837A40FE}"/>
    <hyperlink ref="A122" r:id="rId162" display="https://stockanalysis.com/etf/dfai/" xr:uid="{4B0C58A2-5B3C-47F2-857C-50EB2377702B}"/>
    <hyperlink ref="A72" r:id="rId163" display="https://stockanalysis.com/etf/avde/" xr:uid="{0E8D2585-137B-494C-8906-77D1BCF00CAA}"/>
    <hyperlink ref="A92" r:id="rId164" display="https://stockanalysis.com/etf/scz/" xr:uid="{A611E229-DAB3-46C5-9ACD-EC9DB3B8A98F}"/>
    <hyperlink ref="A163" r:id="rId165" display="https://stockanalysis.com/etf/stip/" xr:uid="{3D5CCF52-2A56-47B1-8136-6C6D225F04D4}"/>
    <hyperlink ref="A191" r:id="rId166" display="https://stockanalysis.com/etf/tip/" xr:uid="{3C67870E-0EE8-4397-8B22-AB97B73EC35B}"/>
    <hyperlink ref="A158" r:id="rId167" display="https://stockanalysis.com/etf/pff/" xr:uid="{CA80A9B6-28B7-4ACF-B72C-7452B91C7464}"/>
    <hyperlink ref="A123" r:id="rId168" display="https://stockanalysis.com/etf/dfuv/" xr:uid="{9EEBE140-255A-43C9-9D79-C073AFC531A8}"/>
    <hyperlink ref="A185" r:id="rId169" display="https://stockanalysis.com/etf/puls/" xr:uid="{123DD715-00DE-4EAB-8F45-C0A125F2E627}"/>
    <hyperlink ref="A20" r:id="rId170" display="https://stockanalysis.com/etf/spmo/" xr:uid="{C7ACE853-BB3A-4F15-BF71-7480A8697FED}"/>
    <hyperlink ref="A54" r:id="rId171" display="https://stockanalysis.com/etf/iwo/" xr:uid="{7667340D-E498-47E1-B5B7-A1B34ABBA5D1}"/>
    <hyperlink ref="A55" r:id="rId172" display="https://stockanalysis.com/etf/vfh/" xr:uid="{8D208F71-51AE-4E7E-A8DC-3FCF24602A1A}"/>
    <hyperlink ref="A65" r:id="rId173" display="https://stockanalysis.com/etf/dfat/" xr:uid="{FE7B2091-FC7B-4009-814C-B62BD32117E9}"/>
    <hyperlink ref="A104" r:id="rId174" display="https://stockanalysis.com/etf/fbtc/" xr:uid="{9D9E9D97-E981-40E7-B290-949D21DE1A3B}"/>
    <hyperlink ref="A87" r:id="rId175" display="https://stockanalysis.com/etf/dfas/" xr:uid="{0E8378B7-7BAF-4473-889E-AF4AEDBA8BDA}"/>
    <hyperlink ref="A78" r:id="rId176" display="https://stockanalysis.com/etf/schm/" xr:uid="{A4F02973-CE09-4073-BF46-FED44B454BC0}"/>
    <hyperlink ref="A133" r:id="rId177" display="https://stockanalysis.com/etf/hdv/" xr:uid="{486AF9BE-547D-47D0-9651-C1F041A74528}"/>
    <hyperlink ref="A132" r:id="rId178" display="https://stockanalysis.com/etf/dfic/" xr:uid="{1915C1BC-1880-4E55-8D25-9D3A41171E91}"/>
    <hyperlink ref="A5" r:id="rId179" display="https://stockanalysis.com/etf/soxl/" xr:uid="{B352AC79-C340-41F0-A8E6-E2D03D633D58}"/>
    <hyperlink ref="A103" r:id="rId180" display="https://stockanalysis.com/etf/iwn/" xr:uid="{8A0209AA-2644-4780-83A5-5FA5AF4B83B7}"/>
    <hyperlink ref="A66" r:id="rId181" display="https://stockanalysis.com/etf/moat/" xr:uid="{73144F95-64FB-4C43-87CA-C837E5F5E7B1}"/>
    <hyperlink ref="A139" r:id="rId182" display="https://stockanalysis.com/etf/iqlt/" xr:uid="{E539F6B9-7339-4CAC-AA3D-8C95FBFFC26D}"/>
    <hyperlink ref="A193" r:id="rId183" display="https://stockanalysis.com/etf/schr/" xr:uid="{D8CD1CD7-4680-4632-9099-A5FF5D6254E5}"/>
    <hyperlink ref="A93" r:id="rId184" display="https://stockanalysis.com/etf/ewy/" xr:uid="{0BDBCF6D-60BA-426B-B617-BB6D0B816A82}"/>
    <hyperlink ref="A195" r:id="rId185" display="https://stockanalysis.com/etf/tlh/" xr:uid="{5249F569-5C04-4486-BA65-C2316653EBD0}"/>
    <hyperlink ref="A114" r:id="rId186" display="https://stockanalysis.com/etf/sche/" xr:uid="{16BD485A-603D-4300-8A79-7A3892ECF092}"/>
    <hyperlink ref="A49" r:id="rId187" display="https://stockanalysis.com/etf/sptm/" xr:uid="{367C553A-A113-4455-A959-2490B5C0D2D6}"/>
    <hyperlink ref="A73" r:id="rId188" display="https://stockanalysis.com/etf/pave/" xr:uid="{4655B78B-ADEB-4641-A80B-DF93F5E8AC34}"/>
    <hyperlink ref="A176" r:id="rId189" display="https://stockanalysis.com/etf/pyld/" xr:uid="{45BDA67F-9ED8-4771-A4EF-938BBA075079}"/>
    <hyperlink ref="A34" r:id="rId190" display="https://stockanalysis.com/etf/esgv/" xr:uid="{E6832730-6C3F-4156-B0A5-2A4E392B84C0}"/>
    <hyperlink ref="A144" r:id="rId191" display="https://stockanalysis.com/etf/nobl/" xr:uid="{DB3B70A4-4551-4243-96C6-767DBE481F28}"/>
    <hyperlink ref="A166" r:id="rId192" display="https://stockanalysis.com/etf/iagg/" xr:uid="{4E143DBA-E5F9-4FDA-8017-DD00A90FF9D6}"/>
    <hyperlink ref="A61" r:id="rId193" display="https://stockanalysis.com/etf/mgv/" xr:uid="{2FAE7EED-A4A2-4AC1-B011-887DE06AB50E}"/>
    <hyperlink ref="A174" r:id="rId194" display="https://stockanalysis.com/etf/scho/" xr:uid="{616E8413-1E0D-4199-B55C-8B1703163BA5}"/>
    <hyperlink ref="A131" r:id="rId195" display="https://stockanalysis.com/etf/esgd/" xr:uid="{4A3731CE-51F8-464C-BC87-804DCB356E2A}"/>
    <hyperlink ref="A137" r:id="rId196" display="https://stockanalysis.com/etf/amlp/" xr:uid="{4C495973-B8E7-4B88-9CB7-883B1477E3CC}"/>
    <hyperlink ref="A39" r:id="rId197" display="https://stockanalysis.com/etf/xlg/" xr:uid="{0C299A9B-1B84-4149-AB6C-3F7C4DA79EA0}"/>
    <hyperlink ref="A69" r:id="rId198" display="https://stockanalysis.com/etf/avus/" xr:uid="{2ADB5841-62D2-41FE-B026-3AF953E38033}"/>
    <hyperlink ref="A82" r:id="rId199" display="https://stockanalysis.com/etf/vss/" xr:uid="{C305813C-08EB-4DB9-B5C9-B08413D633AA}"/>
    <hyperlink ref="A113" r:id="rId200" display="https://stockanalysis.com/etf/dfax/" xr:uid="{62B55E6C-7EB5-44E5-987A-C34E5CCA79CA}"/>
  </hyperlinks>
  <pageMargins left="0.7" right="0.7" top="0.75" bottom="0.75" header="0.3" footer="0.3"/>
  <drawing r:id="rId201"/>
  <legacyDrawing r:id="rId202"/>
  <tableParts count="1">
    <tablePart r:id="rId20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92490-E9FE-4A04-A81E-77A59DA30BDF}">
  <dimension ref="A1:V201"/>
  <sheetViews>
    <sheetView topLeftCell="K2" workbookViewId="0">
      <selection activeCell="S20" sqref="S20:S21"/>
    </sheetView>
  </sheetViews>
  <sheetFormatPr defaultColWidth="8.88671875" defaultRowHeight="14.4" x14ac:dyDescent="0.3"/>
  <cols>
    <col min="2" max="2" width="60.44140625" bestFit="1" customWidth="1"/>
    <col min="3" max="3" width="13.44140625" bestFit="1" customWidth="1"/>
    <col min="5" max="5" width="16.33203125" bestFit="1" customWidth="1"/>
    <col min="7" max="7" width="24.109375" customWidth="1"/>
    <col min="9" max="10" width="18.6640625" bestFit="1" customWidth="1"/>
    <col min="11" max="11" width="17.44140625" style="54" customWidth="1"/>
    <col min="12" max="12" width="13.88671875" customWidth="1"/>
    <col min="13" max="13" width="17" style="40" bestFit="1" customWidth="1"/>
    <col min="19" max="19" width="34.44140625" bestFit="1" customWidth="1"/>
    <col min="20" max="20" width="26.6640625" customWidth="1"/>
    <col min="21" max="21" width="34.109375" bestFit="1" customWidth="1"/>
  </cols>
  <sheetData>
    <row r="1" spans="1:22" x14ac:dyDescent="0.3">
      <c r="A1" s="7" t="s">
        <v>52</v>
      </c>
      <c r="B1" s="8" t="s">
        <v>53</v>
      </c>
      <c r="C1" s="8" t="s">
        <v>54</v>
      </c>
      <c r="D1" s="8" t="s">
        <v>55</v>
      </c>
      <c r="E1" s="8" t="s">
        <v>56</v>
      </c>
      <c r="F1" s="8" t="s">
        <v>57</v>
      </c>
      <c r="G1" s="9" t="s">
        <v>58</v>
      </c>
      <c r="H1" s="9" t="s">
        <v>59</v>
      </c>
      <c r="I1" s="23" t="s">
        <v>60</v>
      </c>
      <c r="J1" s="35" t="s">
        <v>61</v>
      </c>
      <c r="K1" s="51" t="s">
        <v>62</v>
      </c>
      <c r="L1" s="23" t="s">
        <v>63</v>
      </c>
      <c r="M1" s="44" t="s">
        <v>64</v>
      </c>
      <c r="Q1" s="1" t="s">
        <v>65</v>
      </c>
      <c r="S1" t="s">
        <v>66</v>
      </c>
    </row>
    <row r="2" spans="1:22" x14ac:dyDescent="0.3">
      <c r="A2" s="2" t="s">
        <v>83</v>
      </c>
      <c r="B2" s="10" t="s">
        <v>84</v>
      </c>
      <c r="C2" s="11">
        <v>63.1</v>
      </c>
      <c r="D2" s="11" t="s">
        <v>85</v>
      </c>
      <c r="E2" s="12">
        <v>7.4999999999999997E-3</v>
      </c>
      <c r="F2" s="11">
        <f>4.99/3</f>
        <v>1.6633333333333333</v>
      </c>
      <c r="G2" s="3">
        <f t="shared" ref="G2:G33" si="0">IF(RIGHT(Q2,1)="B", VALUE(SUBSTITUTE(Q2,"B",""))*1000000000,
 IF(RIGHT(Q2,1)="M", VALUE(SUBSTITUTE(Q2,"M",""))*1000000, VALUE(Q2)))</f>
        <v>5570000000</v>
      </c>
      <c r="H2" s="25" t="b">
        <f t="shared" ref="H2:H33" si="1">OR(
  ISNUMBER(SEARCH("technology",B2)),
  ISNUMBER(SEARCH("tech",B2)),
  ISNUMBER(SEARCH("qqq",B2)),
  ISNUMBER(SEARCH("semiconductor",B2)),
  ISNUMBER(SEARCH("information technology",B2)),
  ISNUMBER(SEARCH("nasdaq",B2)),
  ISNUMBER(SEARCH("communication",B2))
)</f>
        <v>1</v>
      </c>
      <c r="I2" s="26">
        <f>Table14[[#This Row],[Tech]]*$T$7+Table14[[#This Row],[Beta]]*($T$6-$T$8)+$T$8</f>
        <v>0.24218800000000001</v>
      </c>
      <c r="J2" s="42">
        <v>9999666065.6000004</v>
      </c>
      <c r="K2" s="52">
        <f>Table14[[#This Row],[Investment]]/Table14[[#This Row],[Dollar Volume]]</f>
        <v>1.795272184129264</v>
      </c>
      <c r="L2" s="34">
        <f>IFERROR(MAX($T$11+$T$12*LN(Table14[[#This Row],[Frac ADV]]),0),0)*0.0001+0.005/Table14[[#This Row],[Stock Price]]+Table14[[#This Row],[Expense Ratio]]</f>
        <v>4.1701800747459022E-2</v>
      </c>
      <c r="M2" s="45">
        <f>(Table14[[#This Row],[Expected Return]]-Table14[[#This Row],[Tcosts]])*Table14[[#This Row],[Investment]]</f>
        <v>2004795043.2867544</v>
      </c>
      <c r="Q2" s="13" t="s">
        <v>70</v>
      </c>
    </row>
    <row r="3" spans="1:22" x14ac:dyDescent="0.3">
      <c r="A3" s="4" t="s">
        <v>89</v>
      </c>
      <c r="B3" s="14" t="s">
        <v>90</v>
      </c>
      <c r="C3" s="6">
        <v>217.72</v>
      </c>
      <c r="D3" s="6" t="s">
        <v>91</v>
      </c>
      <c r="E3" s="15">
        <v>8.0000000000000004E-4</v>
      </c>
      <c r="F3" s="6">
        <v>1.43</v>
      </c>
      <c r="G3" s="3">
        <f t="shared" si="0"/>
        <v>5500000000</v>
      </c>
      <c r="H3" s="3" t="b">
        <f t="shared" si="1"/>
        <v>1</v>
      </c>
      <c r="I3" s="26">
        <f>Table14[[#This Row],[Tech]]*$T$7+Table14[[#This Row],[Beta]]*($T$6-$T$8)+$T$8</f>
        <v>0.22734799999999999</v>
      </c>
      <c r="J3" s="42">
        <v>9999582449.8500004</v>
      </c>
      <c r="K3" s="52">
        <f>Table14[[#This Row],[Investment]]/Table14[[#This Row],[Dollar Volume]]</f>
        <v>1.8181058999727273</v>
      </c>
      <c r="L3" s="34">
        <f>IFERROR(MAX($T$11+$T$12*LN(Table14[[#This Row],[Frac ADV]]),0),0)*0.0001+0.005/Table14[[#This Row],[Stock Price]]+Table14[[#This Row],[Expense Ratio]]</f>
        <v>3.5007433181512587E-2</v>
      </c>
      <c r="M3" s="46">
        <f>(Table14[[#This Row],[Expected Return]]-Table14[[#This Row],[Tcosts]])*Table14[[#This Row],[Investment]]</f>
        <v>1923325356.3523481</v>
      </c>
      <c r="Q3" s="16" t="s">
        <v>74</v>
      </c>
      <c r="S3" t="s">
        <v>75</v>
      </c>
    </row>
    <row r="4" spans="1:22" x14ac:dyDescent="0.3">
      <c r="A4" s="2" t="s">
        <v>95</v>
      </c>
      <c r="B4" s="10" t="s">
        <v>96</v>
      </c>
      <c r="C4" s="11">
        <v>729.64</v>
      </c>
      <c r="D4" s="11" t="s">
        <v>97</v>
      </c>
      <c r="E4" s="12">
        <v>8.9999999999999998E-4</v>
      </c>
      <c r="F4" s="11">
        <v>1.43</v>
      </c>
      <c r="G4" s="3">
        <f t="shared" si="0"/>
        <v>79900000000</v>
      </c>
      <c r="H4" s="3" t="b">
        <f t="shared" si="1"/>
        <v>1</v>
      </c>
      <c r="I4" s="26">
        <f>Table14[[#This Row],[Tech]]*$T$7+Table14[[#This Row],[Beta]]*($T$6-$T$8)+$T$8</f>
        <v>0.22734799999999999</v>
      </c>
      <c r="J4" s="42">
        <v>9999388121.4300003</v>
      </c>
      <c r="K4" s="52">
        <f>Table14[[#This Row],[Investment]]/Table14[[#This Row],[Dollar Volume]]</f>
        <v>0.12514878750225281</v>
      </c>
      <c r="L4" s="34">
        <f>IFERROR(MAX($T$11+$T$12*LN(Table14[[#This Row],[Frac ADV]]),0),0)*0.0001+0.005/Table14[[#This Row],[Stock Price]]+Table14[[#This Row],[Expense Ratio]]</f>
        <v>2.1983491273120284E-2</v>
      </c>
      <c r="M4" s="46">
        <f>(Table14[[#This Row],[Expected Return]]-Table14[[#This Row],[Tcosts]])*Table14[[#This Row],[Investment]]</f>
        <v>2053519429.1268687</v>
      </c>
      <c r="Q4" s="13" t="s">
        <v>79</v>
      </c>
      <c r="S4" t="s">
        <v>80</v>
      </c>
      <c r="T4" t="s">
        <v>81</v>
      </c>
      <c r="U4" t="s">
        <v>82</v>
      </c>
    </row>
    <row r="5" spans="1:22" x14ac:dyDescent="0.3">
      <c r="A5" s="2" t="s">
        <v>76</v>
      </c>
      <c r="B5" s="10" t="s">
        <v>77</v>
      </c>
      <c r="C5" s="11">
        <v>351.5</v>
      </c>
      <c r="D5" s="11" t="s">
        <v>78</v>
      </c>
      <c r="E5" s="12">
        <v>3.3999999999999998E-3</v>
      </c>
      <c r="F5" s="11">
        <v>1.74</v>
      </c>
      <c r="G5" s="3">
        <f t="shared" si="0"/>
        <v>2350000000</v>
      </c>
      <c r="H5" s="3" t="b">
        <f t="shared" si="1"/>
        <v>1</v>
      </c>
      <c r="I5" s="26">
        <f>Table14[[#This Row],[Tech]]*$T$7+Table14[[#This Row],[Beta]]*($T$6-$T$8)+$T$8</f>
        <v>0.24706400000000001</v>
      </c>
      <c r="J5" s="42">
        <v>9999272086.4899998</v>
      </c>
      <c r="K5" s="52">
        <f>Table14[[#This Row],[Investment]]/Table14[[#This Row],[Dollar Volume]]</f>
        <v>4.2550093985063828</v>
      </c>
      <c r="L5" s="34">
        <f>IFERROR(MAX($T$11+$T$12*LN(Table14[[#This Row],[Frac ADV]]),0),0)*0.0001+0.005/Table14[[#This Row],[Stock Price]]+Table14[[#This Row],[Expense Ratio]]</f>
        <v>4.1763645323331947E-2</v>
      </c>
      <c r="M5" s="46">
        <f>(Table14[[#This Row],[Expected Return]]-Table14[[#This Row],[Tcosts]])*Table14[[#This Row],[Investment]]</f>
        <v>2052854105.8649037</v>
      </c>
      <c r="Q5" s="16" t="s">
        <v>86</v>
      </c>
      <c r="S5" t="s">
        <v>87</v>
      </c>
      <c r="T5" s="17">
        <v>1000000000</v>
      </c>
      <c r="U5" t="s">
        <v>88</v>
      </c>
    </row>
    <row r="6" spans="1:22" x14ac:dyDescent="0.3">
      <c r="A6" s="2" t="s">
        <v>67</v>
      </c>
      <c r="B6" s="10" t="s">
        <v>68</v>
      </c>
      <c r="C6" s="11">
        <v>48.26</v>
      </c>
      <c r="D6" s="11" t="s">
        <v>69</v>
      </c>
      <c r="E6" s="12">
        <v>8.2000000000000007E-3</v>
      </c>
      <c r="F6" s="11">
        <v>3.58</v>
      </c>
      <c r="G6" s="3">
        <f t="shared" si="0"/>
        <v>48350000000</v>
      </c>
      <c r="H6" s="3" t="b">
        <f t="shared" si="1"/>
        <v>1</v>
      </c>
      <c r="I6" s="26">
        <f>Table14[[#This Row],[Tech]]*$T$7+Table14[[#This Row],[Beta]]*($T$6-$T$8)+$T$8</f>
        <v>0.36408800000000002</v>
      </c>
      <c r="J6" s="42">
        <v>9999003659.9699993</v>
      </c>
      <c r="K6" s="52">
        <f>Table14[[#This Row],[Investment]]/Table14[[#This Row],[Dollar Volume]]</f>
        <v>0.20680462585253359</v>
      </c>
      <c r="L6" s="34">
        <f>IFERROR(MAX($T$11+$T$12*LN(Table14[[#This Row],[Frac ADV]]),0),0)*0.0001+0.005/Table14[[#This Row],[Stock Price]]+Table14[[#This Row],[Expense Ratio]]</f>
        <v>3.1840471558548404E-2</v>
      </c>
      <c r="M6" s="46">
        <f>(Table14[[#This Row],[Expected Return]]-Table14[[#This Row],[Tcosts]])*Table14[[#This Row],[Investment]]</f>
        <v>3322144252.902061</v>
      </c>
      <c r="Q6" s="13" t="s">
        <v>92</v>
      </c>
      <c r="S6" t="s">
        <v>93</v>
      </c>
      <c r="T6" s="18">
        <v>0.1</v>
      </c>
      <c r="U6" t="s">
        <v>94</v>
      </c>
    </row>
    <row r="7" spans="1:22" x14ac:dyDescent="0.3">
      <c r="A7" s="2" t="s">
        <v>127</v>
      </c>
      <c r="B7" s="10" t="s">
        <v>128</v>
      </c>
      <c r="C7" s="11">
        <v>57.44</v>
      </c>
      <c r="D7" s="11" t="s">
        <v>129</v>
      </c>
      <c r="E7" s="12">
        <v>3.5000000000000001E-3</v>
      </c>
      <c r="F7" s="11">
        <v>0.95</v>
      </c>
      <c r="G7" s="3">
        <f t="shared" si="0"/>
        <v>1360000000</v>
      </c>
      <c r="H7" s="3" t="b">
        <f t="shared" si="1"/>
        <v>1</v>
      </c>
      <c r="I7" s="26">
        <f>Table14[[#This Row],[Tech]]*$T$7+Table14[[#This Row],[Beta]]*($T$6-$T$8)+$T$8</f>
        <v>0.19681999999999999</v>
      </c>
      <c r="J7" s="42">
        <v>9998383225.5499992</v>
      </c>
      <c r="K7" s="52">
        <f>Table14[[#This Row],[Investment]]/Table14[[#This Row],[Dollar Volume]]</f>
        <v>7.3517523717279403</v>
      </c>
      <c r="L7" s="34">
        <f>IFERROR(MAX($T$11+$T$12*LN(Table14[[#This Row],[Frac ADV]]),0),0)*0.0001+0.005/Table14[[#This Row],[Stock Price]]+Table14[[#This Row],[Expense Ratio]]</f>
        <v>4.4615011153979395E-2</v>
      </c>
      <c r="M7" s="46">
        <f>(Table14[[#This Row],[Expected Return]]-Table14[[#This Row],[Tcosts]])*Table14[[#This Row],[Investment]]</f>
        <v>1521803807.3230772</v>
      </c>
      <c r="Q7" s="16" t="s">
        <v>98</v>
      </c>
      <c r="S7" t="s">
        <v>99</v>
      </c>
      <c r="T7" s="18">
        <v>0.1</v>
      </c>
      <c r="U7" t="s">
        <v>100</v>
      </c>
    </row>
    <row r="8" spans="1:22" x14ac:dyDescent="0.3">
      <c r="A8" s="4" t="s">
        <v>119</v>
      </c>
      <c r="B8" s="14" t="s">
        <v>120</v>
      </c>
      <c r="C8" s="6">
        <v>247.32</v>
      </c>
      <c r="D8" s="6" t="s">
        <v>121</v>
      </c>
      <c r="E8" s="15">
        <v>1.5E-3</v>
      </c>
      <c r="F8" s="6">
        <v>1.21</v>
      </c>
      <c r="G8" s="3">
        <f t="shared" si="0"/>
        <v>1020000000</v>
      </c>
      <c r="H8" s="3" t="b">
        <f t="shared" si="1"/>
        <v>1</v>
      </c>
      <c r="I8" s="26">
        <f>Table14[[#This Row],[Tech]]*$T$7+Table14[[#This Row],[Beta]]*($T$6-$T$8)+$T$8</f>
        <v>0.21335599999999999</v>
      </c>
      <c r="J8" s="42">
        <v>9998352754.6499996</v>
      </c>
      <c r="K8" s="52">
        <f>Table14[[#This Row],[Investment]]/Table14[[#This Row],[Dollar Volume]]</f>
        <v>9.8023066222058812</v>
      </c>
      <c r="L8" s="34">
        <f>IFERROR(MAX($T$11+$T$12*LN(Table14[[#This Row],[Frac ADV]]),0),0)*0.0001+0.005/Table14[[#This Row],[Stock Price]]+Table14[[#This Row],[Expense Ratio]]</f>
        <v>4.3957291531184654E-2</v>
      </c>
      <c r="M8" s="46">
        <f>(Table14[[#This Row],[Expected Return]]-Table14[[#This Row],[Tcosts]])*Table14[[#This Row],[Investment]]</f>
        <v>1693708043.4533319</v>
      </c>
      <c r="Q8" s="13" t="s">
        <v>104</v>
      </c>
      <c r="S8" t="s">
        <v>105</v>
      </c>
      <c r="T8" s="19">
        <v>3.6400000000000002E-2</v>
      </c>
      <c r="U8" t="s">
        <v>106</v>
      </c>
      <c r="V8" s="21">
        <v>46076</v>
      </c>
    </row>
    <row r="9" spans="1:22" x14ac:dyDescent="0.3">
      <c r="A9" s="2" t="s">
        <v>71</v>
      </c>
      <c r="B9" s="10" t="s">
        <v>72</v>
      </c>
      <c r="C9" s="11">
        <v>406.11</v>
      </c>
      <c r="D9" s="11" t="s">
        <v>73</v>
      </c>
      <c r="E9" s="12">
        <v>3.5000000000000001E-3</v>
      </c>
      <c r="F9" s="11">
        <v>1.71</v>
      </c>
      <c r="G9" s="3">
        <f t="shared" si="0"/>
        <v>1800000000</v>
      </c>
      <c r="H9" s="3" t="b">
        <f t="shared" si="1"/>
        <v>1</v>
      </c>
      <c r="I9" s="26">
        <f>Table14[[#This Row],[Tech]]*$T$7+Table14[[#This Row],[Beta]]*($T$6-$T$8)+$T$8</f>
        <v>0.24515599999999999</v>
      </c>
      <c r="J9" s="42">
        <v>9998211174.4300003</v>
      </c>
      <c r="K9" s="52">
        <f>Table14[[#This Row],[Investment]]/Table14[[#This Row],[Dollar Volume]]</f>
        <v>5.554561763572222</v>
      </c>
      <c r="L9" s="34">
        <f>IFERROR(MAX($T$11+$T$12*LN(Table14[[#This Row],[Frac ADV]]),0),0)*0.0001+0.005/Table14[[#This Row],[Stock Price]]+Table14[[#This Row],[Expense Ratio]]</f>
        <v>4.3167214794298192E-2</v>
      </c>
      <c r="M9" s="46">
        <f>(Table14[[#This Row],[Expected Return]]-Table14[[#This Row],[Tcosts]])*Table14[[#This Row],[Investment]]</f>
        <v>2019526529.3531888</v>
      </c>
      <c r="Q9" s="16" t="s">
        <v>110</v>
      </c>
      <c r="S9" t="s">
        <v>111</v>
      </c>
      <c r="T9" s="19">
        <f>T8+2%</f>
        <v>5.6400000000000006E-2</v>
      </c>
      <c r="U9" t="s">
        <v>112</v>
      </c>
    </row>
    <row r="10" spans="1:22" x14ac:dyDescent="0.3">
      <c r="A10" s="2" t="s">
        <v>101</v>
      </c>
      <c r="B10" s="10" t="s">
        <v>102</v>
      </c>
      <c r="C10" s="11">
        <v>139.21</v>
      </c>
      <c r="D10" s="11" t="s">
        <v>103</v>
      </c>
      <c r="E10" s="12">
        <v>8.0000000000000004E-4</v>
      </c>
      <c r="F10" s="11">
        <v>1.41</v>
      </c>
      <c r="G10" s="3">
        <f t="shared" si="0"/>
        <v>9210000000</v>
      </c>
      <c r="H10" s="3" t="b">
        <f t="shared" si="1"/>
        <v>1</v>
      </c>
      <c r="I10" s="26">
        <f>Table14[[#This Row],[Tech]]*$T$7+Table14[[#This Row],[Beta]]*($T$6-$T$8)+$T$8</f>
        <v>0.226076</v>
      </c>
      <c r="J10" s="42">
        <v>9998110755.2800007</v>
      </c>
      <c r="K10" s="52">
        <f>Table14[[#This Row],[Investment]]/Table14[[#This Row],[Dollar Volume]]</f>
        <v>1.0855712003561346</v>
      </c>
      <c r="L10" s="34">
        <f>IFERROR(MAX($T$11+$T$12*LN(Table14[[#This Row],[Frac ADV]]),0),0)*0.0001+0.005/Table14[[#This Row],[Stock Price]]+Table14[[#This Row],[Expense Ratio]]</f>
        <v>3.2494434394575479E-2</v>
      </c>
      <c r="M10" s="46">
        <f>(Table14[[#This Row],[Expected Return]]-Table14[[#This Row],[Tcosts]])*Table14[[#This Row],[Investment]]</f>
        <v>1935449933.1035361</v>
      </c>
      <c r="Q10" s="13" t="s">
        <v>116</v>
      </c>
      <c r="S10" t="s">
        <v>117</v>
      </c>
      <c r="U10" s="22" t="s">
        <v>118</v>
      </c>
    </row>
    <row r="11" spans="1:22" x14ac:dyDescent="0.3">
      <c r="A11" s="2" t="s">
        <v>123</v>
      </c>
      <c r="B11" s="10" t="s">
        <v>124</v>
      </c>
      <c r="C11" s="11">
        <v>114.64</v>
      </c>
      <c r="D11" s="11" t="s">
        <v>125</v>
      </c>
      <c r="E11" s="12">
        <v>8.0000000000000004E-4</v>
      </c>
      <c r="F11" s="11">
        <v>0.94</v>
      </c>
      <c r="G11" s="3">
        <f t="shared" si="0"/>
        <v>1260000000</v>
      </c>
      <c r="H11" s="3" t="b">
        <f t="shared" si="1"/>
        <v>1</v>
      </c>
      <c r="I11" s="26">
        <f>Table14[[#This Row],[Tech]]*$T$7+Table14[[#This Row],[Beta]]*($T$6-$T$8)+$T$8</f>
        <v>0.19618400000000003</v>
      </c>
      <c r="J11" s="42">
        <v>9998006732.5300007</v>
      </c>
      <c r="K11" s="52">
        <f>Table14[[#This Row],[Investment]]/Table14[[#This Row],[Dollar Volume]]</f>
        <v>7.9349259781984136</v>
      </c>
      <c r="L11" s="34">
        <f>IFERROR(MAX($T$11+$T$12*LN(Table14[[#This Row],[Frac ADV]]),0),0)*0.0001+0.005/Table14[[#This Row],[Stock Price]]+Table14[[#This Row],[Expense Ratio]]</f>
        <v>4.2245484698643532E-2</v>
      </c>
      <c r="M11" s="46">
        <f>(Table14[[#This Row],[Expected Return]]-Table14[[#This Row],[Tcosts]])*Table14[[#This Row],[Investment]]</f>
        <v>1539078312.3786347</v>
      </c>
      <c r="Q11" s="16" t="s">
        <v>122</v>
      </c>
      <c r="S11" t="s">
        <v>11</v>
      </c>
      <c r="T11" s="20">
        <v>312.56343894969302</v>
      </c>
    </row>
    <row r="12" spans="1:22" x14ac:dyDescent="0.3">
      <c r="A12" s="4" t="s">
        <v>107</v>
      </c>
      <c r="B12" s="14" t="s">
        <v>108</v>
      </c>
      <c r="C12" s="6">
        <v>190.79</v>
      </c>
      <c r="D12" s="6" t="s">
        <v>109</v>
      </c>
      <c r="E12" s="15">
        <v>3.8E-3</v>
      </c>
      <c r="F12" s="6">
        <v>1.43</v>
      </c>
      <c r="G12" s="3">
        <f t="shared" si="0"/>
        <v>736290000</v>
      </c>
      <c r="H12" s="3" t="b">
        <f t="shared" si="1"/>
        <v>1</v>
      </c>
      <c r="I12" s="26">
        <f>Table14[[#This Row],[Tech]]*$T$7+Table14[[#This Row],[Beta]]*($T$6-$T$8)+$T$8</f>
        <v>0.22734799999999999</v>
      </c>
      <c r="J12" s="42">
        <v>9996873794.5599995</v>
      </c>
      <c r="K12" s="52">
        <f>Table14[[#This Row],[Investment]]/Table14[[#This Row],[Dollar Volume]]</f>
        <v>13.577359185321001</v>
      </c>
      <c r="L12" s="34">
        <f>IFERROR(MAX($T$11+$T$12*LN(Table14[[#This Row],[Frac ADV]]),0),0)*0.0001+0.005/Table14[[#This Row],[Stock Price]]+Table14[[#This Row],[Expense Ratio]]</f>
        <v>4.785904800793242E-2</v>
      </c>
      <c r="M12" s="46">
        <f>(Table14[[#This Row],[Expected Return]]-Table14[[#This Row],[Tcosts]])*Table14[[#This Row],[Investment]]</f>
        <v>1794328400.5825381</v>
      </c>
      <c r="Q12" s="13" t="s">
        <v>126</v>
      </c>
      <c r="S12" t="s">
        <v>12</v>
      </c>
      <c r="T12" s="20">
        <v>48.982055899151902</v>
      </c>
    </row>
    <row r="13" spans="1:22" x14ac:dyDescent="0.3">
      <c r="A13" s="4" t="s">
        <v>135</v>
      </c>
      <c r="B13" s="14" t="s">
        <v>136</v>
      </c>
      <c r="C13" s="6">
        <v>430.93</v>
      </c>
      <c r="D13" s="6" t="s">
        <v>137</v>
      </c>
      <c r="E13" s="15">
        <v>6.9999999999999999E-4</v>
      </c>
      <c r="F13" s="6">
        <v>1.21</v>
      </c>
      <c r="G13" s="3">
        <f t="shared" si="0"/>
        <v>1780000000</v>
      </c>
      <c r="H13" s="3" t="b">
        <f t="shared" si="1"/>
        <v>0</v>
      </c>
      <c r="I13" s="26">
        <f>Table14[[#This Row],[Tech]]*$T$7+Table14[[#This Row],[Beta]]*($T$6-$T$8)+$T$8</f>
        <v>0.113356</v>
      </c>
      <c r="J13" s="42">
        <v>9995001221.6399994</v>
      </c>
      <c r="K13" s="52">
        <f>Table14[[#This Row],[Investment]]/Table14[[#This Row],[Dollar Volume]]</f>
        <v>5.6151692256404493</v>
      </c>
      <c r="L13" s="34">
        <f>IFERROR(MAX($T$11+$T$12*LN(Table14[[#This Row],[Frac ADV]]),0),0)*0.0001+0.005/Table14[[#This Row],[Stock Price]]+Table14[[#This Row],[Expense Ratio]]</f>
        <v>4.0419661960405126E-2</v>
      </c>
      <c r="M13" s="46">
        <f>(Table14[[#This Row],[Expected Return]]-Table14[[#This Row],[Tcosts]])*Table14[[#This Row],[Investment]]</f>
        <v>728998787.80769873</v>
      </c>
      <c r="Q13" s="16" t="s">
        <v>130</v>
      </c>
    </row>
    <row r="14" spans="1:22" x14ac:dyDescent="0.3">
      <c r="A14" s="2" t="s">
        <v>113</v>
      </c>
      <c r="B14" s="10" t="s">
        <v>114</v>
      </c>
      <c r="C14" s="11">
        <v>600.64</v>
      </c>
      <c r="D14" s="11" t="s">
        <v>115</v>
      </c>
      <c r="E14" s="12">
        <v>2E-3</v>
      </c>
      <c r="F14" s="11">
        <v>1.22</v>
      </c>
      <c r="G14" s="3">
        <f t="shared" si="0"/>
        <v>1120000000</v>
      </c>
      <c r="H14" s="3" t="b">
        <f t="shared" si="1"/>
        <v>1</v>
      </c>
      <c r="I14" s="26">
        <f>Table14[[#This Row],[Tech]]*$T$7+Table14[[#This Row],[Beta]]*($T$6-$T$8)+$T$8</f>
        <v>0.21399200000000002</v>
      </c>
      <c r="J14" s="42">
        <v>9994195851.9300003</v>
      </c>
      <c r="K14" s="52">
        <f>Table14[[#This Row],[Investment]]/Table14[[#This Row],[Dollar Volume]]</f>
        <v>8.9233891535089285</v>
      </c>
      <c r="L14" s="34">
        <f>IFERROR(MAX($T$11+$T$12*LN(Table14[[#This Row],[Frac ADV]]),0),0)*0.0001+0.005/Table14[[#This Row],[Stock Price]]+Table14[[#This Row],[Expense Ratio]]</f>
        <v>4.3985252506346897E-2</v>
      </c>
      <c r="M14" s="46">
        <f>(Table14[[#This Row],[Expected Return]]-Table14[[#This Row],[Tcosts]])*Table14[[#This Row],[Investment]]</f>
        <v>1699080730.6011791</v>
      </c>
      <c r="Q14" s="13" t="s">
        <v>134</v>
      </c>
    </row>
    <row r="15" spans="1:22" x14ac:dyDescent="0.3">
      <c r="A15" s="4" t="s">
        <v>131</v>
      </c>
      <c r="B15" s="14" t="s">
        <v>132</v>
      </c>
      <c r="C15" s="6">
        <v>163.69</v>
      </c>
      <c r="D15" s="6" t="s">
        <v>133</v>
      </c>
      <c r="E15" s="15">
        <v>4.0000000000000002E-4</v>
      </c>
      <c r="F15" s="6">
        <v>1.19</v>
      </c>
      <c r="G15" s="3">
        <f t="shared" si="0"/>
        <v>978550000</v>
      </c>
      <c r="H15" s="3" t="b">
        <f t="shared" si="1"/>
        <v>0</v>
      </c>
      <c r="I15" s="26">
        <f>Table14[[#This Row],[Tech]]*$T$7+Table14[[#This Row],[Beta]]*($T$6-$T$8)+$T$8</f>
        <v>0.112084</v>
      </c>
      <c r="J15" s="42">
        <v>9975586838.5</v>
      </c>
      <c r="K15" s="52">
        <f>Table14[[#This Row],[Investment]]/Table14[[#This Row],[Dollar Volume]]</f>
        <v>10.194253577742579</v>
      </c>
      <c r="L15" s="34">
        <f>IFERROR(MAX($T$11+$T$12*LN(Table14[[#This Row],[Frac ADV]]),0),0)*0.0001+0.005/Table14[[#This Row],[Stock Price]]+Table14[[#This Row],[Expense Ratio]]</f>
        <v>4.3059661648977836E-2</v>
      </c>
      <c r="M15" s="46">
        <f>(Table14[[#This Row],[Expected Return]]-Table14[[#This Row],[Tcosts]])*Table14[[#This Row],[Investment]]</f>
        <v>688558281.19062757</v>
      </c>
      <c r="Q15" s="16" t="s">
        <v>138</v>
      </c>
      <c r="S15" t="s">
        <v>139</v>
      </c>
      <c r="T15" s="48">
        <f>SUM(Table14[Exp Profit])</f>
        <v>32492266149.225018</v>
      </c>
    </row>
    <row r="16" spans="1:22" x14ac:dyDescent="0.3">
      <c r="A16" s="2" t="s">
        <v>140</v>
      </c>
      <c r="B16" s="10" t="s">
        <v>141</v>
      </c>
      <c r="C16" s="11">
        <v>30.51</v>
      </c>
      <c r="D16" s="11" t="s">
        <v>142</v>
      </c>
      <c r="E16" s="12">
        <v>4.0000000000000002E-4</v>
      </c>
      <c r="F16" s="11">
        <v>1.24</v>
      </c>
      <c r="G16" s="3">
        <f t="shared" si="0"/>
        <v>968150000</v>
      </c>
      <c r="H16" s="3" t="b">
        <f t="shared" si="1"/>
        <v>0</v>
      </c>
      <c r="I16" s="26">
        <f>Table14[[#This Row],[Tech]]*$T$7+Table14[[#This Row],[Beta]]*($T$6-$T$8)+$T$8</f>
        <v>0.11526400000000001</v>
      </c>
      <c r="J16" s="42">
        <v>9915993196.5499992</v>
      </c>
      <c r="K16" s="52">
        <f>Table14[[#This Row],[Investment]]/Table14[[#This Row],[Dollar Volume]]</f>
        <v>10.242207505603469</v>
      </c>
      <c r="L16" s="34">
        <f>IFERROR(MAX($T$11+$T$12*LN(Table14[[#This Row],[Frac ADV]]),0),0)*0.0001+0.005/Table14[[#This Row],[Stock Price]]+Table14[[#This Row],[Expense Ratio]]</f>
        <v>4.321598401212149E-2</v>
      </c>
      <c r="M16" s="46">
        <f>(Table14[[#This Row],[Expected Return]]-Table14[[#This Row],[Tcosts]])*Table14[[#This Row],[Investment]]</f>
        <v>714427636.36072898</v>
      </c>
      <c r="Q16" s="13" t="s">
        <v>143</v>
      </c>
      <c r="S16" t="s">
        <v>144</v>
      </c>
      <c r="T16" s="48">
        <f>SUM(Table14[Investment])</f>
        <v>249810701545.53003</v>
      </c>
    </row>
    <row r="17" spans="1:20" x14ac:dyDescent="0.3">
      <c r="A17" s="4" t="s">
        <v>155</v>
      </c>
      <c r="B17" s="14" t="s">
        <v>156</v>
      </c>
      <c r="C17" s="6">
        <v>272.94</v>
      </c>
      <c r="D17" s="6" t="s">
        <v>157</v>
      </c>
      <c r="E17" s="15">
        <v>2.9999999999999997E-4</v>
      </c>
      <c r="F17" s="6">
        <v>0.94</v>
      </c>
      <c r="G17" s="3">
        <f t="shared" si="0"/>
        <v>582850000</v>
      </c>
      <c r="H17" s="3" t="b">
        <f t="shared" si="1"/>
        <v>0</v>
      </c>
      <c r="I17" s="26">
        <f>Table14[[#This Row],[Tech]]*$T$7+Table14[[#This Row],[Beta]]*($T$6-$T$8)+$T$8</f>
        <v>9.6183999999999992E-2</v>
      </c>
      <c r="J17" s="42">
        <v>7116536647.2700005</v>
      </c>
      <c r="K17" s="52">
        <f>Table14[[#This Row],[Investment]]/Table14[[#This Row],[Dollar Volume]]</f>
        <v>12.209893878819594</v>
      </c>
      <c r="L17" s="34">
        <f>IFERROR(MAX($T$11+$T$12*LN(Table14[[#This Row],[Frac ADV]]),0),0)*0.0001+0.005/Table14[[#This Row],[Stock Price]]+Table14[[#This Row],[Expense Ratio]]</f>
        <v>4.3831181207002287E-2</v>
      </c>
      <c r="M17" s="46">
        <f>(Table14[[#This Row],[Expected Return]]-Table14[[#This Row],[Tcosts]])*Table14[[#This Row],[Investment]]</f>
        <v>372570753.52825373</v>
      </c>
      <c r="Q17" s="16" t="s">
        <v>148</v>
      </c>
      <c r="S17" t="s">
        <v>149</v>
      </c>
      <c r="T17" s="48">
        <f>MAX((T16-T5),0)*T9</f>
        <v>14032923567.167894</v>
      </c>
    </row>
    <row r="18" spans="1:20" x14ac:dyDescent="0.3">
      <c r="A18" s="2" t="s">
        <v>145</v>
      </c>
      <c r="B18" s="10" t="s">
        <v>146</v>
      </c>
      <c r="C18" s="11">
        <v>262.27</v>
      </c>
      <c r="D18" s="11" t="s">
        <v>147</v>
      </c>
      <c r="E18" s="12">
        <v>2E-3</v>
      </c>
      <c r="F18" s="11">
        <v>1.2</v>
      </c>
      <c r="G18" s="3">
        <f t="shared" si="0"/>
        <v>469470000</v>
      </c>
      <c r="H18" s="3" t="b">
        <f t="shared" si="1"/>
        <v>0</v>
      </c>
      <c r="I18" s="26">
        <f>Table14[[#This Row],[Tech]]*$T$7+Table14[[#This Row],[Beta]]*($T$6-$T$8)+$T$8</f>
        <v>0.11272</v>
      </c>
      <c r="J18" s="42">
        <v>6528279390.9799995</v>
      </c>
      <c r="K18" s="52">
        <f>Table14[[#This Row],[Investment]]/Table14[[#This Row],[Dollar Volume]]</f>
        <v>13.905636975695996</v>
      </c>
      <c r="L18" s="34">
        <f>IFERROR(MAX($T$11+$T$12*LN(Table14[[#This Row],[Frac ADV]]),0),0)*0.0001+0.005/Table14[[#This Row],[Stock Price]]+Table14[[#This Row],[Expense Ratio]]</f>
        <v>4.6168926851731219E-2</v>
      </c>
      <c r="M18" s="46">
        <f>(Table14[[#This Row],[Expected Return]]-Table14[[#This Row],[Tcosts]])*Table14[[#This Row],[Investment]]</f>
        <v>434463999.2814455</v>
      </c>
      <c r="Q18" s="13" t="s">
        <v>153</v>
      </c>
      <c r="S18" t="s">
        <v>154</v>
      </c>
      <c r="T18" s="50">
        <f>T15-T17</f>
        <v>18459342582.057121</v>
      </c>
    </row>
    <row r="19" spans="1:20" ht="15" thickBot="1" x14ac:dyDescent="0.35">
      <c r="A19" s="2" t="s">
        <v>150</v>
      </c>
      <c r="B19" s="10" t="s">
        <v>151</v>
      </c>
      <c r="C19" s="11">
        <v>448.96</v>
      </c>
      <c r="D19" s="11" t="s">
        <v>152</v>
      </c>
      <c r="E19" s="12">
        <v>1.8E-3</v>
      </c>
      <c r="F19" s="11">
        <v>1.22</v>
      </c>
      <c r="G19" s="3">
        <f t="shared" si="0"/>
        <v>1870000000</v>
      </c>
      <c r="H19" s="3" t="b">
        <f t="shared" si="1"/>
        <v>0</v>
      </c>
      <c r="I19" s="26">
        <f>Table14[[#This Row],[Tech]]*$T$7+Table14[[#This Row],[Beta]]*($T$6-$T$8)+$T$8</f>
        <v>0.11399200000000001</v>
      </c>
      <c r="J19" s="42">
        <v>6319255973.0900002</v>
      </c>
      <c r="K19" s="52">
        <f>Table14[[#This Row],[Investment]]/Table14[[#This Row],[Dollar Volume]]</f>
        <v>3.3792812690320857</v>
      </c>
      <c r="L19" s="34">
        <f>IFERROR(MAX($T$11+$T$12*LN(Table14[[#This Row],[Frac ADV]]),0),0)*0.0001+0.005/Table14[[#This Row],[Stock Price]]+Table14[[#This Row],[Expense Ratio]]</f>
        <v>3.9031844676197414E-2</v>
      </c>
      <c r="M19" s="46">
        <f>(Table14[[#This Row],[Expected Return]]-Table14[[#This Row],[Tcosts]])*Table14[[#This Row],[Investment]]</f>
        <v>473692409.27369374</v>
      </c>
      <c r="Q19" s="16" t="s">
        <v>158</v>
      </c>
      <c r="S19" t="s">
        <v>159</v>
      </c>
      <c r="T19" s="49">
        <f>COUNTIF(Table14[Investment],"&gt;0")</f>
        <v>200</v>
      </c>
    </row>
    <row r="20" spans="1:20" ht="15" thickBot="1" x14ac:dyDescent="0.35">
      <c r="A20" s="4" t="s">
        <v>190</v>
      </c>
      <c r="B20" s="14" t="s">
        <v>191</v>
      </c>
      <c r="C20" s="6">
        <v>119.49</v>
      </c>
      <c r="D20" s="6" t="s">
        <v>192</v>
      </c>
      <c r="E20" s="15">
        <v>1.8E-3</v>
      </c>
      <c r="F20" s="6">
        <v>1.21</v>
      </c>
      <c r="G20" s="3">
        <f t="shared" si="0"/>
        <v>1070000000.0000001</v>
      </c>
      <c r="H20" s="3" t="b">
        <f t="shared" si="1"/>
        <v>0</v>
      </c>
      <c r="I20" s="26">
        <f>Table14[[#This Row],[Tech]]*$T$7+Table14[[#This Row],[Beta]]*($T$6-$T$8)+$T$8</f>
        <v>0.113356</v>
      </c>
      <c r="J20" s="42">
        <v>4968061666.9499998</v>
      </c>
      <c r="K20" s="52">
        <f>Table14[[#This Row],[Investment]]/Table14[[#This Row],[Dollar Volume]]</f>
        <v>4.643048286869158</v>
      </c>
      <c r="L20" s="34">
        <f>IFERROR(MAX($T$11+$T$12*LN(Table14[[#This Row],[Frac ADV]]),0),0)*0.0001+0.005/Table14[[#This Row],[Stock Price]]+Table14[[#This Row],[Expense Ratio]]</f>
        <v>4.0618751749054945E-2</v>
      </c>
      <c r="M20" s="46">
        <f>(Table14[[#This Row],[Expected Return]]-Table14[[#This Row],[Tcosts]])*Table14[[#This Row],[Investment]]</f>
        <v>361363134.79494601</v>
      </c>
      <c r="Q20" s="13" t="s">
        <v>163</v>
      </c>
      <c r="S20" s="119" t="s">
        <v>164</v>
      </c>
      <c r="T20" s="40">
        <f>T18+T5</f>
        <v>19459342582.057121</v>
      </c>
    </row>
    <row r="21" spans="1:20" ht="15" thickBot="1" x14ac:dyDescent="0.35">
      <c r="A21" s="2" t="s">
        <v>165</v>
      </c>
      <c r="B21" s="10" t="s">
        <v>166</v>
      </c>
      <c r="C21" s="11">
        <v>42.54</v>
      </c>
      <c r="D21" s="11" t="s">
        <v>167</v>
      </c>
      <c r="E21" s="12">
        <v>3.8999999999999998E-3</v>
      </c>
      <c r="F21" s="11">
        <v>1.22</v>
      </c>
      <c r="G21" s="3">
        <f t="shared" si="0"/>
        <v>456530000</v>
      </c>
      <c r="H21" s="3" t="b">
        <f t="shared" si="1"/>
        <v>0</v>
      </c>
      <c r="I21" s="26">
        <f>Table14[[#This Row],[Tech]]*$T$7+Table14[[#This Row],[Beta]]*($T$6-$T$8)+$T$8</f>
        <v>0.11399200000000001</v>
      </c>
      <c r="J21" s="42">
        <v>4913030673.3100004</v>
      </c>
      <c r="K21" s="52">
        <f>Table14[[#This Row],[Investment]]/Table14[[#This Row],[Dollar Volume]]</f>
        <v>10.76168197776707</v>
      </c>
      <c r="L21" s="34">
        <f>IFERROR(MAX($T$11+$T$12*LN(Table14[[#This Row],[Frac ADV]]),0),0)*0.0001+0.005/Table14[[#This Row],[Stock Price]]+Table14[[#This Row],[Expense Ratio]]</f>
        <v>4.6911976942262179E-2</v>
      </c>
      <c r="M21" s="46">
        <f>(Table14[[#This Row],[Expected Return]]-Table14[[#This Row],[Tcosts]])*Table14[[#This Row],[Investment]]</f>
        <v>329566210.84900802</v>
      </c>
      <c r="Q21" s="16" t="s">
        <v>168</v>
      </c>
      <c r="S21" s="119" t="s">
        <v>169</v>
      </c>
      <c r="T21" s="120">
        <f>T18/T5</f>
        <v>18.459342582057122</v>
      </c>
    </row>
    <row r="22" spans="1:20" ht="15" thickBot="1" x14ac:dyDescent="0.35">
      <c r="A22" s="4" t="s">
        <v>182</v>
      </c>
      <c r="B22" s="14" t="s">
        <v>183</v>
      </c>
      <c r="C22" s="6">
        <v>335.05</v>
      </c>
      <c r="D22" s="6" t="s">
        <v>184</v>
      </c>
      <c r="E22" s="15">
        <v>2E-3</v>
      </c>
      <c r="F22" s="6">
        <v>1.08</v>
      </c>
      <c r="G22" s="3">
        <f t="shared" si="0"/>
        <v>1220000000</v>
      </c>
      <c r="H22" s="3" t="b">
        <f t="shared" si="1"/>
        <v>0</v>
      </c>
      <c r="I22" s="26">
        <f>Table14[[#This Row],[Tech]]*$T$7+Table14[[#This Row],[Beta]]*($T$6-$T$8)+$T$8</f>
        <v>0.10508800000000001</v>
      </c>
      <c r="J22" s="42">
        <v>4774124854.5799999</v>
      </c>
      <c r="K22" s="52">
        <f>Table14[[#This Row],[Investment]]/Table14[[#This Row],[Dollar Volume]]</f>
        <v>3.9132170939180329</v>
      </c>
      <c r="L22" s="34">
        <f>IFERROR(MAX($T$11+$T$12*LN(Table14[[#This Row],[Frac ADV]]),0),0)*0.0001+0.005/Table14[[#This Row],[Stock Price]]+Table14[[#This Row],[Expense Ratio]]</f>
        <v>3.9954181946871448E-2</v>
      </c>
      <c r="M22" s="46">
        <f>(Table14[[#This Row],[Expected Return]]-Table14[[#This Row],[Tcosts]])*Table14[[#This Row],[Investment]]</f>
        <v>310956979.64113259</v>
      </c>
      <c r="Q22" s="13" t="s">
        <v>173</v>
      </c>
    </row>
    <row r="23" spans="1:20" x14ac:dyDescent="0.3">
      <c r="A23" s="2" t="s">
        <v>186</v>
      </c>
      <c r="B23" s="10" t="s">
        <v>187</v>
      </c>
      <c r="C23" s="11">
        <v>460.15</v>
      </c>
      <c r="D23" s="11" t="s">
        <v>188</v>
      </c>
      <c r="E23" s="12">
        <v>2.9999999999999997E-4</v>
      </c>
      <c r="F23" s="11">
        <v>1.24</v>
      </c>
      <c r="G23" s="3">
        <f t="shared" si="0"/>
        <v>309820000</v>
      </c>
      <c r="H23" s="3" t="b">
        <f t="shared" si="1"/>
        <v>0</v>
      </c>
      <c r="I23" s="26">
        <f>Table14[[#This Row],[Tech]]*$T$7+Table14[[#This Row],[Beta]]*($T$6-$T$8)+$T$8</f>
        <v>0.11526400000000001</v>
      </c>
      <c r="J23" s="42">
        <v>4722266221.7799997</v>
      </c>
      <c r="K23" s="52">
        <f>Table14[[#This Row],[Investment]]/Table14[[#This Row],[Dollar Volume]]</f>
        <v>15.241967018849653</v>
      </c>
      <c r="L23" s="34">
        <f>IFERROR(MAX($T$11+$T$12*LN(Table14[[#This Row],[Frac ADV]]),0),0)*0.0001+0.005/Table14[[#This Row],[Stock Price]]+Table14[[#This Row],[Expense Ratio]]</f>
        <v>4.4910179645340782E-2</v>
      </c>
      <c r="M23" s="46">
        <f>(Table14[[#This Row],[Expected Return]]-Table14[[#This Row],[Tcosts]])*Table14[[#This Row],[Investment]]</f>
        <v>332229469.43398547</v>
      </c>
      <c r="Q23" s="16" t="s">
        <v>177</v>
      </c>
    </row>
    <row r="24" spans="1:20" x14ac:dyDescent="0.3">
      <c r="A24" s="4" t="s">
        <v>160</v>
      </c>
      <c r="B24" s="14" t="s">
        <v>161</v>
      </c>
      <c r="C24" s="6">
        <v>118.27</v>
      </c>
      <c r="D24" s="6" t="s">
        <v>162</v>
      </c>
      <c r="E24" s="15">
        <v>1.2999999999999999E-3</v>
      </c>
      <c r="F24" s="6">
        <v>1.23</v>
      </c>
      <c r="G24" s="3">
        <f t="shared" si="0"/>
        <v>4470000000</v>
      </c>
      <c r="H24" s="3" t="b">
        <f t="shared" si="1"/>
        <v>0</v>
      </c>
      <c r="I24" s="26">
        <f>Table14[[#This Row],[Tech]]*$T$7+Table14[[#This Row],[Beta]]*($T$6-$T$8)+$T$8</f>
        <v>0.11462800000000001</v>
      </c>
      <c r="J24" s="42">
        <v>4601654869.3699999</v>
      </c>
      <c r="K24" s="52">
        <f>Table14[[#This Row],[Investment]]/Table14[[#This Row],[Dollar Volume]]</f>
        <v>1.0294529909105146</v>
      </c>
      <c r="L24" s="34">
        <f>IFERROR(MAX($T$11+$T$12*LN(Table14[[#This Row],[Frac ADV]]),0),0)*0.0001+0.005/Table14[[#This Row],[Stock Price]]+Table14[[#This Row],[Expense Ratio]]</f>
        <v>3.2740803118860178E-2</v>
      </c>
      <c r="M24" s="46">
        <f>(Table14[[#This Row],[Expected Return]]-Table14[[#This Row],[Tcosts]])*Table14[[#This Row],[Investment]]</f>
        <v>376816618.26715696</v>
      </c>
      <c r="Q24" s="13" t="s">
        <v>181</v>
      </c>
    </row>
    <row r="25" spans="1:20" x14ac:dyDescent="0.3">
      <c r="A25" s="2" t="s">
        <v>174</v>
      </c>
      <c r="B25" s="10" t="s">
        <v>175</v>
      </c>
      <c r="C25" s="11">
        <v>386.83</v>
      </c>
      <c r="D25" s="11" t="s">
        <v>176</v>
      </c>
      <c r="E25" s="12">
        <v>5.0000000000000001E-4</v>
      </c>
      <c r="F25" s="11">
        <v>1.27</v>
      </c>
      <c r="G25" s="3">
        <f t="shared" si="0"/>
        <v>7750000000</v>
      </c>
      <c r="H25" s="3" t="b">
        <f t="shared" si="1"/>
        <v>0</v>
      </c>
      <c r="I25" s="26">
        <f>Table14[[#This Row],[Tech]]*$T$7+Table14[[#This Row],[Beta]]*($T$6-$T$8)+$T$8</f>
        <v>0.11717200000000001</v>
      </c>
      <c r="J25" s="42">
        <v>4533170210.7200003</v>
      </c>
      <c r="K25" s="52">
        <f>Table14[[#This Row],[Investment]]/Table14[[#This Row],[Dollar Volume]]</f>
        <v>0.58492518848000008</v>
      </c>
      <c r="L25" s="34">
        <f>IFERROR(MAX($T$11+$T$12*LN(Table14[[#This Row],[Frac ADV]]),0),0)*0.0001+0.005/Table14[[#This Row],[Stock Price]]+Table14[[#This Row],[Expense Ratio]]</f>
        <v>2.9142502278127005E-2</v>
      </c>
      <c r="M25" s="46">
        <f>(Table14[[#This Row],[Expected Return]]-Table14[[#This Row],[Tcosts]])*Table14[[#This Row],[Investment]]</f>
        <v>399052696.73743886</v>
      </c>
      <c r="Q25" s="16" t="s">
        <v>185</v>
      </c>
    </row>
    <row r="26" spans="1:20" x14ac:dyDescent="0.3">
      <c r="A26" s="4" t="s">
        <v>170</v>
      </c>
      <c r="B26" s="14" t="s">
        <v>171</v>
      </c>
      <c r="C26" s="6">
        <v>50.4</v>
      </c>
      <c r="D26" s="6" t="s">
        <v>172</v>
      </c>
      <c r="E26" s="15">
        <v>2.9999999999999997E-4</v>
      </c>
      <c r="F26" s="6">
        <v>0.92</v>
      </c>
      <c r="G26" s="3">
        <f t="shared" si="0"/>
        <v>722110000</v>
      </c>
      <c r="H26" s="3" t="b">
        <f t="shared" si="1"/>
        <v>0</v>
      </c>
      <c r="I26" s="26">
        <f>Table14[[#This Row],[Tech]]*$T$7+Table14[[#This Row],[Beta]]*($T$6-$T$8)+$T$8</f>
        <v>9.491200000000001E-2</v>
      </c>
      <c r="J26" s="42">
        <v>4292166980.79</v>
      </c>
      <c r="K26" s="52">
        <f>Table14[[#This Row],[Investment]]/Table14[[#This Row],[Dollar Volume]]</f>
        <v>5.9439240292891666</v>
      </c>
      <c r="L26" s="34">
        <f>IFERROR(MAX($T$11+$T$12*LN(Table14[[#This Row],[Frac ADV]]),0),0)*0.0001+0.005/Table14[[#This Row],[Stock Price]]+Table14[[#This Row],[Expense Ratio]]</f>
        <v>4.0385962620990042E-2</v>
      </c>
      <c r="M26" s="46">
        <f>(Table14[[#This Row],[Expected Return]]-Table14[[#This Row],[Tcosts]])*Table14[[#This Row],[Investment]]</f>
        <v>234034857.2315079</v>
      </c>
      <c r="Q26" s="13" t="s">
        <v>189</v>
      </c>
    </row>
    <row r="27" spans="1:20" x14ac:dyDescent="0.3">
      <c r="A27" s="4" t="s">
        <v>178</v>
      </c>
      <c r="B27" s="14" t="s">
        <v>179</v>
      </c>
      <c r="C27" s="6">
        <v>103.45</v>
      </c>
      <c r="D27" s="6" t="s">
        <v>180</v>
      </c>
      <c r="E27" s="15">
        <v>4.0000000000000002E-4</v>
      </c>
      <c r="F27" s="6">
        <v>1.21</v>
      </c>
      <c r="G27" s="3">
        <f t="shared" si="0"/>
        <v>1290000000</v>
      </c>
      <c r="H27" s="3" t="b">
        <f t="shared" si="1"/>
        <v>0</v>
      </c>
      <c r="I27" s="26">
        <f>Table14[[#This Row],[Tech]]*$T$7+Table14[[#This Row],[Beta]]*($T$6-$T$8)+$T$8</f>
        <v>0.113356</v>
      </c>
      <c r="J27" s="42">
        <v>4000432687.9099998</v>
      </c>
      <c r="K27" s="52">
        <f>Table14[[#This Row],[Investment]]/Table14[[#This Row],[Dollar Volume]]</f>
        <v>3.1011106107829458</v>
      </c>
      <c r="L27" s="34">
        <f>IFERROR(MAX($T$11+$T$12*LN(Table14[[#This Row],[Frac ADV]]),0),0)*0.0001+0.005/Table14[[#This Row],[Stock Price]]+Table14[[#This Row],[Expense Ratio]]</f>
        <v>3.724827109412953E-2</v>
      </c>
      <c r="M27" s="46">
        <f>(Table14[[#This Row],[Expected Return]]-Table14[[#This Row],[Tcosts]])*Table14[[#This Row],[Investment]]</f>
        <v>304463846.51763701</v>
      </c>
      <c r="Q27" s="16" t="s">
        <v>193</v>
      </c>
    </row>
    <row r="28" spans="1:20" x14ac:dyDescent="0.3">
      <c r="A28" s="2" t="s">
        <v>194</v>
      </c>
      <c r="B28" s="10" t="s">
        <v>195</v>
      </c>
      <c r="C28" s="11">
        <v>115.5</v>
      </c>
      <c r="D28" s="11" t="s">
        <v>196</v>
      </c>
      <c r="E28" s="12">
        <v>5.9999999999999995E-4</v>
      </c>
      <c r="F28" s="11">
        <v>1.22</v>
      </c>
      <c r="G28" s="3">
        <f t="shared" si="0"/>
        <v>2080000000</v>
      </c>
      <c r="H28" s="3" t="b">
        <f t="shared" si="1"/>
        <v>0</v>
      </c>
      <c r="I28" s="26">
        <f>Table14[[#This Row],[Tech]]*$T$7+Table14[[#This Row],[Beta]]*($T$6-$T$8)+$T$8</f>
        <v>0.11399200000000001</v>
      </c>
      <c r="J28" s="42">
        <v>3692058610.1599998</v>
      </c>
      <c r="K28" s="52">
        <f>Table14[[#This Row],[Investment]]/Table14[[#This Row],[Dollar Volume]]</f>
        <v>1.7750281779615384</v>
      </c>
      <c r="L28" s="34">
        <f>IFERROR(MAX($T$11+$T$12*LN(Table14[[#This Row],[Frac ADV]]),0),0)*0.0001+0.005/Table14[[#This Row],[Stock Price]]+Table14[[#This Row],[Expense Ratio]]</f>
        <v>3.47103041352834E-2</v>
      </c>
      <c r="M28" s="46">
        <f>(Table14[[#This Row],[Expected Return]]-Table14[[#This Row],[Tcosts]])*Table14[[#This Row],[Investment]]</f>
        <v>292712667.84541345</v>
      </c>
      <c r="Q28" s="13" t="s">
        <v>197</v>
      </c>
    </row>
    <row r="29" spans="1:20" x14ac:dyDescent="0.3">
      <c r="A29" s="4" t="s">
        <v>202</v>
      </c>
      <c r="B29" s="14" t="s">
        <v>203</v>
      </c>
      <c r="C29" s="6">
        <v>213.85</v>
      </c>
      <c r="D29" s="6" t="s">
        <v>204</v>
      </c>
      <c r="E29" s="15">
        <v>5.0000000000000001E-4</v>
      </c>
      <c r="F29" s="6">
        <v>1.07</v>
      </c>
      <c r="G29" s="3">
        <f t="shared" si="0"/>
        <v>12250000000</v>
      </c>
      <c r="H29" s="3" t="b">
        <f t="shared" si="1"/>
        <v>0</v>
      </c>
      <c r="I29" s="26">
        <f>Table14[[#This Row],[Tech]]*$T$7+Table14[[#This Row],[Beta]]*($T$6-$T$8)+$T$8</f>
        <v>0.104452</v>
      </c>
      <c r="J29" s="42">
        <v>2797332413.48</v>
      </c>
      <c r="K29" s="52">
        <f>Table14[[#This Row],[Investment]]/Table14[[#This Row],[Dollar Volume]]</f>
        <v>0.22835366640653063</v>
      </c>
      <c r="L29" s="34">
        <f>IFERROR(MAX($T$11+$T$12*LN(Table14[[#This Row],[Frac ADV]]),0),0)*0.0001+0.005/Table14[[#This Row],[Stock Price]]+Table14[[#This Row],[Expense Ratio]]</f>
        <v>2.4545762412677835E-2</v>
      </c>
      <c r="M29" s="46">
        <f>(Table14[[#This Row],[Expected Return]]-Table14[[#This Row],[Tcosts]])*Table14[[#This Row],[Investment]]</f>
        <v>223524308.44225022</v>
      </c>
      <c r="Q29" s="16" t="s">
        <v>201</v>
      </c>
    </row>
    <row r="30" spans="1:20" x14ac:dyDescent="0.3">
      <c r="A30" s="4" t="s">
        <v>198</v>
      </c>
      <c r="B30" s="14" t="s">
        <v>199</v>
      </c>
      <c r="C30" s="6">
        <v>30.31</v>
      </c>
      <c r="D30" s="6" t="s">
        <v>200</v>
      </c>
      <c r="E30" s="15">
        <v>4.0000000000000002E-4</v>
      </c>
      <c r="F30" s="6">
        <v>0.98</v>
      </c>
      <c r="G30" s="3">
        <f t="shared" si="0"/>
        <v>3070000000</v>
      </c>
      <c r="H30" s="3" t="b">
        <f t="shared" si="1"/>
        <v>0</v>
      </c>
      <c r="I30" s="26">
        <f>Table14[[#This Row],[Tech]]*$T$7+Table14[[#This Row],[Beta]]*($T$6-$T$8)+$T$8</f>
        <v>9.872800000000001E-2</v>
      </c>
      <c r="J30" s="42">
        <v>2703062729.3099999</v>
      </c>
      <c r="K30" s="52">
        <f>Table14[[#This Row],[Investment]]/Table14[[#This Row],[Dollar Volume]]</f>
        <v>0.88047645905863192</v>
      </c>
      <c r="L30" s="34">
        <f>IFERROR(MAX($T$11+$T$12*LN(Table14[[#This Row],[Frac ADV]]),0),0)*0.0001+0.005/Table14[[#This Row],[Stock Price]]+Table14[[#This Row],[Expense Ratio]]</f>
        <v>3.1197803140218239E-2</v>
      </c>
      <c r="M30" s="46">
        <f>(Table14[[#This Row],[Expected Return]]-Table14[[#This Row],[Tcosts]])*Table14[[#This Row],[Investment]]</f>
        <v>182538358.23464331</v>
      </c>
      <c r="Q30" s="13" t="s">
        <v>205</v>
      </c>
    </row>
    <row r="31" spans="1:20" x14ac:dyDescent="0.3">
      <c r="A31" s="2" t="s">
        <v>206</v>
      </c>
      <c r="B31" s="10" t="s">
        <v>207</v>
      </c>
      <c r="C31" s="11">
        <v>26.29</v>
      </c>
      <c r="D31" s="11" t="s">
        <v>208</v>
      </c>
      <c r="E31" s="12">
        <v>2.9999999999999997E-4</v>
      </c>
      <c r="F31" s="11">
        <v>1</v>
      </c>
      <c r="G31" s="3">
        <f t="shared" si="0"/>
        <v>236140000</v>
      </c>
      <c r="H31" s="3" t="b">
        <f t="shared" si="1"/>
        <v>0</v>
      </c>
      <c r="I31" s="26">
        <f>Table14[[#This Row],[Tech]]*$T$7+Table14[[#This Row],[Beta]]*($T$6-$T$8)+$T$8</f>
        <v>0.1</v>
      </c>
      <c r="J31" s="42">
        <v>2257727134.6700001</v>
      </c>
      <c r="K31" s="52">
        <f>Table14[[#This Row],[Investment]]/Table14[[#This Row],[Dollar Volume]]</f>
        <v>9.56096864008639</v>
      </c>
      <c r="L31" s="34">
        <f>IFERROR(MAX($T$11+$T$12*LN(Table14[[#This Row],[Frac ADV]]),0),0)*0.0001+0.005/Table14[[#This Row],[Stock Price]]+Table14[[#This Row],[Expense Ratio]]</f>
        <v>4.2805155373800315E-2</v>
      </c>
      <c r="M31" s="46">
        <f>(Table14[[#This Row],[Expected Return]]-Table14[[#This Row],[Tcosts]])*Table14[[#This Row],[Investment]]</f>
        <v>129130352.67580567</v>
      </c>
      <c r="Q31" s="16" t="s">
        <v>209</v>
      </c>
    </row>
    <row r="32" spans="1:20" x14ac:dyDescent="0.3">
      <c r="A32" s="4" t="s">
        <v>218</v>
      </c>
      <c r="B32" s="14" t="s">
        <v>219</v>
      </c>
      <c r="C32" s="6">
        <v>118.54</v>
      </c>
      <c r="D32" s="6" t="s">
        <v>220</v>
      </c>
      <c r="E32" s="15">
        <v>8.9999999999999998E-4</v>
      </c>
      <c r="F32" s="6">
        <v>1.06</v>
      </c>
      <c r="G32" s="3">
        <f t="shared" si="0"/>
        <v>341000000</v>
      </c>
      <c r="H32" s="3" t="b">
        <f t="shared" si="1"/>
        <v>0</v>
      </c>
      <c r="I32" s="26">
        <f>Table14[[#This Row],[Tech]]*$T$7+Table14[[#This Row],[Beta]]*($T$6-$T$8)+$T$8</f>
        <v>0.10381600000000001</v>
      </c>
      <c r="J32" s="42">
        <v>1770232707.1199999</v>
      </c>
      <c r="K32" s="52">
        <f>Table14[[#This Row],[Investment]]/Table14[[#This Row],[Dollar Volume]]</f>
        <v>5.1912982613489733</v>
      </c>
      <c r="L32" s="34">
        <f>IFERROR(MAX($T$11+$T$12*LN(Table14[[#This Row],[Frac ADV]]),0),0)*0.0001+0.005/Table14[[#This Row],[Stock Price]]+Table14[[#This Row],[Expense Ratio]]</f>
        <v>4.0265789067207097E-2</v>
      </c>
      <c r="M32" s="46">
        <f>(Table14[[#This Row],[Expected Return]]-Table14[[#This Row],[Tcosts]])*Table14[[#This Row],[Investment]]</f>
        <v>112498661.93760501</v>
      </c>
      <c r="Q32" s="13" t="s">
        <v>213</v>
      </c>
    </row>
    <row r="33" spans="1:17" x14ac:dyDescent="0.3">
      <c r="A33" s="4" t="s">
        <v>214</v>
      </c>
      <c r="B33" s="14" t="s">
        <v>215</v>
      </c>
      <c r="C33" s="6">
        <v>132.91</v>
      </c>
      <c r="D33" s="6" t="s">
        <v>216</v>
      </c>
      <c r="E33" s="15">
        <v>2.3E-3</v>
      </c>
      <c r="F33" s="6">
        <v>1.1299999999999999</v>
      </c>
      <c r="G33" s="3">
        <f t="shared" si="0"/>
        <v>434610000</v>
      </c>
      <c r="H33" s="3" t="b">
        <f t="shared" si="1"/>
        <v>0</v>
      </c>
      <c r="I33" s="26">
        <f>Table14[[#This Row],[Tech]]*$T$7+Table14[[#This Row],[Beta]]*($T$6-$T$8)+$T$8</f>
        <v>0.108268</v>
      </c>
      <c r="J33" s="42">
        <v>1634905357.78</v>
      </c>
      <c r="K33" s="52">
        <f>Table14[[#This Row],[Investment]]/Table14[[#This Row],[Dollar Volume]]</f>
        <v>3.7617757478659026</v>
      </c>
      <c r="L33" s="34">
        <f>IFERROR(MAX($T$11+$T$12*LN(Table14[[#This Row],[Frac ADV]]),0),0)*0.0001+0.005/Table14[[#This Row],[Stock Price]]+Table14[[#This Row],[Expense Ratio]]</f>
        <v>4.0083552423204757E-2</v>
      </c>
      <c r="M33" s="46">
        <f>(Table14[[#This Row],[Expected Return]]-Table14[[#This Row],[Tcosts]])*Table14[[#This Row],[Investment]]</f>
        <v>111475118.66057208</v>
      </c>
      <c r="Q33" s="16" t="s">
        <v>217</v>
      </c>
    </row>
    <row r="34" spans="1:17" x14ac:dyDescent="0.3">
      <c r="A34" s="2" t="s">
        <v>210</v>
      </c>
      <c r="B34" s="10" t="s">
        <v>211</v>
      </c>
      <c r="C34" s="11">
        <v>310.33</v>
      </c>
      <c r="D34" s="11" t="s">
        <v>212</v>
      </c>
      <c r="E34" s="12">
        <v>5.0000000000000001E-4</v>
      </c>
      <c r="F34" s="11">
        <v>1.06</v>
      </c>
      <c r="G34" s="3">
        <f t="shared" ref="G34:G65" si="2">IF(RIGHT(Q34,1)="B", VALUE(SUBSTITUTE(Q34,"B",""))*1000000000,
 IF(RIGHT(Q34,1)="M", VALUE(SUBSTITUTE(Q34,"M",""))*1000000, VALUE(Q34)))</f>
        <v>1640000000</v>
      </c>
      <c r="H34" s="3" t="b">
        <f t="shared" ref="H34:H65" si="3">OR(
  ISNUMBER(SEARCH("technology",B34)),
  ISNUMBER(SEARCH("tech",B34)),
  ISNUMBER(SEARCH("qqq",B34)),
  ISNUMBER(SEARCH("semiconductor",B34)),
  ISNUMBER(SEARCH("information technology",B34)),
  ISNUMBER(SEARCH("nasdaq",B34)),
  ISNUMBER(SEARCH("communication",B34))
)</f>
        <v>0</v>
      </c>
      <c r="I34" s="26">
        <f>Table14[[#This Row],[Tech]]*$T$7+Table14[[#This Row],[Beta]]*($T$6-$T$8)+$T$8</f>
        <v>0.10381600000000001</v>
      </c>
      <c r="J34" s="42">
        <v>1613918727.3299999</v>
      </c>
      <c r="K34" s="52">
        <f>Table14[[#This Row],[Investment]]/Table14[[#This Row],[Dollar Volume]]</f>
        <v>0.98409678495731701</v>
      </c>
      <c r="L34" s="34">
        <f>IFERROR(MAX($T$11+$T$12*LN(Table14[[#This Row],[Frac ADV]]),0),0)*0.0001+0.005/Table14[[#This Row],[Stock Price]]+Table14[[#This Row],[Expense Ratio]]</f>
        <v>3.1693932504564135E-2</v>
      </c>
      <c r="M34" s="46">
        <f>(Table14[[#This Row],[Expected Return]]-Table14[[#This Row],[Tcosts]])*Table14[[#This Row],[Investment]]</f>
        <v>116399155.38464221</v>
      </c>
      <c r="Q34" s="13" t="s">
        <v>221</v>
      </c>
    </row>
    <row r="35" spans="1:17" x14ac:dyDescent="0.3">
      <c r="A35" s="2" t="s">
        <v>225</v>
      </c>
      <c r="B35" s="10" t="s">
        <v>226</v>
      </c>
      <c r="C35" s="11">
        <v>74.23</v>
      </c>
      <c r="D35" s="11" t="s">
        <v>227</v>
      </c>
      <c r="E35" s="12">
        <v>8.9999999999999998E-4</v>
      </c>
      <c r="F35" s="11">
        <v>1.01</v>
      </c>
      <c r="G35" s="3">
        <f t="shared" si="2"/>
        <v>1800000000</v>
      </c>
      <c r="H35" s="3" t="b">
        <f t="shared" si="3"/>
        <v>0</v>
      </c>
      <c r="I35" s="26">
        <f>Table14[[#This Row],[Tech]]*$T$7+Table14[[#This Row],[Beta]]*($T$6-$T$8)+$T$8</f>
        <v>0.100636</v>
      </c>
      <c r="J35" s="42">
        <v>1465637724.8699999</v>
      </c>
      <c r="K35" s="52">
        <f>Table14[[#This Row],[Investment]]/Table14[[#This Row],[Dollar Volume]]</f>
        <v>0.81424318048333322</v>
      </c>
      <c r="L35" s="34">
        <f>IFERROR(MAX($T$11+$T$12*LN(Table14[[#This Row],[Frac ADV]]),0),0)*0.0001+0.005/Table14[[#This Row],[Stock Price]]+Table14[[#This Row],[Expense Ratio]]</f>
        <v>3.1217139421048142E-2</v>
      </c>
      <c r="M35" s="46">
        <f>(Table14[[#This Row],[Expected Return]]-Table14[[#This Row],[Tcosts]])*Table14[[#This Row],[Investment]]</f>
        <v>101742900.88200273</v>
      </c>
      <c r="Q35" s="16" t="s">
        <v>110</v>
      </c>
    </row>
    <row r="36" spans="1:17" x14ac:dyDescent="0.3">
      <c r="A36" s="4" t="s">
        <v>222</v>
      </c>
      <c r="B36" s="14" t="s">
        <v>223</v>
      </c>
      <c r="C36" s="6">
        <v>250.2</v>
      </c>
      <c r="D36" s="6" t="s">
        <v>224</v>
      </c>
      <c r="E36" s="15">
        <v>1.5E-3</v>
      </c>
      <c r="F36" s="6">
        <v>1.17</v>
      </c>
      <c r="G36" s="3">
        <f t="shared" si="2"/>
        <v>862900000</v>
      </c>
      <c r="H36" s="3" t="b">
        <f t="shared" si="3"/>
        <v>0</v>
      </c>
      <c r="I36" s="26">
        <f>Table14[[#This Row],[Tech]]*$T$7+Table14[[#This Row],[Beta]]*($T$6-$T$8)+$T$8</f>
        <v>0.11081200000000001</v>
      </c>
      <c r="J36" s="42">
        <v>1217289765.0599999</v>
      </c>
      <c r="K36" s="52">
        <f>Table14[[#This Row],[Investment]]/Table14[[#This Row],[Dollar Volume]]</f>
        <v>1.4106962163170702</v>
      </c>
      <c r="L36" s="34">
        <f>IFERROR(MAX($T$11+$T$12*LN(Table14[[#This Row],[Frac ADV]]),0),0)*0.0001+0.005/Table14[[#This Row],[Stock Price]]+Table14[[#This Row],[Expense Ratio]]</f>
        <v>3.4461718910640218E-2</v>
      </c>
      <c r="M36" s="46">
        <f>(Table14[[#This Row],[Expected Return]]-Table14[[#This Row],[Tcosts]])*Table14[[#This Row],[Investment]]</f>
        <v>92940415.729531735</v>
      </c>
      <c r="Q36" s="13" t="s">
        <v>228</v>
      </c>
    </row>
    <row r="37" spans="1:17" x14ac:dyDescent="0.3">
      <c r="A37" s="4" t="s">
        <v>229</v>
      </c>
      <c r="B37" s="14" t="s">
        <v>230</v>
      </c>
      <c r="C37" s="6">
        <v>684.33</v>
      </c>
      <c r="D37" s="6" t="s">
        <v>231</v>
      </c>
      <c r="E37" s="15">
        <v>2.9999999999999997E-4</v>
      </c>
      <c r="F37" s="6">
        <v>1</v>
      </c>
      <c r="G37" s="3">
        <f t="shared" si="2"/>
        <v>480430000</v>
      </c>
      <c r="H37" s="3" t="b">
        <f t="shared" si="3"/>
        <v>0</v>
      </c>
      <c r="I37" s="26">
        <f>Table14[[#This Row],[Tech]]*$T$7+Table14[[#This Row],[Beta]]*($T$6-$T$8)+$T$8</f>
        <v>0.1</v>
      </c>
      <c r="J37" s="42">
        <v>1204242910.99</v>
      </c>
      <c r="K37" s="52">
        <f>Table14[[#This Row],[Investment]]/Table14[[#This Row],[Dollar Volume]]</f>
        <v>2.5065939075203465</v>
      </c>
      <c r="L37" s="34">
        <f>IFERROR(MAX($T$11+$T$12*LN(Table14[[#This Row],[Frac ADV]]),0),0)*0.0001+0.005/Table14[[#This Row],[Stock Price]]+Table14[[#This Row],[Expense Ratio]]</f>
        <v>3.606473301431961E-2</v>
      </c>
      <c r="M37" s="46">
        <f>(Table14[[#This Row],[Expected Return]]-Table14[[#This Row],[Tcosts]])*Table14[[#This Row],[Investment]]</f>
        <v>76993592.029758602</v>
      </c>
      <c r="Q37" s="16" t="s">
        <v>232</v>
      </c>
    </row>
    <row r="38" spans="1:17" x14ac:dyDescent="0.3">
      <c r="A38" s="4" t="s">
        <v>233</v>
      </c>
      <c r="B38" s="14" t="s">
        <v>234</v>
      </c>
      <c r="C38" s="6">
        <v>226.52</v>
      </c>
      <c r="D38" s="6" t="s">
        <v>235</v>
      </c>
      <c r="E38" s="15">
        <v>4.0000000000000002E-4</v>
      </c>
      <c r="F38" s="6">
        <v>0.78</v>
      </c>
      <c r="G38" s="3">
        <f t="shared" si="2"/>
        <v>701150000</v>
      </c>
      <c r="H38" s="3" t="b">
        <f t="shared" si="3"/>
        <v>0</v>
      </c>
      <c r="I38" s="26">
        <f>Table14[[#This Row],[Tech]]*$T$7+Table14[[#This Row],[Beta]]*($T$6-$T$8)+$T$8</f>
        <v>8.6008000000000001E-2</v>
      </c>
      <c r="J38" s="42">
        <v>857273914.91999996</v>
      </c>
      <c r="K38" s="52">
        <f>Table14[[#This Row],[Investment]]/Table14[[#This Row],[Dollar Volume]]</f>
        <v>1.2226683518790558</v>
      </c>
      <c r="L38" s="34">
        <f>IFERROR(MAX($T$11+$T$12*LN(Table14[[#This Row],[Frac ADV]]),0),0)*0.0001+0.005/Table14[[#This Row],[Stock Price]]+Table14[[#This Row],[Expense Ratio]]</f>
        <v>3.2663130916476782E-2</v>
      </c>
      <c r="M38" s="46">
        <f>(Table14[[#This Row],[Expected Return]]-Table14[[#This Row],[Tcosts]])*Table14[[#This Row],[Investment]]</f>
        <v>45731164.760126822</v>
      </c>
      <c r="Q38" s="13" t="s">
        <v>236</v>
      </c>
    </row>
    <row r="39" spans="1:17" x14ac:dyDescent="0.3">
      <c r="A39" s="2" t="s">
        <v>253</v>
      </c>
      <c r="B39" s="10" t="s">
        <v>254</v>
      </c>
      <c r="C39" s="11">
        <v>26.85</v>
      </c>
      <c r="D39" s="11" t="s">
        <v>255</v>
      </c>
      <c r="E39" s="12">
        <v>2.9999999999999997E-4</v>
      </c>
      <c r="F39" s="11">
        <v>1.01</v>
      </c>
      <c r="G39" s="3">
        <f t="shared" si="2"/>
        <v>892490000</v>
      </c>
      <c r="H39" s="3" t="b">
        <f t="shared" si="3"/>
        <v>0</v>
      </c>
      <c r="I39" s="26">
        <f>Table14[[#This Row],[Tech]]*$T$7+Table14[[#This Row],[Beta]]*($T$6-$T$8)+$T$8</f>
        <v>0.100636</v>
      </c>
      <c r="J39" s="42">
        <v>808710068.63999999</v>
      </c>
      <c r="K39" s="52">
        <f>Table14[[#This Row],[Investment]]/Table14[[#This Row],[Dollar Volume]]</f>
        <v>0.90612787665968242</v>
      </c>
      <c r="L39" s="34">
        <f>IFERROR(MAX($T$11+$T$12*LN(Table14[[#This Row],[Frac ADV]]),0),0)*0.0001+0.005/Table14[[#This Row],[Stock Price]]+Table14[[#This Row],[Expense Ratio]]</f>
        <v>3.1259723808399212E-2</v>
      </c>
      <c r="M39" s="46">
        <f>(Table14[[#This Row],[Expected Return]]-Table14[[#This Row],[Tcosts]])*Table14[[#This Row],[Investment]]</f>
        <v>56105293.08089707</v>
      </c>
      <c r="Q39" s="16" t="s">
        <v>240</v>
      </c>
    </row>
    <row r="40" spans="1:17" x14ac:dyDescent="0.3">
      <c r="A40" s="2" t="s">
        <v>261</v>
      </c>
      <c r="B40" s="10" t="s">
        <v>262</v>
      </c>
      <c r="C40" s="11">
        <v>145.65</v>
      </c>
      <c r="D40" s="11" t="s">
        <v>263</v>
      </c>
      <c r="E40" s="12">
        <v>3.2000000000000002E-3</v>
      </c>
      <c r="F40" s="11">
        <v>0.89</v>
      </c>
      <c r="G40" s="3">
        <f t="shared" si="2"/>
        <v>866990000</v>
      </c>
      <c r="H40" s="3" t="b">
        <f t="shared" si="3"/>
        <v>0</v>
      </c>
      <c r="I40" s="26">
        <f>Table14[[#This Row],[Tech]]*$T$7+Table14[[#This Row],[Beta]]*($T$6-$T$8)+$T$8</f>
        <v>9.3004000000000003E-2</v>
      </c>
      <c r="J40" s="42">
        <v>778597393.83000004</v>
      </c>
      <c r="K40" s="52">
        <f>Table14[[#This Row],[Investment]]/Table14[[#This Row],[Dollar Volume]]</f>
        <v>0.89804656781508441</v>
      </c>
      <c r="L40" s="34">
        <f>IFERROR(MAX($T$11+$T$12*LN(Table14[[#This Row],[Frac ADV]]),0),0)*0.0001+0.005/Table14[[#This Row],[Stock Price]]+Table14[[#This Row],[Expense Ratio]]</f>
        <v>3.3963952286115782E-2</v>
      </c>
      <c r="M40" s="46">
        <f>(Table14[[#This Row],[Expected Return]]-Table14[[#This Row],[Tcosts]])*Table14[[#This Row],[Investment]]</f>
        <v>45968427.281629108</v>
      </c>
      <c r="Q40" s="13" t="s">
        <v>244</v>
      </c>
    </row>
    <row r="41" spans="1:17" x14ac:dyDescent="0.3">
      <c r="A41" s="2" t="s">
        <v>245</v>
      </c>
      <c r="B41" s="10" t="s">
        <v>246</v>
      </c>
      <c r="C41" s="11">
        <v>681.27</v>
      </c>
      <c r="D41" s="11" t="s">
        <v>247</v>
      </c>
      <c r="E41" s="12">
        <v>8.9999999999999998E-4</v>
      </c>
      <c r="F41" s="11">
        <v>1</v>
      </c>
      <c r="G41" s="3">
        <f t="shared" si="2"/>
        <v>379340000</v>
      </c>
      <c r="H41" s="3" t="b">
        <f t="shared" si="3"/>
        <v>0</v>
      </c>
      <c r="I41" s="26">
        <f>Table14[[#This Row],[Tech]]*$T$7+Table14[[#This Row],[Beta]]*($T$6-$T$8)+$T$8</f>
        <v>0.1</v>
      </c>
      <c r="J41" s="42">
        <v>732981768.21000004</v>
      </c>
      <c r="K41" s="52">
        <f>Table14[[#This Row],[Investment]]/Table14[[#This Row],[Dollar Volume]]</f>
        <v>1.9322554125850162</v>
      </c>
      <c r="L41" s="34">
        <f>IFERROR(MAX($T$11+$T$12*LN(Table14[[#This Row],[Frac ADV]]),0),0)*0.0001+0.005/Table14[[#This Row],[Stock Price]]+Table14[[#This Row],[Expense Ratio]]</f>
        <v>3.5390072020884844E-2</v>
      </c>
      <c r="M41" s="46">
        <f>(Table14[[#This Row],[Expected Return]]-Table14[[#This Row],[Tcosts]])*Table14[[#This Row],[Investment]]</f>
        <v>47357899.254052587</v>
      </c>
      <c r="Q41" s="16" t="s">
        <v>248</v>
      </c>
    </row>
    <row r="42" spans="1:17" x14ac:dyDescent="0.3">
      <c r="A42" s="2" t="s">
        <v>241</v>
      </c>
      <c r="B42" s="10" t="s">
        <v>242</v>
      </c>
      <c r="C42" s="11">
        <v>626.49</v>
      </c>
      <c r="D42" s="11" t="s">
        <v>243</v>
      </c>
      <c r="E42" s="12">
        <v>2.9999999999999997E-4</v>
      </c>
      <c r="F42" s="11">
        <v>0.99</v>
      </c>
      <c r="G42" s="3">
        <f t="shared" si="2"/>
        <v>381360000</v>
      </c>
      <c r="H42" s="3" t="b">
        <f t="shared" si="3"/>
        <v>0</v>
      </c>
      <c r="I42" s="26">
        <f>Table14[[#This Row],[Tech]]*$T$7+Table14[[#This Row],[Beta]]*($T$6-$T$8)+$T$8</f>
        <v>9.9364000000000008E-2</v>
      </c>
      <c r="J42" s="42">
        <v>680576532.82000005</v>
      </c>
      <c r="K42" s="52">
        <f>Table14[[#This Row],[Investment]]/Table14[[#This Row],[Dollar Volume]]</f>
        <v>1.7846038725089155</v>
      </c>
      <c r="L42" s="34">
        <f>IFERROR(MAX($T$11+$T$12*LN(Table14[[#This Row],[Frac ADV]]),0),0)*0.0001+0.005/Table14[[#This Row],[Stock Price]]+Table14[[#This Row],[Expense Ratio]]</f>
        <v>3.4401348257500144E-2</v>
      </c>
      <c r="M42" s="46">
        <f>(Table14[[#This Row],[Expected Return]]-Table14[[#This Row],[Tcosts]])*Table14[[#This Row],[Investment]]</f>
        <v>44212056.285703689</v>
      </c>
      <c r="Q42" s="13" t="s">
        <v>252</v>
      </c>
    </row>
    <row r="43" spans="1:17" x14ac:dyDescent="0.3">
      <c r="A43" s="4" t="s">
        <v>289</v>
      </c>
      <c r="B43" s="14" t="s">
        <v>290</v>
      </c>
      <c r="C43" s="6">
        <v>82.13</v>
      </c>
      <c r="D43" s="6" t="s">
        <v>291</v>
      </c>
      <c r="E43" s="15">
        <v>5.0000000000000001E-4</v>
      </c>
      <c r="F43" s="6">
        <v>0.7</v>
      </c>
      <c r="G43" s="3">
        <f t="shared" si="2"/>
        <v>159840000</v>
      </c>
      <c r="H43" s="3" t="b">
        <f t="shared" si="3"/>
        <v>0</v>
      </c>
      <c r="I43" s="26">
        <f>Table14[[#This Row],[Tech]]*$T$7+Table14[[#This Row],[Beta]]*($T$6-$T$8)+$T$8</f>
        <v>8.0919999999999992E-2</v>
      </c>
      <c r="J43" s="42">
        <v>666900693.77999997</v>
      </c>
      <c r="K43" s="52">
        <f>Table14[[#This Row],[Investment]]/Table14[[#This Row],[Dollar Volume]]</f>
        <v>4.1723016377627626</v>
      </c>
      <c r="L43" s="34">
        <f>IFERROR(MAX($T$11+$T$12*LN(Table14[[#This Row],[Frac ADV]]),0),0)*0.0001+0.005/Table14[[#This Row],[Stock Price]]+Table14[[#This Row],[Expense Ratio]]</f>
        <v>3.8814152123711865E-2</v>
      </c>
      <c r="M43" s="46">
        <f>(Table14[[#This Row],[Expected Return]]-Table14[[#This Row],[Tcosts]])*Table14[[#This Row],[Investment]]</f>
        <v>28080419.160891689</v>
      </c>
      <c r="Q43" s="16" t="s">
        <v>256</v>
      </c>
    </row>
    <row r="44" spans="1:17" x14ac:dyDescent="0.3">
      <c r="A44" s="4" t="s">
        <v>257</v>
      </c>
      <c r="B44" s="14" t="s">
        <v>258</v>
      </c>
      <c r="C44" s="6">
        <v>232.53</v>
      </c>
      <c r="D44" s="6" t="s">
        <v>259</v>
      </c>
      <c r="E44" s="15">
        <v>3.8E-3</v>
      </c>
      <c r="F44" s="6">
        <v>1.05</v>
      </c>
      <c r="G44" s="3">
        <f t="shared" si="2"/>
        <v>4880000000</v>
      </c>
      <c r="H44" s="3" t="b">
        <f t="shared" si="3"/>
        <v>0</v>
      </c>
      <c r="I44" s="26">
        <f>Table14[[#This Row],[Tech]]*$T$7+Table14[[#This Row],[Beta]]*($T$6-$T$8)+$T$8</f>
        <v>0.10318000000000001</v>
      </c>
      <c r="J44" s="42">
        <v>665672228.07000005</v>
      </c>
      <c r="K44" s="52">
        <f>Table14[[#This Row],[Investment]]/Table14[[#This Row],[Dollar Volume]]</f>
        <v>0.13640824345696723</v>
      </c>
      <c r="L44" s="34">
        <f>IFERROR(MAX($T$11+$T$12*LN(Table14[[#This Row],[Frac ADV]]),0),0)*0.0001+0.005/Table14[[#This Row],[Stock Price]]+Table14[[#This Row],[Expense Ratio]]</f>
        <v>2.5320115959138429E-2</v>
      </c>
      <c r="M44" s="46">
        <f>(Table14[[#This Row],[Expected Return]]-Table14[[#This Row],[Tcosts]])*Table14[[#This Row],[Investment]]</f>
        <v>51829162.486752167</v>
      </c>
      <c r="Q44" s="13" t="s">
        <v>260</v>
      </c>
    </row>
    <row r="45" spans="1:17" x14ac:dyDescent="0.3">
      <c r="A45" s="2" t="s">
        <v>237</v>
      </c>
      <c r="B45" s="10" t="s">
        <v>238</v>
      </c>
      <c r="C45" s="11">
        <v>57.24</v>
      </c>
      <c r="D45" s="11" t="s">
        <v>239</v>
      </c>
      <c r="E45" s="12">
        <v>2E-3</v>
      </c>
      <c r="F45" s="11">
        <v>1.1100000000000001</v>
      </c>
      <c r="G45" s="3">
        <f t="shared" si="2"/>
        <v>2300000000</v>
      </c>
      <c r="H45" s="3" t="b">
        <f t="shared" si="3"/>
        <v>0</v>
      </c>
      <c r="I45" s="26">
        <f>Table14[[#This Row],[Tech]]*$T$7+Table14[[#This Row],[Beta]]*($T$6-$T$8)+$T$8</f>
        <v>0.10699600000000001</v>
      </c>
      <c r="J45" s="42">
        <v>589588866.38999999</v>
      </c>
      <c r="K45" s="52">
        <f>Table14[[#This Row],[Investment]]/Table14[[#This Row],[Dollar Volume]]</f>
        <v>0.25634298538695649</v>
      </c>
      <c r="L45" s="34">
        <f>IFERROR(MAX($T$11+$T$12*LN(Table14[[#This Row],[Frac ADV]]),0),0)*0.0001+0.005/Table14[[#This Row],[Stock Price]]+Table14[[#This Row],[Expense Ratio]]</f>
        <v>2.6676067190019456E-2</v>
      </c>
      <c r="M45" s="46">
        <f>(Table14[[#This Row],[Expected Return]]-Table14[[#This Row],[Tcosts]])*Table14[[#This Row],[Investment]]</f>
        <v>47355738.133957401</v>
      </c>
      <c r="Q45" s="16" t="s">
        <v>264</v>
      </c>
    </row>
    <row r="46" spans="1:17" x14ac:dyDescent="0.3">
      <c r="A46" s="2" t="s">
        <v>273</v>
      </c>
      <c r="B46" s="10" t="s">
        <v>274</v>
      </c>
      <c r="C46" s="11">
        <v>51.69</v>
      </c>
      <c r="D46" s="11" t="s">
        <v>275</v>
      </c>
      <c r="E46" s="12">
        <v>8.0000000000000004E-4</v>
      </c>
      <c r="F46" s="11">
        <v>0.94</v>
      </c>
      <c r="G46" s="3">
        <f t="shared" si="2"/>
        <v>618730000</v>
      </c>
      <c r="H46" s="3" t="b">
        <f t="shared" si="3"/>
        <v>0</v>
      </c>
      <c r="I46" s="26">
        <f>Table14[[#This Row],[Tech]]*$T$7+Table14[[#This Row],[Beta]]*($T$6-$T$8)+$T$8</f>
        <v>9.6183999999999992E-2</v>
      </c>
      <c r="J46" s="42">
        <v>571135969.37</v>
      </c>
      <c r="K46" s="52">
        <f>Table14[[#This Row],[Investment]]/Table14[[#This Row],[Dollar Volume]]</f>
        <v>0.92307786816543569</v>
      </c>
      <c r="L46" s="34">
        <f>IFERROR(MAX($T$11+$T$12*LN(Table14[[#This Row],[Frac ADV]]),0),0)*0.0001+0.005/Table14[[#This Row],[Stock Price]]+Table14[[#This Row],[Expense Ratio]]</f>
        <v>3.1761013780618401E-2</v>
      </c>
      <c r="M46" s="46">
        <f>(Table14[[#This Row],[Expected Return]]-Table14[[#This Row],[Tcosts]])*Table14[[#This Row],[Investment]]</f>
        <v>36794284.684116654</v>
      </c>
      <c r="Q46" s="13" t="s">
        <v>268</v>
      </c>
    </row>
    <row r="47" spans="1:17" x14ac:dyDescent="0.3">
      <c r="A47" s="2" t="s">
        <v>293</v>
      </c>
      <c r="B47" s="10" t="s">
        <v>294</v>
      </c>
      <c r="C47" s="11">
        <v>106.19</v>
      </c>
      <c r="D47" s="11" t="s">
        <v>295</v>
      </c>
      <c r="E47" s="12">
        <v>4.0000000000000002E-4</v>
      </c>
      <c r="F47" s="11">
        <v>0.77</v>
      </c>
      <c r="G47" s="3">
        <f t="shared" si="2"/>
        <v>192260000</v>
      </c>
      <c r="H47" s="3" t="b">
        <f t="shared" si="3"/>
        <v>0</v>
      </c>
      <c r="I47" s="26">
        <f>Table14[[#This Row],[Tech]]*$T$7+Table14[[#This Row],[Beta]]*($T$6-$T$8)+$T$8</f>
        <v>8.5372000000000003E-2</v>
      </c>
      <c r="J47" s="42">
        <v>547176600.20000005</v>
      </c>
      <c r="K47" s="52">
        <f>Table14[[#This Row],[Investment]]/Table14[[#This Row],[Dollar Volume]]</f>
        <v>2.8460241350254867</v>
      </c>
      <c r="L47" s="34">
        <f>IFERROR(MAX($T$11+$T$12*LN(Table14[[#This Row],[Frac ADV]]),0),0)*0.0001+0.005/Table14[[#This Row],[Stock Price]]+Table14[[#This Row],[Expense Ratio]]</f>
        <v>3.6826575094988399E-2</v>
      </c>
      <c r="M47" s="46">
        <f>(Table14[[#This Row],[Expected Return]]-Table14[[#This Row],[Tcosts]])*Table14[[#This Row],[Investment]]</f>
        <v>26562920.55478866</v>
      </c>
      <c r="Q47" s="16" t="s">
        <v>272</v>
      </c>
    </row>
    <row r="48" spans="1:17" x14ac:dyDescent="0.3">
      <c r="A48" s="4" t="s">
        <v>265</v>
      </c>
      <c r="B48" s="14" t="s">
        <v>266</v>
      </c>
      <c r="C48" s="6">
        <v>116.13</v>
      </c>
      <c r="D48" s="6" t="s">
        <v>267</v>
      </c>
      <c r="E48" s="15">
        <v>8.0000000000000004E-4</v>
      </c>
      <c r="F48" s="6">
        <v>1.08</v>
      </c>
      <c r="G48" s="3">
        <f t="shared" si="2"/>
        <v>516090000.00000006</v>
      </c>
      <c r="H48" s="3" t="b">
        <f t="shared" si="3"/>
        <v>0</v>
      </c>
      <c r="I48" s="26">
        <f>Table14[[#This Row],[Tech]]*$T$7+Table14[[#This Row],[Beta]]*($T$6-$T$8)+$T$8</f>
        <v>0.10508800000000001</v>
      </c>
      <c r="J48" s="42">
        <v>542668300.28999996</v>
      </c>
      <c r="K48" s="52">
        <f>Table14[[#This Row],[Investment]]/Table14[[#This Row],[Dollar Volume]]</f>
        <v>1.0514993514503281</v>
      </c>
      <c r="L48" s="34">
        <f>IFERROR(MAX($T$11+$T$12*LN(Table14[[#This Row],[Frac ADV]]),0),0)*0.0001+0.005/Table14[[#This Row],[Stock Price]]+Table14[[#This Row],[Expense Ratio]]</f>
        <v>3.2345372768600465E-2</v>
      </c>
      <c r="M48" s="46">
        <f>(Table14[[#This Row],[Expected Return]]-Table14[[#This Row],[Tcosts]])*Table14[[#This Row],[Investment]]</f>
        <v>39475117.878292657</v>
      </c>
      <c r="Q48" s="13" t="s">
        <v>276</v>
      </c>
    </row>
    <row r="49" spans="1:17" x14ac:dyDescent="0.3">
      <c r="A49" s="2" t="s">
        <v>285</v>
      </c>
      <c r="B49" s="10" t="s">
        <v>286</v>
      </c>
      <c r="C49" s="11">
        <v>80.16</v>
      </c>
      <c r="D49" s="11" t="s">
        <v>287</v>
      </c>
      <c r="E49" s="12">
        <v>2.0000000000000001E-4</v>
      </c>
      <c r="F49" s="11">
        <v>0.99</v>
      </c>
      <c r="G49" s="3">
        <f t="shared" si="2"/>
        <v>267779999.99999997</v>
      </c>
      <c r="H49" s="3" t="b">
        <f t="shared" si="3"/>
        <v>0</v>
      </c>
      <c r="I49" s="26">
        <f>Table14[[#This Row],[Tech]]*$T$7+Table14[[#This Row],[Beta]]*($T$6-$T$8)+$T$8</f>
        <v>9.9364000000000008E-2</v>
      </c>
      <c r="J49" s="42">
        <v>534972494.02999997</v>
      </c>
      <c r="K49" s="52">
        <f>Table14[[#This Row],[Investment]]/Table14[[#This Row],[Dollar Volume]]</f>
        <v>1.9978060125102697</v>
      </c>
      <c r="L49" s="34">
        <f>IFERROR(MAX($T$11+$T$12*LN(Table14[[#This Row],[Frac ADV]]),0),0)*0.0001+0.005/Table14[[#This Row],[Stock Price]]+Table14[[#This Row],[Expense Ratio]]</f>
        <v>3.4908520288633872E-2</v>
      </c>
      <c r="M49" s="46">
        <f>(Table14[[#This Row],[Expected Return]]-Table14[[#This Row],[Tcosts]])*Table14[[#This Row],[Investment]]</f>
        <v>34481908.735089608</v>
      </c>
      <c r="Q49" s="16" t="s">
        <v>280</v>
      </c>
    </row>
    <row r="50" spans="1:17" x14ac:dyDescent="0.3">
      <c r="A50" s="2" t="s">
        <v>249</v>
      </c>
      <c r="B50" s="10" t="s">
        <v>250</v>
      </c>
      <c r="C50" s="11">
        <v>313</v>
      </c>
      <c r="D50" s="11" t="s">
        <v>251</v>
      </c>
      <c r="E50" s="12">
        <v>2.9999999999999997E-4</v>
      </c>
      <c r="F50" s="11">
        <v>1.01</v>
      </c>
      <c r="G50" s="3">
        <f t="shared" si="2"/>
        <v>209970000</v>
      </c>
      <c r="H50" s="3" t="b">
        <f t="shared" si="3"/>
        <v>0</v>
      </c>
      <c r="I50" s="26">
        <f>Table14[[#This Row],[Tech]]*$T$7+Table14[[#This Row],[Beta]]*($T$6-$T$8)+$T$8</f>
        <v>0.100636</v>
      </c>
      <c r="J50" s="42">
        <v>518076922.05000001</v>
      </c>
      <c r="K50" s="52">
        <f>Table14[[#This Row],[Investment]]/Table14[[#This Row],[Dollar Volume]]</f>
        <v>2.4673854457779685</v>
      </c>
      <c r="L50" s="34">
        <f>IFERROR(MAX($T$11+$T$12*LN(Table14[[#This Row],[Frac ADV]]),0),0)*0.0001+0.005/Table14[[#This Row],[Stock Price]]+Table14[[#This Row],[Expense Ratio]]</f>
        <v>3.5996177121680413E-2</v>
      </c>
      <c r="M50" s="46">
        <f>(Table14[[#This Row],[Expected Return]]-Table14[[#This Row],[Tcosts]])*Table14[[#This Row],[Investment]]</f>
        <v>33488400.478656989</v>
      </c>
      <c r="Q50" s="13" t="s">
        <v>284</v>
      </c>
    </row>
    <row r="51" spans="1:17" x14ac:dyDescent="0.3">
      <c r="A51" s="2" t="s">
        <v>269</v>
      </c>
      <c r="B51" s="10" t="s">
        <v>270</v>
      </c>
      <c r="C51" s="11">
        <v>60.57</v>
      </c>
      <c r="D51" s="11" t="s">
        <v>271</v>
      </c>
      <c r="E51" s="12">
        <v>2.5999999999999999E-3</v>
      </c>
      <c r="F51" s="11">
        <v>1.03</v>
      </c>
      <c r="G51" s="3">
        <f t="shared" si="2"/>
        <v>712950000</v>
      </c>
      <c r="H51" s="3" t="b">
        <f t="shared" si="3"/>
        <v>0</v>
      </c>
      <c r="I51" s="26">
        <f>Table14[[#This Row],[Tech]]*$T$7+Table14[[#This Row],[Beta]]*($T$6-$T$8)+$T$8</f>
        <v>0.10190800000000001</v>
      </c>
      <c r="J51" s="42">
        <v>513530063.94</v>
      </c>
      <c r="K51" s="52">
        <f>Table14[[#This Row],[Investment]]/Table14[[#This Row],[Dollar Volume]]</f>
        <v>0.72028903000210398</v>
      </c>
      <c r="L51" s="34">
        <f>IFERROR(MAX($T$11+$T$12*LN(Table14[[#This Row],[Frac ADV]]),0),0)*0.0001+0.005/Table14[[#This Row],[Stock Price]]+Table14[[#This Row],[Expense Ratio]]</f>
        <v>3.2331778449388213E-2</v>
      </c>
      <c r="M51" s="46">
        <f>(Table14[[#This Row],[Expected Return]]-Table14[[#This Row],[Tcosts]])*Table14[[#This Row],[Investment]]</f>
        <v>35729481.501589283</v>
      </c>
      <c r="Q51" s="16" t="s">
        <v>288</v>
      </c>
    </row>
    <row r="52" spans="1:17" x14ac:dyDescent="0.3">
      <c r="A52" s="2" t="s">
        <v>277</v>
      </c>
      <c r="B52" s="10" t="s">
        <v>278</v>
      </c>
      <c r="C52" s="11">
        <v>82.87</v>
      </c>
      <c r="D52" s="11" t="s">
        <v>279</v>
      </c>
      <c r="E52" s="12">
        <v>2.9999999999999997E-4</v>
      </c>
      <c r="F52" s="11">
        <v>0.99</v>
      </c>
      <c r="G52" s="3">
        <f t="shared" si="2"/>
        <v>1270000000</v>
      </c>
      <c r="H52" s="3" t="b">
        <f t="shared" si="3"/>
        <v>0</v>
      </c>
      <c r="I52" s="26">
        <f>Table14[[#This Row],[Tech]]*$T$7+Table14[[#This Row],[Beta]]*($T$6-$T$8)+$T$8</f>
        <v>9.9364000000000008E-2</v>
      </c>
      <c r="J52" s="42">
        <v>486421626.06</v>
      </c>
      <c r="K52" s="52">
        <f>Table14[[#This Row],[Investment]]/Table14[[#This Row],[Dollar Volume]]</f>
        <v>0.38300915437795274</v>
      </c>
      <c r="L52" s="34">
        <f>IFERROR(MAX($T$11+$T$12*LN(Table14[[#This Row],[Frac ADV]]),0),0)*0.0001+0.005/Table14[[#This Row],[Stock Price]]+Table14[[#This Row],[Expense Ratio]]</f>
        <v>2.6915889146279882E-2</v>
      </c>
      <c r="M52" s="46">
        <f>(Table14[[#This Row],[Expected Return]]-Table14[[#This Row],[Tcosts]])*Table14[[#This Row],[Investment]]</f>
        <v>35240327.886441685</v>
      </c>
      <c r="Q52" s="13" t="s">
        <v>292</v>
      </c>
    </row>
    <row r="53" spans="1:17" x14ac:dyDescent="0.3">
      <c r="A53" s="4" t="s">
        <v>304</v>
      </c>
      <c r="B53" s="14" t="s">
        <v>305</v>
      </c>
      <c r="C53" s="6">
        <v>200.79</v>
      </c>
      <c r="D53" s="6" t="s">
        <v>306</v>
      </c>
      <c r="E53" s="15">
        <v>2E-3</v>
      </c>
      <c r="F53" s="6">
        <v>0.78</v>
      </c>
      <c r="G53" s="3">
        <f t="shared" si="2"/>
        <v>4470000000</v>
      </c>
      <c r="H53" s="3" t="b">
        <f t="shared" si="3"/>
        <v>0</v>
      </c>
      <c r="I53" s="26">
        <f>Table14[[#This Row],[Tech]]*$T$7+Table14[[#This Row],[Beta]]*($T$6-$T$8)+$T$8</f>
        <v>8.6008000000000001E-2</v>
      </c>
      <c r="J53" s="42">
        <v>478691450.39999998</v>
      </c>
      <c r="K53" s="52">
        <f>Table14[[#This Row],[Investment]]/Table14[[#This Row],[Dollar Volume]]</f>
        <v>0.1070898099328859</v>
      </c>
      <c r="L53" s="34">
        <f>IFERROR(MAX($T$11+$T$12*LN(Table14[[#This Row],[Frac ADV]]),0),0)*0.0001+0.005/Table14[[#This Row],[Stock Price]]+Table14[[#This Row],[Expense Ratio]]</f>
        <v>2.2338225890659667E-2</v>
      </c>
      <c r="M53" s="46">
        <f>(Table14[[#This Row],[Expected Return]]-Table14[[#This Row],[Tcosts]])*Table14[[#This Row],[Investment]]</f>
        <v>30478176.515040487</v>
      </c>
      <c r="Q53" s="16" t="s">
        <v>181</v>
      </c>
    </row>
    <row r="54" spans="1:17" x14ac:dyDescent="0.3">
      <c r="A54" s="2" t="s">
        <v>308</v>
      </c>
      <c r="B54" s="10" t="s">
        <v>309</v>
      </c>
      <c r="C54" s="11">
        <v>129.4</v>
      </c>
      <c r="D54" s="11" t="s">
        <v>310</v>
      </c>
      <c r="E54" s="12">
        <v>5.9999999999999995E-4</v>
      </c>
      <c r="F54" s="11">
        <v>0.92</v>
      </c>
      <c r="G54" s="3">
        <f t="shared" si="2"/>
        <v>4640000000</v>
      </c>
      <c r="H54" s="3" t="b">
        <f t="shared" si="3"/>
        <v>0</v>
      </c>
      <c r="I54" s="26">
        <f>Table14[[#This Row],[Tech]]*$T$7+Table14[[#This Row],[Beta]]*($T$6-$T$8)+$T$8</f>
        <v>9.491200000000001E-2</v>
      </c>
      <c r="J54" s="42">
        <v>474631232.22000003</v>
      </c>
      <c r="K54" s="52">
        <f>Table14[[#This Row],[Investment]]/Table14[[#This Row],[Dollar Volume]]</f>
        <v>0.10229121384051724</v>
      </c>
      <c r="L54" s="34">
        <f>IFERROR(MAX($T$11+$T$12*LN(Table14[[#This Row],[Frac ADV]]),0),0)*0.0001+0.005/Table14[[#This Row],[Stock Price]]+Table14[[#This Row],[Expense Ratio]]</f>
        <v>2.0727410573358453E-2</v>
      </c>
      <c r="M54" s="46">
        <f>(Table14[[#This Row],[Expected Return]]-Table14[[#This Row],[Tcosts]])*Table14[[#This Row],[Investment]]</f>
        <v>35210323.091301665</v>
      </c>
      <c r="Q54" s="13" t="s">
        <v>299</v>
      </c>
    </row>
    <row r="55" spans="1:17" x14ac:dyDescent="0.3">
      <c r="A55" s="4" t="s">
        <v>281</v>
      </c>
      <c r="B55" s="14" t="s">
        <v>282</v>
      </c>
      <c r="C55" s="6">
        <v>373.29</v>
      </c>
      <c r="D55" s="6" t="s">
        <v>283</v>
      </c>
      <c r="E55" s="15">
        <v>1.5E-3</v>
      </c>
      <c r="F55" s="6">
        <v>1</v>
      </c>
      <c r="G55" s="3">
        <f t="shared" si="2"/>
        <v>971070000</v>
      </c>
      <c r="H55" s="3" t="b">
        <f t="shared" si="3"/>
        <v>0</v>
      </c>
      <c r="I55" s="26">
        <f>Table14[[#This Row],[Tech]]*$T$7+Table14[[#This Row],[Beta]]*($T$6-$T$8)+$T$8</f>
        <v>0.1</v>
      </c>
      <c r="J55" s="42">
        <v>472828154.99000001</v>
      </c>
      <c r="K55" s="52">
        <f>Table14[[#This Row],[Investment]]/Table14[[#This Row],[Dollar Volume]]</f>
        <v>0.48691459420021216</v>
      </c>
      <c r="L55" s="34">
        <f>IFERROR(MAX($T$11+$T$12*LN(Table14[[#This Row],[Frac ADV]]),0),0)*0.0001+0.005/Table14[[#This Row],[Stock Price]]+Table14[[#This Row],[Expense Ratio]]</f>
        <v>2.9244663625320327E-2</v>
      </c>
      <c r="M55" s="46">
        <f>(Table14[[#This Row],[Expected Return]]-Table14[[#This Row],[Tcosts]])*Table14[[#This Row],[Investment]]</f>
        <v>33455115.153736629</v>
      </c>
      <c r="Q55" s="16" t="s">
        <v>303</v>
      </c>
    </row>
    <row r="56" spans="1:17" x14ac:dyDescent="0.3">
      <c r="A56" s="2" t="s">
        <v>312</v>
      </c>
      <c r="B56" s="10" t="s">
        <v>313</v>
      </c>
      <c r="C56" s="11">
        <v>113.39</v>
      </c>
      <c r="D56" s="11" t="s">
        <v>314</v>
      </c>
      <c r="E56" s="12">
        <v>2.5000000000000001E-3</v>
      </c>
      <c r="F56" s="11">
        <v>0.95</v>
      </c>
      <c r="G56" s="3">
        <f t="shared" si="2"/>
        <v>4290000000</v>
      </c>
      <c r="H56" s="3" t="b">
        <f t="shared" si="3"/>
        <v>0</v>
      </c>
      <c r="I56" s="26">
        <f>Table14[[#This Row],[Tech]]*$T$7+Table14[[#This Row],[Beta]]*($T$6-$T$8)+$T$8</f>
        <v>9.6820000000000003E-2</v>
      </c>
      <c r="J56" s="42">
        <v>453617004.12</v>
      </c>
      <c r="K56" s="52">
        <f>Table14[[#This Row],[Investment]]/Table14[[#This Row],[Dollar Volume]]</f>
        <v>0.1057382293986014</v>
      </c>
      <c r="L56" s="34">
        <f>IFERROR(MAX($T$11+$T$12*LN(Table14[[#This Row],[Frac ADV]]),0),0)*0.0001+0.005/Table14[[#This Row],[Stock Price]]+Table14[[#This Row],[Expense Ratio]]</f>
        <v>2.2795206166108407E-2</v>
      </c>
      <c r="M56" s="46">
        <f>(Table14[[#This Row],[Expected Return]]-Table14[[#This Row],[Tcosts]])*Table14[[#This Row],[Investment]]</f>
        <v>33578905.209530555</v>
      </c>
      <c r="Q56" s="13" t="s">
        <v>307</v>
      </c>
    </row>
    <row r="57" spans="1:17" x14ac:dyDescent="0.3">
      <c r="A57" s="4" t="s">
        <v>356</v>
      </c>
      <c r="B57" s="14" t="s">
        <v>357</v>
      </c>
      <c r="C57" s="6">
        <v>115.66</v>
      </c>
      <c r="D57" s="6" t="s">
        <v>358</v>
      </c>
      <c r="E57" s="15">
        <v>1.5E-3</v>
      </c>
      <c r="F57" s="6">
        <v>0.98</v>
      </c>
      <c r="G57" s="3">
        <f t="shared" si="2"/>
        <v>416430000</v>
      </c>
      <c r="H57" s="3" t="b">
        <f t="shared" si="3"/>
        <v>0</v>
      </c>
      <c r="I57" s="26">
        <f>Table14[[#This Row],[Tech]]*$T$7+Table14[[#This Row],[Beta]]*($T$6-$T$8)+$T$8</f>
        <v>9.872800000000001E-2</v>
      </c>
      <c r="J57" s="42">
        <v>386678608.89999998</v>
      </c>
      <c r="K57" s="52">
        <f>Table14[[#This Row],[Investment]]/Table14[[#This Row],[Dollar Volume]]</f>
        <v>0.92855608121412958</v>
      </c>
      <c r="L57" s="34">
        <f>IFERROR(MAX($T$11+$T$12*LN(Table14[[#This Row],[Frac ADV]]),0),0)*0.0001+0.005/Table14[[#This Row],[Stock Price]]+Table14[[#This Row],[Expense Ratio]]</f>
        <v>3.2436497011031379E-2</v>
      </c>
      <c r="M57" s="46">
        <f>(Table14[[#This Row],[Expected Return]]-Table14[[#This Row],[Tcosts]])*Table14[[#This Row],[Investment]]</f>
        <v>25633506.157664582</v>
      </c>
      <c r="Q57" s="16" t="s">
        <v>311</v>
      </c>
    </row>
    <row r="58" spans="1:17" x14ac:dyDescent="0.3">
      <c r="A58" s="2" t="s">
        <v>296</v>
      </c>
      <c r="B58" s="10" t="s">
        <v>297</v>
      </c>
      <c r="C58" s="11">
        <v>331.12</v>
      </c>
      <c r="D58" s="11" t="s">
        <v>298</v>
      </c>
      <c r="E58" s="12">
        <v>2.3999999999999998E-3</v>
      </c>
      <c r="F58" s="11">
        <v>1.07</v>
      </c>
      <c r="G58" s="3">
        <f t="shared" si="2"/>
        <v>195490000</v>
      </c>
      <c r="H58" s="3" t="b">
        <f t="shared" si="3"/>
        <v>0</v>
      </c>
      <c r="I58" s="26">
        <f>Table14[[#This Row],[Tech]]*$T$7+Table14[[#This Row],[Beta]]*($T$6-$T$8)+$T$8</f>
        <v>0.104452</v>
      </c>
      <c r="J58" s="42">
        <v>379385287.08999997</v>
      </c>
      <c r="K58" s="52">
        <f>Table14[[#This Row],[Investment]]/Table14[[#This Row],[Dollar Volume]]</f>
        <v>1.9406889717632614</v>
      </c>
      <c r="L58" s="34">
        <f>IFERROR(MAX($T$11+$T$12*LN(Table14[[#This Row],[Frac ADV]]),0),0)*0.0001+0.005/Table14[[#This Row],[Stock Price]]+Table14[[#This Row],[Expense Ratio]]</f>
        <v>3.6919165335147386E-2</v>
      </c>
      <c r="M58" s="46">
        <f>(Table14[[#This Row],[Expected Return]]-Table14[[#This Row],[Tcosts]])*Table14[[#This Row],[Investment]]</f>
        <v>25620963.867326614</v>
      </c>
      <c r="Q58" s="13" t="s">
        <v>315</v>
      </c>
    </row>
    <row r="59" spans="1:17" x14ac:dyDescent="0.3">
      <c r="A59" s="2" t="s">
        <v>324</v>
      </c>
      <c r="B59" s="10" t="s">
        <v>325</v>
      </c>
      <c r="C59" s="11">
        <v>151.69999999999999</v>
      </c>
      <c r="D59" s="11" t="s">
        <v>326</v>
      </c>
      <c r="E59" s="12">
        <v>5.0000000000000001E-4</v>
      </c>
      <c r="F59" s="11">
        <v>0.69</v>
      </c>
      <c r="G59" s="3">
        <f t="shared" si="2"/>
        <v>575520000</v>
      </c>
      <c r="H59" s="3" t="b">
        <f t="shared" si="3"/>
        <v>0</v>
      </c>
      <c r="I59" s="26">
        <f>Table14[[#This Row],[Tech]]*$T$7+Table14[[#This Row],[Beta]]*($T$6-$T$8)+$T$8</f>
        <v>8.0283999999999994E-2</v>
      </c>
      <c r="J59" s="42">
        <v>354877618.62</v>
      </c>
      <c r="K59" s="52">
        <f>Table14[[#This Row],[Investment]]/Table14[[#This Row],[Dollar Volume]]</f>
        <v>0.61662082746038371</v>
      </c>
      <c r="L59" s="34">
        <f>IFERROR(MAX($T$11+$T$12*LN(Table14[[#This Row],[Frac ADV]]),0),0)*0.0001+0.005/Table14[[#This Row],[Stock Price]]+Table14[[#This Row],[Expense Ratio]]</f>
        <v>2.9421016450747167E-2</v>
      </c>
      <c r="M59" s="46">
        <f>(Table14[[#This Row],[Expected Return]]-Table14[[#This Row],[Tcosts]])*Table14[[#This Row],[Investment]]</f>
        <v>18050134.477867078</v>
      </c>
      <c r="Q59" s="16" t="s">
        <v>319</v>
      </c>
    </row>
    <row r="60" spans="1:17" x14ac:dyDescent="0.3">
      <c r="A60" s="4" t="s">
        <v>364</v>
      </c>
      <c r="B60" s="14" t="s">
        <v>365</v>
      </c>
      <c r="C60" s="6">
        <v>270</v>
      </c>
      <c r="D60" s="6" t="s">
        <v>366</v>
      </c>
      <c r="E60" s="15">
        <v>5.0000000000000001E-4</v>
      </c>
      <c r="F60" s="6">
        <v>1.03</v>
      </c>
      <c r="G60" s="3">
        <f t="shared" si="2"/>
        <v>556260000</v>
      </c>
      <c r="H60" s="3" t="b">
        <f t="shared" si="3"/>
        <v>0</v>
      </c>
      <c r="I60" s="26">
        <f>Table14[[#This Row],[Tech]]*$T$7+Table14[[#This Row],[Beta]]*($T$6-$T$8)+$T$8</f>
        <v>0.10190800000000001</v>
      </c>
      <c r="J60" s="42">
        <v>353646174.31999999</v>
      </c>
      <c r="K60" s="52">
        <f>Table14[[#This Row],[Investment]]/Table14[[#This Row],[Dollar Volume]]</f>
        <v>0.63575697393305286</v>
      </c>
      <c r="L60" s="34">
        <f>IFERROR(MAX($T$11+$T$12*LN(Table14[[#This Row],[Frac ADV]]),0),0)*0.0001+0.005/Table14[[#This Row],[Stock Price]]+Table14[[#This Row],[Expense Ratio]]</f>
        <v>2.9556274536516557E-2</v>
      </c>
      <c r="M60" s="46">
        <f>(Table14[[#This Row],[Expected Return]]-Table14[[#This Row],[Tcosts]])*Table14[[#This Row],[Investment]]</f>
        <v>25586910.915611852</v>
      </c>
      <c r="Q60" s="13" t="s">
        <v>323</v>
      </c>
    </row>
    <row r="61" spans="1:17" x14ac:dyDescent="0.3">
      <c r="A61" s="2" t="s">
        <v>332</v>
      </c>
      <c r="B61" s="10" t="s">
        <v>333</v>
      </c>
      <c r="C61" s="11">
        <v>104.9</v>
      </c>
      <c r="D61" s="11" t="s">
        <v>334</v>
      </c>
      <c r="E61" s="12">
        <v>5.9999999999999995E-4</v>
      </c>
      <c r="F61" s="11">
        <v>0.99</v>
      </c>
      <c r="G61" s="3">
        <f t="shared" si="2"/>
        <v>343900000</v>
      </c>
      <c r="H61" s="3" t="b">
        <f t="shared" si="3"/>
        <v>0</v>
      </c>
      <c r="I61" s="26">
        <f>Table14[[#This Row],[Tech]]*$T$7+Table14[[#This Row],[Beta]]*($T$6-$T$8)+$T$8</f>
        <v>9.9364000000000008E-2</v>
      </c>
      <c r="J61" s="42">
        <v>345759233.62</v>
      </c>
      <c r="K61" s="52">
        <f>Table14[[#This Row],[Investment]]/Table14[[#This Row],[Dollar Volume]]</f>
        <v>1.0054063205001453</v>
      </c>
      <c r="L61" s="34">
        <f>IFERROR(MAX($T$11+$T$12*LN(Table14[[#This Row],[Frac ADV]]),0),0)*0.0001+0.005/Table14[[#This Row],[Stock Price]]+Table14[[#This Row],[Expense Ratio]]</f>
        <v>3.1930418280434705E-2</v>
      </c>
      <c r="M61" s="46">
        <f>(Table14[[#This Row],[Expected Return]]-Table14[[#This Row],[Tcosts]])*Table14[[#This Row],[Investment]]</f>
        <v>23315783.535608541</v>
      </c>
      <c r="Q61" s="16" t="s">
        <v>327</v>
      </c>
    </row>
    <row r="62" spans="1:17" x14ac:dyDescent="0.3">
      <c r="A62" s="4" t="s">
        <v>316</v>
      </c>
      <c r="B62" s="14" t="s">
        <v>317</v>
      </c>
      <c r="C62" s="6">
        <v>131.08000000000001</v>
      </c>
      <c r="D62" s="6" t="s">
        <v>318</v>
      </c>
      <c r="E62" s="15">
        <v>8.9999999999999998E-4</v>
      </c>
      <c r="F62" s="6">
        <v>0.98</v>
      </c>
      <c r="G62" s="3">
        <f t="shared" si="2"/>
        <v>123340000</v>
      </c>
      <c r="H62" s="3" t="b">
        <f t="shared" si="3"/>
        <v>0</v>
      </c>
      <c r="I62" s="26">
        <f>Table14[[#This Row],[Tech]]*$T$7+Table14[[#This Row],[Beta]]*($T$6-$T$8)+$T$8</f>
        <v>9.872800000000001E-2</v>
      </c>
      <c r="J62" s="42">
        <v>343012952.31</v>
      </c>
      <c r="K62" s="52">
        <f>Table14[[#This Row],[Investment]]/Table14[[#This Row],[Dollar Volume]]</f>
        <v>2.7810357735527811</v>
      </c>
      <c r="L62" s="34">
        <f>IFERROR(MAX($T$11+$T$12*LN(Table14[[#This Row],[Frac ADV]]),0),0)*0.0001+0.005/Table14[[#This Row],[Stock Price]]+Table14[[#This Row],[Expense Ratio]]</f>
        <v>3.7204488024526985E-2</v>
      </c>
      <c r="M62" s="46">
        <f>(Table14[[#This Row],[Expected Return]]-Table14[[#This Row],[Tcosts]])*Table14[[#This Row],[Investment]]</f>
        <v>21103361.479186643</v>
      </c>
      <c r="Q62" s="13" t="s">
        <v>331</v>
      </c>
    </row>
    <row r="63" spans="1:17" x14ac:dyDescent="0.3">
      <c r="A63" s="2" t="s">
        <v>352</v>
      </c>
      <c r="B63" s="10" t="s">
        <v>353</v>
      </c>
      <c r="C63" s="11">
        <v>190.07</v>
      </c>
      <c r="D63" s="11" t="s">
        <v>354</v>
      </c>
      <c r="E63" s="12">
        <v>5.0000000000000001E-4</v>
      </c>
      <c r="F63" s="11">
        <v>0.69</v>
      </c>
      <c r="G63" s="3">
        <f t="shared" si="2"/>
        <v>8560000000.000001</v>
      </c>
      <c r="H63" s="3" t="b">
        <f t="shared" si="3"/>
        <v>0</v>
      </c>
      <c r="I63" s="26">
        <f>Table14[[#This Row],[Tech]]*$T$7+Table14[[#This Row],[Beta]]*($T$6-$T$8)+$T$8</f>
        <v>8.0283999999999994E-2</v>
      </c>
      <c r="J63" s="42">
        <v>337063324.30000001</v>
      </c>
      <c r="K63" s="52">
        <f>Table14[[#This Row],[Investment]]/Table14[[#This Row],[Dollar Volume]]</f>
        <v>3.9376556577102803E-2</v>
      </c>
      <c r="L63" s="34">
        <f>IFERROR(MAX($T$11+$T$12*LN(Table14[[#This Row],[Frac ADV]]),0),0)*0.0001+0.005/Table14[[#This Row],[Stock Price]]+Table14[[#This Row],[Expense Ratio]]</f>
        <v>1.5938989376585791E-2</v>
      </c>
      <c r="M63" s="46">
        <f>(Table14[[#This Row],[Expected Return]]-Table14[[#This Row],[Tcosts]])*Table14[[#This Row],[Investment]]</f>
        <v>21688343.182846807</v>
      </c>
      <c r="Q63" s="16" t="s">
        <v>335</v>
      </c>
    </row>
    <row r="64" spans="1:17" x14ac:dyDescent="0.3">
      <c r="A64" s="2" t="s">
        <v>344</v>
      </c>
      <c r="B64" s="10" t="s">
        <v>345</v>
      </c>
      <c r="C64" s="11">
        <v>104.53</v>
      </c>
      <c r="D64" s="11" t="s">
        <v>346</v>
      </c>
      <c r="E64" s="12">
        <v>4.7000000000000002E-3</v>
      </c>
      <c r="F64" s="11">
        <v>0.92</v>
      </c>
      <c r="G64" s="3">
        <f t="shared" si="2"/>
        <v>3030000000</v>
      </c>
      <c r="H64" s="3" t="b">
        <f t="shared" si="3"/>
        <v>0</v>
      </c>
      <c r="I64" s="26">
        <f>Table14[[#This Row],[Tech]]*$T$7+Table14[[#This Row],[Beta]]*($T$6-$T$8)+$T$8</f>
        <v>9.491200000000001E-2</v>
      </c>
      <c r="J64" s="42">
        <v>335843688.06999999</v>
      </c>
      <c r="K64" s="52">
        <f>Table14[[#This Row],[Investment]]/Table14[[#This Row],[Dollar Volume]]</f>
        <v>0.11083950101320132</v>
      </c>
      <c r="L64" s="34">
        <f>IFERROR(MAX($T$11+$T$12*LN(Table14[[#This Row],[Frac ADV]]),0),0)*0.0001+0.005/Table14[[#This Row],[Stock Price]]+Table14[[#This Row],[Expense Ratio]]</f>
        <v>2.5229731068413835E-2</v>
      </c>
      <c r="M64" s="46">
        <f>(Table14[[#This Row],[Expected Return]]-Table14[[#This Row],[Tcosts]])*Table14[[#This Row],[Investment]]</f>
        <v>23402350.19106948</v>
      </c>
      <c r="Q64" s="13" t="s">
        <v>339</v>
      </c>
    </row>
    <row r="65" spans="1:17" x14ac:dyDescent="0.3">
      <c r="A65" s="2" t="s">
        <v>424</v>
      </c>
      <c r="B65" s="10" t="s">
        <v>425</v>
      </c>
      <c r="C65" s="11">
        <v>31.85</v>
      </c>
      <c r="D65" s="11" t="s">
        <v>426</v>
      </c>
      <c r="E65" s="12">
        <v>4.0000000000000002E-4</v>
      </c>
      <c r="F65" s="11">
        <v>0.72</v>
      </c>
      <c r="G65" s="3">
        <f t="shared" si="2"/>
        <v>384710000</v>
      </c>
      <c r="H65" s="3" t="b">
        <f t="shared" si="3"/>
        <v>0</v>
      </c>
      <c r="I65" s="26">
        <f>Table14[[#This Row],[Tech]]*$T$7+Table14[[#This Row],[Beta]]*($T$6-$T$8)+$T$8</f>
        <v>8.2192000000000001E-2</v>
      </c>
      <c r="J65" s="42">
        <v>286339759.66000003</v>
      </c>
      <c r="K65" s="52">
        <f>Table14[[#This Row],[Investment]]/Table14[[#This Row],[Dollar Volume]]</f>
        <v>0.74430027724779713</v>
      </c>
      <c r="L65" s="34">
        <f>IFERROR(MAX($T$11+$T$12*LN(Table14[[#This Row],[Frac ADV]]),0),0)*0.0001+0.005/Table14[[#This Row],[Stock Price]]+Table14[[#This Row],[Expense Ratio]]</f>
        <v>3.0366837111891691E-2</v>
      </c>
      <c r="M65" s="46">
        <f>(Table14[[#This Row],[Expected Return]]-Table14[[#This Row],[Tcosts]])*Table14[[#This Row],[Investment]]</f>
        <v>14839604.685721286</v>
      </c>
      <c r="Q65" s="16" t="s">
        <v>343</v>
      </c>
    </row>
    <row r="66" spans="1:17" x14ac:dyDescent="0.3">
      <c r="A66" s="4" t="s">
        <v>336</v>
      </c>
      <c r="B66" s="14" t="s">
        <v>337</v>
      </c>
      <c r="C66" s="6">
        <v>148.97999999999999</v>
      </c>
      <c r="D66" s="6" t="s">
        <v>338</v>
      </c>
      <c r="E66" s="15">
        <v>2.9999999999999997E-4</v>
      </c>
      <c r="F66" s="6">
        <v>1</v>
      </c>
      <c r="G66" s="3">
        <f t="shared" ref="G66:G97" si="4">IF(RIGHT(Q66,1)="B", VALUE(SUBSTITUTE(Q66,"B",""))*1000000000,
 IF(RIGHT(Q66,1)="M", VALUE(SUBSTITUTE(Q66,"M",""))*1000000, VALUE(Q66)))</f>
        <v>236760000</v>
      </c>
      <c r="H66" s="3" t="b">
        <f t="shared" ref="H66:H97" si="5">OR(
  ISNUMBER(SEARCH("technology",B66)),
  ISNUMBER(SEARCH("tech",B66)),
  ISNUMBER(SEARCH("qqq",B66)),
  ISNUMBER(SEARCH("semiconductor",B66)),
  ISNUMBER(SEARCH("information technology",B66)),
  ISNUMBER(SEARCH("nasdaq",B66)),
  ISNUMBER(SEARCH("communication",B66))
)</f>
        <v>0</v>
      </c>
      <c r="I66" s="26">
        <f>Table14[[#This Row],[Tech]]*$T$7+Table14[[#This Row],[Beta]]*($T$6-$T$8)+$T$8</f>
        <v>0.1</v>
      </c>
      <c r="J66" s="42">
        <v>284575171.29000002</v>
      </c>
      <c r="K66" s="52">
        <f>Table14[[#This Row],[Investment]]/Table14[[#This Row],[Dollar Volume]]</f>
        <v>1.2019562902939687</v>
      </c>
      <c r="L66" s="34">
        <f>IFERROR(MAX($T$11+$T$12*LN(Table14[[#This Row],[Frac ADV]]),0),0)*0.0001+0.005/Table14[[#This Row],[Stock Price]]+Table14[[#This Row],[Expense Ratio]]</f>
        <v>3.2490932673662834E-2</v>
      </c>
      <c r="M66" s="46">
        <f>(Table14[[#This Row],[Expected Return]]-Table14[[#This Row],[Tcosts]])*Table14[[#This Row],[Investment]]</f>
        <v>19211404.398020543</v>
      </c>
      <c r="Q66" s="13" t="s">
        <v>347</v>
      </c>
    </row>
    <row r="67" spans="1:17" x14ac:dyDescent="0.3">
      <c r="A67" s="4" t="s">
        <v>328</v>
      </c>
      <c r="B67" s="14" t="s">
        <v>329</v>
      </c>
      <c r="C67" s="6">
        <v>147.88999999999999</v>
      </c>
      <c r="D67" s="6" t="s">
        <v>330</v>
      </c>
      <c r="E67" s="15">
        <v>1.5E-3</v>
      </c>
      <c r="F67" s="6">
        <v>1</v>
      </c>
      <c r="G67" s="3">
        <f t="shared" si="4"/>
        <v>181700000</v>
      </c>
      <c r="H67" s="3" t="b">
        <f t="shared" si="5"/>
        <v>0</v>
      </c>
      <c r="I67" s="26">
        <f>Table14[[#This Row],[Tech]]*$T$7+Table14[[#This Row],[Beta]]*($T$6-$T$8)+$T$8</f>
        <v>0.1</v>
      </c>
      <c r="J67" s="42">
        <v>283889509.81999999</v>
      </c>
      <c r="K67" s="52">
        <f>Table14[[#This Row],[Investment]]/Table14[[#This Row],[Dollar Volume]]</f>
        <v>1.5624078691249312</v>
      </c>
      <c r="L67" s="34">
        <f>IFERROR(MAX($T$11+$T$12*LN(Table14[[#This Row],[Frac ADV]]),0),0)*0.0001+0.005/Table14[[#This Row],[Stock Price]]+Table14[[#This Row],[Expense Ratio]]</f>
        <v>3.4975869962665856E-2</v>
      </c>
      <c r="M67" s="46">
        <f>(Table14[[#This Row],[Expected Return]]-Table14[[#This Row],[Tcosts]])*Table14[[#This Row],[Investment]]</f>
        <v>18459668.402770728</v>
      </c>
      <c r="Q67" s="16" t="s">
        <v>351</v>
      </c>
    </row>
    <row r="68" spans="1:17" x14ac:dyDescent="0.3">
      <c r="A68" s="4" t="s">
        <v>372</v>
      </c>
      <c r="B68" s="14" t="s">
        <v>373</v>
      </c>
      <c r="C68" s="6">
        <v>54.63</v>
      </c>
      <c r="D68" s="6" t="s">
        <v>374</v>
      </c>
      <c r="E68" s="15">
        <v>4.7000000000000002E-3</v>
      </c>
      <c r="F68" s="6">
        <v>1</v>
      </c>
      <c r="G68" s="3">
        <f t="shared" si="4"/>
        <v>355810000</v>
      </c>
      <c r="H68" s="3" t="b">
        <f t="shared" si="5"/>
        <v>0</v>
      </c>
      <c r="I68" s="26">
        <f>Table14[[#This Row],[Tech]]*$T$7+Table14[[#This Row],[Beta]]*($T$6-$T$8)+$T$8</f>
        <v>0.1</v>
      </c>
      <c r="J68" s="42">
        <v>258741929.77000001</v>
      </c>
      <c r="K68" s="52">
        <f>Table14[[#This Row],[Investment]]/Table14[[#This Row],[Dollar Volume]]</f>
        <v>0.72719128121750376</v>
      </c>
      <c r="L68" s="34">
        <f>IFERROR(MAX($T$11+$T$12*LN(Table14[[#This Row],[Frac ADV]]),0),0)*0.0001+0.005/Table14[[#This Row],[Stock Price]]+Table14[[#This Row],[Expense Ratio]]</f>
        <v>3.4487468279735305E-2</v>
      </c>
      <c r="M68" s="46">
        <f>(Table14[[#This Row],[Expected Return]]-Table14[[#This Row],[Tcosts]])*Table14[[#This Row],[Investment]]</f>
        <v>16950838.881419625</v>
      </c>
      <c r="Q68" s="13" t="s">
        <v>355</v>
      </c>
    </row>
    <row r="69" spans="1:17" x14ac:dyDescent="0.3">
      <c r="A69" s="2" t="s">
        <v>368</v>
      </c>
      <c r="B69" s="10" t="s">
        <v>369</v>
      </c>
      <c r="C69" s="11">
        <v>90.28</v>
      </c>
      <c r="D69" s="11" t="s">
        <v>370</v>
      </c>
      <c r="E69" s="12">
        <v>2.3E-3</v>
      </c>
      <c r="F69" s="11">
        <v>0.68</v>
      </c>
      <c r="G69" s="3">
        <f t="shared" si="4"/>
        <v>166560000</v>
      </c>
      <c r="H69" s="3" t="b">
        <f t="shared" si="5"/>
        <v>0</v>
      </c>
      <c r="I69" s="26">
        <f>Table14[[#This Row],[Tech]]*$T$7+Table14[[#This Row],[Beta]]*($T$6-$T$8)+$T$8</f>
        <v>7.964800000000001E-2</v>
      </c>
      <c r="J69" s="42">
        <v>246097172.91999999</v>
      </c>
      <c r="K69" s="52">
        <f>Table14[[#This Row],[Investment]]/Table14[[#This Row],[Dollar Volume]]</f>
        <v>1.4775286558597502</v>
      </c>
      <c r="L69" s="34">
        <f>IFERROR(MAX($T$11+$T$12*LN(Table14[[#This Row],[Frac ADV]]),0),0)*0.0001+0.005/Table14[[#This Row],[Stock Price]]+Table14[[#This Row],[Expense Ratio]]</f>
        <v>3.5523843899857979E-2</v>
      </c>
      <c r="M69" s="46">
        <f>(Table14[[#This Row],[Expected Return]]-Table14[[#This Row],[Tcosts]])*Table14[[#This Row],[Investment]]</f>
        <v>10858830.073725726</v>
      </c>
      <c r="Q69" s="16" t="s">
        <v>359</v>
      </c>
    </row>
    <row r="70" spans="1:17" x14ac:dyDescent="0.3">
      <c r="A70" s="2" t="s">
        <v>384</v>
      </c>
      <c r="B70" s="10" t="s">
        <v>385</v>
      </c>
      <c r="C70" s="11">
        <v>40.65</v>
      </c>
      <c r="D70" s="11" t="s">
        <v>386</v>
      </c>
      <c r="E70" s="12">
        <v>1.6999999999999999E-3</v>
      </c>
      <c r="F70" s="11">
        <v>0.95</v>
      </c>
      <c r="G70" s="3">
        <f t="shared" si="4"/>
        <v>377500000</v>
      </c>
      <c r="H70" s="3" t="b">
        <f t="shared" si="5"/>
        <v>0</v>
      </c>
      <c r="I70" s="26">
        <f>Table14[[#This Row],[Tech]]*$T$7+Table14[[#This Row],[Beta]]*($T$6-$T$8)+$T$8</f>
        <v>9.6820000000000003E-2</v>
      </c>
      <c r="J70" s="42">
        <v>243355937.80000001</v>
      </c>
      <c r="K70" s="52">
        <f>Table14[[#This Row],[Investment]]/Table14[[#This Row],[Dollar Volume]]</f>
        <v>0.64465149086092721</v>
      </c>
      <c r="L70" s="34">
        <f>IFERROR(MAX($T$11+$T$12*LN(Table14[[#This Row],[Frac ADV]]),0),0)*0.0001+0.005/Table14[[#This Row],[Stock Price]]+Table14[[#This Row],[Expense Ratio]]</f>
        <v>3.0928810333475679E-2</v>
      </c>
      <c r="M70" s="46">
        <f>(Table14[[#This Row],[Expected Return]]-Table14[[#This Row],[Tcosts]])*Table14[[#This Row],[Investment]]</f>
        <v>16035012.254054697</v>
      </c>
      <c r="Q70" s="13" t="s">
        <v>363</v>
      </c>
    </row>
    <row r="71" spans="1:17" x14ac:dyDescent="0.3">
      <c r="A71" s="4" t="s">
        <v>348</v>
      </c>
      <c r="B71" s="14" t="s">
        <v>349</v>
      </c>
      <c r="C71" s="6">
        <v>92.24</v>
      </c>
      <c r="D71" s="6" t="s">
        <v>350</v>
      </c>
      <c r="E71" s="15">
        <v>6.9999999999999999E-4</v>
      </c>
      <c r="F71" s="6">
        <v>0.71</v>
      </c>
      <c r="G71" s="3">
        <f t="shared" si="4"/>
        <v>242840000</v>
      </c>
      <c r="H71" s="3" t="b">
        <f t="shared" si="5"/>
        <v>0</v>
      </c>
      <c r="I71" s="26">
        <f>Table14[[#This Row],[Tech]]*$T$7+Table14[[#This Row],[Beta]]*($T$6-$T$8)+$T$8</f>
        <v>8.1556000000000003E-2</v>
      </c>
      <c r="J71" s="42">
        <v>239969239.09999999</v>
      </c>
      <c r="K71" s="52">
        <f>Table14[[#This Row],[Investment]]/Table14[[#This Row],[Dollar Volume]]</f>
        <v>0.9881783853566134</v>
      </c>
      <c r="L71" s="34">
        <f>IFERROR(MAX($T$11+$T$12*LN(Table14[[#This Row],[Frac ADV]]),0),0)*0.0001+0.005/Table14[[#This Row],[Stock Price]]+Table14[[#This Row],[Expense Ratio]]</f>
        <v>3.1952300629013622E-2</v>
      </c>
      <c r="M71" s="46">
        <f>(Table14[[#This Row],[Expected Return]]-Table14[[#This Row],[Tcosts]])*Table14[[#This Row],[Investment]]</f>
        <v>11903361.994600751</v>
      </c>
      <c r="Q71" s="16" t="s">
        <v>367</v>
      </c>
    </row>
    <row r="72" spans="1:17" x14ac:dyDescent="0.3">
      <c r="A72" s="4" t="s">
        <v>376</v>
      </c>
      <c r="B72" s="14" t="s">
        <v>377</v>
      </c>
      <c r="C72" s="6">
        <v>336.01</v>
      </c>
      <c r="D72" s="6" t="s">
        <v>378</v>
      </c>
      <c r="E72" s="15">
        <v>2.9999999999999997E-4</v>
      </c>
      <c r="F72" s="6">
        <v>1</v>
      </c>
      <c r="G72" s="3">
        <f t="shared" si="4"/>
        <v>345320000</v>
      </c>
      <c r="H72" s="3" t="b">
        <f t="shared" si="5"/>
        <v>0</v>
      </c>
      <c r="I72" s="26">
        <f>Table14[[#This Row],[Tech]]*$T$7+Table14[[#This Row],[Beta]]*($T$6-$T$8)+$T$8</f>
        <v>0.1</v>
      </c>
      <c r="J72" s="42">
        <v>234957642.53999999</v>
      </c>
      <c r="K72" s="52">
        <f>Table14[[#This Row],[Investment]]/Table14[[#This Row],[Dollar Volume]]</f>
        <v>0.68040554424881272</v>
      </c>
      <c r="L72" s="34">
        <f>IFERROR(MAX($T$11+$T$12*LN(Table14[[#This Row],[Frac ADV]]),0),0)*0.0001+0.005/Table14[[#This Row],[Stock Price]]+Table14[[#This Row],[Expense Ratio]]</f>
        <v>2.9685090648375129E-2</v>
      </c>
      <c r="M72" s="46">
        <f>(Table14[[#This Row],[Expected Return]]-Table14[[#This Row],[Tcosts]])*Table14[[#This Row],[Investment]]</f>
        <v>16521025.33667158</v>
      </c>
      <c r="Q72" s="13" t="s">
        <v>371</v>
      </c>
    </row>
    <row r="73" spans="1:17" x14ac:dyDescent="0.3">
      <c r="A73" s="4" t="s">
        <v>300</v>
      </c>
      <c r="B73" s="14" t="s">
        <v>301</v>
      </c>
      <c r="C73" s="6">
        <v>126.87</v>
      </c>
      <c r="D73" s="6" t="s">
        <v>302</v>
      </c>
      <c r="E73" s="15">
        <v>8.9999999999999998E-4</v>
      </c>
      <c r="F73" s="6">
        <v>0.97</v>
      </c>
      <c r="G73" s="3">
        <f t="shared" si="4"/>
        <v>3640000000</v>
      </c>
      <c r="H73" s="3" t="b">
        <f t="shared" si="5"/>
        <v>0</v>
      </c>
      <c r="I73" s="26">
        <f>Table14[[#This Row],[Tech]]*$T$7+Table14[[#This Row],[Beta]]*($T$6-$T$8)+$T$8</f>
        <v>9.8092000000000013E-2</v>
      </c>
      <c r="J73" s="42">
        <v>232676732.59999999</v>
      </c>
      <c r="K73" s="52">
        <f>Table14[[#This Row],[Investment]]/Table14[[#This Row],[Dollar Volume]]</f>
        <v>6.3922179285714281E-2</v>
      </c>
      <c r="L73" s="34">
        <f>IFERROR(MAX($T$11+$T$12*LN(Table14[[#This Row],[Frac ADV]]),0),0)*0.0001+0.005/Table14[[#This Row],[Stock Price]]+Table14[[#This Row],[Expense Ratio]]</f>
        <v>1.872525356998422E-2</v>
      </c>
      <c r="M73" s="46">
        <f>(Table14[[#This Row],[Expected Return]]-Table14[[#This Row],[Tcosts]])*Table14[[#This Row],[Investment]]</f>
        <v>18466795.236428786</v>
      </c>
      <c r="Q73" s="16" t="s">
        <v>375</v>
      </c>
    </row>
    <row r="74" spans="1:17" x14ac:dyDescent="0.3">
      <c r="A74" s="4" t="s">
        <v>440</v>
      </c>
      <c r="B74" s="14" t="s">
        <v>441</v>
      </c>
      <c r="C74" s="6">
        <v>644.5</v>
      </c>
      <c r="D74" s="6" t="s">
        <v>442</v>
      </c>
      <c r="E74" s="15">
        <v>2.3999999999999998E-3</v>
      </c>
      <c r="F74" s="6">
        <v>0.87</v>
      </c>
      <c r="G74" s="3">
        <f t="shared" si="4"/>
        <v>696250000</v>
      </c>
      <c r="H74" s="3" t="b">
        <f t="shared" si="5"/>
        <v>0</v>
      </c>
      <c r="I74" s="26">
        <f>Table14[[#This Row],[Tech]]*$T$7+Table14[[#This Row],[Beta]]*($T$6-$T$8)+$T$8</f>
        <v>9.1732000000000008E-2</v>
      </c>
      <c r="J74" s="42">
        <v>222378751.86000001</v>
      </c>
      <c r="K74" s="52">
        <f>Table14[[#This Row],[Investment]]/Table14[[#This Row],[Dollar Volume]]</f>
        <v>0.31939497574147219</v>
      </c>
      <c r="L74" s="34">
        <f>IFERROR(MAX($T$11+$T$12*LN(Table14[[#This Row],[Frac ADV]]),0),0)*0.0001+0.005/Table14[[#This Row],[Stock Price]]+Table14[[#This Row],[Expense Ratio]]</f>
        <v>2.8073648664369559E-2</v>
      </c>
      <c r="M74" s="46">
        <f>(Table14[[#This Row],[Expected Return]]-Table14[[#This Row],[Tcosts]])*Table14[[#This Row],[Investment]]</f>
        <v>14156264.715482863</v>
      </c>
      <c r="Q74" s="13" t="s">
        <v>379</v>
      </c>
    </row>
    <row r="75" spans="1:17" x14ac:dyDescent="0.3">
      <c r="A75" s="2" t="s">
        <v>340</v>
      </c>
      <c r="B75" s="10" t="s">
        <v>341</v>
      </c>
      <c r="C75" s="11">
        <v>65.73</v>
      </c>
      <c r="D75" s="11" t="s">
        <v>342</v>
      </c>
      <c r="E75" s="12">
        <v>2.8E-3</v>
      </c>
      <c r="F75" s="11">
        <v>0.9</v>
      </c>
      <c r="G75" s="3">
        <f t="shared" si="4"/>
        <v>160270000</v>
      </c>
      <c r="H75" s="3" t="b">
        <f t="shared" si="5"/>
        <v>0</v>
      </c>
      <c r="I75" s="26">
        <f>Table14[[#This Row],[Tech]]*$T$7+Table14[[#This Row],[Beta]]*($T$6-$T$8)+$T$8</f>
        <v>9.3640000000000001E-2</v>
      </c>
      <c r="J75" s="42">
        <v>218565211.37</v>
      </c>
      <c r="K75" s="52">
        <f>Table14[[#This Row],[Investment]]/Table14[[#This Row],[Dollar Volume]]</f>
        <v>1.3637312745367194</v>
      </c>
      <c r="L75" s="34">
        <f>IFERROR(MAX($T$11+$T$12*LN(Table14[[#This Row],[Frac ADV]]),0),0)*0.0001+0.005/Table14[[#This Row],[Stock Price]]+Table14[[#This Row],[Expense Ratio]]</f>
        <v>3.5651956174436401E-2</v>
      </c>
      <c r="M75" s="46">
        <f>(Table14[[#This Row],[Expected Return]]-Table14[[#This Row],[Tcosts]])*Table14[[#This Row],[Investment]]</f>
        <v>12674169.055667132</v>
      </c>
      <c r="Q75" s="16" t="s">
        <v>383</v>
      </c>
    </row>
    <row r="76" spans="1:17" x14ac:dyDescent="0.3">
      <c r="A76" s="4" t="s">
        <v>392</v>
      </c>
      <c r="B76" s="14" t="s">
        <v>393</v>
      </c>
      <c r="C76" s="6">
        <v>32.200000000000003</v>
      </c>
      <c r="D76" s="6" t="s">
        <v>394</v>
      </c>
      <c r="E76" s="15">
        <v>4.0000000000000002E-4</v>
      </c>
      <c r="F76" s="6">
        <v>0.92</v>
      </c>
      <c r="G76" s="3">
        <f t="shared" si="4"/>
        <v>106960000</v>
      </c>
      <c r="H76" s="3" t="b">
        <f t="shared" si="5"/>
        <v>0</v>
      </c>
      <c r="I76" s="26">
        <f>Table14[[#This Row],[Tech]]*$T$7+Table14[[#This Row],[Beta]]*($T$6-$T$8)+$T$8</f>
        <v>9.491200000000001E-2</v>
      </c>
      <c r="J76" s="42">
        <v>208535855.90000001</v>
      </c>
      <c r="K76" s="52">
        <f>Table14[[#This Row],[Investment]]/Table14[[#This Row],[Dollar Volume]]</f>
        <v>1.9496620783470457</v>
      </c>
      <c r="L76" s="34">
        <f>IFERROR(MAX($T$11+$T$12*LN(Table14[[#This Row],[Frac ADV]]),0),0)*0.0001+0.005/Table14[[#This Row],[Stock Price]]+Table14[[#This Row],[Expense Ratio]]</f>
        <v>3.5081940064875916E-2</v>
      </c>
      <c r="M76" s="46">
        <f>(Table14[[#This Row],[Expected Return]]-Table14[[#This Row],[Tcosts]])*Table14[[#This Row],[Investment]]</f>
        <v>12476712.757119402</v>
      </c>
      <c r="Q76" s="13" t="s">
        <v>387</v>
      </c>
    </row>
    <row r="77" spans="1:17" x14ac:dyDescent="0.3">
      <c r="A77" s="2" t="s">
        <v>320</v>
      </c>
      <c r="B77" s="10" t="s">
        <v>321</v>
      </c>
      <c r="C77" s="11">
        <v>387.63</v>
      </c>
      <c r="D77" s="11" t="s">
        <v>322</v>
      </c>
      <c r="E77" s="12">
        <v>2E-3</v>
      </c>
      <c r="F77" s="11">
        <v>0.99</v>
      </c>
      <c r="G77" s="3">
        <f t="shared" si="4"/>
        <v>121420000</v>
      </c>
      <c r="H77" s="3" t="b">
        <f t="shared" si="5"/>
        <v>0</v>
      </c>
      <c r="I77" s="26">
        <f>Table14[[#This Row],[Tech]]*$T$7+Table14[[#This Row],[Beta]]*($T$6-$T$8)+$T$8</f>
        <v>9.9364000000000008E-2</v>
      </c>
      <c r="J77" s="42">
        <v>207084298.19</v>
      </c>
      <c r="K77" s="52">
        <f>Table14[[#This Row],[Investment]]/Table14[[#This Row],[Dollar Volume]]</f>
        <v>1.7055204924229945</v>
      </c>
      <c r="L77" s="34">
        <f>IFERROR(MAX($T$11+$T$12*LN(Table14[[#This Row],[Frac ADV]]),0),0)*0.0001+0.005/Table14[[#This Row],[Stock Price]]+Table14[[#This Row],[Expense Ratio]]</f>
        <v>3.5884249468740602E-2</v>
      </c>
      <c r="M77" s="46">
        <f>(Table14[[#This Row],[Expected Return]]-Table14[[#This Row],[Tcosts]])*Table14[[#This Row],[Investment]]</f>
        <v>13145659.588042133</v>
      </c>
      <c r="Q77" s="16" t="s">
        <v>391</v>
      </c>
    </row>
    <row r="78" spans="1:17" x14ac:dyDescent="0.3">
      <c r="A78" s="4" t="s">
        <v>388</v>
      </c>
      <c r="B78" s="14" t="s">
        <v>389</v>
      </c>
      <c r="C78" s="6">
        <v>100.56</v>
      </c>
      <c r="D78" s="6" t="s">
        <v>390</v>
      </c>
      <c r="E78" s="15">
        <v>1.8E-3</v>
      </c>
      <c r="F78" s="6">
        <v>0.87</v>
      </c>
      <c r="G78" s="3">
        <f t="shared" si="4"/>
        <v>378650000</v>
      </c>
      <c r="H78" s="3" t="b">
        <f t="shared" si="5"/>
        <v>0</v>
      </c>
      <c r="I78" s="26">
        <f>Table14[[#This Row],[Tech]]*$T$7+Table14[[#This Row],[Beta]]*($T$6-$T$8)+$T$8</f>
        <v>9.1732000000000008E-2</v>
      </c>
      <c r="J78" s="42">
        <v>202980784.46000001</v>
      </c>
      <c r="K78" s="52">
        <f>Table14[[#This Row],[Investment]]/Table14[[#This Row],[Dollar Volume]]</f>
        <v>0.53606439841542319</v>
      </c>
      <c r="L78" s="34">
        <f>IFERROR(MAX($T$11+$T$12*LN(Table14[[#This Row],[Frac ADV]]),0),0)*0.0001+0.005/Table14[[#This Row],[Stock Price]]+Table14[[#This Row],[Expense Ratio]]</f>
        <v>3.0052029474410335E-2</v>
      </c>
      <c r="M78" s="46">
        <f>(Table14[[#This Row],[Expected Return]]-Table14[[#This Row],[Tcosts]])*Table14[[#This Row],[Investment]]</f>
        <v>12519848.802753869</v>
      </c>
      <c r="Q78" s="13" t="s">
        <v>395</v>
      </c>
    </row>
    <row r="79" spans="1:17" x14ac:dyDescent="0.3">
      <c r="A79" s="4" t="s">
        <v>360</v>
      </c>
      <c r="B79" s="14" t="s">
        <v>361</v>
      </c>
      <c r="C79" s="11">
        <v>92.51</v>
      </c>
      <c r="D79" s="6" t="s">
        <v>362</v>
      </c>
      <c r="E79" s="15">
        <v>1.5E-3</v>
      </c>
      <c r="F79" s="6">
        <v>0.86</v>
      </c>
      <c r="G79" s="3">
        <f t="shared" si="4"/>
        <v>199200000</v>
      </c>
      <c r="H79" s="3" t="b">
        <f t="shared" si="5"/>
        <v>0</v>
      </c>
      <c r="I79" s="26">
        <f>Table14[[#This Row],[Tech]]*$T$7+Table14[[#This Row],[Beta]]*($T$6-$T$8)+$T$8</f>
        <v>9.109600000000001E-2</v>
      </c>
      <c r="J79" s="42">
        <v>202902652.90000001</v>
      </c>
      <c r="K79" s="52">
        <f>Table14[[#This Row],[Investment]]/Table14[[#This Row],[Dollar Volume]]</f>
        <v>1.0185876149598394</v>
      </c>
      <c r="L79" s="34">
        <f>IFERROR(MAX($T$11+$T$12*LN(Table14[[#This Row],[Frac ADV]]),0),0)*0.0001+0.005/Table14[[#This Row],[Stock Price]]+Table14[[#This Row],[Expense Ratio]]</f>
        <v>3.2900602243261912E-2</v>
      </c>
      <c r="M79" s="46">
        <f>(Table14[[#This Row],[Expected Return]]-Table14[[#This Row],[Tcosts]])*Table14[[#This Row],[Investment]]</f>
        <v>11808000.59141287</v>
      </c>
      <c r="Q79" s="16" t="s">
        <v>399</v>
      </c>
    </row>
    <row r="80" spans="1:17" x14ac:dyDescent="0.3">
      <c r="A80" s="4" t="s">
        <v>380</v>
      </c>
      <c r="B80" s="14" t="s">
        <v>381</v>
      </c>
      <c r="C80" s="6">
        <v>259.54000000000002</v>
      </c>
      <c r="D80" s="6" t="s">
        <v>382</v>
      </c>
      <c r="E80" s="15">
        <v>1.9E-3</v>
      </c>
      <c r="F80" s="6">
        <v>0.98</v>
      </c>
      <c r="G80" s="3">
        <f t="shared" si="4"/>
        <v>301950000</v>
      </c>
      <c r="H80" s="3" t="b">
        <f t="shared" si="5"/>
        <v>0</v>
      </c>
      <c r="I80" s="26">
        <f>Table14[[#This Row],[Tech]]*$T$7+Table14[[#This Row],[Beta]]*($T$6-$T$8)+$T$8</f>
        <v>9.872800000000001E-2</v>
      </c>
      <c r="J80" s="42">
        <v>198377988.81</v>
      </c>
      <c r="K80" s="52">
        <f>Table14[[#This Row],[Investment]]/Table14[[#This Row],[Dollar Volume]]</f>
        <v>0.65698953075012423</v>
      </c>
      <c r="L80" s="34">
        <f>IFERROR(MAX($T$11+$T$12*LN(Table14[[#This Row],[Frac ADV]]),0),0)*0.0001+0.005/Table14[[#This Row],[Stock Price]]+Table14[[#This Row],[Expense Ratio]]</f>
        <v>3.1117935298647877E-2</v>
      </c>
      <c r="M80" s="46">
        <f>(Table14[[#This Row],[Expected Return]]-Table14[[#This Row],[Tcosts]])*Table14[[#This Row],[Investment]]</f>
        <v>13412348.658768211</v>
      </c>
      <c r="Q80" s="13" t="s">
        <v>403</v>
      </c>
    </row>
    <row r="81" spans="1:17" x14ac:dyDescent="0.3">
      <c r="A81" s="4" t="s">
        <v>432</v>
      </c>
      <c r="B81" s="14" t="s">
        <v>433</v>
      </c>
      <c r="C81" s="6">
        <v>145.96</v>
      </c>
      <c r="D81" s="6" t="s">
        <v>434</v>
      </c>
      <c r="E81" s="15">
        <v>5.9999999999999995E-4</v>
      </c>
      <c r="F81" s="6">
        <v>0.89</v>
      </c>
      <c r="G81" s="3">
        <f t="shared" si="4"/>
        <v>4260000000</v>
      </c>
      <c r="H81" s="3" t="b">
        <f t="shared" si="5"/>
        <v>0</v>
      </c>
      <c r="I81" s="26">
        <f>Table14[[#This Row],[Tech]]*$T$7+Table14[[#This Row],[Beta]]*($T$6-$T$8)+$T$8</f>
        <v>9.3004000000000003E-2</v>
      </c>
      <c r="J81" s="42">
        <v>174938374.27000001</v>
      </c>
      <c r="K81" s="52">
        <f>Table14[[#This Row],[Investment]]/Table14[[#This Row],[Dollar Volume]]</f>
        <v>4.1065346072769952E-2</v>
      </c>
      <c r="L81" s="34">
        <f>IFERROR(MAX($T$11+$T$12*LN(Table14[[#This Row],[Frac ADV]]),0),0)*0.0001+0.005/Table14[[#This Row],[Stock Price]]+Table14[[#This Row],[Expense Ratio]]</f>
        <v>1.6252634367913913E-2</v>
      </c>
      <c r="M81" s="46">
        <f>(Table14[[#This Row],[Expected Return]]-Table14[[#This Row],[Tcosts]])*Table14[[#This Row],[Investment]]</f>
        <v>13426759.126679493</v>
      </c>
      <c r="Q81" s="16" t="s">
        <v>407</v>
      </c>
    </row>
    <row r="82" spans="1:17" x14ac:dyDescent="0.3">
      <c r="A82" s="4" t="s">
        <v>404</v>
      </c>
      <c r="B82" s="14" t="s">
        <v>405</v>
      </c>
      <c r="C82" s="6">
        <v>70.540000000000006</v>
      </c>
      <c r="D82" s="6" t="s">
        <v>406</v>
      </c>
      <c r="E82" s="15">
        <v>5.0000000000000001E-4</v>
      </c>
      <c r="F82" s="6">
        <v>0.88</v>
      </c>
      <c r="G82" s="3">
        <f t="shared" si="4"/>
        <v>1940000000</v>
      </c>
      <c r="H82" s="3" t="b">
        <f t="shared" si="5"/>
        <v>0</v>
      </c>
      <c r="I82" s="26">
        <f>Table14[[#This Row],[Tech]]*$T$7+Table14[[#This Row],[Beta]]*($T$6-$T$8)+$T$8</f>
        <v>9.2368000000000006E-2</v>
      </c>
      <c r="J82" s="42">
        <v>169305133.21000001</v>
      </c>
      <c r="K82" s="52">
        <f>Table14[[#This Row],[Investment]]/Table14[[#This Row],[Dollar Volume]]</f>
        <v>8.727068722164949E-2</v>
      </c>
      <c r="L82" s="34">
        <f>IFERROR(MAX($T$11+$T$12*LN(Table14[[#This Row],[Frac ADV]]),0),0)*0.0001+0.005/Table14[[#This Row],[Stock Price]]+Table14[[#This Row],[Expense Ratio]]</f>
        <v>1.9881772613414801E-2</v>
      </c>
      <c r="M82" s="46">
        <f>(Table14[[#This Row],[Expected Return]]-Table14[[#This Row],[Tcosts]])*Table14[[#This Row],[Investment]]</f>
        <v>12272290.38357616</v>
      </c>
      <c r="Q82" s="13" t="s">
        <v>411</v>
      </c>
    </row>
    <row r="83" spans="1:17" x14ac:dyDescent="0.3">
      <c r="A83" s="4" t="s">
        <v>436</v>
      </c>
      <c r="B83" s="14" t="s">
        <v>437</v>
      </c>
      <c r="C83" s="6">
        <v>218.98</v>
      </c>
      <c r="D83" s="6" t="s">
        <v>438</v>
      </c>
      <c r="E83" s="15">
        <v>1.8E-3</v>
      </c>
      <c r="F83" s="6">
        <v>0.77</v>
      </c>
      <c r="G83" s="3">
        <f t="shared" si="4"/>
        <v>370860000</v>
      </c>
      <c r="H83" s="3" t="b">
        <f t="shared" si="5"/>
        <v>0</v>
      </c>
      <c r="I83" s="26">
        <f>Table14[[#This Row],[Tech]]*$T$7+Table14[[#This Row],[Beta]]*($T$6-$T$8)+$T$8</f>
        <v>8.5372000000000003E-2</v>
      </c>
      <c r="J83" s="42">
        <v>167431232.09999999</v>
      </c>
      <c r="K83" s="52">
        <f>Table14[[#This Row],[Investment]]/Table14[[#This Row],[Dollar Volume]]</f>
        <v>0.45146748665264519</v>
      </c>
      <c r="L83" s="34">
        <f>IFERROR(MAX($T$11+$T$12*LN(Table14[[#This Row],[Frac ADV]]),0),0)*0.0001+0.005/Table14[[#This Row],[Stock Price]]+Table14[[#This Row],[Expense Ratio]]</f>
        <v>2.9183869627729817E-2</v>
      </c>
      <c r="M83" s="46">
        <f>(Table14[[#This Row],[Expected Return]]-Table14[[#This Row],[Tcosts]])*Table14[[#This Row],[Investment]]</f>
        <v>9407647.8976246286</v>
      </c>
      <c r="Q83" s="16" t="s">
        <v>415</v>
      </c>
    </row>
    <row r="84" spans="1:17" x14ac:dyDescent="0.3">
      <c r="A84" s="4" t="s">
        <v>400</v>
      </c>
      <c r="B84" s="14" t="s">
        <v>401</v>
      </c>
      <c r="C84" s="6">
        <v>298.35000000000002</v>
      </c>
      <c r="D84" s="6" t="s">
        <v>402</v>
      </c>
      <c r="E84" s="15">
        <v>2.9999999999999997E-4</v>
      </c>
      <c r="F84" s="6">
        <v>0.83</v>
      </c>
      <c r="G84" s="3">
        <f t="shared" si="4"/>
        <v>323170000</v>
      </c>
      <c r="H84" s="3" t="b">
        <f t="shared" si="5"/>
        <v>0</v>
      </c>
      <c r="I84" s="26">
        <f>Table14[[#This Row],[Tech]]*$T$7+Table14[[#This Row],[Beta]]*($T$6-$T$8)+$T$8</f>
        <v>8.9188000000000003E-2</v>
      </c>
      <c r="J84" s="42">
        <v>166068250.56</v>
      </c>
      <c r="K84" s="52">
        <f>Table14[[#This Row],[Investment]]/Table14[[#This Row],[Dollar Volume]]</f>
        <v>0.51387273125599531</v>
      </c>
      <c r="L84" s="34">
        <f>IFERROR(MAX($T$11+$T$12*LN(Table14[[#This Row],[Frac ADV]]),0),0)*0.0001+0.005/Table14[[#This Row],[Stock Price]]+Table14[[#This Row],[Expense Ratio]]</f>
        <v>2.831197713811635E-2</v>
      </c>
      <c r="M84" s="46">
        <f>(Table14[[#This Row],[Expected Return]]-Table14[[#This Row],[Tcosts]])*Table14[[#This Row],[Investment]]</f>
        <v>10109574.617723582</v>
      </c>
      <c r="Q84" s="13" t="s">
        <v>419</v>
      </c>
    </row>
    <row r="85" spans="1:17" x14ac:dyDescent="0.3">
      <c r="A85" s="2" t="s">
        <v>408</v>
      </c>
      <c r="B85" s="10" t="s">
        <v>409</v>
      </c>
      <c r="C85" s="11">
        <v>156.38999999999999</v>
      </c>
      <c r="D85" s="11" t="s">
        <v>410</v>
      </c>
      <c r="E85" s="12">
        <v>5.9999999999999995E-4</v>
      </c>
      <c r="F85" s="11">
        <v>0.68</v>
      </c>
      <c r="G85" s="3">
        <f t="shared" si="4"/>
        <v>220460000</v>
      </c>
      <c r="H85" s="3" t="b">
        <f t="shared" si="5"/>
        <v>0</v>
      </c>
      <c r="I85" s="26">
        <f>Table14[[#This Row],[Tech]]*$T$7+Table14[[#This Row],[Beta]]*($T$6-$T$8)+$T$8</f>
        <v>7.964800000000001E-2</v>
      </c>
      <c r="J85" s="42">
        <v>163410029.56999999</v>
      </c>
      <c r="K85" s="52">
        <f>Table14[[#This Row],[Investment]]/Table14[[#This Row],[Dollar Volume]]</f>
        <v>0.741223031706432</v>
      </c>
      <c r="L85" s="34">
        <f>IFERROR(MAX($T$11+$T$12*LN(Table14[[#This Row],[Frac ADV]]),0),0)*0.0001+0.005/Table14[[#This Row],[Stock Price]]+Table14[[#This Row],[Expense Ratio]]</f>
        <v>3.0421529404969779E-2</v>
      </c>
      <c r="M85" s="46">
        <f>(Table14[[#This Row],[Expected Return]]-Table14[[#This Row],[Tcosts]])*Table14[[#This Row],[Investment]]</f>
        <v>8044099.0155606251</v>
      </c>
      <c r="Q85" s="16" t="s">
        <v>423</v>
      </c>
    </row>
    <row r="86" spans="1:17" x14ac:dyDescent="0.3">
      <c r="A86" s="2" t="s">
        <v>412</v>
      </c>
      <c r="B86" s="10" t="s">
        <v>413</v>
      </c>
      <c r="C86" s="11">
        <v>200.74</v>
      </c>
      <c r="D86" s="11" t="s">
        <v>414</v>
      </c>
      <c r="E86" s="12">
        <v>1.5E-3</v>
      </c>
      <c r="F86" s="11">
        <v>0.92</v>
      </c>
      <c r="G86" s="3">
        <f t="shared" si="4"/>
        <v>3140000000</v>
      </c>
      <c r="H86" s="3" t="b">
        <f t="shared" si="5"/>
        <v>0</v>
      </c>
      <c r="I86" s="26">
        <f>Table14[[#This Row],[Tech]]*$T$7+Table14[[#This Row],[Beta]]*($T$6-$T$8)+$T$8</f>
        <v>9.491200000000001E-2</v>
      </c>
      <c r="J86" s="42">
        <v>150488232.43000001</v>
      </c>
      <c r="K86" s="52">
        <f>Table14[[#This Row],[Investment]]/Table14[[#This Row],[Dollar Volume]]</f>
        <v>4.7926188671974526E-2</v>
      </c>
      <c r="L86" s="34">
        <f>IFERROR(MAX($T$11+$T$12*LN(Table14[[#This Row],[Frac ADV]]),0),0)*0.0001+0.005/Table14[[#This Row],[Stock Price]]+Table14[[#This Row],[Expense Ratio]]</f>
        <v>1.7900046701751299E-2</v>
      </c>
      <c r="M86" s="46">
        <f>(Table14[[#This Row],[Expected Return]]-Table14[[#This Row],[Tcosts]])*Table14[[#This Row],[Investment]]</f>
        <v>11589392.727835158</v>
      </c>
      <c r="Q86" s="13" t="s">
        <v>427</v>
      </c>
    </row>
    <row r="87" spans="1:17" x14ac:dyDescent="0.3">
      <c r="A87" s="4" t="s">
        <v>448</v>
      </c>
      <c r="B87" s="14" t="s">
        <v>449</v>
      </c>
      <c r="C87" s="6">
        <v>85.05</v>
      </c>
      <c r="D87" s="6" t="s">
        <v>450</v>
      </c>
      <c r="E87" s="15">
        <v>4.0000000000000001E-3</v>
      </c>
      <c r="F87" s="6">
        <v>0.71</v>
      </c>
      <c r="G87" s="3">
        <f t="shared" si="4"/>
        <v>292390000</v>
      </c>
      <c r="H87" s="3" t="b">
        <f t="shared" si="5"/>
        <v>0</v>
      </c>
      <c r="I87" s="26">
        <f>Table14[[#This Row],[Tech]]*$T$7+Table14[[#This Row],[Beta]]*($T$6-$T$8)+$T$8</f>
        <v>8.1556000000000003E-2</v>
      </c>
      <c r="J87" s="42">
        <v>146175202.27000001</v>
      </c>
      <c r="K87" s="52">
        <f>Table14[[#This Row],[Investment]]/Table14[[#This Row],[Dollar Volume]]</f>
        <v>0.49993228998939776</v>
      </c>
      <c r="L87" s="34">
        <f>IFERROR(MAX($T$11+$T$12*LN(Table14[[#This Row],[Frac ADV]]),0),0)*0.0001+0.005/Table14[[#This Row],[Stock Price]]+Table14[[#This Row],[Expense Ratio]]</f>
        <v>3.1919292088172485E-2</v>
      </c>
      <c r="M87" s="46">
        <f>(Table14[[#This Row],[Expected Return]]-Table14[[#This Row],[Tcosts]])*Table14[[#This Row],[Investment]]</f>
        <v>7255655.8190282974</v>
      </c>
      <c r="Q87" s="16" t="s">
        <v>431</v>
      </c>
    </row>
    <row r="88" spans="1:17" x14ac:dyDescent="0.3">
      <c r="A88" s="4" t="s">
        <v>460</v>
      </c>
      <c r="B88" s="14" t="s">
        <v>461</v>
      </c>
      <c r="C88" s="6">
        <v>228.98</v>
      </c>
      <c r="D88" s="6" t="s">
        <v>462</v>
      </c>
      <c r="E88" s="15">
        <v>5.0000000000000001E-4</v>
      </c>
      <c r="F88" s="6">
        <v>0.84</v>
      </c>
      <c r="G88" s="3">
        <f t="shared" si="4"/>
        <v>4420000000</v>
      </c>
      <c r="H88" s="3" t="b">
        <f t="shared" si="5"/>
        <v>0</v>
      </c>
      <c r="I88" s="26">
        <f>Table14[[#This Row],[Tech]]*$T$7+Table14[[#This Row],[Beta]]*($T$6-$T$8)+$T$8</f>
        <v>8.9824000000000001E-2</v>
      </c>
      <c r="J88" s="42">
        <v>138034324.03999999</v>
      </c>
      <c r="K88" s="52">
        <f>Table14[[#This Row],[Investment]]/Table14[[#This Row],[Dollar Volume]]</f>
        <v>3.1229485076923073E-2</v>
      </c>
      <c r="L88" s="34">
        <f>IFERROR(MAX($T$11+$T$12*LN(Table14[[#This Row],[Frac ADV]]),0),0)*0.0001+0.005/Table14[[#This Row],[Stock Price]]+Table14[[#This Row],[Expense Ratio]]</f>
        <v>1.4799076273029944E-2</v>
      </c>
      <c r="M88" s="46">
        <f>(Table14[[#This Row],[Expected Return]]-Table14[[#This Row],[Tcosts]])*Table14[[#This Row],[Investment]]</f>
        <v>10356014.632804869</v>
      </c>
      <c r="Q88" s="13" t="s">
        <v>435</v>
      </c>
    </row>
    <row r="89" spans="1:17" x14ac:dyDescent="0.3">
      <c r="A89" s="2" t="s">
        <v>396</v>
      </c>
      <c r="B89" s="10" t="s">
        <v>397</v>
      </c>
      <c r="C89" s="11">
        <v>172.75</v>
      </c>
      <c r="D89" s="11" t="s">
        <v>398</v>
      </c>
      <c r="E89" s="12">
        <v>8.0000000000000004E-4</v>
      </c>
      <c r="F89" s="11">
        <v>0.92</v>
      </c>
      <c r="G89" s="3">
        <f t="shared" si="4"/>
        <v>220290000</v>
      </c>
      <c r="H89" s="3" t="b">
        <f t="shared" si="5"/>
        <v>0</v>
      </c>
      <c r="I89" s="26">
        <f>Table14[[#This Row],[Tech]]*$T$7+Table14[[#This Row],[Beta]]*($T$6-$T$8)+$T$8</f>
        <v>9.491200000000001E-2</v>
      </c>
      <c r="J89" s="42">
        <v>136216066.40000001</v>
      </c>
      <c r="K89" s="52">
        <f>Table14[[#This Row],[Investment]]/Table14[[#This Row],[Dollar Volume]]</f>
        <v>0.61834884198102502</v>
      </c>
      <c r="L89" s="34">
        <f>IFERROR(MAX($T$11+$T$12*LN(Table14[[#This Row],[Frac ADV]]),0),0)*0.0001+0.005/Table14[[#This Row],[Stock Price]]+Table14[[#This Row],[Expense Ratio]]</f>
        <v>2.9730707725855374E-2</v>
      </c>
      <c r="M89" s="46">
        <f>(Table14[[#This Row],[Expected Return]]-Table14[[#This Row],[Tcosts]])*Table14[[#This Row],[Investment]]</f>
        <v>8878739.2364526931</v>
      </c>
      <c r="Q89" s="16" t="s">
        <v>439</v>
      </c>
    </row>
    <row r="90" spans="1:17" x14ac:dyDescent="0.3">
      <c r="A90" s="4" t="s">
        <v>452</v>
      </c>
      <c r="B90" s="14" t="s">
        <v>453</v>
      </c>
      <c r="C90" s="6">
        <v>130.80000000000001</v>
      </c>
      <c r="D90" s="6" t="s">
        <v>454</v>
      </c>
      <c r="E90" s="15">
        <v>5.8999999999999999E-3</v>
      </c>
      <c r="F90" s="6">
        <v>0.9</v>
      </c>
      <c r="G90" s="3">
        <f t="shared" si="4"/>
        <v>6060000000</v>
      </c>
      <c r="H90" s="3" t="b">
        <f t="shared" si="5"/>
        <v>0</v>
      </c>
      <c r="I90" s="26">
        <f>Table14[[#This Row],[Tech]]*$T$7+Table14[[#This Row],[Beta]]*($T$6-$T$8)+$T$8</f>
        <v>9.3640000000000001E-2</v>
      </c>
      <c r="J90" s="42">
        <v>136141322.31</v>
      </c>
      <c r="K90" s="52">
        <f>Table14[[#This Row],[Investment]]/Table14[[#This Row],[Dollar Volume]]</f>
        <v>2.2465564737623761E-2</v>
      </c>
      <c r="L90" s="34">
        <f>IFERROR(MAX($T$11+$T$12*LN(Table14[[#This Row],[Frac ADV]]),0),0)*0.0001+0.005/Table14[[#This Row],[Stock Price]]+Table14[[#This Row],[Expense Ratio]]</f>
        <v>1.8602100534213042E-2</v>
      </c>
      <c r="M90" s="46">
        <f>(Table14[[#This Row],[Expected Return]]-Table14[[#This Row],[Tcosts]])*Table14[[#This Row],[Investment]]</f>
        <v>10215758.856637079</v>
      </c>
      <c r="Q90" s="13" t="s">
        <v>443</v>
      </c>
    </row>
    <row r="91" spans="1:17" x14ac:dyDescent="0.3">
      <c r="A91" s="2" t="s">
        <v>484</v>
      </c>
      <c r="B91" s="10" t="s">
        <v>485</v>
      </c>
      <c r="C91" s="11">
        <v>26.4</v>
      </c>
      <c r="D91" s="11" t="s">
        <v>486</v>
      </c>
      <c r="E91" s="12">
        <v>2.9999999999999997E-4</v>
      </c>
      <c r="F91" s="11">
        <v>0.72</v>
      </c>
      <c r="G91" s="3">
        <f t="shared" si="4"/>
        <v>131539999.99999999</v>
      </c>
      <c r="H91" s="3" t="b">
        <f t="shared" si="5"/>
        <v>0</v>
      </c>
      <c r="I91" s="26">
        <f>Table14[[#This Row],[Tech]]*$T$7+Table14[[#This Row],[Beta]]*($T$6-$T$8)+$T$8</f>
        <v>8.2192000000000001E-2</v>
      </c>
      <c r="J91" s="42">
        <v>129130859.54000001</v>
      </c>
      <c r="K91" s="52">
        <f>Table14[[#This Row],[Investment]]/Table14[[#This Row],[Dollar Volume]]</f>
        <v>0.98168511129694402</v>
      </c>
      <c r="L91" s="34">
        <f>IFERROR(MAX($T$11+$T$12*LN(Table14[[#This Row],[Frac ADV]]),0),0)*0.0001+0.005/Table14[[#This Row],[Stock Price]]+Table14[[#This Row],[Expense Ratio]]</f>
        <v>3.1655196058508514E-2</v>
      </c>
      <c r="M91" s="46">
        <f>(Table14[[#This Row],[Expected Return]]-Table14[[#This Row],[Tcosts]])*Table14[[#This Row],[Investment]]</f>
        <v>6525860.9313692562</v>
      </c>
      <c r="Q91" s="16" t="s">
        <v>447</v>
      </c>
    </row>
    <row r="92" spans="1:17" x14ac:dyDescent="0.3">
      <c r="A92" s="4" t="s">
        <v>420</v>
      </c>
      <c r="B92" s="14" t="s">
        <v>421</v>
      </c>
      <c r="C92" s="6">
        <v>99.55</v>
      </c>
      <c r="D92" s="6" t="s">
        <v>422</v>
      </c>
      <c r="E92" s="15">
        <v>6.9999999999999999E-4</v>
      </c>
      <c r="F92" s="6">
        <v>0.56000000000000005</v>
      </c>
      <c r="G92" s="3">
        <f t="shared" si="4"/>
        <v>171250000</v>
      </c>
      <c r="H92" s="3" t="b">
        <f t="shared" si="5"/>
        <v>0</v>
      </c>
      <c r="I92" s="26">
        <f>Table14[[#This Row],[Tech]]*$T$7+Table14[[#This Row],[Beta]]*($T$6-$T$8)+$T$8</f>
        <v>7.2016000000000011E-2</v>
      </c>
      <c r="J92" s="42">
        <v>126742372.54000001</v>
      </c>
      <c r="K92" s="52">
        <f>Table14[[#This Row],[Investment]]/Table14[[#This Row],[Dollar Volume]]</f>
        <v>0.7401014454890511</v>
      </c>
      <c r="L92" s="34">
        <f>IFERROR(MAX($T$11+$T$12*LN(Table14[[#This Row],[Frac ADV]]),0),0)*0.0001+0.005/Table14[[#This Row],[Stock Price]]+Table14[[#This Row],[Expense Ratio]]</f>
        <v>3.0532366705048334E-2</v>
      </c>
      <c r="M92" s="46">
        <f>(Table14[[#This Row],[Expected Return]]-Table14[[#This Row],[Tcosts]])*Table14[[#This Row],[Investment]]</f>
        <v>5257734.1053815139</v>
      </c>
      <c r="Q92" s="13" t="s">
        <v>451</v>
      </c>
    </row>
    <row r="93" spans="1:17" x14ac:dyDescent="0.3">
      <c r="A93" s="2" t="s">
        <v>507</v>
      </c>
      <c r="B93" s="10" t="s">
        <v>508</v>
      </c>
      <c r="C93" s="11">
        <v>222.21</v>
      </c>
      <c r="D93" s="11" t="s">
        <v>509</v>
      </c>
      <c r="E93" s="12">
        <v>1.8E-3</v>
      </c>
      <c r="F93" s="11">
        <v>0.75</v>
      </c>
      <c r="G93" s="3">
        <f t="shared" si="4"/>
        <v>2910000000</v>
      </c>
      <c r="H93" s="3" t="b">
        <f t="shared" si="5"/>
        <v>0</v>
      </c>
      <c r="I93" s="26">
        <f>Table14[[#This Row],[Tech]]*$T$7+Table14[[#This Row],[Beta]]*($T$6-$T$8)+$T$8</f>
        <v>8.4100000000000008E-2</v>
      </c>
      <c r="J93" s="42">
        <v>124400843.16</v>
      </c>
      <c r="K93" s="52">
        <f>Table14[[#This Row],[Investment]]/Table14[[#This Row],[Dollar Volume]]</f>
        <v>4.2749430639175259E-2</v>
      </c>
      <c r="L93" s="34">
        <f>IFERROR(MAX($T$11+$T$12*LN(Table14[[#This Row],[Frac ADV]]),0),0)*0.0001+0.005/Table14[[#This Row],[Stock Price]]+Table14[[#This Row],[Expense Ratio]]</f>
        <v>1.7637744759673168E-2</v>
      </c>
      <c r="M93" s="46">
        <f>(Table14[[#This Row],[Expected Return]]-Table14[[#This Row],[Tcosts]])*Table14[[#This Row],[Investment]]</f>
        <v>8267960.5902117873</v>
      </c>
      <c r="Q93" s="16" t="s">
        <v>455</v>
      </c>
    </row>
    <row r="94" spans="1:17" x14ac:dyDescent="0.3">
      <c r="A94" s="2" t="s">
        <v>472</v>
      </c>
      <c r="B94" s="10" t="s">
        <v>473</v>
      </c>
      <c r="C94" s="11">
        <v>93.37</v>
      </c>
      <c r="D94" s="11" t="s">
        <v>474</v>
      </c>
      <c r="E94" s="12">
        <v>4.8999999999999998E-3</v>
      </c>
      <c r="F94" s="11">
        <v>0.87</v>
      </c>
      <c r="G94" s="3">
        <f t="shared" si="4"/>
        <v>173490000</v>
      </c>
      <c r="H94" s="3" t="b">
        <f t="shared" si="5"/>
        <v>0</v>
      </c>
      <c r="I94" s="26">
        <f>Table14[[#This Row],[Tech]]*$T$7+Table14[[#This Row],[Beta]]*($T$6-$T$8)+$T$8</f>
        <v>9.1732000000000008E-2</v>
      </c>
      <c r="J94" s="42">
        <v>122702346.22</v>
      </c>
      <c r="K94" s="52">
        <f>Table14[[#This Row],[Investment]]/Table14[[#This Row],[Dollar Volume]]</f>
        <v>0.70725889803446884</v>
      </c>
      <c r="L94" s="34">
        <f>IFERROR(MAX($T$11+$T$12*LN(Table14[[#This Row],[Frac ADV]]),0),0)*0.0001+0.005/Table14[[#This Row],[Stock Price]]+Table14[[#This Row],[Expense Ratio]]</f>
        <v>3.451335920528717E-2</v>
      </c>
      <c r="M94" s="46">
        <f>(Table14[[#This Row],[Expected Return]]-Table14[[#This Row],[Tcosts]])*Table14[[#This Row],[Investment]]</f>
        <v>7020861.4730306705</v>
      </c>
      <c r="Q94" s="13" t="s">
        <v>459</v>
      </c>
    </row>
    <row r="95" spans="1:17" x14ac:dyDescent="0.3">
      <c r="A95" s="4" t="s">
        <v>416</v>
      </c>
      <c r="B95" s="14" t="s">
        <v>417</v>
      </c>
      <c r="C95" s="6">
        <v>61.91</v>
      </c>
      <c r="D95" s="6" t="s">
        <v>418</v>
      </c>
      <c r="E95" s="15">
        <v>2.9999999999999997E-4</v>
      </c>
      <c r="F95" s="6">
        <v>0.87</v>
      </c>
      <c r="G95" s="3">
        <f t="shared" si="4"/>
        <v>85390000</v>
      </c>
      <c r="H95" s="3" t="b">
        <f t="shared" si="5"/>
        <v>0</v>
      </c>
      <c r="I95" s="26">
        <f>Table14[[#This Row],[Tech]]*$T$7+Table14[[#This Row],[Beta]]*($T$6-$T$8)+$T$8</f>
        <v>9.1732000000000008E-2</v>
      </c>
      <c r="J95" s="42">
        <v>109516539.63</v>
      </c>
      <c r="K95" s="52">
        <f>Table14[[#This Row],[Investment]]/Table14[[#This Row],[Dollar Volume]]</f>
        <v>1.2825452585782877</v>
      </c>
      <c r="L95" s="34">
        <f>IFERROR(MAX($T$11+$T$12*LN(Table14[[#This Row],[Frac ADV]]),0),0)*0.0001+0.005/Table14[[#This Row],[Stock Price]]+Table14[[#This Row],[Expense Ratio]]</f>
        <v>3.2856008034394014E-2</v>
      </c>
      <c r="M95" s="46">
        <f>(Table14[[#This Row],[Expected Return]]-Table14[[#This Row],[Tcosts]])*Table14[[#This Row],[Investment]]</f>
        <v>6447894.9073568499</v>
      </c>
      <c r="Q95" s="16" t="s">
        <v>463</v>
      </c>
    </row>
    <row r="96" spans="1:17" x14ac:dyDescent="0.3">
      <c r="A96" s="2" t="s">
        <v>428</v>
      </c>
      <c r="B96" s="10" t="s">
        <v>429</v>
      </c>
      <c r="C96" s="11">
        <v>74.87</v>
      </c>
      <c r="D96" s="11" t="s">
        <v>430</v>
      </c>
      <c r="E96" s="12">
        <v>2.7000000000000001E-3</v>
      </c>
      <c r="F96" s="11">
        <v>0.92</v>
      </c>
      <c r="G96" s="3">
        <f t="shared" si="4"/>
        <v>1530000000</v>
      </c>
      <c r="H96" s="3" t="b">
        <f t="shared" si="5"/>
        <v>0</v>
      </c>
      <c r="I96" s="26">
        <f>Table14[[#This Row],[Tech]]*$T$7+Table14[[#This Row],[Beta]]*($T$6-$T$8)+$T$8</f>
        <v>9.491200000000001E-2</v>
      </c>
      <c r="J96" s="42">
        <v>106146546.16</v>
      </c>
      <c r="K96" s="52">
        <f>Table14[[#This Row],[Investment]]/Table14[[#This Row],[Dollar Volume]]</f>
        <v>6.9376827555555548E-2</v>
      </c>
      <c r="L96" s="34">
        <f>IFERROR(MAX($T$11+$T$12*LN(Table14[[#This Row],[Frac ADV]]),0),0)*0.0001+0.005/Table14[[#This Row],[Stock Price]]+Table14[[#This Row],[Expense Ratio]]</f>
        <v>2.0953722582881182E-2</v>
      </c>
      <c r="M96" s="46">
        <f>(Table14[[#This Row],[Expected Return]]-Table14[[#This Row],[Tcosts]])*Table14[[#This Row],[Investment]]</f>
        <v>7850415.7077702889</v>
      </c>
      <c r="Q96" s="13" t="s">
        <v>467</v>
      </c>
    </row>
    <row r="97" spans="1:17" x14ac:dyDescent="0.3">
      <c r="A97" s="4" t="s">
        <v>456</v>
      </c>
      <c r="B97" s="14" t="s">
        <v>457</v>
      </c>
      <c r="C97" s="6">
        <v>67.73</v>
      </c>
      <c r="D97" s="6" t="s">
        <v>458</v>
      </c>
      <c r="E97" s="15">
        <v>5.0000000000000001E-3</v>
      </c>
      <c r="F97" s="6">
        <v>0.66</v>
      </c>
      <c r="G97" s="3">
        <f t="shared" si="4"/>
        <v>334300000</v>
      </c>
      <c r="H97" s="3" t="b">
        <f t="shared" si="5"/>
        <v>0</v>
      </c>
      <c r="I97" s="26">
        <f>Table14[[#This Row],[Tech]]*$T$7+Table14[[#This Row],[Beta]]*($T$6-$T$8)+$T$8</f>
        <v>7.8376000000000001E-2</v>
      </c>
      <c r="J97" s="42">
        <v>98727991.129999995</v>
      </c>
      <c r="K97" s="52">
        <f>Table14[[#This Row],[Investment]]/Table14[[#This Row],[Dollar Volume]]</f>
        <v>0.29532752357164221</v>
      </c>
      <c r="L97" s="34">
        <f>IFERROR(MAX($T$11+$T$12*LN(Table14[[#This Row],[Frac ADV]]),0),0)*0.0001+0.005/Table14[[#This Row],[Stock Price]]+Table14[[#This Row],[Expense Ratio]]</f>
        <v>3.0355970597594512E-2</v>
      </c>
      <c r="M97" s="46">
        <f>(Table14[[#This Row],[Expected Return]]-Table14[[#This Row],[Tcosts]])*Table14[[#This Row],[Investment]]</f>
        <v>4740921.0369030284</v>
      </c>
      <c r="Q97" s="16" t="s">
        <v>471</v>
      </c>
    </row>
    <row r="98" spans="1:17" x14ac:dyDescent="0.3">
      <c r="A98" s="4" t="s">
        <v>515</v>
      </c>
      <c r="B98" s="14" t="s">
        <v>516</v>
      </c>
      <c r="C98" s="6">
        <v>28.79</v>
      </c>
      <c r="D98" s="6" t="s">
        <v>517</v>
      </c>
      <c r="E98" s="15">
        <v>2.5000000000000001E-3</v>
      </c>
      <c r="F98" s="6">
        <v>0.82</v>
      </c>
      <c r="G98" s="3">
        <f t="shared" ref="G98:G129" si="6">IF(RIGHT(Q98,1)="B", VALUE(SUBSTITUTE(Q98,"B",""))*1000000000,
 IF(RIGHT(Q98,1)="M", VALUE(SUBSTITUTE(Q98,"M",""))*1000000, VALUE(Q98)))</f>
        <v>929280000</v>
      </c>
      <c r="H98" s="3" t="b">
        <f t="shared" ref="H98:H129" si="7">OR(
  ISNUMBER(SEARCH("technology",B98)),
  ISNUMBER(SEARCH("tech",B98)),
  ISNUMBER(SEARCH("qqq",B98)),
  ISNUMBER(SEARCH("semiconductor",B98)),
  ISNUMBER(SEARCH("information technology",B98)),
  ISNUMBER(SEARCH("nasdaq",B98)),
  ISNUMBER(SEARCH("communication",B98))
)</f>
        <v>0</v>
      </c>
      <c r="I98" s="26">
        <f>Table14[[#This Row],[Tech]]*$T$7+Table14[[#This Row],[Beta]]*($T$6-$T$8)+$T$8</f>
        <v>8.8551999999999992E-2</v>
      </c>
      <c r="J98" s="42">
        <v>96375439.379999995</v>
      </c>
      <c r="K98" s="52">
        <f>Table14[[#This Row],[Investment]]/Table14[[#This Row],[Dollar Volume]]</f>
        <v>0.10370979616477272</v>
      </c>
      <c r="L98" s="34">
        <f>IFERROR(MAX($T$11+$T$12*LN(Table14[[#This Row],[Frac ADV]]),0),0)*0.0001+0.005/Table14[[#This Row],[Stock Price]]+Table14[[#This Row],[Expense Ratio]]</f>
        <v>2.2829904087779272E-2</v>
      </c>
      <c r="M98" s="46">
        <f>(Table14[[#This Row],[Expected Return]]-Table14[[#This Row],[Tcosts]])*Table14[[#This Row],[Investment]]</f>
        <v>6333995.8705147738</v>
      </c>
      <c r="Q98" s="13" t="s">
        <v>475</v>
      </c>
    </row>
    <row r="99" spans="1:17" x14ac:dyDescent="0.3">
      <c r="A99" s="4" t="s">
        <v>503</v>
      </c>
      <c r="B99" s="14" t="s">
        <v>504</v>
      </c>
      <c r="C99" s="6">
        <v>97.52</v>
      </c>
      <c r="D99" s="6" t="s">
        <v>505</v>
      </c>
      <c r="E99" s="15">
        <v>5.9999999999999995E-4</v>
      </c>
      <c r="F99" s="6">
        <v>0.76</v>
      </c>
      <c r="G99" s="3">
        <f t="shared" si="6"/>
        <v>106450000</v>
      </c>
      <c r="H99" s="3" t="b">
        <f t="shared" si="7"/>
        <v>0</v>
      </c>
      <c r="I99" s="26">
        <f>Table14[[#This Row],[Tech]]*$T$7+Table14[[#This Row],[Beta]]*($T$6-$T$8)+$T$8</f>
        <v>8.4736000000000006E-2</v>
      </c>
      <c r="J99" s="42">
        <v>92570576.269999996</v>
      </c>
      <c r="K99" s="52">
        <f>Table14[[#This Row],[Investment]]/Table14[[#This Row],[Dollar Volume]]</f>
        <v>0.8696155591357444</v>
      </c>
      <c r="L99" s="34">
        <f>IFERROR(MAX($T$11+$T$12*LN(Table14[[#This Row],[Frac ADV]]),0),0)*0.0001+0.005/Table14[[#This Row],[Stock Price]]+Table14[[#This Row],[Expense Ratio]]</f>
        <v>3.1223316265252224E-2</v>
      </c>
      <c r="M99" s="46">
        <f>(Table14[[#This Row],[Expected Return]]-Table14[[#This Row],[Tcosts]])*Table14[[#This Row],[Investment]]</f>
        <v>4953699.971079858</v>
      </c>
      <c r="Q99" s="16" t="s">
        <v>479</v>
      </c>
    </row>
    <row r="100" spans="1:17" x14ac:dyDescent="0.3">
      <c r="A100" s="4" t="s">
        <v>499</v>
      </c>
      <c r="B100" s="14" t="s">
        <v>500</v>
      </c>
      <c r="C100" s="6">
        <v>204.61</v>
      </c>
      <c r="D100" s="6" t="s">
        <v>501</v>
      </c>
      <c r="E100" s="15">
        <v>2.9999999999999997E-4</v>
      </c>
      <c r="F100" s="6">
        <v>0.69</v>
      </c>
      <c r="G100" s="3">
        <f t="shared" si="6"/>
        <v>458210000</v>
      </c>
      <c r="H100" s="3" t="b">
        <f t="shared" si="7"/>
        <v>0</v>
      </c>
      <c r="I100" s="26">
        <f>Table14[[#This Row],[Tech]]*$T$7+Table14[[#This Row],[Beta]]*($T$6-$T$8)+$T$8</f>
        <v>8.0283999999999994E-2</v>
      </c>
      <c r="J100" s="42">
        <v>90565064.310000002</v>
      </c>
      <c r="K100" s="52">
        <f>Table14[[#This Row],[Investment]]/Table14[[#This Row],[Dollar Volume]]</f>
        <v>0.19764968968376945</v>
      </c>
      <c r="L100" s="34">
        <f>IFERROR(MAX($T$11+$T$12*LN(Table14[[#This Row],[Frac ADV]]),0),0)*0.0001+0.005/Table14[[#This Row],[Stock Price]]+Table14[[#This Row],[Expense Ratio]]</f>
        <v>2.3639520441451463E-2</v>
      </c>
      <c r="M100" s="46">
        <f>(Table14[[#This Row],[Expected Return]]-Table14[[#This Row],[Tcosts]])*Table14[[#This Row],[Investment]]</f>
        <v>5130010.9340264285</v>
      </c>
      <c r="Q100" s="13" t="s">
        <v>483</v>
      </c>
    </row>
    <row r="101" spans="1:17" x14ac:dyDescent="0.3">
      <c r="A101" s="4" t="s">
        <v>476</v>
      </c>
      <c r="B101" s="14" t="s">
        <v>477</v>
      </c>
      <c r="C101" s="6">
        <v>45.29</v>
      </c>
      <c r="D101" s="6" t="s">
        <v>478</v>
      </c>
      <c r="E101" s="15">
        <v>3.3E-3</v>
      </c>
      <c r="F101" s="6">
        <v>0.88</v>
      </c>
      <c r="G101" s="3">
        <f t="shared" si="6"/>
        <v>754920000</v>
      </c>
      <c r="H101" s="3" t="b">
        <f t="shared" si="7"/>
        <v>0</v>
      </c>
      <c r="I101" s="26">
        <f>Table14[[#This Row],[Tech]]*$T$7+Table14[[#This Row],[Beta]]*($T$6-$T$8)+$T$8</f>
        <v>9.2368000000000006E-2</v>
      </c>
      <c r="J101" s="42">
        <v>88581180.370000005</v>
      </c>
      <c r="K101" s="52">
        <f>Table14[[#This Row],[Investment]]/Table14[[#This Row],[Dollar Volume]]</f>
        <v>0.11733849993376783</v>
      </c>
      <c r="L101" s="34">
        <f>IFERROR(MAX($T$11+$T$12*LN(Table14[[#This Row],[Frac ADV]]),0),0)*0.0001+0.005/Table14[[#This Row],[Stock Price]]+Table14[[#This Row],[Expense Ratio]]</f>
        <v>2.4171395848942644E-2</v>
      </c>
      <c r="M101" s="46">
        <f>(Table14[[#This Row],[Expected Return]]-Table14[[#This Row],[Tcosts]])*Table14[[#This Row],[Investment]]</f>
        <v>6040935.6929263026</v>
      </c>
      <c r="Q101" s="16" t="s">
        <v>487</v>
      </c>
    </row>
    <row r="102" spans="1:17" x14ac:dyDescent="0.3">
      <c r="A102" s="2" t="s">
        <v>468</v>
      </c>
      <c r="B102" s="10" t="s">
        <v>469</v>
      </c>
      <c r="C102" s="11">
        <v>104.15</v>
      </c>
      <c r="D102" s="11" t="s">
        <v>470</v>
      </c>
      <c r="E102" s="12">
        <v>3.2000000000000002E-3</v>
      </c>
      <c r="F102" s="11">
        <v>0.73</v>
      </c>
      <c r="G102" s="3">
        <f t="shared" si="6"/>
        <v>127800000</v>
      </c>
      <c r="H102" s="3" t="b">
        <f t="shared" si="7"/>
        <v>0</v>
      </c>
      <c r="I102" s="26">
        <f>Table14[[#This Row],[Tech]]*$T$7+Table14[[#This Row],[Beta]]*($T$6-$T$8)+$T$8</f>
        <v>8.2828000000000013E-2</v>
      </c>
      <c r="J102" s="42">
        <v>79390065.150000006</v>
      </c>
      <c r="K102" s="52">
        <f>Table14[[#This Row],[Investment]]/Table14[[#This Row],[Dollar Volume]]</f>
        <v>0.62120551760563381</v>
      </c>
      <c r="L102" s="34">
        <f>IFERROR(MAX($T$11+$T$12*LN(Table14[[#This Row],[Frac ADV]]),0),0)*0.0001+0.005/Table14[[#This Row],[Stock Price]]+Table14[[#This Row],[Expense Ratio]]</f>
        <v>3.2172348685512435E-2</v>
      </c>
      <c r="M102" s="46">
        <f>(Table14[[#This Row],[Expected Return]]-Table14[[#This Row],[Tcosts]])*Table14[[#This Row],[Investment]]</f>
        <v>4021555.4580728523</v>
      </c>
      <c r="Q102" s="13" t="s">
        <v>491</v>
      </c>
    </row>
    <row r="103" spans="1:17" x14ac:dyDescent="0.3">
      <c r="A103" s="4" t="s">
        <v>444</v>
      </c>
      <c r="B103" s="14" t="s">
        <v>445</v>
      </c>
      <c r="C103" s="6">
        <v>494.67</v>
      </c>
      <c r="D103" s="6" t="s">
        <v>446</v>
      </c>
      <c r="E103" s="15">
        <v>1.6000000000000001E-3</v>
      </c>
      <c r="F103" s="6">
        <v>0.86</v>
      </c>
      <c r="G103" s="3">
        <f t="shared" si="6"/>
        <v>280020000</v>
      </c>
      <c r="H103" s="3" t="b">
        <f t="shared" si="7"/>
        <v>0</v>
      </c>
      <c r="I103" s="26">
        <f>Table14[[#This Row],[Tech]]*$T$7+Table14[[#This Row],[Beta]]*($T$6-$T$8)+$T$8</f>
        <v>9.109600000000001E-2</v>
      </c>
      <c r="J103" s="42">
        <v>77955406.760000005</v>
      </c>
      <c r="K103" s="52">
        <f>Table14[[#This Row],[Investment]]/Table14[[#This Row],[Dollar Volume]]</f>
        <v>0.27839228183701165</v>
      </c>
      <c r="L103" s="34">
        <f>IFERROR(MAX($T$11+$T$12*LN(Table14[[#This Row],[Frac ADV]]),0),0)*0.0001+0.005/Table14[[#This Row],[Stock Price]]+Table14[[#This Row],[Expense Ratio]]</f>
        <v>2.6602998235399248E-2</v>
      </c>
      <c r="M103" s="46">
        <f>(Table14[[#This Row],[Expected Return]]-Table14[[#This Row],[Tcosts]])*Table14[[#This Row],[Investment]]</f>
        <v>5027578.1857328508</v>
      </c>
      <c r="Q103" s="16" t="s">
        <v>495</v>
      </c>
    </row>
    <row r="104" spans="1:17" x14ac:dyDescent="0.3">
      <c r="A104" s="4" t="s">
        <v>464</v>
      </c>
      <c r="B104" s="14" t="s">
        <v>465</v>
      </c>
      <c r="C104" s="6">
        <v>97.2</v>
      </c>
      <c r="D104" s="6" t="s">
        <v>466</v>
      </c>
      <c r="E104" s="15">
        <v>6.9999999999999999E-4</v>
      </c>
      <c r="F104" s="6">
        <v>0.73</v>
      </c>
      <c r="G104" s="3">
        <f t="shared" si="6"/>
        <v>125040000</v>
      </c>
      <c r="H104" s="3" t="b">
        <f t="shared" si="7"/>
        <v>0</v>
      </c>
      <c r="I104" s="26">
        <f>Table14[[#This Row],[Tech]]*$T$7+Table14[[#This Row],[Beta]]*($T$6-$T$8)+$T$8</f>
        <v>8.2828000000000013E-2</v>
      </c>
      <c r="J104" s="42">
        <v>64218029.740000002</v>
      </c>
      <c r="K104" s="52">
        <f>Table14[[#This Row],[Investment]]/Table14[[#This Row],[Dollar Volume]]</f>
        <v>0.51357989235444657</v>
      </c>
      <c r="L104" s="34">
        <f>IFERROR(MAX($T$11+$T$12*LN(Table14[[#This Row],[Frac ADV]]),0),0)*0.0001+0.005/Table14[[#This Row],[Stock Price]]+Table14[[#This Row],[Expense Ratio]]</f>
        <v>2.8743866507681501E-2</v>
      </c>
      <c r="M104" s="46">
        <f>(Table14[[#This Row],[Expected Return]]-Table14[[#This Row],[Tcosts]])*Table14[[#This Row],[Investment]]</f>
        <v>3473176.4930718401</v>
      </c>
      <c r="Q104" s="13" t="s">
        <v>498</v>
      </c>
    </row>
    <row r="105" spans="1:17" x14ac:dyDescent="0.3">
      <c r="A105" s="2" t="s">
        <v>563</v>
      </c>
      <c r="B105" s="10" t="s">
        <v>564</v>
      </c>
      <c r="C105" s="11">
        <v>156</v>
      </c>
      <c r="D105" s="11" t="s">
        <v>565</v>
      </c>
      <c r="E105" s="12">
        <v>8.0000000000000004E-4</v>
      </c>
      <c r="F105" s="11">
        <v>0.47</v>
      </c>
      <c r="G105" s="3">
        <f t="shared" si="6"/>
        <v>224410000</v>
      </c>
      <c r="H105" s="3" t="b">
        <f t="shared" si="7"/>
        <v>0</v>
      </c>
      <c r="I105" s="26">
        <f>Table14[[#This Row],[Tech]]*$T$7+Table14[[#This Row],[Beta]]*($T$6-$T$8)+$T$8</f>
        <v>6.6292000000000004E-2</v>
      </c>
      <c r="J105" s="42">
        <v>62331864.030000001</v>
      </c>
      <c r="K105" s="52">
        <f>Table14[[#This Row],[Investment]]/Table14[[#This Row],[Dollar Volume]]</f>
        <v>0.27775885223474889</v>
      </c>
      <c r="L105" s="34">
        <f>IFERROR(MAX($T$11+$T$12*LN(Table14[[#This Row],[Frac ADV]]),0),0)*0.0001+0.005/Table14[[#This Row],[Stock Price]]+Table14[[#This Row],[Expense Ratio]]</f>
        <v>2.5813784119175218E-2</v>
      </c>
      <c r="M105" s="46">
        <f>(Table14[[#This Row],[Expected Return]]-Table14[[#This Row],[Tcosts]])*Table14[[#This Row],[Investment]]</f>
        <v>2523082.6484605572</v>
      </c>
      <c r="Q105" s="16" t="s">
        <v>502</v>
      </c>
    </row>
    <row r="106" spans="1:17" x14ac:dyDescent="0.3">
      <c r="A106" s="4" t="s">
        <v>523</v>
      </c>
      <c r="B106" s="14" t="s">
        <v>524</v>
      </c>
      <c r="C106" s="6">
        <v>58.66</v>
      </c>
      <c r="D106" s="6" t="s">
        <v>525</v>
      </c>
      <c r="E106" s="15">
        <v>4.0000000000000002E-4</v>
      </c>
      <c r="F106" s="6">
        <v>0.77</v>
      </c>
      <c r="G106" s="3">
        <f t="shared" si="6"/>
        <v>153360000</v>
      </c>
      <c r="H106" s="3" t="b">
        <f t="shared" si="7"/>
        <v>0</v>
      </c>
      <c r="I106" s="26">
        <f>Table14[[#This Row],[Tech]]*$T$7+Table14[[#This Row],[Beta]]*($T$6-$T$8)+$T$8</f>
        <v>8.5372000000000003E-2</v>
      </c>
      <c r="J106" s="42">
        <v>60106222.799999997</v>
      </c>
      <c r="K106" s="52">
        <f>Table14[[#This Row],[Investment]]/Table14[[#This Row],[Dollar Volume]]</f>
        <v>0.39192894366197178</v>
      </c>
      <c r="L106" s="34">
        <f>IFERROR(MAX($T$11+$T$12*LN(Table14[[#This Row],[Frac ADV]]),0),0)*0.0001+0.005/Table14[[#This Row],[Stock Price]]+Table14[[#This Row],[Expense Ratio]]</f>
        <v>2.7153555495506611E-2</v>
      </c>
      <c r="M106" s="46">
        <f>(Table14[[#This Row],[Expected Return]]-Table14[[#This Row],[Tcosts]])*Table14[[#This Row],[Investment]]</f>
        <v>3499290.7964565153</v>
      </c>
      <c r="Q106" s="13" t="s">
        <v>506</v>
      </c>
    </row>
    <row r="107" spans="1:17" x14ac:dyDescent="0.3">
      <c r="A107" s="2" t="s">
        <v>527</v>
      </c>
      <c r="B107" s="10" t="s">
        <v>528</v>
      </c>
      <c r="C107" s="11">
        <v>150.43</v>
      </c>
      <c r="D107" s="11" t="s">
        <v>529</v>
      </c>
      <c r="E107" s="12">
        <v>2.3E-3</v>
      </c>
      <c r="F107" s="11">
        <v>0.77</v>
      </c>
      <c r="G107" s="3">
        <f t="shared" si="6"/>
        <v>511880000</v>
      </c>
      <c r="H107" s="3" t="b">
        <f t="shared" si="7"/>
        <v>0</v>
      </c>
      <c r="I107" s="26">
        <f>Table14[[#This Row],[Tech]]*$T$7+Table14[[#This Row],[Beta]]*($T$6-$T$8)+$T$8</f>
        <v>8.5372000000000003E-2</v>
      </c>
      <c r="J107" s="42">
        <v>59476259.18</v>
      </c>
      <c r="K107" s="52">
        <f>Table14[[#This Row],[Investment]]/Table14[[#This Row],[Dollar Volume]]</f>
        <v>0.11619180116433539</v>
      </c>
      <c r="L107" s="34">
        <f>IFERROR(MAX($T$11+$T$12*LN(Table14[[#This Row],[Frac ADV]]),0),0)*0.0001+0.005/Table14[[#This Row],[Stock Price]]+Table14[[#This Row],[Expense Ratio]]</f>
        <v>2.3046130761318978E-2</v>
      </c>
      <c r="M107" s="46">
        <f>(Table14[[#This Row],[Expected Return]]-Table14[[#This Row],[Tcosts]])*Table14[[#This Row],[Investment]]</f>
        <v>3706909.552458582</v>
      </c>
      <c r="Q107" s="16" t="s">
        <v>510</v>
      </c>
    </row>
    <row r="108" spans="1:17" x14ac:dyDescent="0.3">
      <c r="A108" s="4" t="s">
        <v>535</v>
      </c>
      <c r="B108" s="14" t="s">
        <v>536</v>
      </c>
      <c r="C108" s="6">
        <v>35.200000000000003</v>
      </c>
      <c r="D108" s="6" t="s">
        <v>537</v>
      </c>
      <c r="E108" s="15">
        <v>6.9999999999999999E-4</v>
      </c>
      <c r="F108" s="6">
        <v>0.67</v>
      </c>
      <c r="G108" s="3">
        <f t="shared" si="6"/>
        <v>98130000</v>
      </c>
      <c r="H108" s="3" t="b">
        <f t="shared" si="7"/>
        <v>0</v>
      </c>
      <c r="I108" s="26">
        <f>Table14[[#This Row],[Tech]]*$T$7+Table14[[#This Row],[Beta]]*($T$6-$T$8)+$T$8</f>
        <v>7.9011999999999999E-2</v>
      </c>
      <c r="J108" s="42">
        <v>58417846.520000003</v>
      </c>
      <c r="K108" s="52">
        <f>Table14[[#This Row],[Investment]]/Table14[[#This Row],[Dollar Volume]]</f>
        <v>0.59531077672475297</v>
      </c>
      <c r="L108" s="34">
        <f>IFERROR(MAX($T$11+$T$12*LN(Table14[[#This Row],[Frac ADV]]),0),0)*0.0001+0.005/Table14[[#This Row],[Stock Price]]+Table14[[#This Row],[Expense Ratio]]</f>
        <v>2.9557828748974998E-2</v>
      </c>
      <c r="M108" s="46">
        <f>(Table14[[#This Row],[Expected Return]]-Table14[[#This Row],[Tcosts]])*Table14[[#This Row],[Investment]]</f>
        <v>2889006.1859161747</v>
      </c>
      <c r="Q108" s="13" t="s">
        <v>514</v>
      </c>
    </row>
    <row r="109" spans="1:17" x14ac:dyDescent="0.3">
      <c r="A109" s="4" t="s">
        <v>555</v>
      </c>
      <c r="B109" s="14" t="s">
        <v>556</v>
      </c>
      <c r="C109" s="6">
        <v>48.65</v>
      </c>
      <c r="D109" s="6" t="s">
        <v>557</v>
      </c>
      <c r="E109" s="15">
        <v>2.9999999999999997E-4</v>
      </c>
      <c r="F109" s="6">
        <v>0.69</v>
      </c>
      <c r="G109" s="3">
        <f t="shared" si="6"/>
        <v>1900000000</v>
      </c>
      <c r="H109" s="3" t="b">
        <f t="shared" si="7"/>
        <v>0</v>
      </c>
      <c r="I109" s="26">
        <f>Table14[[#This Row],[Tech]]*$T$7+Table14[[#This Row],[Beta]]*($T$6-$T$8)+$T$8</f>
        <v>8.0283999999999994E-2</v>
      </c>
      <c r="J109" s="42">
        <v>54752108.439999998</v>
      </c>
      <c r="K109" s="52">
        <f>Table14[[#This Row],[Investment]]/Table14[[#This Row],[Dollar Volume]]</f>
        <v>2.8816899178947367E-2</v>
      </c>
      <c r="L109" s="34">
        <f>IFERROR(MAX($T$11+$T$12*LN(Table14[[#This Row],[Frac ADV]]),0),0)*0.0001+0.005/Table14[[#This Row],[Stock Price]]+Table14[[#This Row],[Expense Ratio]]</f>
        <v>1.4286196113819852E-2</v>
      </c>
      <c r="M109" s="46">
        <f>(Table14[[#This Row],[Expected Return]]-Table14[[#This Row],[Tcosts]])*Table14[[#This Row],[Investment]]</f>
        <v>3613518.9151779879</v>
      </c>
      <c r="Q109" s="16" t="s">
        <v>518</v>
      </c>
    </row>
    <row r="110" spans="1:17" x14ac:dyDescent="0.3">
      <c r="A110" s="4" t="s">
        <v>492</v>
      </c>
      <c r="B110" s="14" t="s">
        <v>493</v>
      </c>
      <c r="C110" s="6">
        <v>197.17</v>
      </c>
      <c r="D110" s="6" t="s">
        <v>494</v>
      </c>
      <c r="E110" s="15">
        <v>2.3999999999999998E-3</v>
      </c>
      <c r="F110" s="6">
        <v>0.88</v>
      </c>
      <c r="G110" s="3">
        <f t="shared" si="6"/>
        <v>126450000</v>
      </c>
      <c r="H110" s="3" t="b">
        <f t="shared" si="7"/>
        <v>0</v>
      </c>
      <c r="I110" s="26">
        <f>Table14[[#This Row],[Tech]]*$T$7+Table14[[#This Row],[Beta]]*($T$6-$T$8)+$T$8</f>
        <v>9.2368000000000006E-2</v>
      </c>
      <c r="J110" s="42">
        <v>52863824.590000004</v>
      </c>
      <c r="K110" s="52">
        <f>Table14[[#This Row],[Investment]]/Table14[[#This Row],[Dollar Volume]]</f>
        <v>0.41806108809806253</v>
      </c>
      <c r="L110" s="34">
        <f>IFERROR(MAX($T$11+$T$12*LN(Table14[[#This Row],[Frac ADV]]),0),0)*0.0001+0.005/Table14[[#This Row],[Stock Price]]+Table14[[#This Row],[Expense Ratio]]</f>
        <v>2.9409841881676863E-2</v>
      </c>
      <c r="M110" s="46">
        <f>(Table14[[#This Row],[Expected Return]]-Table14[[#This Row],[Tcosts]])*Table14[[#This Row],[Investment]]</f>
        <v>3328209.0272765192</v>
      </c>
      <c r="Q110" s="13" t="s">
        <v>522</v>
      </c>
    </row>
    <row r="111" spans="1:17" x14ac:dyDescent="0.3">
      <c r="A111" s="4" t="s">
        <v>539</v>
      </c>
      <c r="B111" s="14" t="s">
        <v>540</v>
      </c>
      <c r="C111" s="6">
        <v>68.5</v>
      </c>
      <c r="D111" s="6" t="s">
        <v>541</v>
      </c>
      <c r="E111" s="15">
        <v>2.9999999999999997E-4</v>
      </c>
      <c r="F111" s="6">
        <v>0.71</v>
      </c>
      <c r="G111" s="3">
        <f t="shared" si="6"/>
        <v>140740000</v>
      </c>
      <c r="H111" s="3" t="b">
        <f t="shared" si="7"/>
        <v>0</v>
      </c>
      <c r="I111" s="26">
        <f>Table14[[#This Row],[Tech]]*$T$7+Table14[[#This Row],[Beta]]*($T$6-$T$8)+$T$8</f>
        <v>8.1556000000000003E-2</v>
      </c>
      <c r="J111" s="42">
        <v>50443938.270000003</v>
      </c>
      <c r="K111" s="52">
        <f>Table14[[#This Row],[Investment]]/Table14[[#This Row],[Dollar Volume]]</f>
        <v>0.35841934254653973</v>
      </c>
      <c r="L111" s="34">
        <f>IFERROR(MAX($T$11+$T$12*LN(Table14[[#This Row],[Frac ADV]]),0),0)*0.0001+0.005/Table14[[#This Row],[Stock Price]]+Table14[[#This Row],[Expense Ratio]]</f>
        <v>2.6603524765215974E-2</v>
      </c>
      <c r="M111" s="46">
        <f>(Table14[[#This Row],[Expected Return]]-Table14[[#This Row],[Tcosts]])*Table14[[#This Row],[Investment]]</f>
        <v>2772019.2685271492</v>
      </c>
      <c r="Q111" s="16" t="s">
        <v>526</v>
      </c>
    </row>
    <row r="112" spans="1:17" x14ac:dyDescent="0.3">
      <c r="A112" s="4" t="s">
        <v>559</v>
      </c>
      <c r="B112" s="14" t="s">
        <v>560</v>
      </c>
      <c r="C112" s="6">
        <v>57.76</v>
      </c>
      <c r="D112" s="6" t="s">
        <v>561</v>
      </c>
      <c r="E112" s="15">
        <v>5.9999999999999995E-4</v>
      </c>
      <c r="F112" s="6">
        <v>0.66</v>
      </c>
      <c r="G112" s="3">
        <f t="shared" si="6"/>
        <v>3310000000</v>
      </c>
      <c r="H112" s="3" t="b">
        <f t="shared" si="7"/>
        <v>0</v>
      </c>
      <c r="I112" s="26">
        <f>Table14[[#This Row],[Tech]]*$T$7+Table14[[#This Row],[Beta]]*($T$6-$T$8)+$T$8</f>
        <v>7.8376000000000001E-2</v>
      </c>
      <c r="J112" s="42">
        <v>49828787.609999999</v>
      </c>
      <c r="K112" s="52">
        <f>Table14[[#This Row],[Investment]]/Table14[[#This Row],[Dollar Volume]]</f>
        <v>1.5054014383685801E-2</v>
      </c>
      <c r="L112" s="34">
        <f>IFERROR(MAX($T$11+$T$12*LN(Table14[[#This Row],[Frac ADV]]),0),0)*0.0001+0.005/Table14[[#This Row],[Stock Price]]+Table14[[#This Row],[Expense Ratio]]</f>
        <v>1.1389496659278235E-2</v>
      </c>
      <c r="M112" s="46">
        <f>(Table14[[#This Row],[Expected Return]]-Table14[[#This Row],[Tcosts]])*Table14[[#This Row],[Investment]]</f>
        <v>3337856.2477013799</v>
      </c>
      <c r="Q112" s="13" t="s">
        <v>530</v>
      </c>
    </row>
    <row r="113" spans="1:17" x14ac:dyDescent="0.3">
      <c r="A113" s="2" t="s">
        <v>602</v>
      </c>
      <c r="B113" s="10" t="s">
        <v>603</v>
      </c>
      <c r="C113" s="11">
        <v>102.87</v>
      </c>
      <c r="D113" s="11" t="s">
        <v>604</v>
      </c>
      <c r="E113" s="12">
        <v>2E-3</v>
      </c>
      <c r="F113" s="11">
        <v>0.72</v>
      </c>
      <c r="G113" s="3">
        <f t="shared" si="6"/>
        <v>2060000000</v>
      </c>
      <c r="H113" s="3" t="b">
        <f t="shared" si="7"/>
        <v>0</v>
      </c>
      <c r="I113" s="26">
        <f>Table14[[#This Row],[Tech]]*$T$7+Table14[[#This Row],[Beta]]*($T$6-$T$8)+$T$8</f>
        <v>8.2192000000000001E-2</v>
      </c>
      <c r="J113" s="42">
        <v>46989998.57</v>
      </c>
      <c r="K113" s="52">
        <f>Table14[[#This Row],[Investment]]/Table14[[#This Row],[Dollar Volume]]</f>
        <v>2.2810678917475728E-2</v>
      </c>
      <c r="L113" s="34">
        <f>IFERROR(MAX($T$11+$T$12*LN(Table14[[#This Row],[Frac ADV]]),0),0)*0.0001+0.005/Table14[[#This Row],[Stock Price]]+Table14[[#This Row],[Expense Ratio]]</f>
        <v>1.4787152997696512E-2</v>
      </c>
      <c r="M113" s="46">
        <f>(Table14[[#This Row],[Expected Return]]-Table14[[#This Row],[Tcosts]])*Table14[[#This Row],[Investment]]</f>
        <v>3167353.6642493098</v>
      </c>
      <c r="Q113" s="16" t="s">
        <v>534</v>
      </c>
    </row>
    <row r="114" spans="1:17" x14ac:dyDescent="0.3">
      <c r="A114" s="2" t="s">
        <v>480</v>
      </c>
      <c r="B114" s="10" t="s">
        <v>481</v>
      </c>
      <c r="C114" s="11">
        <v>154.59</v>
      </c>
      <c r="D114" s="11" t="s">
        <v>482</v>
      </c>
      <c r="E114" s="12">
        <v>4.0000000000000002E-4</v>
      </c>
      <c r="F114" s="11">
        <v>0.74</v>
      </c>
      <c r="G114" s="3">
        <f t="shared" si="6"/>
        <v>70210000</v>
      </c>
      <c r="H114" s="3" t="b">
        <f t="shared" si="7"/>
        <v>0</v>
      </c>
      <c r="I114" s="26">
        <f>Table14[[#This Row],[Tech]]*$T$7+Table14[[#This Row],[Beta]]*($T$6-$T$8)+$T$8</f>
        <v>8.346400000000001E-2</v>
      </c>
      <c r="J114" s="42">
        <v>46452308.670000002</v>
      </c>
      <c r="K114" s="52">
        <f>Table14[[#This Row],[Investment]]/Table14[[#This Row],[Dollar Volume]]</f>
        <v>0.66161955091867253</v>
      </c>
      <c r="L114" s="34">
        <f>IFERROR(MAX($T$11+$T$12*LN(Table14[[#This Row],[Frac ADV]]),0),0)*0.0001+0.005/Table14[[#This Row],[Stock Price]]+Table14[[#This Row],[Expense Ratio]]</f>
        <v>2.9665412255584632E-2</v>
      </c>
      <c r="M114" s="46">
        <f>(Table14[[#This Row],[Expected Return]]-Table14[[#This Row],[Tcosts]])*Table14[[#This Row],[Investment]]</f>
        <v>2499068.6039136625</v>
      </c>
      <c r="Q114" s="13" t="s">
        <v>538</v>
      </c>
    </row>
    <row r="115" spans="1:17" x14ac:dyDescent="0.3">
      <c r="A115" s="2" t="s">
        <v>519</v>
      </c>
      <c r="B115" s="10" t="s">
        <v>520</v>
      </c>
      <c r="C115" s="11">
        <v>76.209999999999994</v>
      </c>
      <c r="D115" s="11" t="s">
        <v>521</v>
      </c>
      <c r="E115" s="12">
        <v>1.9E-3</v>
      </c>
      <c r="F115" s="11">
        <v>0.83</v>
      </c>
      <c r="G115" s="3">
        <f t="shared" si="6"/>
        <v>86740000</v>
      </c>
      <c r="H115" s="3" t="b">
        <f t="shared" si="7"/>
        <v>0</v>
      </c>
      <c r="I115" s="26">
        <f>Table14[[#This Row],[Tech]]*$T$7+Table14[[#This Row],[Beta]]*($T$6-$T$8)+$T$8</f>
        <v>8.9188000000000003E-2</v>
      </c>
      <c r="J115" s="42">
        <v>45373416.689999998</v>
      </c>
      <c r="K115" s="52">
        <f>Table14[[#This Row],[Investment]]/Table14[[#This Row],[Dollar Volume]]</f>
        <v>0.52309680297440619</v>
      </c>
      <c r="L115" s="34">
        <f>IFERROR(MAX($T$11+$T$12*LN(Table14[[#This Row],[Frac ADV]]),0),0)*0.0001+0.005/Table14[[#This Row],[Stock Price]]+Table14[[#This Row],[Expense Ratio]]</f>
        <v>3.0047970012856605E-2</v>
      </c>
      <c r="M115" s="46">
        <f>(Table14[[#This Row],[Expected Return]]-Table14[[#This Row],[Tcosts]])*Table14[[#This Row],[Investment]]</f>
        <v>2683385.2236657524</v>
      </c>
      <c r="Q115" s="16" t="s">
        <v>542</v>
      </c>
    </row>
    <row r="116" spans="1:17" x14ac:dyDescent="0.3">
      <c r="A116" s="2" t="s">
        <v>654</v>
      </c>
      <c r="B116" s="10" t="s">
        <v>655</v>
      </c>
      <c r="C116" s="11">
        <v>113.28</v>
      </c>
      <c r="D116" s="11" t="s">
        <v>656</v>
      </c>
      <c r="E116" s="12">
        <v>3.5000000000000001E-3</v>
      </c>
      <c r="F116" s="11">
        <v>0.52</v>
      </c>
      <c r="G116" s="3">
        <f t="shared" si="6"/>
        <v>45870000</v>
      </c>
      <c r="H116" s="3" t="b">
        <f t="shared" si="7"/>
        <v>0</v>
      </c>
      <c r="I116" s="26">
        <f>Table14[[#This Row],[Tech]]*$T$7+Table14[[#This Row],[Beta]]*($T$6-$T$8)+$T$8</f>
        <v>6.9472000000000006E-2</v>
      </c>
      <c r="J116" s="42">
        <v>44140791.590000004</v>
      </c>
      <c r="K116" s="52">
        <f>Table14[[#This Row],[Investment]]/Table14[[#This Row],[Dollar Volume]]</f>
        <v>0.96230197492914771</v>
      </c>
      <c r="L116" s="34">
        <f>IFERROR(MAX($T$11+$T$12*LN(Table14[[#This Row],[Frac ADV]]),0),0)*0.0001+0.005/Table14[[#This Row],[Stock Price]]+Table14[[#This Row],[Expense Ratio]]</f>
        <v>3.4612259092625768E-2</v>
      </c>
      <c r="M116" s="46">
        <f>(Table14[[#This Row],[Expected Return]]-Table14[[#This Row],[Tcosts]])*Table14[[#This Row],[Investment]]</f>
        <v>1538736.5582738039</v>
      </c>
      <c r="Q116" s="13" t="s">
        <v>546</v>
      </c>
    </row>
    <row r="117" spans="1:17" x14ac:dyDescent="0.3">
      <c r="A117" s="4" t="s">
        <v>583</v>
      </c>
      <c r="B117" s="14" t="s">
        <v>584</v>
      </c>
      <c r="C117" s="6">
        <v>85.95</v>
      </c>
      <c r="D117" s="6" t="s">
        <v>585</v>
      </c>
      <c r="E117" s="15">
        <v>3.3E-3</v>
      </c>
      <c r="F117" s="6">
        <v>0.69</v>
      </c>
      <c r="G117" s="3">
        <f t="shared" si="6"/>
        <v>264190000</v>
      </c>
      <c r="H117" s="3" t="b">
        <f t="shared" si="7"/>
        <v>0</v>
      </c>
      <c r="I117" s="26">
        <f>Table14[[#This Row],[Tech]]*$T$7+Table14[[#This Row],[Beta]]*($T$6-$T$8)+$T$8</f>
        <v>8.0283999999999994E-2</v>
      </c>
      <c r="J117" s="42">
        <v>43710969.170000002</v>
      </c>
      <c r="K117" s="52">
        <f>Table14[[#This Row],[Investment]]/Table14[[#This Row],[Dollar Volume]]</f>
        <v>0.16545277705439268</v>
      </c>
      <c r="L117" s="34">
        <f>IFERROR(MAX($T$11+$T$12*LN(Table14[[#This Row],[Frac ADV]]),0),0)*0.0001+0.005/Table14[[#This Row],[Stock Price]]+Table14[[#This Row],[Expense Ratio]]</f>
        <v>2.5802305166446174E-2</v>
      </c>
      <c r="M117" s="46">
        <f>(Table14[[#This Row],[Expected Return]]-Table14[[#This Row],[Tcosts]])*Table14[[#This Row],[Investment]]</f>
        <v>2381447.6831988194</v>
      </c>
      <c r="Q117" s="16" t="s">
        <v>550</v>
      </c>
    </row>
    <row r="118" spans="1:17" x14ac:dyDescent="0.3">
      <c r="A118" s="4" t="s">
        <v>531</v>
      </c>
      <c r="B118" s="14" t="s">
        <v>532</v>
      </c>
      <c r="C118" s="6">
        <v>36.07</v>
      </c>
      <c r="D118" s="6" t="s">
        <v>533</v>
      </c>
      <c r="E118" s="15">
        <v>2.8999999999999998E-3</v>
      </c>
      <c r="F118" s="6">
        <v>0.66</v>
      </c>
      <c r="G118" s="3">
        <f t="shared" si="6"/>
        <v>62990000</v>
      </c>
      <c r="H118" s="3" t="b">
        <f t="shared" si="7"/>
        <v>0</v>
      </c>
      <c r="I118" s="26">
        <f>Table14[[#This Row],[Tech]]*$T$7+Table14[[#This Row],[Beta]]*($T$6-$T$8)+$T$8</f>
        <v>7.8376000000000001E-2</v>
      </c>
      <c r="J118" s="42">
        <v>43062211.939999998</v>
      </c>
      <c r="K118" s="52">
        <f>Table14[[#This Row],[Investment]]/Table14[[#This Row],[Dollar Volume]]</f>
        <v>0.68363568725194468</v>
      </c>
      <c r="L118" s="34">
        <f>IFERROR(MAX($T$11+$T$12*LN(Table14[[#This Row],[Frac ADV]]),0),0)*0.0001+0.005/Table14[[#This Row],[Stock Price]]+Table14[[#This Row],[Expense Ratio]]</f>
        <v>3.2432028105718068E-2</v>
      </c>
      <c r="M118" s="46">
        <f>(Table14[[#This Row],[Expected Return]]-Table14[[#This Row],[Tcosts]])*Table14[[#This Row],[Investment]]</f>
        <v>1978449.0550769719</v>
      </c>
      <c r="Q118" s="13" t="s">
        <v>554</v>
      </c>
    </row>
    <row r="119" spans="1:17" x14ac:dyDescent="0.3">
      <c r="A119" s="2" t="s">
        <v>551</v>
      </c>
      <c r="B119" s="10" t="s">
        <v>552</v>
      </c>
      <c r="C119" s="11">
        <v>92.51</v>
      </c>
      <c r="D119" s="11" t="s">
        <v>553</v>
      </c>
      <c r="E119" s="12">
        <v>2.8E-3</v>
      </c>
      <c r="F119" s="11">
        <v>0.77</v>
      </c>
      <c r="G119" s="3">
        <f t="shared" si="6"/>
        <v>103250000</v>
      </c>
      <c r="H119" s="3" t="b">
        <f t="shared" si="7"/>
        <v>0</v>
      </c>
      <c r="I119" s="26">
        <f>Table14[[#This Row],[Tech]]*$T$7+Table14[[#This Row],[Beta]]*($T$6-$T$8)+$T$8</f>
        <v>8.5372000000000003E-2</v>
      </c>
      <c r="J119" s="42">
        <v>41384928.640000001</v>
      </c>
      <c r="K119" s="52">
        <f>Table14[[#This Row],[Investment]]/Table14[[#This Row],[Dollar Volume]]</f>
        <v>0.4008225534140436</v>
      </c>
      <c r="L119" s="34">
        <f>IFERROR(MAX($T$11+$T$12*LN(Table14[[#This Row],[Frac ADV]]),0),0)*0.0001+0.005/Table14[[#This Row],[Stock Price]]+Table14[[#This Row],[Expense Ratio]]</f>
        <v>2.9632273968069479E-2</v>
      </c>
      <c r="M119" s="46">
        <f>(Table14[[#This Row],[Expected Return]]-Table14[[#This Row],[Tcosts]])*Table14[[#This Row],[Investment]]</f>
        <v>2306784.5842445949</v>
      </c>
      <c r="Q119" s="16" t="s">
        <v>558</v>
      </c>
    </row>
    <row r="120" spans="1:17" x14ac:dyDescent="0.3">
      <c r="A120" s="4" t="s">
        <v>511</v>
      </c>
      <c r="B120" s="14" t="s">
        <v>512</v>
      </c>
      <c r="C120" s="6">
        <v>80.260000000000005</v>
      </c>
      <c r="D120" s="6" t="s">
        <v>513</v>
      </c>
      <c r="E120" s="15">
        <v>4.0000000000000002E-4</v>
      </c>
      <c r="F120" s="6">
        <v>0.69</v>
      </c>
      <c r="G120" s="3">
        <f t="shared" si="6"/>
        <v>125690000</v>
      </c>
      <c r="H120" s="3" t="b">
        <f t="shared" si="7"/>
        <v>0</v>
      </c>
      <c r="I120" s="26">
        <f>Table14[[#This Row],[Tech]]*$T$7+Table14[[#This Row],[Beta]]*($T$6-$T$8)+$T$8</f>
        <v>8.0283999999999994E-2</v>
      </c>
      <c r="J120" s="42">
        <v>39642907.740000002</v>
      </c>
      <c r="K120" s="52">
        <f>Table14[[#This Row],[Investment]]/Table14[[#This Row],[Dollar Volume]]</f>
        <v>0.31540224154666247</v>
      </c>
      <c r="L120" s="34">
        <f>IFERROR(MAX($T$11+$T$12*LN(Table14[[#This Row],[Frac ADV]]),0),0)*0.0001+0.005/Table14[[#This Row],[Stock Price]]+Table14[[#This Row],[Expense Ratio]]</f>
        <v>2.606657017178091E-2</v>
      </c>
      <c r="M120" s="46">
        <f>(Table14[[#This Row],[Expected Return]]-Table14[[#This Row],[Tcosts]])*Table14[[#This Row],[Investment]]</f>
        <v>2149336.5685800137</v>
      </c>
      <c r="Q120" s="13" t="s">
        <v>562</v>
      </c>
    </row>
    <row r="121" spans="1:17" x14ac:dyDescent="0.3">
      <c r="A121" s="4" t="s">
        <v>496</v>
      </c>
      <c r="B121" s="14" t="s">
        <v>497</v>
      </c>
      <c r="C121" s="6">
        <v>56.91</v>
      </c>
      <c r="D121" s="6" t="s">
        <v>430</v>
      </c>
      <c r="E121" s="15">
        <v>2.5000000000000001E-3</v>
      </c>
      <c r="F121" s="6">
        <v>0.57999999999999996</v>
      </c>
      <c r="G121" s="3">
        <f t="shared" si="6"/>
        <v>327520000</v>
      </c>
      <c r="H121" s="3" t="b">
        <f t="shared" si="7"/>
        <v>0</v>
      </c>
      <c r="I121" s="26">
        <f>Table14[[#This Row],[Tech]]*$T$7+Table14[[#This Row],[Beta]]*($T$6-$T$8)+$T$8</f>
        <v>7.3287999999999992E-2</v>
      </c>
      <c r="J121" s="42">
        <v>39355133.119999997</v>
      </c>
      <c r="K121" s="52">
        <f>Table14[[#This Row],[Investment]]/Table14[[#This Row],[Dollar Volume]]</f>
        <v>0.12016100732779676</v>
      </c>
      <c r="L121" s="34">
        <f>IFERROR(MAX($T$11+$T$12*LN(Table14[[#This Row],[Frac ADV]]),0),0)*0.0001+0.005/Table14[[#This Row],[Stock Price]]+Table14[[#This Row],[Expense Ratio]]</f>
        <v>2.3465282864556649E-2</v>
      </c>
      <c r="M121" s="46">
        <f>(Table14[[#This Row],[Expected Return]]-Table14[[#This Row],[Tcosts]])*Table14[[#This Row],[Investment]]</f>
        <v>1960779.6652654775</v>
      </c>
      <c r="Q121" s="16" t="s">
        <v>566</v>
      </c>
    </row>
    <row r="122" spans="1:17" x14ac:dyDescent="0.3">
      <c r="A122" s="4" t="s">
        <v>634</v>
      </c>
      <c r="B122" s="14" t="s">
        <v>635</v>
      </c>
      <c r="C122" s="6">
        <v>48.43</v>
      </c>
      <c r="D122" s="6" t="s">
        <v>636</v>
      </c>
      <c r="E122" s="15">
        <v>3.0000000000000001E-3</v>
      </c>
      <c r="F122" s="6">
        <v>0.67</v>
      </c>
      <c r="G122" s="3">
        <f t="shared" si="6"/>
        <v>253220000</v>
      </c>
      <c r="H122" s="3" t="b">
        <f t="shared" si="7"/>
        <v>0</v>
      </c>
      <c r="I122" s="26">
        <f>Table14[[#This Row],[Tech]]*$T$7+Table14[[#This Row],[Beta]]*($T$6-$T$8)+$T$8</f>
        <v>7.9011999999999999E-2</v>
      </c>
      <c r="J122" s="42">
        <v>39232776.200000003</v>
      </c>
      <c r="K122" s="52">
        <f>Table14[[#This Row],[Investment]]/Table14[[#This Row],[Dollar Volume]]</f>
        <v>0.15493553510781141</v>
      </c>
      <c r="L122" s="34">
        <f>IFERROR(MAX($T$11+$T$12*LN(Table14[[#This Row],[Frac ADV]]),0),0)*0.0001+0.005/Table14[[#This Row],[Stock Price]]+Table14[[#This Row],[Expense Ratio]]</f>
        <v>2.5225675666133505E-2</v>
      </c>
      <c r="M122" s="46">
        <f>(Table14[[#This Row],[Expected Return]]-Table14[[#This Row],[Tcosts]])*Table14[[#This Row],[Investment]]</f>
        <v>2110186.8252111985</v>
      </c>
      <c r="Q122" s="13" t="s">
        <v>570</v>
      </c>
    </row>
    <row r="123" spans="1:17" x14ac:dyDescent="0.3">
      <c r="A123" s="4" t="s">
        <v>547</v>
      </c>
      <c r="B123" s="14" t="s">
        <v>548</v>
      </c>
      <c r="C123" s="6">
        <v>74.650000000000006</v>
      </c>
      <c r="D123" s="6" t="s">
        <v>549</v>
      </c>
      <c r="E123" s="15">
        <v>8.9999999999999998E-4</v>
      </c>
      <c r="F123" s="6">
        <v>0.7</v>
      </c>
      <c r="G123" s="3">
        <f t="shared" si="6"/>
        <v>135250000</v>
      </c>
      <c r="H123" s="3" t="b">
        <f t="shared" si="7"/>
        <v>0</v>
      </c>
      <c r="I123" s="26">
        <f>Table14[[#This Row],[Tech]]*$T$7+Table14[[#This Row],[Beta]]*($T$6-$T$8)+$T$8</f>
        <v>8.0919999999999992E-2</v>
      </c>
      <c r="J123" s="42">
        <v>39051288.159999996</v>
      </c>
      <c r="K123" s="52">
        <f>Table14[[#This Row],[Investment]]/Table14[[#This Row],[Dollar Volume]]</f>
        <v>0.28873410839186686</v>
      </c>
      <c r="L123" s="34">
        <f>IFERROR(MAX($T$11+$T$12*LN(Table14[[#This Row],[Frac ADV]]),0),0)*0.0001+0.005/Table14[[#This Row],[Stock Price]]+Table14[[#This Row],[Expense Ratio]]</f>
        <v>2.6138531868425682E-2</v>
      </c>
      <c r="M123" s="46">
        <f>(Table14[[#This Row],[Expected Return]]-Table14[[#This Row],[Tcosts]])*Table14[[#This Row],[Investment]]</f>
        <v>2139286.8978339648</v>
      </c>
      <c r="Q123" s="16" t="s">
        <v>574</v>
      </c>
    </row>
    <row r="124" spans="1:17" x14ac:dyDescent="0.3">
      <c r="A124" s="4" t="s">
        <v>614</v>
      </c>
      <c r="B124" s="14" t="s">
        <v>615</v>
      </c>
      <c r="C124" s="6">
        <v>51.15</v>
      </c>
      <c r="D124" s="6" t="s">
        <v>616</v>
      </c>
      <c r="E124" s="15">
        <v>2.5000000000000001E-3</v>
      </c>
      <c r="F124" s="6">
        <v>0.67</v>
      </c>
      <c r="G124" s="3">
        <f t="shared" si="6"/>
        <v>161370000</v>
      </c>
      <c r="H124" s="3" t="b">
        <f t="shared" si="7"/>
        <v>0</v>
      </c>
      <c r="I124" s="26">
        <f>Table14[[#This Row],[Tech]]*$T$7+Table14[[#This Row],[Beta]]*($T$6-$T$8)+$T$8</f>
        <v>7.9011999999999999E-2</v>
      </c>
      <c r="J124" s="42">
        <v>36050727.280000001</v>
      </c>
      <c r="K124" s="52">
        <f>Table14[[#This Row],[Investment]]/Table14[[#This Row],[Dollar Volume]]</f>
        <v>0.22340414748714135</v>
      </c>
      <c r="L124" s="34">
        <f>IFERROR(MAX($T$11+$T$12*LN(Table14[[#This Row],[Frac ADV]]),0),0)*0.0001+0.005/Table14[[#This Row],[Stock Price]]+Table14[[#This Row],[Expense Ratio]]</f>
        <v>2.6512798165306065E-2</v>
      </c>
      <c r="M124" s="46">
        <f>(Table14[[#This Row],[Expected Return]]-Table14[[#This Row],[Tcosts]])*Table14[[#This Row],[Investment]]</f>
        <v>1892634.4077602266</v>
      </c>
      <c r="Q124" s="13" t="s">
        <v>578</v>
      </c>
    </row>
    <row r="125" spans="1:17" x14ac:dyDescent="0.3">
      <c r="A125" s="4" t="s">
        <v>567</v>
      </c>
      <c r="B125" s="14" t="s">
        <v>568</v>
      </c>
      <c r="C125" s="6">
        <v>41.46</v>
      </c>
      <c r="D125" s="6" t="s">
        <v>569</v>
      </c>
      <c r="E125" s="15">
        <v>1.8E-3</v>
      </c>
      <c r="F125" s="6">
        <v>0.68</v>
      </c>
      <c r="G125" s="3">
        <f t="shared" si="6"/>
        <v>132770000.00000001</v>
      </c>
      <c r="H125" s="3" t="b">
        <f t="shared" si="7"/>
        <v>0</v>
      </c>
      <c r="I125" s="26">
        <f>Table14[[#This Row],[Tech]]*$T$7+Table14[[#This Row],[Beta]]*($T$6-$T$8)+$T$8</f>
        <v>7.964800000000001E-2</v>
      </c>
      <c r="J125" s="42">
        <v>35841491.32</v>
      </c>
      <c r="K125" s="52">
        <f>Table14[[#This Row],[Investment]]/Table14[[#This Row],[Dollar Volume]]</f>
        <v>0.26995173096331998</v>
      </c>
      <c r="L125" s="34">
        <f>IFERROR(MAX($T$11+$T$12*LN(Table14[[#This Row],[Frac ADV]]),0),0)*0.0001+0.005/Table14[[#This Row],[Stock Price]]+Table14[[#This Row],[Expense Ratio]]</f>
        <v>2.6762682523752905E-2</v>
      </c>
      <c r="M125" s="46">
        <f>(Table14[[#This Row],[Expected Return]]-Table14[[#This Row],[Tcosts]])*Table14[[#This Row],[Investment]]</f>
        <v>1895488.647280355</v>
      </c>
      <c r="Q125" s="16" t="s">
        <v>582</v>
      </c>
    </row>
    <row r="126" spans="1:17" x14ac:dyDescent="0.3">
      <c r="A126" s="4" t="s">
        <v>543</v>
      </c>
      <c r="B126" s="14" t="s">
        <v>544</v>
      </c>
      <c r="C126" s="6">
        <v>89.17</v>
      </c>
      <c r="D126" s="6" t="s">
        <v>545</v>
      </c>
      <c r="E126" s="15">
        <v>4.0000000000000002E-4</v>
      </c>
      <c r="F126" s="6">
        <v>0.71</v>
      </c>
      <c r="G126" s="3">
        <f t="shared" si="6"/>
        <v>134650000</v>
      </c>
      <c r="H126" s="3" t="b">
        <f t="shared" si="7"/>
        <v>0</v>
      </c>
      <c r="I126" s="26">
        <f>Table14[[#This Row],[Tech]]*$T$7+Table14[[#This Row],[Beta]]*($T$6-$T$8)+$T$8</f>
        <v>8.1556000000000003E-2</v>
      </c>
      <c r="J126" s="42">
        <v>35649134.43</v>
      </c>
      <c r="K126" s="52">
        <f>Table14[[#This Row],[Investment]]/Table14[[#This Row],[Dollar Volume]]</f>
        <v>0.26475406186409206</v>
      </c>
      <c r="L126" s="34">
        <f>IFERROR(MAX($T$11+$T$12*LN(Table14[[#This Row],[Frac ADV]]),0),0)*0.0001+0.005/Table14[[#This Row],[Stock Price]]+Table14[[#This Row],[Expense Ratio]]</f>
        <v>2.5202926886982495E-2</v>
      </c>
      <c r="M126" s="46">
        <f>(Table14[[#This Row],[Expected Return]]-Table14[[#This Row],[Tcosts]])*Table14[[#This Row],[Investment]]</f>
        <v>2008938.2789495797</v>
      </c>
      <c r="Q126" s="13" t="s">
        <v>586</v>
      </c>
    </row>
    <row r="127" spans="1:17" x14ac:dyDescent="0.3">
      <c r="A127" s="2" t="s">
        <v>595</v>
      </c>
      <c r="B127" s="10" t="s">
        <v>596</v>
      </c>
      <c r="C127" s="11">
        <v>107.32</v>
      </c>
      <c r="D127" s="11" t="s">
        <v>597</v>
      </c>
      <c r="E127" s="12">
        <v>3.5999999999999999E-3</v>
      </c>
      <c r="F127" s="11">
        <v>0.74</v>
      </c>
      <c r="G127" s="3">
        <f t="shared" si="6"/>
        <v>97020000</v>
      </c>
      <c r="H127" s="3" t="b">
        <f t="shared" si="7"/>
        <v>0</v>
      </c>
      <c r="I127" s="26">
        <f>Table14[[#This Row],[Tech]]*$T$7+Table14[[#This Row],[Beta]]*($T$6-$T$8)+$T$8</f>
        <v>8.346400000000001E-2</v>
      </c>
      <c r="J127" s="42">
        <v>33923121.130000003</v>
      </c>
      <c r="K127" s="52">
        <f>Table14[[#This Row],[Investment]]/Table14[[#This Row],[Dollar Volume]]</f>
        <v>0.34965080529787673</v>
      </c>
      <c r="L127" s="34">
        <f>IFERROR(MAX($T$11+$T$12*LN(Table14[[#This Row],[Frac ADV]]),0),0)*0.0001+0.005/Table14[[#This Row],[Stock Price]]+Table14[[#This Row],[Expense Ratio]]</f>
        <v>2.9755799559780912E-2</v>
      </c>
      <c r="M127" s="46">
        <f>(Table14[[#This Row],[Expected Return]]-Table14[[#This Row],[Tcosts]])*Table14[[#This Row],[Investment]]</f>
        <v>1821949.7892078718</v>
      </c>
      <c r="Q127" s="16" t="s">
        <v>590</v>
      </c>
    </row>
    <row r="128" spans="1:17" x14ac:dyDescent="0.3">
      <c r="A128" s="4" t="s">
        <v>579</v>
      </c>
      <c r="B128" s="14" t="s">
        <v>580</v>
      </c>
      <c r="C128" s="6">
        <v>88.75</v>
      </c>
      <c r="D128" s="6" t="s">
        <v>581</v>
      </c>
      <c r="E128" s="15">
        <v>5.9999999999999995E-4</v>
      </c>
      <c r="F128" s="6">
        <v>0.68</v>
      </c>
      <c r="G128" s="3">
        <f t="shared" si="6"/>
        <v>55380000</v>
      </c>
      <c r="H128" s="3" t="b">
        <f t="shared" si="7"/>
        <v>0</v>
      </c>
      <c r="I128" s="26">
        <f>Table14[[#This Row],[Tech]]*$T$7+Table14[[#This Row],[Beta]]*($T$6-$T$8)+$T$8</f>
        <v>7.964800000000001E-2</v>
      </c>
      <c r="J128" s="42">
        <v>32106229.699999999</v>
      </c>
      <c r="K128" s="52">
        <f>Table14[[#This Row],[Investment]]/Table14[[#This Row],[Dollar Volume]]</f>
        <v>0.57974412603828096</v>
      </c>
      <c r="L128" s="34">
        <f>IFERROR(MAX($T$11+$T$12*LN(Table14[[#This Row],[Frac ADV]]),0),0)*0.0001+0.005/Table14[[#This Row],[Stock Price]]+Table14[[#This Row],[Expense Ratio]]</f>
        <v>2.9242334848428031E-2</v>
      </c>
      <c r="M128" s="46">
        <f>(Table14[[#This Row],[Expected Return]]-Table14[[#This Row],[Tcosts]])*Table14[[#This Row],[Investment]]</f>
        <v>1618335.8635376552</v>
      </c>
      <c r="Q128" s="13" t="s">
        <v>594</v>
      </c>
    </row>
    <row r="129" spans="1:17" x14ac:dyDescent="0.3">
      <c r="A129" s="4" t="s">
        <v>626</v>
      </c>
      <c r="B129" s="14" t="s">
        <v>627</v>
      </c>
      <c r="C129" s="6">
        <v>50.27</v>
      </c>
      <c r="D129" s="6" t="s">
        <v>628</v>
      </c>
      <c r="E129" s="15">
        <v>8.5000000000000006E-3</v>
      </c>
      <c r="F129" s="6">
        <v>0.38</v>
      </c>
      <c r="G129" s="3">
        <f t="shared" si="6"/>
        <v>90940000</v>
      </c>
      <c r="H129" s="3" t="b">
        <f t="shared" si="7"/>
        <v>0</v>
      </c>
      <c r="I129" s="26">
        <f>Table14[[#This Row],[Tech]]*$T$7+Table14[[#This Row],[Beta]]*($T$6-$T$8)+$T$8</f>
        <v>6.0568000000000004E-2</v>
      </c>
      <c r="J129" s="42">
        <v>31230213.670000002</v>
      </c>
      <c r="K129" s="52">
        <f>Table14[[#This Row],[Investment]]/Table14[[#This Row],[Dollar Volume]]</f>
        <v>0.34341558906971631</v>
      </c>
      <c r="L129" s="34">
        <f>IFERROR(MAX($T$11+$T$12*LN(Table14[[#This Row],[Frac ADV]]),0),0)*0.0001+0.005/Table14[[#This Row],[Stock Price]]+Table14[[#This Row],[Expense Ratio]]</f>
        <v>3.4620536402809834E-2</v>
      </c>
      <c r="M129" s="46">
        <f>(Table14[[#This Row],[Expected Return]]-Table14[[#This Row],[Tcosts]])*Table14[[#This Row],[Investment]]</f>
        <v>810344.83233479585</v>
      </c>
      <c r="Q129" s="16" t="s">
        <v>598</v>
      </c>
    </row>
    <row r="130" spans="1:17" x14ac:dyDescent="0.3">
      <c r="A130" s="2" t="s">
        <v>587</v>
      </c>
      <c r="B130" s="10" t="s">
        <v>588</v>
      </c>
      <c r="C130" s="11">
        <v>83.77</v>
      </c>
      <c r="D130" s="11" t="s">
        <v>589</v>
      </c>
      <c r="E130" s="12">
        <v>2.5000000000000001E-3</v>
      </c>
      <c r="F130" s="11">
        <v>0.73</v>
      </c>
      <c r="G130" s="3">
        <f t="shared" ref="G130:G161" si="8">IF(RIGHT(Q130,1)="B", VALUE(SUBSTITUTE(Q130,"B",""))*1000000000,
 IF(RIGHT(Q130,1)="M", VALUE(SUBSTITUTE(Q130,"M",""))*1000000, VALUE(Q130)))</f>
        <v>956440000</v>
      </c>
      <c r="H130" s="3" t="b">
        <f t="shared" ref="H130:H161" si="9">OR(
  ISNUMBER(SEARCH("technology",B130)),
  ISNUMBER(SEARCH("tech",B130)),
  ISNUMBER(SEARCH("qqq",B130)),
  ISNUMBER(SEARCH("semiconductor",B130)),
  ISNUMBER(SEARCH("information technology",B130)),
  ISNUMBER(SEARCH("nasdaq",B130)),
  ISNUMBER(SEARCH("communication",B130))
)</f>
        <v>0</v>
      </c>
      <c r="I130" s="26">
        <f>Table14[[#This Row],[Tech]]*$T$7+Table14[[#This Row],[Beta]]*($T$6-$T$8)+$T$8</f>
        <v>8.2828000000000013E-2</v>
      </c>
      <c r="J130" s="42">
        <v>31126858.219999999</v>
      </c>
      <c r="K130" s="52">
        <f>Table14[[#This Row],[Investment]]/Table14[[#This Row],[Dollar Volume]]</f>
        <v>3.2544496486972524E-2</v>
      </c>
      <c r="L130" s="34">
        <f>IFERROR(MAX($T$11+$T$12*LN(Table14[[#This Row],[Frac ADV]]),0),0)*0.0001+0.005/Table14[[#This Row],[Stock Price]]+Table14[[#This Row],[Expense Ratio]]</f>
        <v>1.7038956935677727E-2</v>
      </c>
      <c r="M130" s="46">
        <f>(Table14[[#This Row],[Expected Return]]-Table14[[#This Row],[Tcosts]])*Table14[[#This Row],[Investment]]</f>
        <v>2047806.2158926341</v>
      </c>
      <c r="Q130" s="13" t="s">
        <v>601</v>
      </c>
    </row>
    <row r="131" spans="1:17" x14ac:dyDescent="0.3">
      <c r="A131" s="4" t="s">
        <v>665</v>
      </c>
      <c r="B131" s="14" t="s">
        <v>666</v>
      </c>
      <c r="C131" s="6">
        <v>98.28</v>
      </c>
      <c r="D131" s="6" t="s">
        <v>667</v>
      </c>
      <c r="E131" s="15">
        <v>5.1000000000000004E-3</v>
      </c>
      <c r="F131" s="6">
        <v>0.53</v>
      </c>
      <c r="G131" s="3">
        <f t="shared" si="8"/>
        <v>392540000</v>
      </c>
      <c r="H131" s="3" t="b">
        <f t="shared" si="9"/>
        <v>0</v>
      </c>
      <c r="I131" s="26">
        <f>Table14[[#This Row],[Tech]]*$T$7+Table14[[#This Row],[Beta]]*($T$6-$T$8)+$T$8</f>
        <v>7.0108000000000004E-2</v>
      </c>
      <c r="J131" s="42">
        <v>30625563.190000001</v>
      </c>
      <c r="K131" s="52">
        <f>Table14[[#This Row],[Investment]]/Table14[[#This Row],[Dollar Volume]]</f>
        <v>7.8018961609008008E-2</v>
      </c>
      <c r="L131" s="34">
        <f>IFERROR(MAX($T$11+$T$12*LN(Table14[[#This Row],[Frac ADV]]),0),0)*0.0001+0.005/Table14[[#This Row],[Stock Price]]+Table14[[#This Row],[Expense Ratio]]</f>
        <v>2.3912859550167025E-2</v>
      </c>
      <c r="M131" s="46">
        <f>(Table14[[#This Row],[Expected Return]]-Table14[[#This Row],[Tcosts]])*Table14[[#This Row],[Investment]]</f>
        <v>1414752.192917285</v>
      </c>
      <c r="Q131" s="16" t="s">
        <v>605</v>
      </c>
    </row>
    <row r="132" spans="1:17" x14ac:dyDescent="0.3">
      <c r="A132" s="4" t="s">
        <v>618</v>
      </c>
      <c r="B132" s="14" t="s">
        <v>619</v>
      </c>
      <c r="C132" s="6">
        <v>53.98</v>
      </c>
      <c r="D132" s="6" t="s">
        <v>620</v>
      </c>
      <c r="E132" s="15">
        <v>8.0000000000000004E-4</v>
      </c>
      <c r="F132" s="6">
        <v>0.63</v>
      </c>
      <c r="G132" s="3">
        <f t="shared" si="8"/>
        <v>174030000</v>
      </c>
      <c r="H132" s="3" t="b">
        <f t="shared" si="9"/>
        <v>0</v>
      </c>
      <c r="I132" s="26">
        <f>Table14[[#This Row],[Tech]]*$T$7+Table14[[#This Row],[Beta]]*($T$6-$T$8)+$T$8</f>
        <v>7.6468000000000008E-2</v>
      </c>
      <c r="J132" s="42">
        <v>30170696.629999999</v>
      </c>
      <c r="K132" s="52">
        <f>Table14[[#This Row],[Investment]]/Table14[[#This Row],[Dollar Volume]]</f>
        <v>0.17336491771533644</v>
      </c>
      <c r="L132" s="34">
        <f>IFERROR(MAX($T$11+$T$12*LN(Table14[[#This Row],[Frac ADV]]),0),0)*0.0001+0.005/Table14[[#This Row],[Stock Price]]+Table14[[#This Row],[Expense Ratio]]</f>
        <v>2.3565568120174435E-2</v>
      </c>
      <c r="M132" s="46">
        <f>(Table14[[#This Row],[Expected Return]]-Table14[[#This Row],[Tcosts]])*Table14[[#This Row],[Investment]]</f>
        <v>1596103.2232354579</v>
      </c>
      <c r="Q132" s="13" t="s">
        <v>609</v>
      </c>
    </row>
    <row r="133" spans="1:17" x14ac:dyDescent="0.3">
      <c r="A133" s="4" t="s">
        <v>571</v>
      </c>
      <c r="B133" s="14" t="s">
        <v>572</v>
      </c>
      <c r="C133" s="6">
        <v>49.94</v>
      </c>
      <c r="D133" s="6" t="s">
        <v>573</v>
      </c>
      <c r="E133" s="15">
        <v>2.0999999999999999E-3</v>
      </c>
      <c r="F133" s="6">
        <v>0.82</v>
      </c>
      <c r="G133" s="3">
        <f t="shared" si="8"/>
        <v>229180000</v>
      </c>
      <c r="H133" s="3" t="b">
        <f t="shared" si="9"/>
        <v>0</v>
      </c>
      <c r="I133" s="26">
        <f>Table14[[#This Row],[Tech]]*$T$7+Table14[[#This Row],[Beta]]*($T$6-$T$8)+$T$8</f>
        <v>8.8551999999999992E-2</v>
      </c>
      <c r="J133" s="42">
        <v>29129638.140000001</v>
      </c>
      <c r="K133" s="52">
        <f>Table14[[#This Row],[Investment]]/Table14[[#This Row],[Dollar Volume]]</f>
        <v>0.12710375311981847</v>
      </c>
      <c r="L133" s="34">
        <f>IFERROR(MAX($T$11+$T$12*LN(Table14[[#This Row],[Frac ADV]]),0),0)*0.0001+0.005/Table14[[#This Row],[Stock Price]]+Table14[[#This Row],[Expense Ratio]]</f>
        <v>2.3352682756854998E-2</v>
      </c>
      <c r="M133" s="46">
        <f>(Table14[[#This Row],[Expected Return]]-Table14[[#This Row],[Tcosts]])*Table14[[#This Row],[Investment]]</f>
        <v>1899232.5182678762</v>
      </c>
      <c r="Q133" s="16" t="s">
        <v>613</v>
      </c>
    </row>
    <row r="134" spans="1:17" x14ac:dyDescent="0.3">
      <c r="A134" s="4" t="s">
        <v>606</v>
      </c>
      <c r="B134" s="14" t="s">
        <v>607</v>
      </c>
      <c r="C134" s="6">
        <v>37.71</v>
      </c>
      <c r="D134" s="6" t="s">
        <v>608</v>
      </c>
      <c r="E134" s="15">
        <v>2.3E-3</v>
      </c>
      <c r="F134" s="6">
        <v>0.65</v>
      </c>
      <c r="G134" s="3">
        <f t="shared" si="8"/>
        <v>91260000</v>
      </c>
      <c r="H134" s="3" t="b">
        <f t="shared" si="9"/>
        <v>0</v>
      </c>
      <c r="I134" s="26">
        <f>Table14[[#This Row],[Tech]]*$T$7+Table14[[#This Row],[Beta]]*($T$6-$T$8)+$T$8</f>
        <v>7.7740000000000004E-2</v>
      </c>
      <c r="J134" s="42">
        <v>28596597.460000001</v>
      </c>
      <c r="K134" s="52">
        <f>Table14[[#This Row],[Investment]]/Table14[[#This Row],[Dollar Volume]]</f>
        <v>0.31335302936664478</v>
      </c>
      <c r="L134" s="34">
        <f>IFERROR(MAX($T$11+$T$12*LN(Table14[[#This Row],[Frac ADV]]),0),0)*0.0001+0.005/Table14[[#This Row],[Stock Price]]+Table14[[#This Row],[Expense Ratio]]</f>
        <v>2.8004935307773336E-2</v>
      </c>
      <c r="M134" s="46">
        <f>(Table14[[#This Row],[Expected Return]]-Table14[[#This Row],[Tcosts]])*Table14[[#This Row],[Investment]]</f>
        <v>1422253.6246506649</v>
      </c>
      <c r="Q134" s="13" t="s">
        <v>617</v>
      </c>
    </row>
    <row r="135" spans="1:17" x14ac:dyDescent="0.3">
      <c r="A135" s="2" t="s">
        <v>488</v>
      </c>
      <c r="B135" s="10" t="s">
        <v>489</v>
      </c>
      <c r="C135" s="11">
        <v>71.34</v>
      </c>
      <c r="D135" s="11" t="s">
        <v>490</v>
      </c>
      <c r="E135" s="12">
        <v>4.7999999999999996E-3</v>
      </c>
      <c r="F135" s="11">
        <v>0.92</v>
      </c>
      <c r="G135" s="3">
        <f t="shared" si="8"/>
        <v>96950000</v>
      </c>
      <c r="H135" s="3" t="b">
        <f t="shared" si="9"/>
        <v>0</v>
      </c>
      <c r="I135" s="26">
        <f>Table14[[#This Row],[Tech]]*$T$7+Table14[[#This Row],[Beta]]*($T$6-$T$8)+$T$8</f>
        <v>9.491200000000001E-2</v>
      </c>
      <c r="J135" s="42">
        <v>28227675.559999999</v>
      </c>
      <c r="K135" s="52">
        <f>Table14[[#This Row],[Investment]]/Table14[[#This Row],[Dollar Volume]]</f>
        <v>0.2911570454873646</v>
      </c>
      <c r="L135" s="34">
        <f>IFERROR(MAX($T$11+$T$12*LN(Table14[[#This Row],[Frac ADV]]),0),0)*0.0001+0.005/Table14[[#This Row],[Stock Price]]+Table14[[#This Row],[Expense Ratio]]</f>
        <v>3.0082571749222221E-2</v>
      </c>
      <c r="M135" s="46">
        <f>(Table14[[#This Row],[Expected Return]]-Table14[[#This Row],[Tcosts]])*Table14[[#This Row],[Investment]]</f>
        <v>1829984.0674032534</v>
      </c>
      <c r="Q135" s="16" t="s">
        <v>621</v>
      </c>
    </row>
    <row r="136" spans="1:17" x14ac:dyDescent="0.3">
      <c r="A136" s="2" t="s">
        <v>575</v>
      </c>
      <c r="B136" s="10" t="s">
        <v>576</v>
      </c>
      <c r="C136" s="11">
        <v>50.29</v>
      </c>
      <c r="D136" s="11" t="s">
        <v>577</v>
      </c>
      <c r="E136" s="12">
        <v>6.9999999999999999E-4</v>
      </c>
      <c r="F136" s="11">
        <v>0.64</v>
      </c>
      <c r="G136" s="3">
        <f t="shared" si="8"/>
        <v>54550000</v>
      </c>
      <c r="H136" s="3" t="b">
        <f t="shared" si="9"/>
        <v>0</v>
      </c>
      <c r="I136" s="26">
        <f>Table14[[#This Row],[Tech]]*$T$7+Table14[[#This Row],[Beta]]*($T$6-$T$8)+$T$8</f>
        <v>7.7104000000000006E-2</v>
      </c>
      <c r="J136" s="42">
        <v>28018151.489999998</v>
      </c>
      <c r="K136" s="52">
        <f>Table14[[#This Row],[Investment]]/Table14[[#This Row],[Dollar Volume]]</f>
        <v>0.51362330870760764</v>
      </c>
      <c r="L136" s="34">
        <f>IFERROR(MAX($T$11+$T$12*LN(Table14[[#This Row],[Frac ADV]]),0),0)*0.0001+0.005/Table14[[#This Row],[Stock Price]]+Table14[[#This Row],[Expense Ratio]]</f>
        <v>2.8792263583736741E-2</v>
      </c>
      <c r="M136" s="46">
        <f>(Table14[[#This Row],[Expected Return]]-Table14[[#This Row],[Tcosts]])*Table14[[#This Row],[Investment]]</f>
        <v>1353605.549655814</v>
      </c>
      <c r="Q136" s="13" t="s">
        <v>625</v>
      </c>
    </row>
    <row r="137" spans="1:17" x14ac:dyDescent="0.3">
      <c r="A137" s="4" t="s">
        <v>599</v>
      </c>
      <c r="B137" s="14" t="s">
        <v>600</v>
      </c>
      <c r="C137" s="6">
        <v>63.52</v>
      </c>
      <c r="D137" s="6" t="s">
        <v>322</v>
      </c>
      <c r="E137" s="15">
        <v>4.8999999999999998E-3</v>
      </c>
      <c r="F137" s="6">
        <v>0.8</v>
      </c>
      <c r="G137" s="3">
        <f t="shared" si="8"/>
        <v>3810000000</v>
      </c>
      <c r="H137" s="3" t="b">
        <f t="shared" si="9"/>
        <v>0</v>
      </c>
      <c r="I137" s="26">
        <f>Table14[[#This Row],[Tech]]*$T$7+Table14[[#This Row],[Beta]]*($T$6-$T$8)+$T$8</f>
        <v>8.728000000000001E-2</v>
      </c>
      <c r="J137" s="42">
        <v>27006485.18</v>
      </c>
      <c r="K137" s="52">
        <f>Table14[[#This Row],[Investment]]/Table14[[#This Row],[Dollar Volume]]</f>
        <v>7.0883163202099739E-3</v>
      </c>
      <c r="L137" s="34">
        <f>IFERROR(MAX($T$11+$T$12*LN(Table14[[#This Row],[Frac ADV]]),0),0)*0.0001+0.005/Table14[[#This Row],[Stock Price]]+Table14[[#This Row],[Expense Ratio]]</f>
        <v>1.1992333895770703E-2</v>
      </c>
      <c r="M137" s="46">
        <f>(Table14[[#This Row],[Expected Return]]-Table14[[#This Row],[Tcosts]])*Table14[[#This Row],[Investment]]</f>
        <v>2033255.2388806571</v>
      </c>
      <c r="Q137" s="16" t="s">
        <v>629</v>
      </c>
    </row>
    <row r="138" spans="1:17" x14ac:dyDescent="0.3">
      <c r="A138" s="4" t="s">
        <v>839</v>
      </c>
      <c r="B138" s="14" t="s">
        <v>840</v>
      </c>
      <c r="C138" s="6">
        <v>111.25</v>
      </c>
      <c r="D138" s="6" t="s">
        <v>730</v>
      </c>
      <c r="E138" s="15">
        <v>1.8E-3</v>
      </c>
      <c r="F138" s="6">
        <v>-0.04</v>
      </c>
      <c r="G138" s="3">
        <f t="shared" si="8"/>
        <v>96500000</v>
      </c>
      <c r="H138" s="3" t="b">
        <f t="shared" si="9"/>
        <v>0</v>
      </c>
      <c r="I138" s="26">
        <f>Table14[[#This Row],[Tech]]*$T$7+Table14[[#This Row],[Beta]]*($T$6-$T$8)+$T$8</f>
        <v>3.3856000000000004E-2</v>
      </c>
      <c r="J138" s="42">
        <v>26687472.190000001</v>
      </c>
      <c r="K138" s="52">
        <f>Table14[[#This Row],[Investment]]/Table14[[#This Row],[Dollar Volume]]</f>
        <v>0.27655411595854923</v>
      </c>
      <c r="L138" s="34">
        <f>IFERROR(MAX($T$11+$T$12*LN(Table14[[#This Row],[Frac ADV]]),0),0)*0.0001+0.005/Table14[[#This Row],[Stock Price]]+Table14[[#This Row],[Expense Ratio]]</f>
        <v>2.6805385236824526E-2</v>
      </c>
      <c r="M138" s="46">
        <f>(Table14[[#This Row],[Expected Return]]-Table14[[#This Row],[Tcosts]])*Table14[[#This Row],[Investment]]</f>
        <v>188163.08541464902</v>
      </c>
      <c r="Q138" s="13" t="s">
        <v>633</v>
      </c>
    </row>
    <row r="139" spans="1:17" x14ac:dyDescent="0.3">
      <c r="A139" s="4" t="s">
        <v>638</v>
      </c>
      <c r="B139" s="14" t="s">
        <v>639</v>
      </c>
      <c r="C139" s="6">
        <v>55.21</v>
      </c>
      <c r="D139" s="6" t="s">
        <v>640</v>
      </c>
      <c r="E139" s="15">
        <v>2.7000000000000001E-3</v>
      </c>
      <c r="F139" s="6">
        <v>0.67</v>
      </c>
      <c r="G139" s="3">
        <f t="shared" si="8"/>
        <v>93410000</v>
      </c>
      <c r="H139" s="3" t="b">
        <f t="shared" si="9"/>
        <v>0</v>
      </c>
      <c r="I139" s="26">
        <f>Table14[[#This Row],[Tech]]*$T$7+Table14[[#This Row],[Beta]]*($T$6-$T$8)+$T$8</f>
        <v>7.9011999999999999E-2</v>
      </c>
      <c r="J139" s="42">
        <v>24746404.460000001</v>
      </c>
      <c r="K139" s="52">
        <f>Table14[[#This Row],[Investment]]/Table14[[#This Row],[Dollar Volume]]</f>
        <v>0.26492243293009315</v>
      </c>
      <c r="L139" s="34">
        <f>IFERROR(MAX($T$11+$T$12*LN(Table14[[#This Row],[Frac ADV]]),0),0)*0.0001+0.005/Table14[[#This Row],[Stock Price]]+Table14[[#This Row],[Expense Ratio]]</f>
        <v>2.7540531557638238E-2</v>
      </c>
      <c r="M139" s="46">
        <f>(Table14[[#This Row],[Expected Return]]-Table14[[#This Row],[Tcosts]])*Table14[[#This Row],[Investment]]</f>
        <v>1273733.7762248104</v>
      </c>
      <c r="Q139" s="16" t="s">
        <v>637</v>
      </c>
    </row>
    <row r="140" spans="1:17" x14ac:dyDescent="0.3">
      <c r="A140" s="2" t="s">
        <v>803</v>
      </c>
      <c r="B140" s="10" t="s">
        <v>804</v>
      </c>
      <c r="C140" s="11">
        <v>49.74</v>
      </c>
      <c r="D140" s="11" t="s">
        <v>805</v>
      </c>
      <c r="E140" s="12">
        <v>2.9999999999999997E-4</v>
      </c>
      <c r="F140" s="11">
        <v>-0.04</v>
      </c>
      <c r="G140" s="3">
        <f t="shared" si="8"/>
        <v>437940000</v>
      </c>
      <c r="H140" s="3" t="b">
        <f t="shared" si="9"/>
        <v>0</v>
      </c>
      <c r="I140" s="26">
        <f>Table14[[#This Row],[Tech]]*$T$7+Table14[[#This Row],[Beta]]*($T$6-$T$8)+$T$8</f>
        <v>3.3856000000000004E-2</v>
      </c>
      <c r="J140" s="42">
        <v>24255553.25</v>
      </c>
      <c r="K140" s="52">
        <f>Table14[[#This Row],[Investment]]/Table14[[#This Row],[Dollar Volume]]</f>
        <v>5.5385562519979906E-2</v>
      </c>
      <c r="L140" s="34">
        <f>IFERROR(MAX($T$11+$T$12*LN(Table14[[#This Row],[Frac ADV]]),0),0)*0.0001+0.005/Table14[[#This Row],[Stock Price]]+Table14[[#This Row],[Expense Ratio]]</f>
        <v>1.7484220639151744E-2</v>
      </c>
      <c r="M140" s="46">
        <f>(Table14[[#This Row],[Expected Return]]-Table14[[#This Row],[Tcosts]])*Table14[[#This Row],[Investment]]</f>
        <v>397106.56608430593</v>
      </c>
      <c r="Q140" s="13" t="s">
        <v>641</v>
      </c>
    </row>
    <row r="141" spans="1:17" x14ac:dyDescent="0.3">
      <c r="A141" s="2" t="s">
        <v>610</v>
      </c>
      <c r="B141" s="10" t="s">
        <v>611</v>
      </c>
      <c r="C141" s="11">
        <v>138.38999999999999</v>
      </c>
      <c r="D141" s="11" t="s">
        <v>612</v>
      </c>
      <c r="E141" s="12">
        <v>8.0000000000000004E-4</v>
      </c>
      <c r="F141" s="11">
        <v>0.35</v>
      </c>
      <c r="G141" s="3">
        <f t="shared" si="8"/>
        <v>3150000000</v>
      </c>
      <c r="H141" s="3" t="b">
        <f t="shared" si="9"/>
        <v>0</v>
      </c>
      <c r="I141" s="26">
        <f>Table14[[#This Row],[Tech]]*$T$7+Table14[[#This Row],[Beta]]*($T$6-$T$8)+$T$8</f>
        <v>5.8660000000000004E-2</v>
      </c>
      <c r="J141" s="42">
        <v>22919713.899999999</v>
      </c>
      <c r="K141" s="52">
        <f>Table14[[#This Row],[Investment]]/Table14[[#This Row],[Dollar Volume]]</f>
        <v>7.2760996507936502E-3</v>
      </c>
      <c r="L141" s="34">
        <f>IFERROR(MAX($T$11+$T$12*LN(Table14[[#This Row],[Frac ADV]]),0),0)*0.0001+0.005/Table14[[#This Row],[Stock Price]]+Table14[[#This Row],[Expense Ratio]]</f>
        <v>7.9778222609291714E-3</v>
      </c>
      <c r="M141" s="46">
        <f>(Table14[[#This Row],[Expected Return]]-Table14[[#This Row],[Tcosts]])*Table14[[#This Row],[Investment]]</f>
        <v>1161621.0136084524</v>
      </c>
      <c r="Q141" s="16" t="s">
        <v>645</v>
      </c>
    </row>
    <row r="142" spans="1:17" x14ac:dyDescent="0.3">
      <c r="A142" s="4" t="s">
        <v>681</v>
      </c>
      <c r="B142" s="14" t="s">
        <v>682</v>
      </c>
      <c r="C142" s="6">
        <v>95.19</v>
      </c>
      <c r="D142" s="6" t="s">
        <v>683</v>
      </c>
      <c r="E142" s="15">
        <v>1.5E-3</v>
      </c>
      <c r="F142" s="6">
        <v>0.49</v>
      </c>
      <c r="G142" s="3">
        <f t="shared" si="8"/>
        <v>273110000</v>
      </c>
      <c r="H142" s="3" t="b">
        <f t="shared" si="9"/>
        <v>0</v>
      </c>
      <c r="I142" s="26">
        <f>Table14[[#This Row],[Tech]]*$T$7+Table14[[#This Row],[Beta]]*($T$6-$T$8)+$T$8</f>
        <v>6.7563999999999999E-2</v>
      </c>
      <c r="J142" s="42">
        <v>21813867.84</v>
      </c>
      <c r="K142" s="52">
        <f>Table14[[#This Row],[Investment]]/Table14[[#This Row],[Dollar Volume]]</f>
        <v>7.9872094906814101E-2</v>
      </c>
      <c r="L142" s="34">
        <f>IFERROR(MAX($T$11+$T$12*LN(Table14[[#This Row],[Frac ADV]]),0),0)*0.0001+0.005/Table14[[#This Row],[Stock Price]]+Table14[[#This Row],[Expense Ratio]]</f>
        <v>2.042949467158503E-2</v>
      </c>
      <c r="M142" s="46">
        <f>(Table14[[#This Row],[Expected Return]]-Table14[[#This Row],[Tcosts]])*Table14[[#This Row],[Investment]]</f>
        <v>1028185.8699378199</v>
      </c>
      <c r="Q142" s="13" t="s">
        <v>649</v>
      </c>
    </row>
    <row r="143" spans="1:17" x14ac:dyDescent="0.3">
      <c r="A143" s="4" t="s">
        <v>591</v>
      </c>
      <c r="B143" s="14" t="s">
        <v>592</v>
      </c>
      <c r="C143" s="6">
        <v>73.28</v>
      </c>
      <c r="D143" s="6" t="s">
        <v>593</v>
      </c>
      <c r="E143" s="15">
        <v>8.0000000000000004E-4</v>
      </c>
      <c r="F143" s="6">
        <v>0.7</v>
      </c>
      <c r="G143" s="3">
        <f t="shared" si="8"/>
        <v>251580000</v>
      </c>
      <c r="H143" s="3" t="b">
        <f t="shared" si="9"/>
        <v>0</v>
      </c>
      <c r="I143" s="26">
        <f>Table14[[#This Row],[Tech]]*$T$7+Table14[[#This Row],[Beta]]*($T$6-$T$8)+$T$8</f>
        <v>8.0919999999999992E-2</v>
      </c>
      <c r="J143" s="42">
        <v>18342862.300000001</v>
      </c>
      <c r="K143" s="52">
        <f>Table14[[#This Row],[Investment]]/Table14[[#This Row],[Dollar Volume]]</f>
        <v>7.2910653867557046E-2</v>
      </c>
      <c r="L143" s="34">
        <f>IFERROR(MAX($T$11+$T$12*LN(Table14[[#This Row],[Frac ADV]]),0),0)*0.0001+0.005/Table14[[#This Row],[Stock Price]]+Table14[[#This Row],[Expense Ratio]]</f>
        <v>1.9298523551040385E-2</v>
      </c>
      <c r="M143" s="46">
        <f>(Table14[[#This Row],[Expected Return]]-Table14[[#This Row],[Tcosts]])*Table14[[#This Row],[Investment]]</f>
        <v>1130314.2572259591</v>
      </c>
      <c r="Q143" s="16" t="s">
        <v>653</v>
      </c>
    </row>
    <row r="144" spans="1:17" x14ac:dyDescent="0.3">
      <c r="A144" s="4" t="s">
        <v>642</v>
      </c>
      <c r="B144" s="14" t="s">
        <v>643</v>
      </c>
      <c r="C144" s="6">
        <v>59.01</v>
      </c>
      <c r="D144" s="6" t="s">
        <v>644</v>
      </c>
      <c r="E144" s="15">
        <v>3.5000000000000001E-3</v>
      </c>
      <c r="F144" s="6">
        <v>0.61</v>
      </c>
      <c r="G144" s="3">
        <f t="shared" si="8"/>
        <v>87610000</v>
      </c>
      <c r="H144" s="3" t="b">
        <f t="shared" si="9"/>
        <v>0</v>
      </c>
      <c r="I144" s="26">
        <f>Table14[[#This Row],[Tech]]*$T$7+Table14[[#This Row],[Beta]]*($T$6-$T$8)+$T$8</f>
        <v>7.5196000000000013E-2</v>
      </c>
      <c r="J144" s="42">
        <v>18121322.050000001</v>
      </c>
      <c r="K144" s="52">
        <f>Table14[[#This Row],[Investment]]/Table14[[#This Row],[Dollar Volume]]</f>
        <v>0.20684079500057073</v>
      </c>
      <c r="L144" s="34">
        <f>IFERROR(MAX($T$11+$T$12*LN(Table14[[#This Row],[Frac ADV]]),0),0)*0.0001+0.005/Table14[[#This Row],[Stock Price]]+Table14[[#This Row],[Expense Ratio]]</f>
        <v>2.7122454087653597E-2</v>
      </c>
      <c r="M144" s="46">
        <f>(Table14[[#This Row],[Expected Return]]-Table14[[#This Row],[Tcosts]])*Table14[[#This Row],[Investment]]</f>
        <v>871156.20756309049</v>
      </c>
      <c r="Q144" s="13" t="s">
        <v>657</v>
      </c>
    </row>
    <row r="145" spans="1:17" x14ac:dyDescent="0.3">
      <c r="A145" s="2" t="s">
        <v>630</v>
      </c>
      <c r="B145" s="10" t="s">
        <v>631</v>
      </c>
      <c r="C145" s="11">
        <v>156.34</v>
      </c>
      <c r="D145" s="11" t="s">
        <v>632</v>
      </c>
      <c r="E145" s="12">
        <v>3.8E-3</v>
      </c>
      <c r="F145" s="11">
        <v>0.61</v>
      </c>
      <c r="G145" s="3">
        <f t="shared" si="8"/>
        <v>178060000</v>
      </c>
      <c r="H145" s="3" t="b">
        <f t="shared" si="9"/>
        <v>0</v>
      </c>
      <c r="I145" s="26">
        <f>Table14[[#This Row],[Tech]]*$T$7+Table14[[#This Row],[Beta]]*($T$6-$T$8)+$T$8</f>
        <v>7.5196000000000013E-2</v>
      </c>
      <c r="J145" s="42">
        <v>17651724.68</v>
      </c>
      <c r="K145" s="52">
        <f>Table14[[#This Row],[Investment]]/Table14[[#This Row],[Dollar Volume]]</f>
        <v>9.9133576771874649E-2</v>
      </c>
      <c r="L145" s="34">
        <f>IFERROR(MAX($T$11+$T$12*LN(Table14[[#This Row],[Frac ADV]]),0),0)*0.0001+0.005/Table14[[#This Row],[Stock Price]]+Table14[[#This Row],[Expense Ratio]]</f>
        <v>2.3767166188420844E-2</v>
      </c>
      <c r="M145" s="46">
        <f>(Table14[[#This Row],[Expected Return]]-Table14[[#This Row],[Tcosts]])*Table14[[#This Row],[Investment]]</f>
        <v>907807.61505547049</v>
      </c>
      <c r="Q145" s="16" t="s">
        <v>660</v>
      </c>
    </row>
    <row r="146" spans="1:17" x14ac:dyDescent="0.3">
      <c r="A146" s="2" t="s">
        <v>823</v>
      </c>
      <c r="B146" s="10" t="s">
        <v>824</v>
      </c>
      <c r="C146" s="11">
        <v>100.67</v>
      </c>
      <c r="D146" s="11" t="s">
        <v>825</v>
      </c>
      <c r="E146" s="12">
        <v>2.9999999999999997E-4</v>
      </c>
      <c r="F146" s="11">
        <v>-0.06</v>
      </c>
      <c r="G146" s="3">
        <f t="shared" si="8"/>
        <v>226700000</v>
      </c>
      <c r="H146" s="3" t="b">
        <f t="shared" si="9"/>
        <v>0</v>
      </c>
      <c r="I146" s="26">
        <f>Table14[[#This Row],[Tech]]*$T$7+Table14[[#This Row],[Beta]]*($T$6-$T$8)+$T$8</f>
        <v>3.2584000000000002E-2</v>
      </c>
      <c r="J146" s="42">
        <v>16989035.850000001</v>
      </c>
      <c r="K146" s="52">
        <f>Table14[[#This Row],[Investment]]/Table14[[#This Row],[Dollar Volume]]</f>
        <v>7.4940608072342305E-2</v>
      </c>
      <c r="L146" s="34">
        <f>IFERROR(MAX($T$11+$T$12*LN(Table14[[#This Row],[Frac ADV]]),0),0)*0.0001+0.005/Table14[[#This Row],[Stock Price]]+Table14[[#This Row],[Expense Ratio]]</f>
        <v>1.8914469627115616E-2</v>
      </c>
      <c r="M146" s="46">
        <f>(Table14[[#This Row],[Expected Return]]-Table14[[#This Row],[Tcosts]])*Table14[[#This Row],[Investment]]</f>
        <v>232232.14155759671</v>
      </c>
      <c r="Q146" s="13" t="s">
        <v>664</v>
      </c>
    </row>
    <row r="147" spans="1:17" x14ac:dyDescent="0.3">
      <c r="A147" s="4" t="s">
        <v>622</v>
      </c>
      <c r="B147" s="14" t="s">
        <v>623</v>
      </c>
      <c r="C147" s="6">
        <v>37.049999999999997</v>
      </c>
      <c r="D147" s="6" t="s">
        <v>624</v>
      </c>
      <c r="E147" s="15">
        <v>2.5000000000000001E-3</v>
      </c>
      <c r="F147" s="6">
        <v>0.59</v>
      </c>
      <c r="G147" s="3">
        <f t="shared" si="8"/>
        <v>126850000</v>
      </c>
      <c r="H147" s="3" t="b">
        <f t="shared" si="9"/>
        <v>0</v>
      </c>
      <c r="I147" s="26">
        <f>Table14[[#This Row],[Tech]]*$T$7+Table14[[#This Row],[Beta]]*($T$6-$T$8)+$T$8</f>
        <v>7.3924000000000004E-2</v>
      </c>
      <c r="J147" s="42">
        <v>16623260.52</v>
      </c>
      <c r="K147" s="52">
        <f>Table14[[#This Row],[Investment]]/Table14[[#This Row],[Dollar Volume]]</f>
        <v>0.13104659456050452</v>
      </c>
      <c r="L147" s="34">
        <f>IFERROR(MAX($T$11+$T$12*LN(Table14[[#This Row],[Frac ADV]]),0),0)*0.0001+0.005/Table14[[#This Row],[Stock Price]]+Table14[[#This Row],[Expense Ratio]]</f>
        <v>2.3937151822634031E-2</v>
      </c>
      <c r="M147" s="46">
        <f>(Table14[[#This Row],[Expected Return]]-Table14[[#This Row],[Tcosts]])*Table14[[#This Row],[Investment]]</f>
        <v>830944.39982604166</v>
      </c>
      <c r="Q147" s="16" t="s">
        <v>668</v>
      </c>
    </row>
    <row r="148" spans="1:17" x14ac:dyDescent="0.3">
      <c r="A148" s="4" t="s">
        <v>842</v>
      </c>
      <c r="B148" s="14" t="s">
        <v>843</v>
      </c>
      <c r="C148" s="6">
        <v>60.21</v>
      </c>
      <c r="D148" s="6" t="s">
        <v>844</v>
      </c>
      <c r="E148" s="15">
        <v>2.9999999999999997E-4</v>
      </c>
      <c r="F148" s="6">
        <v>-0.09</v>
      </c>
      <c r="G148" s="3">
        <f t="shared" si="8"/>
        <v>61790000</v>
      </c>
      <c r="H148" s="3" t="b">
        <f t="shared" si="9"/>
        <v>0</v>
      </c>
      <c r="I148" s="26">
        <f>Table14[[#This Row],[Tech]]*$T$7+Table14[[#This Row],[Beta]]*($T$6-$T$8)+$T$8</f>
        <v>3.0676000000000002E-2</v>
      </c>
      <c r="J148" s="42">
        <v>15480077.67</v>
      </c>
      <c r="K148" s="52">
        <f>Table14[[#This Row],[Investment]]/Table14[[#This Row],[Dollar Volume]]</f>
        <v>0.25052723207638777</v>
      </c>
      <c r="L148" s="34">
        <f>IFERROR(MAX($T$11+$T$12*LN(Table14[[#This Row],[Frac ADV]]),0),0)*0.0001+0.005/Table14[[#This Row],[Stock Price]]+Table14[[#This Row],[Expense Ratio]]</f>
        <v>2.4859350877131564E-2</v>
      </c>
      <c r="M148" s="46">
        <f>(Table14[[#This Row],[Expected Return]]-Table14[[#This Row],[Tcosts]])*Table14[[#This Row],[Investment]]</f>
        <v>90042.180201140785</v>
      </c>
      <c r="Q148" s="13" t="s">
        <v>672</v>
      </c>
    </row>
    <row r="149" spans="1:17" x14ac:dyDescent="0.3">
      <c r="A149" s="2" t="s">
        <v>673</v>
      </c>
      <c r="B149" s="10" t="s">
        <v>674</v>
      </c>
      <c r="C149" s="11">
        <v>31.34</v>
      </c>
      <c r="D149" s="11" t="s">
        <v>675</v>
      </c>
      <c r="E149" s="12">
        <v>5.9999999999999995E-4</v>
      </c>
      <c r="F149" s="11">
        <v>0.55000000000000004</v>
      </c>
      <c r="G149" s="3">
        <f t="shared" si="8"/>
        <v>722670000</v>
      </c>
      <c r="H149" s="3" t="b">
        <f t="shared" si="9"/>
        <v>0</v>
      </c>
      <c r="I149" s="26">
        <f>Table14[[#This Row],[Tech]]*$T$7+Table14[[#This Row],[Beta]]*($T$6-$T$8)+$T$8</f>
        <v>7.1379999999999999E-2</v>
      </c>
      <c r="J149" s="42">
        <v>15228999.810000001</v>
      </c>
      <c r="K149" s="52">
        <f>Table14[[#This Row],[Investment]]/Table14[[#This Row],[Dollar Volume]]</f>
        <v>2.107324201917888E-2</v>
      </c>
      <c r="L149" s="34">
        <f>IFERROR(MAX($T$11+$T$12*LN(Table14[[#This Row],[Frac ADV]]),0),0)*0.0001+0.005/Table14[[#This Row],[Stock Price]]+Table14[[#This Row],[Expense Ratio]]</f>
        <v>1.3110029543965215E-2</v>
      </c>
      <c r="M149" s="46">
        <f>(Table14[[#This Row],[Expected Return]]-Table14[[#This Row],[Tcosts]])*Table14[[#This Row],[Investment]]</f>
        <v>887393.36900365935</v>
      </c>
      <c r="Q149" s="16" t="s">
        <v>676</v>
      </c>
    </row>
    <row r="150" spans="1:17" x14ac:dyDescent="0.3">
      <c r="A150" s="2" t="s">
        <v>709</v>
      </c>
      <c r="B150" s="10" t="s">
        <v>710</v>
      </c>
      <c r="C150" s="11">
        <v>31.48</v>
      </c>
      <c r="D150" s="11" t="s">
        <v>711</v>
      </c>
      <c r="E150" s="12">
        <v>4.4999999999999997E-3</v>
      </c>
      <c r="F150" s="11">
        <v>0.33</v>
      </c>
      <c r="G150" s="3">
        <f t="shared" si="8"/>
        <v>102790000</v>
      </c>
      <c r="H150" s="3" t="b">
        <f t="shared" si="9"/>
        <v>0</v>
      </c>
      <c r="I150" s="26">
        <f>Table14[[#This Row],[Tech]]*$T$7+Table14[[#This Row],[Beta]]*($T$6-$T$8)+$T$8</f>
        <v>5.7388000000000008E-2</v>
      </c>
      <c r="J150" s="42">
        <v>15098639.85</v>
      </c>
      <c r="K150" s="52">
        <f>Table14[[#This Row],[Investment]]/Table14[[#This Row],[Dollar Volume]]</f>
        <v>0.14688821723903103</v>
      </c>
      <c r="L150" s="34">
        <f>IFERROR(MAX($T$11+$T$12*LN(Table14[[#This Row],[Frac ADV]]),0),0)*0.0001+0.005/Table14[[#This Row],[Stock Price]]+Table14[[#This Row],[Expense Ratio]]</f>
        <v>2.652000802573486E-2</v>
      </c>
      <c r="M150" s="46">
        <f>(Table14[[#This Row],[Expected Return]]-Table14[[#This Row],[Tcosts]])*Table14[[#This Row],[Investment]]</f>
        <v>466064.69371211994</v>
      </c>
      <c r="Q150" s="13" t="s">
        <v>680</v>
      </c>
    </row>
    <row r="151" spans="1:17" x14ac:dyDescent="0.3">
      <c r="A151" s="2" t="s">
        <v>858</v>
      </c>
      <c r="B151" s="10" t="s">
        <v>859</v>
      </c>
      <c r="C151" s="11">
        <v>96.83</v>
      </c>
      <c r="D151" s="11" t="s">
        <v>860</v>
      </c>
      <c r="E151" s="12">
        <v>1.5E-3</v>
      </c>
      <c r="F151" s="11">
        <v>-0.12</v>
      </c>
      <c r="G151" s="3">
        <f t="shared" si="8"/>
        <v>72150000</v>
      </c>
      <c r="H151" s="3" t="b">
        <f t="shared" si="9"/>
        <v>0</v>
      </c>
      <c r="I151" s="26">
        <f>Table14[[#This Row],[Tech]]*$T$7+Table14[[#This Row],[Beta]]*($T$6-$T$8)+$T$8</f>
        <v>2.8768000000000002E-2</v>
      </c>
      <c r="J151" s="42">
        <v>13569822.18</v>
      </c>
      <c r="K151" s="52">
        <f>Table14[[#This Row],[Investment]]/Table14[[#This Row],[Dollar Volume]]</f>
        <v>0.18807792349272348</v>
      </c>
      <c r="L151" s="34">
        <f>IFERROR(MAX($T$11+$T$12*LN(Table14[[#This Row],[Frac ADV]]),0),0)*0.0001+0.005/Table14[[#This Row],[Stock Price]]+Table14[[#This Row],[Expense Ratio]]</f>
        <v>2.4623574376940811E-2</v>
      </c>
      <c r="M151" s="46">
        <f>(Table14[[#This Row],[Expected Return]]-Table14[[#This Row],[Tcosts]])*Table14[[#This Row],[Investment]]</f>
        <v>56239.118743148931</v>
      </c>
      <c r="Q151" s="16" t="s">
        <v>684</v>
      </c>
    </row>
    <row r="152" spans="1:17" x14ac:dyDescent="0.3">
      <c r="A152" s="2" t="s">
        <v>827</v>
      </c>
      <c r="B152" s="10" t="s">
        <v>828</v>
      </c>
      <c r="C152" s="11">
        <v>47.56</v>
      </c>
      <c r="D152" s="11" t="s">
        <v>829</v>
      </c>
      <c r="E152" s="12">
        <v>2.9999999999999997E-4</v>
      </c>
      <c r="F152" s="11">
        <v>-0.06</v>
      </c>
      <c r="G152" s="3">
        <f t="shared" si="8"/>
        <v>157240000</v>
      </c>
      <c r="H152" s="3" t="b">
        <f t="shared" si="9"/>
        <v>0</v>
      </c>
      <c r="I152" s="26">
        <f>Table14[[#This Row],[Tech]]*$T$7+Table14[[#This Row],[Beta]]*($T$6-$T$8)+$T$8</f>
        <v>3.2584000000000002E-2</v>
      </c>
      <c r="J152" s="42">
        <v>12012349.02</v>
      </c>
      <c r="K152" s="52">
        <f>Table14[[#This Row],[Investment]]/Table14[[#This Row],[Dollar Volume]]</f>
        <v>7.6394995039430161E-2</v>
      </c>
      <c r="L152" s="34">
        <f>IFERROR(MAX($T$11+$T$12*LN(Table14[[#This Row],[Frac ADV]]),0),0)*0.0001+0.005/Table14[[#This Row],[Stock Price]]+Table14[[#This Row],[Expense Ratio]]</f>
        <v>1.9064082523769642E-2</v>
      </c>
      <c r="M152" s="46">
        <f>(Table14[[#This Row],[Expected Return]]-Table14[[#This Row],[Tcosts]])*Table14[[#This Row],[Investment]]</f>
        <v>162405.96744607663</v>
      </c>
      <c r="Q152" s="13" t="s">
        <v>688</v>
      </c>
    </row>
    <row r="153" spans="1:17" x14ac:dyDescent="0.3">
      <c r="A153" s="2" t="s">
        <v>819</v>
      </c>
      <c r="B153" s="10" t="s">
        <v>820</v>
      </c>
      <c r="C153" s="11">
        <v>84.22</v>
      </c>
      <c r="D153" s="11" t="s">
        <v>821</v>
      </c>
      <c r="E153" s="12">
        <v>2.9999999999999997E-4</v>
      </c>
      <c r="F153" s="11">
        <v>-0.01</v>
      </c>
      <c r="G153" s="3">
        <f t="shared" si="8"/>
        <v>113530000</v>
      </c>
      <c r="H153" s="3" t="b">
        <f t="shared" si="9"/>
        <v>0</v>
      </c>
      <c r="I153" s="26">
        <f>Table14[[#This Row],[Tech]]*$T$7+Table14[[#This Row],[Beta]]*($T$6-$T$8)+$T$8</f>
        <v>3.5764000000000004E-2</v>
      </c>
      <c r="J153" s="42">
        <v>11826793.75</v>
      </c>
      <c r="K153" s="52">
        <f>Table14[[#This Row],[Investment]]/Table14[[#This Row],[Dollar Volume]]</f>
        <v>0.10417329120056373</v>
      </c>
      <c r="L153" s="34">
        <f>IFERROR(MAX($T$11+$T$12*LN(Table14[[#This Row],[Frac ADV]]),0),0)*0.0001+0.005/Table14[[#This Row],[Stock Price]]+Table14[[#This Row],[Expense Ratio]]</f>
        <v>2.0537443058078322E-2</v>
      </c>
      <c r="M153" s="46">
        <f>(Table14[[#This Row],[Expected Return]]-Table14[[#This Row],[Tcosts]])*Table14[[#This Row],[Investment]]</f>
        <v>180081.34847473845</v>
      </c>
      <c r="Q153" s="16" t="s">
        <v>692</v>
      </c>
    </row>
    <row r="154" spans="1:17" x14ac:dyDescent="0.3">
      <c r="A154" s="4" t="s">
        <v>650</v>
      </c>
      <c r="B154" s="14" t="s">
        <v>651</v>
      </c>
      <c r="C154" s="6">
        <v>78.88</v>
      </c>
      <c r="D154" s="6" t="s">
        <v>652</v>
      </c>
      <c r="E154" s="15">
        <v>3.3E-3</v>
      </c>
      <c r="F154" s="6">
        <v>0.61</v>
      </c>
      <c r="G154" s="3">
        <f t="shared" si="8"/>
        <v>112700000</v>
      </c>
      <c r="H154" s="3" t="b">
        <f t="shared" si="9"/>
        <v>0</v>
      </c>
      <c r="I154" s="26">
        <f>Table14[[#This Row],[Tech]]*$T$7+Table14[[#This Row],[Beta]]*($T$6-$T$8)+$T$8</f>
        <v>7.5196000000000013E-2</v>
      </c>
      <c r="J154" s="42">
        <v>11678771.890000001</v>
      </c>
      <c r="K154" s="52">
        <f>Table14[[#This Row],[Investment]]/Table14[[#This Row],[Dollar Volume]]</f>
        <v>0.10362707976929902</v>
      </c>
      <c r="L154" s="34">
        <f>IFERROR(MAX($T$11+$T$12*LN(Table14[[#This Row],[Frac ADV]]),0),0)*0.0001+0.005/Table14[[#This Row],[Stock Price]]+Table14[[#This Row],[Expense Ratio]]</f>
        <v>2.3515711850348977E-2</v>
      </c>
      <c r="M154" s="46">
        <f>(Table14[[#This Row],[Expected Return]]-Table14[[#This Row],[Tcosts]])*Table14[[#This Row],[Investment]]</f>
        <v>603562.2965092446</v>
      </c>
      <c r="Q154" s="13" t="s">
        <v>696</v>
      </c>
    </row>
    <row r="155" spans="1:17" x14ac:dyDescent="0.3">
      <c r="A155" s="4" t="s">
        <v>743</v>
      </c>
      <c r="B155" s="14" t="s">
        <v>744</v>
      </c>
      <c r="C155" s="6">
        <v>48.8</v>
      </c>
      <c r="D155" s="6" t="s">
        <v>745</v>
      </c>
      <c r="E155" s="15">
        <v>6.9999999999999999E-4</v>
      </c>
      <c r="F155" s="6">
        <v>-0.01</v>
      </c>
      <c r="G155" s="3">
        <f t="shared" si="8"/>
        <v>76130000</v>
      </c>
      <c r="H155" s="3" t="b">
        <f t="shared" si="9"/>
        <v>0</v>
      </c>
      <c r="I155" s="26">
        <f>Table14[[#This Row],[Tech]]*$T$7+Table14[[#This Row],[Beta]]*($T$6-$T$8)+$T$8</f>
        <v>3.5764000000000004E-2</v>
      </c>
      <c r="J155" s="42">
        <v>11293277.93</v>
      </c>
      <c r="K155" s="52">
        <f>Table14[[#This Row],[Investment]]/Table14[[#This Row],[Dollar Volume]]</f>
        <v>0.14834201930907659</v>
      </c>
      <c r="L155" s="34">
        <f>IFERROR(MAX($T$11+$T$12*LN(Table14[[#This Row],[Frac ADV]]),0),0)*0.0001+0.005/Table14[[#This Row],[Stock Price]]+Table14[[#This Row],[Expense Ratio]]</f>
        <v>2.2711876889719571E-2</v>
      </c>
      <c r="M155" s="46">
        <f>(Table14[[#This Row],[Expected Return]]-Table14[[#This Row],[Tcosts]])*Table14[[#This Row],[Investment]]</f>
        <v>147401.25386097297</v>
      </c>
      <c r="Q155" s="16" t="s">
        <v>700</v>
      </c>
    </row>
    <row r="156" spans="1:17" x14ac:dyDescent="0.3">
      <c r="A156" s="4" t="s">
        <v>795</v>
      </c>
      <c r="B156" s="14" t="s">
        <v>796</v>
      </c>
      <c r="C156" s="6">
        <v>82.93</v>
      </c>
      <c r="D156" s="6" t="s">
        <v>797</v>
      </c>
      <c r="E156" s="15">
        <v>1.5E-3</v>
      </c>
      <c r="F156" s="6">
        <v>-0.02</v>
      </c>
      <c r="G156" s="3">
        <f t="shared" si="8"/>
        <v>117390000</v>
      </c>
      <c r="H156" s="3" t="b">
        <f t="shared" si="9"/>
        <v>0</v>
      </c>
      <c r="I156" s="26">
        <f>Table14[[#This Row],[Tech]]*$T$7+Table14[[#This Row],[Beta]]*($T$6-$T$8)+$T$8</f>
        <v>3.5128E-2</v>
      </c>
      <c r="J156" s="42">
        <v>10987770.029999999</v>
      </c>
      <c r="K156" s="52">
        <f>Table14[[#This Row],[Investment]]/Table14[[#This Row],[Dollar Volume]]</f>
        <v>9.3600562484027594E-2</v>
      </c>
      <c r="L156" s="34">
        <f>IFERROR(MAX($T$11+$T$12*LN(Table14[[#This Row],[Frac ADV]]),0),0)*0.0001+0.005/Table14[[#This Row],[Stock Price]]+Table14[[#This Row],[Expense Ratio]]</f>
        <v>2.121416361864608E-2</v>
      </c>
      <c r="M156" s="46">
        <f>(Table14[[#This Row],[Expected Return]]-Table14[[#This Row],[Tcosts]])*Table14[[#This Row],[Investment]]</f>
        <v>152882.03439336424</v>
      </c>
      <c r="Q156" s="13" t="s">
        <v>704</v>
      </c>
    </row>
    <row r="157" spans="1:17" x14ac:dyDescent="0.3">
      <c r="A157" s="4" t="s">
        <v>835</v>
      </c>
      <c r="B157" s="14" t="s">
        <v>836</v>
      </c>
      <c r="C157" s="6">
        <v>26.82</v>
      </c>
      <c r="D157" s="6" t="s">
        <v>837</v>
      </c>
      <c r="E157" s="15">
        <v>2.9999999999999997E-4</v>
      </c>
      <c r="F157" s="6">
        <v>-0.05</v>
      </c>
      <c r="G157" s="3">
        <f t="shared" si="8"/>
        <v>202270000</v>
      </c>
      <c r="H157" s="3" t="b">
        <f t="shared" si="9"/>
        <v>0</v>
      </c>
      <c r="I157" s="26">
        <f>Table14[[#This Row],[Tech]]*$T$7+Table14[[#This Row],[Beta]]*($T$6-$T$8)+$T$8</f>
        <v>3.322E-2</v>
      </c>
      <c r="J157" s="42">
        <v>10798773.42</v>
      </c>
      <c r="K157" s="52">
        <f>Table14[[#This Row],[Investment]]/Table14[[#This Row],[Dollar Volume]]</f>
        <v>5.3387914273001436E-2</v>
      </c>
      <c r="L157" s="34">
        <f>IFERROR(MAX($T$11+$T$12*LN(Table14[[#This Row],[Frac ADV]]),0),0)*0.0001+0.005/Table14[[#This Row],[Stock Price]]+Table14[[#This Row],[Expense Ratio]]</f>
        <v>1.739019253470556E-2</v>
      </c>
      <c r="M157" s="46">
        <f>(Table14[[#This Row],[Expected Return]]-Table14[[#This Row],[Tcosts]])*Table14[[#This Row],[Investment]]</f>
        <v>170942.50409993916</v>
      </c>
      <c r="Q157" s="16" t="s">
        <v>708</v>
      </c>
    </row>
    <row r="158" spans="1:17" x14ac:dyDescent="0.3">
      <c r="A158" s="2" t="s">
        <v>646</v>
      </c>
      <c r="B158" s="10" t="s">
        <v>647</v>
      </c>
      <c r="C158" s="11">
        <v>287.81</v>
      </c>
      <c r="D158" s="11" t="s">
        <v>648</v>
      </c>
      <c r="E158" s="12">
        <v>8.9999999999999998E-4</v>
      </c>
      <c r="F158" s="11">
        <v>0.53</v>
      </c>
      <c r="G158" s="3">
        <f t="shared" si="8"/>
        <v>150780000</v>
      </c>
      <c r="H158" s="3" t="b">
        <f t="shared" si="9"/>
        <v>0</v>
      </c>
      <c r="I158" s="26">
        <f>Table14[[#This Row],[Tech]]*$T$7+Table14[[#This Row],[Beta]]*($T$6-$T$8)+$T$8</f>
        <v>7.0108000000000004E-2</v>
      </c>
      <c r="J158" s="42">
        <v>10182481.35</v>
      </c>
      <c r="K158" s="52">
        <f>Table14[[#This Row],[Investment]]/Table14[[#This Row],[Dollar Volume]]</f>
        <v>6.7532042379625942E-2</v>
      </c>
      <c r="L158" s="34">
        <f>IFERROR(MAX($T$11+$T$12*LN(Table14[[#This Row],[Frac ADV]]),0),0)*0.0001+0.005/Table14[[#This Row],[Stock Price]]+Table14[[#This Row],[Expense Ratio]]</f>
        <v>1.8972302527129361E-2</v>
      </c>
      <c r="M158" s="46">
        <f>(Table14[[#This Row],[Expected Return]]-Table14[[#This Row],[Tcosts]])*Table14[[#This Row],[Investment]]</f>
        <v>520688.28583674738</v>
      </c>
      <c r="Q158" s="13" t="s">
        <v>712</v>
      </c>
    </row>
    <row r="159" spans="1:17" x14ac:dyDescent="0.3">
      <c r="A159" s="4" t="s">
        <v>724</v>
      </c>
      <c r="B159" s="14" t="s">
        <v>725</v>
      </c>
      <c r="C159" s="6">
        <v>91.47</v>
      </c>
      <c r="D159" s="6" t="s">
        <v>726</v>
      </c>
      <c r="E159" s="15">
        <v>1.4E-3</v>
      </c>
      <c r="F159" s="6">
        <v>0.01</v>
      </c>
      <c r="G159" s="3">
        <f t="shared" si="8"/>
        <v>34700000</v>
      </c>
      <c r="H159" s="3" t="b">
        <f t="shared" si="9"/>
        <v>0</v>
      </c>
      <c r="I159" s="26">
        <f>Table14[[#This Row],[Tech]]*$T$7+Table14[[#This Row],[Beta]]*($T$6-$T$8)+$T$8</f>
        <v>3.7035999999999999E-2</v>
      </c>
      <c r="J159" s="42">
        <v>8218955.2300000004</v>
      </c>
      <c r="K159" s="52">
        <f>Table14[[#This Row],[Investment]]/Table14[[#This Row],[Dollar Volume]]</f>
        <v>0.23685749942363113</v>
      </c>
      <c r="L159" s="34">
        <f>IFERROR(MAX($T$11+$T$12*LN(Table14[[#This Row],[Frac ADV]]),0),0)*0.0001+0.005/Table14[[#This Row],[Stock Price]]+Table14[[#This Row],[Expense Ratio]]</f>
        <v>2.5656137832653782E-2</v>
      </c>
      <c r="M159" s="46">
        <f>(Table14[[#This Row],[Expected Return]]-Table14[[#This Row],[Tcosts]])*Table14[[#This Row],[Investment]]</f>
        <v>93530.577676989342</v>
      </c>
      <c r="Q159" s="16" t="s">
        <v>716</v>
      </c>
    </row>
    <row r="160" spans="1:17" x14ac:dyDescent="0.3">
      <c r="A160" s="2" t="s">
        <v>846</v>
      </c>
      <c r="B160" s="10" t="s">
        <v>847</v>
      </c>
      <c r="C160" s="11">
        <v>25.19</v>
      </c>
      <c r="D160" s="11" t="s">
        <v>848</v>
      </c>
      <c r="E160" s="12">
        <v>2.9999999999999997E-4</v>
      </c>
      <c r="F160" s="11">
        <v>-0.09</v>
      </c>
      <c r="G160" s="3">
        <f t="shared" si="8"/>
        <v>61090000</v>
      </c>
      <c r="H160" s="3" t="b">
        <f t="shared" si="9"/>
        <v>0</v>
      </c>
      <c r="I160" s="26">
        <f>Table14[[#This Row],[Tech]]*$T$7+Table14[[#This Row],[Beta]]*($T$6-$T$8)+$T$8</f>
        <v>3.0676000000000002E-2</v>
      </c>
      <c r="J160" s="42">
        <v>7924281.7000000002</v>
      </c>
      <c r="K160" s="52">
        <f>Table14[[#This Row],[Investment]]/Table14[[#This Row],[Dollar Volume]]</f>
        <v>0.12971487477492225</v>
      </c>
      <c r="L160" s="34">
        <f>IFERROR(MAX($T$11+$T$12*LN(Table14[[#This Row],[Frac ADV]]),0),0)*0.0001+0.005/Table14[[#This Row],[Stock Price]]+Table14[[#This Row],[Expense Ratio]]</f>
        <v>2.1750659402288538E-2</v>
      </c>
      <c r="M160" s="46">
        <f>(Table14[[#This Row],[Expected Return]]-Table14[[#This Row],[Tcosts]])*Table14[[#This Row],[Investment]]</f>
        <v>70726.913164712023</v>
      </c>
      <c r="Q160" s="13" t="s">
        <v>720</v>
      </c>
    </row>
    <row r="161" spans="1:17" x14ac:dyDescent="0.3">
      <c r="A161" s="4" t="s">
        <v>697</v>
      </c>
      <c r="B161" s="14" t="s">
        <v>698</v>
      </c>
      <c r="C161" s="6">
        <v>50.71</v>
      </c>
      <c r="D161" s="6" t="s">
        <v>699</v>
      </c>
      <c r="E161" s="15">
        <v>2E-3</v>
      </c>
      <c r="F161" s="6">
        <v>0.05</v>
      </c>
      <c r="G161" s="3">
        <f t="shared" si="8"/>
        <v>130580000.00000001</v>
      </c>
      <c r="H161" s="3" t="b">
        <f t="shared" si="9"/>
        <v>0</v>
      </c>
      <c r="I161" s="26">
        <f>Table14[[#This Row],[Tech]]*$T$7+Table14[[#This Row],[Beta]]*($T$6-$T$8)+$T$8</f>
        <v>3.9580000000000004E-2</v>
      </c>
      <c r="J161" s="42">
        <v>7643488.5800000001</v>
      </c>
      <c r="K161" s="52">
        <f>Table14[[#This Row],[Investment]]/Table14[[#This Row],[Dollar Volume]]</f>
        <v>5.8534910246592124E-2</v>
      </c>
      <c r="L161" s="34">
        <f>IFERROR(MAX($T$11+$T$12*LN(Table14[[#This Row],[Frac ADV]]),0),0)*0.0001+0.005/Table14[[#This Row],[Stock Price]]+Table14[[#This Row],[Expense Ratio]]</f>
        <v>1.9453190011971162E-2</v>
      </c>
      <c r="M161" s="46">
        <f>(Table14[[#This Row],[Expected Return]]-Table14[[#This Row],[Tcosts]])*Table14[[#This Row],[Investment]]</f>
        <v>153839.0422953284</v>
      </c>
      <c r="Q161" s="16" t="s">
        <v>723</v>
      </c>
    </row>
    <row r="162" spans="1:17" x14ac:dyDescent="0.3">
      <c r="A162" s="2" t="s">
        <v>669</v>
      </c>
      <c r="B162" s="10" t="s">
        <v>670</v>
      </c>
      <c r="C162" s="11">
        <v>93.25</v>
      </c>
      <c r="D162" s="11" t="s">
        <v>671</v>
      </c>
      <c r="E162" s="12">
        <v>1.2999999999999999E-3</v>
      </c>
      <c r="F162" s="11">
        <v>0.42</v>
      </c>
      <c r="G162" s="3">
        <f t="shared" ref="G162:G193" si="10">IF(RIGHT(Q162,1)="B", VALUE(SUBSTITUTE(Q162,"B",""))*1000000000,
 IF(RIGHT(Q162,1)="M", VALUE(SUBSTITUTE(Q162,"M",""))*1000000, VALUE(Q162)))</f>
        <v>462550000</v>
      </c>
      <c r="H162" s="3" t="b">
        <f t="shared" ref="H162:H193" si="11">OR(
  ISNUMBER(SEARCH("technology",B162)),
  ISNUMBER(SEARCH("tech",B162)),
  ISNUMBER(SEARCH("qqq",B162)),
  ISNUMBER(SEARCH("semiconductor",B162)),
  ISNUMBER(SEARCH("information technology",B162)),
  ISNUMBER(SEARCH("nasdaq",B162)),
  ISNUMBER(SEARCH("communication",B162))
)</f>
        <v>0</v>
      </c>
      <c r="I162" s="26">
        <f>Table14[[#This Row],[Tech]]*$T$7+Table14[[#This Row],[Beta]]*($T$6-$T$8)+$T$8</f>
        <v>6.3112000000000001E-2</v>
      </c>
      <c r="J162" s="42">
        <v>7563512.9400000004</v>
      </c>
      <c r="K162" s="52">
        <f>Table14[[#This Row],[Investment]]/Table14[[#This Row],[Dollar Volume]]</f>
        <v>1.6351773732569453E-2</v>
      </c>
      <c r="L162" s="34">
        <f>IFERROR(MAX($T$11+$T$12*LN(Table14[[#This Row],[Frac ADV]]),0),0)*0.0001+0.005/Table14[[#This Row],[Stock Price]]+Table14[[#This Row],[Expense Ratio]]</f>
        <v>1.2461591736762232E-2</v>
      </c>
      <c r="M162" s="46">
        <f>(Table14[[#This Row],[Expected Return]]-Table14[[#This Row],[Tcosts]])*Table14[[#This Row],[Investment]]</f>
        <v>383095.01831528184</v>
      </c>
      <c r="Q162" s="13" t="s">
        <v>727</v>
      </c>
    </row>
    <row r="163" spans="1:17" x14ac:dyDescent="0.3">
      <c r="A163" s="2" t="s">
        <v>717</v>
      </c>
      <c r="B163" s="10" t="s">
        <v>718</v>
      </c>
      <c r="C163" s="11">
        <v>53.05</v>
      </c>
      <c r="D163" s="11" t="s">
        <v>719</v>
      </c>
      <c r="E163" s="12">
        <v>4.0000000000000002E-4</v>
      </c>
      <c r="F163" s="11">
        <v>0</v>
      </c>
      <c r="G163" s="3">
        <f t="shared" si="10"/>
        <v>80470000</v>
      </c>
      <c r="H163" s="3" t="b">
        <f t="shared" si="11"/>
        <v>0</v>
      </c>
      <c r="I163" s="26">
        <f>Table14[[#This Row],[Tech]]*$T$7+Table14[[#This Row],[Beta]]*($T$6-$T$8)+$T$8</f>
        <v>3.6400000000000002E-2</v>
      </c>
      <c r="J163" s="42">
        <v>7504362.2199999997</v>
      </c>
      <c r="K163" s="52">
        <f>Table14[[#This Row],[Investment]]/Table14[[#This Row],[Dollar Volume]]</f>
        <v>9.3256644960854979E-2</v>
      </c>
      <c r="L163" s="34">
        <f>IFERROR(MAX($T$11+$T$12*LN(Table14[[#This Row],[Frac ADV]]),0),0)*0.0001+0.005/Table14[[#This Row],[Stock Price]]+Table14[[#This Row],[Expense Ratio]]</f>
        <v>2.0130091839789258E-2</v>
      </c>
      <c r="M163" s="46">
        <f>(Table14[[#This Row],[Expected Return]]-Table14[[#This Row],[Tcosts]])*Table14[[#This Row],[Investment]]</f>
        <v>122095.28412035521</v>
      </c>
      <c r="Q163" s="16" t="s">
        <v>731</v>
      </c>
    </row>
    <row r="164" spans="1:17" x14ac:dyDescent="0.3">
      <c r="A164" s="2" t="s">
        <v>713</v>
      </c>
      <c r="B164" s="10" t="s">
        <v>714</v>
      </c>
      <c r="C164" s="11">
        <v>100.48</v>
      </c>
      <c r="D164" s="11" t="s">
        <v>715</v>
      </c>
      <c r="E164" s="12">
        <v>8.9999999999999998E-4</v>
      </c>
      <c r="F164" s="11">
        <v>0.01</v>
      </c>
      <c r="G164" s="3">
        <f t="shared" si="10"/>
        <v>90770000</v>
      </c>
      <c r="H164" s="3" t="b">
        <f t="shared" si="11"/>
        <v>0</v>
      </c>
      <c r="I164" s="26">
        <f>Table14[[#This Row],[Tech]]*$T$7+Table14[[#This Row],[Beta]]*($T$6-$T$8)+$T$8</f>
        <v>3.7035999999999999E-2</v>
      </c>
      <c r="J164" s="42">
        <v>7152543.2300000004</v>
      </c>
      <c r="K164" s="52">
        <f>Table14[[#This Row],[Investment]]/Table14[[#This Row],[Dollar Volume]]</f>
        <v>7.8798537292056853E-2</v>
      </c>
      <c r="L164" s="34">
        <f>IFERROR(MAX($T$11+$T$12*LN(Table14[[#This Row],[Frac ADV]]),0),0)*0.0001+0.005/Table14[[#This Row],[Stock Price]]+Table14[[#This Row],[Expense Ratio]]</f>
        <v>1.97604462493765E-2</v>
      </c>
      <c r="M164" s="46">
        <f>(Table14[[#This Row],[Expected Return]]-Table14[[#This Row],[Tcosts]])*Table14[[#This Row],[Investment]]</f>
        <v>123564.14502352323</v>
      </c>
      <c r="Q164" s="13" t="s">
        <v>735</v>
      </c>
    </row>
    <row r="165" spans="1:17" x14ac:dyDescent="0.3">
      <c r="A165" s="2" t="s">
        <v>877</v>
      </c>
      <c r="B165" s="10" t="s">
        <v>878</v>
      </c>
      <c r="C165" s="11">
        <v>96.14</v>
      </c>
      <c r="D165" s="11" t="s">
        <v>844</v>
      </c>
      <c r="E165" s="12">
        <v>4.0000000000000002E-4</v>
      </c>
      <c r="F165" s="11">
        <v>-0.05</v>
      </c>
      <c r="G165" s="3">
        <f t="shared" si="10"/>
        <v>113530000</v>
      </c>
      <c r="H165" s="3" t="b">
        <f t="shared" si="11"/>
        <v>0</v>
      </c>
      <c r="I165" s="26">
        <f>Table14[[#This Row],[Tech]]*$T$7+Table14[[#This Row],[Beta]]*($T$6-$T$8)+$T$8</f>
        <v>3.322E-2</v>
      </c>
      <c r="J165" s="42">
        <v>6901298.2300000004</v>
      </c>
      <c r="K165" s="52">
        <f>Table14[[#This Row],[Investment]]/Table14[[#This Row],[Dollar Volume]]</f>
        <v>6.0788322293666874E-2</v>
      </c>
      <c r="L165" s="34">
        <f>IFERROR(MAX($T$11+$T$12*LN(Table14[[#This Row],[Frac ADV]]),0),0)*0.0001+0.005/Table14[[#This Row],[Stock Price]]+Table14[[#This Row],[Expense Ratio]]</f>
        <v>1.7991624251544134E-2</v>
      </c>
      <c r="M165" s="46">
        <f>(Table14[[#This Row],[Expected Return]]-Table14[[#This Row],[Tcosts]])*Table14[[#This Row],[Investment]]</f>
        <v>105095.5625985934</v>
      </c>
      <c r="Q165" s="16" t="s">
        <v>692</v>
      </c>
    </row>
    <row r="166" spans="1:17" x14ac:dyDescent="0.3">
      <c r="A166" s="4" t="s">
        <v>661</v>
      </c>
      <c r="B166" s="14" t="s">
        <v>662</v>
      </c>
      <c r="C166" s="6">
        <v>60.86</v>
      </c>
      <c r="D166" s="6" t="s">
        <v>663</v>
      </c>
      <c r="E166" s="15">
        <v>7.1999999999999998E-3</v>
      </c>
      <c r="F166" s="6">
        <v>0.71</v>
      </c>
      <c r="G166" s="3">
        <f t="shared" si="10"/>
        <v>111170000</v>
      </c>
      <c r="H166" s="3" t="b">
        <f t="shared" si="11"/>
        <v>0</v>
      </c>
      <c r="I166" s="26">
        <f>Table14[[#This Row],[Tech]]*$T$7+Table14[[#This Row],[Beta]]*($T$6-$T$8)+$T$8</f>
        <v>8.1556000000000003E-2</v>
      </c>
      <c r="J166" s="42">
        <v>6834335.5300000003</v>
      </c>
      <c r="K166" s="52">
        <f>Table14[[#This Row],[Investment]]/Table14[[#This Row],[Dollar Volume]]</f>
        <v>6.1476437258253129E-2</v>
      </c>
      <c r="L166" s="34">
        <f>IFERROR(MAX($T$11+$T$12*LN(Table14[[#This Row],[Frac ADV]]),0),0)*0.0001+0.005/Table14[[#This Row],[Stock Price]]+Table14[[#This Row],[Expense Ratio]]</f>
        <v>2.487690802700291E-2</v>
      </c>
      <c r="M166" s="46">
        <f>(Table14[[#This Row],[Expected Return]]-Table14[[#This Row],[Tcosts]])*Table14[[#This Row],[Investment]]</f>
        <v>387363.93207919184</v>
      </c>
      <c r="Q166" s="13" t="s">
        <v>742</v>
      </c>
    </row>
    <row r="167" spans="1:17" x14ac:dyDescent="0.3">
      <c r="A167" s="2" t="s">
        <v>747</v>
      </c>
      <c r="B167" s="10" t="s">
        <v>748</v>
      </c>
      <c r="C167" s="11">
        <v>111.22</v>
      </c>
      <c r="D167" s="11" t="s">
        <v>749</v>
      </c>
      <c r="E167" s="12">
        <v>1.4E-3</v>
      </c>
      <c r="F167" s="11">
        <v>0</v>
      </c>
      <c r="G167" s="3">
        <f t="shared" si="10"/>
        <v>267070000</v>
      </c>
      <c r="H167" s="3" t="b">
        <f t="shared" si="11"/>
        <v>0</v>
      </c>
      <c r="I167" s="26">
        <f>Table14[[#This Row],[Tech]]*$T$7+Table14[[#This Row],[Beta]]*($T$6-$T$8)+$T$8</f>
        <v>3.6400000000000002E-2</v>
      </c>
      <c r="J167" s="42">
        <v>6777986.1699999999</v>
      </c>
      <c r="K167" s="52">
        <f>Table14[[#This Row],[Investment]]/Table14[[#This Row],[Dollar Volume]]</f>
        <v>2.5379062305762534E-2</v>
      </c>
      <c r="L167" s="34">
        <f>IFERROR(MAX($T$11+$T$12*LN(Table14[[#This Row],[Frac ADV]]),0),0)*0.0001+0.005/Table14[[#This Row],[Stock Price]]+Table14[[#This Row],[Expense Ratio]]</f>
        <v>1.4706121455644245E-2</v>
      </c>
      <c r="M167" s="46">
        <f>(Table14[[#This Row],[Expected Return]]-Table14[[#This Row],[Tcosts]])*Table14[[#This Row],[Investment]]</f>
        <v>147040.80874730303</v>
      </c>
      <c r="Q167" s="16" t="s">
        <v>746</v>
      </c>
    </row>
    <row r="168" spans="1:17" x14ac:dyDescent="0.3">
      <c r="A168" s="2" t="s">
        <v>677</v>
      </c>
      <c r="B168" s="10" t="s">
        <v>678</v>
      </c>
      <c r="C168" s="11">
        <v>154.11000000000001</v>
      </c>
      <c r="D168" s="11" t="s">
        <v>679</v>
      </c>
      <c r="E168" s="12">
        <v>3.5000000000000001E-3</v>
      </c>
      <c r="F168" s="11">
        <v>0.48</v>
      </c>
      <c r="G168" s="3">
        <f t="shared" si="10"/>
        <v>117950000</v>
      </c>
      <c r="H168" s="3" t="b">
        <f t="shared" si="11"/>
        <v>0</v>
      </c>
      <c r="I168" s="26">
        <f>Table14[[#This Row],[Tech]]*$T$7+Table14[[#This Row],[Beta]]*($T$6-$T$8)+$T$8</f>
        <v>6.6928000000000001E-2</v>
      </c>
      <c r="J168" s="42">
        <v>6527169.6100000003</v>
      </c>
      <c r="K168" s="52">
        <f>Table14[[#This Row],[Investment]]/Table14[[#This Row],[Dollar Volume]]</f>
        <v>5.5338445188639257E-2</v>
      </c>
      <c r="L168" s="34">
        <f>IFERROR(MAX($T$11+$T$12*LN(Table14[[#This Row],[Frac ADV]]),0),0)*0.0001+0.005/Table14[[#This Row],[Stock Price]]+Table14[[#This Row],[Expense Ratio]]</f>
        <v>2.0611973528291208E-2</v>
      </c>
      <c r="M168" s="46">
        <f>(Table14[[#This Row],[Expected Return]]-Table14[[#This Row],[Tcosts]])*Table14[[#This Row],[Investment]]</f>
        <v>302312.56044209318</v>
      </c>
      <c r="Q168" s="13" t="s">
        <v>750</v>
      </c>
    </row>
    <row r="169" spans="1:17" x14ac:dyDescent="0.3">
      <c r="A169" s="2" t="s">
        <v>763</v>
      </c>
      <c r="B169" s="10" t="s">
        <v>764</v>
      </c>
      <c r="C169" s="11">
        <v>58.82</v>
      </c>
      <c r="D169" s="11" t="s">
        <v>765</v>
      </c>
      <c r="E169" s="12">
        <v>2.9999999999999997E-4</v>
      </c>
      <c r="F169" s="11">
        <v>-0.02</v>
      </c>
      <c r="G169" s="3">
        <f t="shared" si="10"/>
        <v>25390000</v>
      </c>
      <c r="H169" s="3" t="b">
        <f t="shared" si="11"/>
        <v>0</v>
      </c>
      <c r="I169" s="26">
        <f>Table14[[#This Row],[Tech]]*$T$7+Table14[[#This Row],[Beta]]*($T$6-$T$8)+$T$8</f>
        <v>3.5128E-2</v>
      </c>
      <c r="J169" s="42">
        <v>6481693.3099999996</v>
      </c>
      <c r="K169" s="52">
        <f>Table14[[#This Row],[Investment]]/Table14[[#This Row],[Dollar Volume]]</f>
        <v>0.25528528200078771</v>
      </c>
      <c r="L169" s="34">
        <f>IFERROR(MAX($T$11+$T$12*LN(Table14[[#This Row],[Frac ADV]]),0),0)*0.0001+0.005/Table14[[#This Row],[Stock Price]]+Table14[[#This Row],[Expense Ratio]]</f>
        <v>2.4953468364979744E-2</v>
      </c>
      <c r="M169" s="46">
        <f>(Table14[[#This Row],[Expected Return]]-Table14[[#This Row],[Tcosts]])*Table14[[#This Row],[Investment]]</f>
        <v>65948.193631094153</v>
      </c>
      <c r="Q169" s="16" t="s">
        <v>754</v>
      </c>
    </row>
    <row r="170" spans="1:17" x14ac:dyDescent="0.3">
      <c r="A170" s="4" t="s">
        <v>732</v>
      </c>
      <c r="B170" s="14" t="s">
        <v>733</v>
      </c>
      <c r="C170" s="6">
        <v>79.97</v>
      </c>
      <c r="D170" s="6" t="s">
        <v>734</v>
      </c>
      <c r="E170" s="15">
        <v>2.9999999999999997E-4</v>
      </c>
      <c r="F170" s="6">
        <v>-0.01</v>
      </c>
      <c r="G170" s="3">
        <f t="shared" si="10"/>
        <v>125670000</v>
      </c>
      <c r="H170" s="3" t="b">
        <f t="shared" si="11"/>
        <v>0</v>
      </c>
      <c r="I170" s="26">
        <f>Table14[[#This Row],[Tech]]*$T$7+Table14[[#This Row],[Beta]]*($T$6-$T$8)+$T$8</f>
        <v>3.5764000000000004E-2</v>
      </c>
      <c r="J170" s="42">
        <v>6279331.8499999996</v>
      </c>
      <c r="K170" s="52">
        <f>Table14[[#This Row],[Investment]]/Table14[[#This Row],[Dollar Volume]]</f>
        <v>4.9966832577385212E-2</v>
      </c>
      <c r="L170" s="34">
        <f>IFERROR(MAX($T$11+$T$12*LN(Table14[[#This Row],[Frac ADV]]),0),0)*0.0001+0.005/Table14[[#This Row],[Stock Price]]+Table14[[#This Row],[Expense Ratio]]</f>
        <v>1.694190447779468E-2</v>
      </c>
      <c r="M170" s="46">
        <f>(Table14[[#This Row],[Expected Return]]-Table14[[#This Row],[Tcosts]])*Table14[[#This Row],[Investment]]</f>
        <v>118190.18389632627</v>
      </c>
      <c r="Q170" s="13" t="s">
        <v>758</v>
      </c>
    </row>
    <row r="171" spans="1:17" x14ac:dyDescent="0.3">
      <c r="A171" s="4" t="s">
        <v>755</v>
      </c>
      <c r="B171" s="14" t="s">
        <v>756</v>
      </c>
      <c r="C171" s="6">
        <v>119.82</v>
      </c>
      <c r="D171" s="6" t="s">
        <v>757</v>
      </c>
      <c r="E171" s="15">
        <v>1.5E-3</v>
      </c>
      <c r="F171" s="6">
        <v>-0.09</v>
      </c>
      <c r="G171" s="3">
        <f t="shared" si="10"/>
        <v>177210000</v>
      </c>
      <c r="H171" s="3" t="b">
        <f t="shared" si="11"/>
        <v>0</v>
      </c>
      <c r="I171" s="26">
        <f>Table14[[#This Row],[Tech]]*$T$7+Table14[[#This Row],[Beta]]*($T$6-$T$8)+$T$8</f>
        <v>3.0676000000000002E-2</v>
      </c>
      <c r="J171" s="42">
        <v>6161699.0199999996</v>
      </c>
      <c r="K171" s="52">
        <f>Table14[[#This Row],[Investment]]/Table14[[#This Row],[Dollar Volume]]</f>
        <v>3.4770605609164264E-2</v>
      </c>
      <c r="L171" s="34">
        <f>IFERROR(MAX($T$11+$T$12*LN(Table14[[#This Row],[Frac ADV]]),0),0)*0.0001+0.005/Table14[[#This Row],[Stock Price]]+Table14[[#This Row],[Expense Ratio]]</f>
        <v>1.6345084262215284E-2</v>
      </c>
      <c r="M171" s="46">
        <f>(Table14[[#This Row],[Expected Return]]-Table14[[#This Row],[Tcosts]])*Table14[[#This Row],[Investment]]</f>
        <v>88302.789457210674</v>
      </c>
      <c r="Q171" s="16" t="s">
        <v>762</v>
      </c>
    </row>
    <row r="172" spans="1:17" x14ac:dyDescent="0.3">
      <c r="A172" s="2" t="s">
        <v>693</v>
      </c>
      <c r="B172" s="10" t="s">
        <v>694</v>
      </c>
      <c r="C172" s="11">
        <v>37.450000000000003</v>
      </c>
      <c r="D172" s="11" t="s">
        <v>695</v>
      </c>
      <c r="E172" s="12">
        <v>8.0000000000000004E-4</v>
      </c>
      <c r="F172" s="11">
        <v>0.21</v>
      </c>
      <c r="G172" s="3">
        <f t="shared" si="10"/>
        <v>176940000</v>
      </c>
      <c r="H172" s="3" t="b">
        <f t="shared" si="11"/>
        <v>0</v>
      </c>
      <c r="I172" s="26">
        <f>Table14[[#This Row],[Tech]]*$T$7+Table14[[#This Row],[Beta]]*($T$6-$T$8)+$T$8</f>
        <v>4.9756000000000002E-2</v>
      </c>
      <c r="J172" s="42">
        <v>5684334.9299999997</v>
      </c>
      <c r="K172" s="52">
        <f>Table14[[#This Row],[Investment]]/Table14[[#This Row],[Dollar Volume]]</f>
        <v>3.2125776703967442E-2</v>
      </c>
      <c r="L172" s="34">
        <f>IFERROR(MAX($T$11+$T$12*LN(Table14[[#This Row],[Frac ADV]]),0),0)*0.0001+0.005/Table14[[#This Row],[Stock Price]]+Table14[[#This Row],[Expense Ratio]]</f>
        <v>1.534935146190332E-2</v>
      </c>
      <c r="M172" s="46">
        <f>(Table14[[#This Row],[Expected Return]]-Table14[[#This Row],[Tcosts]])*Table14[[#This Row],[Investment]]</f>
        <v>195578.91410933642</v>
      </c>
      <c r="Q172" s="13" t="s">
        <v>766</v>
      </c>
    </row>
    <row r="173" spans="1:17" x14ac:dyDescent="0.3">
      <c r="A173" s="2" t="s">
        <v>701</v>
      </c>
      <c r="B173" s="10" t="s">
        <v>702</v>
      </c>
      <c r="C173" s="11">
        <v>53.11</v>
      </c>
      <c r="D173" s="11" t="s">
        <v>703</v>
      </c>
      <c r="E173" s="12">
        <v>4.0000000000000001E-3</v>
      </c>
      <c r="F173" s="11">
        <v>7.0000000000000007E-2</v>
      </c>
      <c r="G173" s="3">
        <f t="shared" si="10"/>
        <v>203900000</v>
      </c>
      <c r="H173" s="3" t="b">
        <f t="shared" si="11"/>
        <v>0</v>
      </c>
      <c r="I173" s="26">
        <f>Table14[[#This Row],[Tech]]*$T$7+Table14[[#This Row],[Beta]]*($T$6-$T$8)+$T$8</f>
        <v>4.0851999999999999E-2</v>
      </c>
      <c r="J173" s="42">
        <v>5433600.0099999998</v>
      </c>
      <c r="K173" s="52">
        <f>Table14[[#This Row],[Investment]]/Table14[[#This Row],[Dollar Volume]]</f>
        <v>2.6648357086807257E-2</v>
      </c>
      <c r="L173" s="34">
        <f>IFERROR(MAX($T$11+$T$12*LN(Table14[[#This Row],[Frac ADV]]),0),0)*0.0001+0.005/Table14[[#This Row],[Stock Price]]+Table14[[#This Row],[Expense Ratio]]</f>
        <v>1.7594356797909362E-2</v>
      </c>
      <c r="M173" s="46">
        <f>(Table14[[#This Row],[Expected Return]]-Table14[[#This Row],[Tcosts]])*Table14[[#This Row],[Investment]]</f>
        <v>126372.73033545612</v>
      </c>
      <c r="Q173" s="16" t="s">
        <v>770</v>
      </c>
    </row>
    <row r="174" spans="1:17" x14ac:dyDescent="0.3">
      <c r="A174" s="4" t="s">
        <v>739</v>
      </c>
      <c r="B174" s="14" t="s">
        <v>740</v>
      </c>
      <c r="C174" s="6">
        <v>50.47</v>
      </c>
      <c r="D174" s="6" t="s">
        <v>741</v>
      </c>
      <c r="E174" s="15">
        <v>6.9999999999999999E-4</v>
      </c>
      <c r="F174" s="6">
        <v>-0.01</v>
      </c>
      <c r="G174" s="3">
        <f t="shared" si="10"/>
        <v>44860000</v>
      </c>
      <c r="H174" s="3" t="b">
        <f t="shared" si="11"/>
        <v>0</v>
      </c>
      <c r="I174" s="26">
        <f>Table14[[#This Row],[Tech]]*$T$7+Table14[[#This Row],[Beta]]*($T$6-$T$8)+$T$8</f>
        <v>3.5764000000000004E-2</v>
      </c>
      <c r="J174" s="42">
        <v>4922659.49</v>
      </c>
      <c r="K174" s="52">
        <f>Table14[[#This Row],[Investment]]/Table14[[#This Row],[Dollar Volume]]</f>
        <v>0.10973382724030317</v>
      </c>
      <c r="L174" s="34">
        <f>IFERROR(MAX($T$11+$T$12*LN(Table14[[#This Row],[Frac ADV]]),0),0)*0.0001+0.005/Table14[[#This Row],[Stock Price]]+Table14[[#This Row],[Expense Ratio]]</f>
        <v>2.1231859522713441E-2</v>
      </c>
      <c r="M174" s="46">
        <f>(Table14[[#This Row],[Expected Return]]-Table14[[#This Row],[Tcosts]])*Table14[[#This Row],[Investment]]</f>
        <v>71536.779230527827</v>
      </c>
      <c r="Q174" s="13" t="s">
        <v>774</v>
      </c>
    </row>
    <row r="175" spans="1:17" x14ac:dyDescent="0.3">
      <c r="A175" s="4" t="s">
        <v>705</v>
      </c>
      <c r="B175" s="14" t="s">
        <v>706</v>
      </c>
      <c r="C175" s="6">
        <v>97.25</v>
      </c>
      <c r="D175" s="6" t="s">
        <v>707</v>
      </c>
      <c r="E175" s="15">
        <v>3.8999999999999998E-3</v>
      </c>
      <c r="F175" s="6">
        <v>0.14000000000000001</v>
      </c>
      <c r="G175" s="3">
        <f t="shared" si="10"/>
        <v>546640000</v>
      </c>
      <c r="H175" s="3" t="b">
        <f t="shared" si="11"/>
        <v>0</v>
      </c>
      <c r="I175" s="26">
        <f>Table14[[#This Row],[Tech]]*$T$7+Table14[[#This Row],[Beta]]*($T$6-$T$8)+$T$8</f>
        <v>4.5304000000000004E-2</v>
      </c>
      <c r="J175" s="42">
        <v>4807266.96</v>
      </c>
      <c r="K175" s="52">
        <f>Table14[[#This Row],[Investment]]/Table14[[#This Row],[Dollar Volume]]</f>
        <v>8.7942100102444028E-3</v>
      </c>
      <c r="L175" s="34">
        <f>IFERROR(MAX($T$11+$T$12*LN(Table14[[#This Row],[Frac ADV]]),0),0)*0.0001+0.005/Table14[[#This Row],[Stock Price]]+Table14[[#This Row],[Expense Ratio]]</f>
        <v>1.2021309442673656E-2</v>
      </c>
      <c r="M175" s="46">
        <f>(Table14[[#This Row],[Expected Return]]-Table14[[#This Row],[Tcosts]])*Table14[[#This Row],[Investment]]</f>
        <v>159998.77865613895</v>
      </c>
      <c r="Q175" s="16" t="s">
        <v>778</v>
      </c>
    </row>
    <row r="176" spans="1:17" x14ac:dyDescent="0.3">
      <c r="A176" s="2" t="s">
        <v>736</v>
      </c>
      <c r="B176" s="10" t="s">
        <v>737</v>
      </c>
      <c r="C176" s="11">
        <v>50.68</v>
      </c>
      <c r="D176" s="11" t="s">
        <v>738</v>
      </c>
      <c r="E176" s="12">
        <v>1.8E-3</v>
      </c>
      <c r="F176" s="11">
        <v>0.01</v>
      </c>
      <c r="G176" s="3">
        <f t="shared" si="10"/>
        <v>42740000</v>
      </c>
      <c r="H176" s="3" t="b">
        <f t="shared" si="11"/>
        <v>0</v>
      </c>
      <c r="I176" s="26">
        <f>Table14[[#This Row],[Tech]]*$T$7+Table14[[#This Row],[Beta]]*($T$6-$T$8)+$T$8</f>
        <v>3.7035999999999999E-2</v>
      </c>
      <c r="J176" s="42">
        <v>4780043.1100000003</v>
      </c>
      <c r="K176" s="52">
        <f>Table14[[#This Row],[Investment]]/Table14[[#This Row],[Dollar Volume]]</f>
        <v>0.11184003532990174</v>
      </c>
      <c r="L176" s="34">
        <f>IFERROR(MAX($T$11+$T$12*LN(Table14[[#This Row],[Frac ADV]]),0),0)*0.0001+0.005/Table14[[#This Row],[Stock Price]]+Table14[[#This Row],[Expense Ratio]]</f>
        <v>2.242457327674463E-2</v>
      </c>
      <c r="M176" s="46">
        <f>(Table14[[#This Row],[Expected Return]]-Table14[[#This Row],[Tcosts]])*Table14[[#This Row],[Investment]]</f>
        <v>69843.249635766711</v>
      </c>
      <c r="Q176" s="13" t="s">
        <v>782</v>
      </c>
    </row>
    <row r="177" spans="1:17" x14ac:dyDescent="0.3">
      <c r="A177" s="4" t="s">
        <v>658</v>
      </c>
      <c r="B177" s="14" t="s">
        <v>659</v>
      </c>
      <c r="C177" s="6">
        <v>45.25</v>
      </c>
      <c r="D177" s="6" t="s">
        <v>354</v>
      </c>
      <c r="E177" s="15">
        <v>8.0000000000000004E-4</v>
      </c>
      <c r="F177" s="6">
        <v>0.32</v>
      </c>
      <c r="G177" s="3">
        <f t="shared" si="10"/>
        <v>45530000</v>
      </c>
      <c r="H177" s="3" t="b">
        <f t="shared" si="11"/>
        <v>0</v>
      </c>
      <c r="I177" s="26">
        <f>Table14[[#This Row],[Tech]]*$T$7+Table14[[#This Row],[Beta]]*($T$6-$T$8)+$T$8</f>
        <v>5.6752000000000004E-2</v>
      </c>
      <c r="J177" s="42">
        <v>4580844.66</v>
      </c>
      <c r="K177" s="52">
        <f>Table14[[#This Row],[Investment]]/Table14[[#This Row],[Dollar Volume]]</f>
        <v>0.1006115673182517</v>
      </c>
      <c r="L177" s="34">
        <f>IFERROR(MAX($T$11+$T$12*LN(Table14[[#This Row],[Frac ADV]]),0),0)*0.0001+0.005/Table14[[#This Row],[Stock Price]]+Table14[[#This Row],[Expense Ratio]]</f>
        <v>2.0918170555090945E-2</v>
      </c>
      <c r="M177" s="46">
        <f>(Table14[[#This Row],[Expected Return]]-Table14[[#This Row],[Tcosts]])*Table14[[#This Row],[Investment]]</f>
        <v>164149.20626006243</v>
      </c>
      <c r="Q177" s="16" t="s">
        <v>786</v>
      </c>
    </row>
    <row r="178" spans="1:17" x14ac:dyDescent="0.3">
      <c r="A178" s="2" t="s">
        <v>759</v>
      </c>
      <c r="B178" s="10" t="s">
        <v>760</v>
      </c>
      <c r="C178" s="11">
        <v>46.44</v>
      </c>
      <c r="D178" s="11" t="s">
        <v>761</v>
      </c>
      <c r="E178" s="12">
        <v>3.5999999999999999E-3</v>
      </c>
      <c r="F178" s="11">
        <v>-0.06</v>
      </c>
      <c r="G178" s="3">
        <f t="shared" si="10"/>
        <v>99420000</v>
      </c>
      <c r="H178" s="3" t="b">
        <f t="shared" si="11"/>
        <v>0</v>
      </c>
      <c r="I178" s="26">
        <f>Table14[[#This Row],[Tech]]*$T$7+Table14[[#This Row],[Beta]]*($T$6-$T$8)+$T$8</f>
        <v>3.2584000000000002E-2</v>
      </c>
      <c r="J178" s="42">
        <v>4240238.75</v>
      </c>
      <c r="K178" s="52">
        <f>Table14[[#This Row],[Investment]]/Table14[[#This Row],[Dollar Volume]]</f>
        <v>4.2649756085294713E-2</v>
      </c>
      <c r="L178" s="34">
        <f>IFERROR(MAX($T$11+$T$12*LN(Table14[[#This Row],[Frac ADV]]),0),0)*0.0001+0.005/Table14[[#This Row],[Stock Price]]+Table14[[#This Row],[Expense Ratio]]</f>
        <v>1.9511475338494986E-2</v>
      </c>
      <c r="M178" s="46">
        <f>(Table14[[#This Row],[Expected Return]]-Table14[[#This Row],[Tcosts]])*Table14[[#This Row],[Investment]]</f>
        <v>55430.625630044204</v>
      </c>
      <c r="Q178" s="13" t="s">
        <v>790</v>
      </c>
    </row>
    <row r="179" spans="1:17" x14ac:dyDescent="0.3">
      <c r="A179" s="2" t="s">
        <v>866</v>
      </c>
      <c r="B179" s="10" t="s">
        <v>867</v>
      </c>
      <c r="C179" s="11">
        <v>74.66</v>
      </c>
      <c r="D179" s="11" t="s">
        <v>868</v>
      </c>
      <c r="E179" s="12">
        <v>2.9999999999999997E-4</v>
      </c>
      <c r="F179" s="11">
        <v>-0.05</v>
      </c>
      <c r="G179" s="3">
        <f t="shared" si="10"/>
        <v>35920000</v>
      </c>
      <c r="H179" s="3" t="b">
        <f t="shared" si="11"/>
        <v>0</v>
      </c>
      <c r="I179" s="26">
        <f>Table14[[#This Row],[Tech]]*$T$7+Table14[[#This Row],[Beta]]*($T$6-$T$8)+$T$8</f>
        <v>3.322E-2</v>
      </c>
      <c r="J179" s="42">
        <v>3832011.79</v>
      </c>
      <c r="K179" s="52">
        <f>Table14[[#This Row],[Investment]]/Table14[[#This Row],[Dollar Volume]]</f>
        <v>0.10668184270601336</v>
      </c>
      <c r="L179" s="34">
        <f>IFERROR(MAX($T$11+$T$12*LN(Table14[[#This Row],[Frac ADV]]),0),0)*0.0001+0.005/Table14[[#This Row],[Stock Price]]+Table14[[#This Row],[Expense Ratio]]</f>
        <v>2.0661598775850051E-2</v>
      </c>
      <c r="M179" s="46">
        <f>(Table14[[#This Row],[Expected Return]]-Table14[[#This Row],[Tcosts]])*Table14[[#This Row],[Investment]]</f>
        <v>48123.941554493038</v>
      </c>
      <c r="Q179" s="16" t="s">
        <v>794</v>
      </c>
    </row>
    <row r="180" spans="1:17" x14ac:dyDescent="0.3">
      <c r="A180" s="2" t="s">
        <v>799</v>
      </c>
      <c r="B180" s="10" t="s">
        <v>800</v>
      </c>
      <c r="C180" s="11">
        <v>78.98</v>
      </c>
      <c r="D180" s="11" t="s">
        <v>801</v>
      </c>
      <c r="E180" s="12">
        <v>2.9999999999999997E-4</v>
      </c>
      <c r="F180" s="11">
        <v>-0.04</v>
      </c>
      <c r="G180" s="3">
        <f t="shared" si="10"/>
        <v>5330000000</v>
      </c>
      <c r="H180" s="3" t="b">
        <f t="shared" si="11"/>
        <v>0</v>
      </c>
      <c r="I180" s="26">
        <f>Table14[[#This Row],[Tech]]*$T$7+Table14[[#This Row],[Beta]]*($T$6-$T$8)+$T$8</f>
        <v>3.3856000000000004E-2</v>
      </c>
      <c r="J180" s="42">
        <v>3722039.88</v>
      </c>
      <c r="K180" s="52">
        <f>Table14[[#This Row],[Investment]]/Table14[[#This Row],[Dollar Volume]]</f>
        <v>6.9831892682926824E-4</v>
      </c>
      <c r="L180" s="34">
        <f>IFERROR(MAX($T$11+$T$12*LN(Table14[[#This Row],[Frac ADV]]),0),0)*0.0001+0.005/Table14[[#This Row],[Stock Price]]+Table14[[#This Row],[Expense Ratio]]</f>
        <v>3.6330716637123319E-4</v>
      </c>
      <c r="M180" s="46">
        <f>(Table14[[#This Row],[Expected Return]]-Table14[[#This Row],[Tcosts]])*Table14[[#This Row],[Investment]]</f>
        <v>124661.13841535647</v>
      </c>
      <c r="Q180" s="13" t="s">
        <v>798</v>
      </c>
    </row>
    <row r="181" spans="1:17" x14ac:dyDescent="0.3">
      <c r="A181" s="2" t="s">
        <v>870</v>
      </c>
      <c r="B181" s="10" t="s">
        <v>871</v>
      </c>
      <c r="C181" s="11">
        <v>92.48</v>
      </c>
      <c r="D181" s="11" t="s">
        <v>872</v>
      </c>
      <c r="E181" s="12">
        <v>2.5000000000000001E-3</v>
      </c>
      <c r="F181" s="11">
        <v>-0.05</v>
      </c>
      <c r="G181" s="3">
        <f t="shared" si="10"/>
        <v>152890000</v>
      </c>
      <c r="H181" s="3" t="b">
        <f t="shared" si="11"/>
        <v>0</v>
      </c>
      <c r="I181" s="26">
        <f>Table14[[#This Row],[Tech]]*$T$7+Table14[[#This Row],[Beta]]*($T$6-$T$8)+$T$8</f>
        <v>3.322E-2</v>
      </c>
      <c r="J181" s="42">
        <v>3698858.14</v>
      </c>
      <c r="K181" s="52">
        <f>Table14[[#This Row],[Investment]]/Table14[[#This Row],[Dollar Volume]]</f>
        <v>2.4192937013539147E-2</v>
      </c>
      <c r="L181" s="34">
        <f>IFERROR(MAX($T$11+$T$12*LN(Table14[[#This Row],[Frac ADV]]),0),0)*0.0001+0.005/Table14[[#This Row],[Stock Price]]+Table14[[#This Row],[Expense Ratio]]</f>
        <v>1.5580784603062286E-2</v>
      </c>
      <c r="M181" s="46">
        <f>(Table14[[#This Row],[Expected Return]]-Table14[[#This Row],[Tcosts]])*Table14[[#This Row],[Investment]]</f>
        <v>65244.955454176386</v>
      </c>
      <c r="Q181" s="16" t="s">
        <v>802</v>
      </c>
    </row>
    <row r="182" spans="1:17" x14ac:dyDescent="0.3">
      <c r="A182" s="4" t="s">
        <v>807</v>
      </c>
      <c r="B182" s="14" t="s">
        <v>808</v>
      </c>
      <c r="C182" s="6">
        <v>108.09</v>
      </c>
      <c r="D182" s="6" t="s">
        <v>809</v>
      </c>
      <c r="E182" s="15">
        <v>5.0000000000000001E-4</v>
      </c>
      <c r="F182" s="6">
        <v>-0.04</v>
      </c>
      <c r="G182" s="3">
        <f t="shared" si="10"/>
        <v>113370000</v>
      </c>
      <c r="H182" s="3" t="b">
        <f t="shared" si="11"/>
        <v>0</v>
      </c>
      <c r="I182" s="26">
        <f>Table14[[#This Row],[Tech]]*$T$7+Table14[[#This Row],[Beta]]*($T$6-$T$8)+$T$8</f>
        <v>3.3856000000000004E-2</v>
      </c>
      <c r="J182" s="42">
        <v>3560219.18</v>
      </c>
      <c r="K182" s="52">
        <f>Table14[[#This Row],[Investment]]/Table14[[#This Row],[Dollar Volume]]</f>
        <v>3.1403538678662787E-2</v>
      </c>
      <c r="L182" s="34">
        <f>IFERROR(MAX($T$11+$T$12*LN(Table14[[#This Row],[Frac ADV]]),0),0)*0.0001+0.005/Table14[[#This Row],[Stock Price]]+Table14[[#This Row],[Expense Ratio]]</f>
        <v>1.4850721791161184E-2</v>
      </c>
      <c r="M182" s="46">
        <f>(Table14[[#This Row],[Expected Return]]-Table14[[#This Row],[Tcosts]])*Table14[[#This Row],[Investment]]</f>
        <v>67662.956000344027</v>
      </c>
      <c r="Q182" s="13" t="s">
        <v>806</v>
      </c>
    </row>
    <row r="183" spans="1:17" x14ac:dyDescent="0.3">
      <c r="A183" s="2" t="s">
        <v>728</v>
      </c>
      <c r="B183" s="10" t="s">
        <v>729</v>
      </c>
      <c r="C183" s="11">
        <v>102.99</v>
      </c>
      <c r="D183" s="11" t="s">
        <v>730</v>
      </c>
      <c r="E183" s="12">
        <v>2.9999999999999997E-4</v>
      </c>
      <c r="F183" s="11">
        <v>-0.01</v>
      </c>
      <c r="G183" s="3">
        <f t="shared" si="10"/>
        <v>83690000</v>
      </c>
      <c r="H183" s="3" t="b">
        <f t="shared" si="11"/>
        <v>0</v>
      </c>
      <c r="I183" s="26">
        <f>Table14[[#This Row],[Tech]]*$T$7+Table14[[#This Row],[Beta]]*($T$6-$T$8)+$T$8</f>
        <v>3.5764000000000004E-2</v>
      </c>
      <c r="J183" s="42">
        <v>3479087.64</v>
      </c>
      <c r="K183" s="52">
        <f>Table14[[#This Row],[Investment]]/Table14[[#This Row],[Dollar Volume]]</f>
        <v>4.1571127255347118E-2</v>
      </c>
      <c r="L183" s="34">
        <f>IFERROR(MAX($T$11+$T$12*LN(Table14[[#This Row],[Frac ADV]]),0),0)*0.0001+0.005/Table14[[#This Row],[Stock Price]]+Table14[[#This Row],[Expense Ratio]]</f>
        <v>1.6026887044457261E-2</v>
      </c>
      <c r="M183" s="46">
        <f>(Table14[[#This Row],[Expected Return]]-Table14[[#This Row],[Tcosts]])*Table14[[#This Row],[Investment]]</f>
        <v>68667.145732912628</v>
      </c>
      <c r="Q183" s="16" t="s">
        <v>810</v>
      </c>
    </row>
    <row r="184" spans="1:17" x14ac:dyDescent="0.3">
      <c r="A184" s="2" t="s">
        <v>751</v>
      </c>
      <c r="B184" s="10" t="s">
        <v>752</v>
      </c>
      <c r="C184" s="11">
        <v>451.39</v>
      </c>
      <c r="D184" s="11" t="s">
        <v>753</v>
      </c>
      <c r="E184" s="12">
        <v>4.0000000000000001E-3</v>
      </c>
      <c r="F184" s="11">
        <v>-0.05</v>
      </c>
      <c r="G184" s="3">
        <f t="shared" si="10"/>
        <v>67300000</v>
      </c>
      <c r="H184" s="3" t="b">
        <f t="shared" si="11"/>
        <v>0</v>
      </c>
      <c r="I184" s="26">
        <f>Table14[[#This Row],[Tech]]*$T$7+Table14[[#This Row],[Beta]]*($T$6-$T$8)+$T$8</f>
        <v>3.322E-2</v>
      </c>
      <c r="J184" s="42">
        <v>3427955.15</v>
      </c>
      <c r="K184" s="52">
        <f>Table14[[#This Row],[Investment]]/Table14[[#This Row],[Dollar Volume]]</f>
        <v>5.0935440564635955E-2</v>
      </c>
      <c r="L184" s="34">
        <f>IFERROR(MAX($T$11+$T$12*LN(Table14[[#This Row],[Frac ADV]]),0),0)*0.0001+0.005/Table14[[#This Row],[Stock Price]]+Table14[[#This Row],[Expense Ratio]]</f>
        <v>2.0684501136666651E-2</v>
      </c>
      <c r="M184" s="46">
        <f>(Table14[[#This Row],[Expected Return]]-Table14[[#This Row],[Tcosts]])*Table14[[#This Row],[Investment]]</f>
        <v>42971.127886382696</v>
      </c>
      <c r="Q184" s="13" t="s">
        <v>814</v>
      </c>
    </row>
    <row r="185" spans="1:17" x14ac:dyDescent="0.3">
      <c r="A185" s="2" t="s">
        <v>815</v>
      </c>
      <c r="B185" s="10" t="s">
        <v>816</v>
      </c>
      <c r="C185" s="11">
        <v>49.68</v>
      </c>
      <c r="D185" s="11" t="s">
        <v>817</v>
      </c>
      <c r="E185" s="12">
        <v>1.5E-3</v>
      </c>
      <c r="F185" s="11">
        <v>0.02</v>
      </c>
      <c r="G185" s="3">
        <f t="shared" si="10"/>
        <v>2160000000</v>
      </c>
      <c r="H185" s="3" t="b">
        <f t="shared" si="11"/>
        <v>0</v>
      </c>
      <c r="I185" s="26">
        <f>Table14[[#This Row],[Tech]]*$T$7+Table14[[#This Row],[Beta]]*($T$6-$T$8)+$T$8</f>
        <v>3.7672000000000004E-2</v>
      </c>
      <c r="J185" s="42">
        <v>3289972.57</v>
      </c>
      <c r="K185" s="52">
        <f>Table14[[#This Row],[Investment]]/Table14[[#This Row],[Dollar Volume]]</f>
        <v>1.523135449074074E-3</v>
      </c>
      <c r="L185" s="34">
        <f>IFERROR(MAX($T$11+$T$12*LN(Table14[[#This Row],[Frac ADV]]),0),0)*0.0001+0.005/Table14[[#This Row],[Stock Price]]+Table14[[#This Row],[Expense Ratio]]</f>
        <v>1.6006441223832529E-3</v>
      </c>
      <c r="M185" s="46">
        <f>(Table14[[#This Row],[Expected Return]]-Table14[[#This Row],[Tcosts]])*Table14[[#This Row],[Investment]]</f>
        <v>118673.77140006737</v>
      </c>
      <c r="Q185" s="16" t="s">
        <v>818</v>
      </c>
    </row>
    <row r="186" spans="1:17" x14ac:dyDescent="0.3">
      <c r="A186" s="2" t="s">
        <v>791</v>
      </c>
      <c r="B186" s="10" t="s">
        <v>792</v>
      </c>
      <c r="C186" s="11">
        <v>100.51</v>
      </c>
      <c r="D186" s="11" t="s">
        <v>793</v>
      </c>
      <c r="E186" s="12">
        <v>3.5999999999999999E-3</v>
      </c>
      <c r="F186" s="11">
        <v>0.02</v>
      </c>
      <c r="G186" s="3">
        <f t="shared" si="10"/>
        <v>110680000</v>
      </c>
      <c r="H186" s="3" t="b">
        <f t="shared" si="11"/>
        <v>0</v>
      </c>
      <c r="I186" s="26">
        <f>Table14[[#This Row],[Tech]]*$T$7+Table14[[#This Row],[Beta]]*($T$6-$T$8)+$T$8</f>
        <v>3.7672000000000004E-2</v>
      </c>
      <c r="J186" s="42">
        <v>3088087.76</v>
      </c>
      <c r="K186" s="52">
        <f>Table14[[#This Row],[Investment]]/Table14[[#This Row],[Dollar Volume]]</f>
        <v>2.7901045898084568E-2</v>
      </c>
      <c r="L186" s="34">
        <f>IFERROR(MAX($T$11+$T$12*LN(Table14[[#This Row],[Frac ADV]]),0),0)*0.0001+0.005/Table14[[#This Row],[Stock Price]]+Table14[[#This Row],[Expense Ratio]]</f>
        <v>1.7374966139033481E-2</v>
      </c>
      <c r="M186" s="46">
        <f>(Table14[[#This Row],[Expected Return]]-Table14[[#This Row],[Tcosts]])*Table14[[#This Row],[Investment]]</f>
        <v>62679.021830356258</v>
      </c>
      <c r="Q186" s="13" t="s">
        <v>822</v>
      </c>
    </row>
    <row r="187" spans="1:17" x14ac:dyDescent="0.3">
      <c r="A187" s="2" t="s">
        <v>811</v>
      </c>
      <c r="B187" s="10" t="s">
        <v>812</v>
      </c>
      <c r="C187" s="11">
        <v>46.89</v>
      </c>
      <c r="D187" s="11" t="s">
        <v>813</v>
      </c>
      <c r="E187" s="12">
        <v>5.9999999999999995E-4</v>
      </c>
      <c r="F187" s="11">
        <v>-0.04</v>
      </c>
      <c r="G187" s="3">
        <f t="shared" si="10"/>
        <v>103190000</v>
      </c>
      <c r="H187" s="3" t="b">
        <f t="shared" si="11"/>
        <v>0</v>
      </c>
      <c r="I187" s="26">
        <f>Table14[[#This Row],[Tech]]*$T$7+Table14[[#This Row],[Beta]]*($T$6-$T$8)+$T$8</f>
        <v>3.3856000000000004E-2</v>
      </c>
      <c r="J187" s="42">
        <v>3051600.3</v>
      </c>
      <c r="K187" s="52">
        <f>Table14[[#This Row],[Investment]]/Table14[[#This Row],[Dollar Volume]]</f>
        <v>2.9572635914332783E-2</v>
      </c>
      <c r="L187" s="34">
        <f>IFERROR(MAX($T$11+$T$12*LN(Table14[[#This Row],[Frac ADV]]),0),0)*0.0001+0.005/Table14[[#This Row],[Stock Price]]+Table14[[#This Row],[Expense Ratio]]</f>
        <v>1.4716855930946031E-2</v>
      </c>
      <c r="M187" s="46">
        <f>(Table14[[#This Row],[Expected Return]]-Table14[[#This Row],[Tcosts]])*Table14[[#This Row],[Investment]]</f>
        <v>58405.017782868323</v>
      </c>
      <c r="Q187" s="16" t="s">
        <v>826</v>
      </c>
    </row>
    <row r="188" spans="1:17" x14ac:dyDescent="0.3">
      <c r="A188" s="4" t="s">
        <v>685</v>
      </c>
      <c r="B188" s="14" t="s">
        <v>686</v>
      </c>
      <c r="C188" s="6">
        <v>89.21</v>
      </c>
      <c r="D188" s="6" t="s">
        <v>687</v>
      </c>
      <c r="E188" s="15">
        <v>8.0000000000000004E-4</v>
      </c>
      <c r="F188" s="6">
        <v>0.21</v>
      </c>
      <c r="G188" s="3">
        <f t="shared" si="10"/>
        <v>51210000</v>
      </c>
      <c r="H188" s="3" t="b">
        <f t="shared" si="11"/>
        <v>0</v>
      </c>
      <c r="I188" s="26">
        <f>Table14[[#This Row],[Tech]]*$T$7+Table14[[#This Row],[Beta]]*($T$6-$T$8)+$T$8</f>
        <v>4.9756000000000002E-2</v>
      </c>
      <c r="J188" s="42">
        <v>3001339.7</v>
      </c>
      <c r="K188" s="52">
        <f>Table14[[#This Row],[Investment]]/Table14[[#This Row],[Dollar Volume]]</f>
        <v>5.8608469049013866E-2</v>
      </c>
      <c r="L188" s="34">
        <f>IFERROR(MAX($T$11+$T$12*LN(Table14[[#This Row],[Frac ADV]]),0),0)*0.0001+0.005/Table14[[#This Row],[Stock Price]]+Table14[[#This Row],[Expense Ratio]]</f>
        <v>1.8216789200179929E-2</v>
      </c>
      <c r="M188" s="46">
        <f>(Table14[[#This Row],[Expected Return]]-Table14[[#This Row],[Tcosts]])*Table14[[#This Row],[Investment]]</f>
        <v>94659.885480168727</v>
      </c>
      <c r="Q188" s="13" t="s">
        <v>830</v>
      </c>
    </row>
    <row r="189" spans="1:17" x14ac:dyDescent="0.3">
      <c r="A189" s="2" t="s">
        <v>767</v>
      </c>
      <c r="B189" s="10" t="s">
        <v>768</v>
      </c>
      <c r="C189" s="11">
        <v>110.22</v>
      </c>
      <c r="D189" s="11" t="s">
        <v>769</v>
      </c>
      <c r="E189" s="12">
        <v>1.5E-3</v>
      </c>
      <c r="F189" s="11">
        <v>0.01</v>
      </c>
      <c r="G189" s="3">
        <f t="shared" si="10"/>
        <v>140630000</v>
      </c>
      <c r="H189" s="3" t="b">
        <f t="shared" si="11"/>
        <v>0</v>
      </c>
      <c r="I189" s="26">
        <f>Table14[[#This Row],[Tech]]*$T$7+Table14[[#This Row],[Beta]]*($T$6-$T$8)+$T$8</f>
        <v>3.7035999999999999E-2</v>
      </c>
      <c r="J189" s="42">
        <v>2951489.25</v>
      </c>
      <c r="K189" s="52">
        <f>Table14[[#This Row],[Investment]]/Table14[[#This Row],[Dollar Volume]]</f>
        <v>2.0987621773448054E-2</v>
      </c>
      <c r="L189" s="34">
        <f>IFERROR(MAX($T$11+$T$12*LN(Table14[[#This Row],[Frac ADV]]),0),0)*0.0001+0.005/Table14[[#This Row],[Stock Price]]+Table14[[#This Row],[Expense Ratio]]</f>
        <v>1.3875910968176889E-2</v>
      </c>
      <c r="M189" s="46">
        <f>(Table14[[#This Row],[Expected Return]]-Table14[[#This Row],[Tcosts]])*Table14[[#This Row],[Investment]]</f>
        <v>68356.753806468812</v>
      </c>
      <c r="Q189" s="16" t="s">
        <v>834</v>
      </c>
    </row>
    <row r="190" spans="1:17" x14ac:dyDescent="0.3">
      <c r="A190" s="2" t="s">
        <v>787</v>
      </c>
      <c r="B190" s="10" t="s">
        <v>788</v>
      </c>
      <c r="C190" s="11">
        <v>50.41</v>
      </c>
      <c r="D190" s="11" t="s">
        <v>789</v>
      </c>
      <c r="E190" s="12">
        <v>1.5E-3</v>
      </c>
      <c r="F190" s="11">
        <v>-0.01</v>
      </c>
      <c r="G190" s="3">
        <f t="shared" si="10"/>
        <v>75700000</v>
      </c>
      <c r="H190" s="3" t="b">
        <f t="shared" si="11"/>
        <v>0</v>
      </c>
      <c r="I190" s="26">
        <f>Table14[[#This Row],[Tech]]*$T$7+Table14[[#This Row],[Beta]]*($T$6-$T$8)+$T$8</f>
        <v>3.5764000000000004E-2</v>
      </c>
      <c r="J190" s="42">
        <v>2486212.38</v>
      </c>
      <c r="K190" s="52">
        <f>Table14[[#This Row],[Investment]]/Table14[[#This Row],[Dollar Volume]]</f>
        <v>3.2842964068692207E-2</v>
      </c>
      <c r="L190" s="34">
        <f>IFERROR(MAX($T$11+$T$12*LN(Table14[[#This Row],[Frac ADV]]),0),0)*0.0001+0.005/Table14[[#This Row],[Stock Price]]+Table14[[#This Row],[Expense Ratio]]</f>
        <v>1.6123173372056133E-2</v>
      </c>
      <c r="M190" s="46">
        <f>(Table14[[#This Row],[Expected Return]]-Table14[[#This Row],[Tcosts]])*Table14[[#This Row],[Investment]]</f>
        <v>48831.266315827706</v>
      </c>
      <c r="Q190" s="13" t="s">
        <v>838</v>
      </c>
    </row>
    <row r="191" spans="1:17" x14ac:dyDescent="0.3">
      <c r="A191" s="4" t="s">
        <v>771</v>
      </c>
      <c r="B191" s="14" t="s">
        <v>772</v>
      </c>
      <c r="C191" s="6">
        <v>24.39</v>
      </c>
      <c r="D191" s="6" t="s">
        <v>773</v>
      </c>
      <c r="E191" s="15">
        <v>2.9999999999999997E-4</v>
      </c>
      <c r="F191" s="6">
        <v>-0.02</v>
      </c>
      <c r="G191" s="3">
        <f t="shared" si="10"/>
        <v>42420000</v>
      </c>
      <c r="H191" s="3" t="b">
        <f t="shared" si="11"/>
        <v>0</v>
      </c>
      <c r="I191" s="26">
        <f>Table14[[#This Row],[Tech]]*$T$7+Table14[[#This Row],[Beta]]*($T$6-$T$8)+$T$8</f>
        <v>3.5128E-2</v>
      </c>
      <c r="J191" s="42">
        <v>2413615.35</v>
      </c>
      <c r="K191" s="52">
        <f>Table14[[#This Row],[Investment]]/Table14[[#This Row],[Dollar Volume]]</f>
        <v>5.6898051626591235E-2</v>
      </c>
      <c r="L191" s="34">
        <f>IFERROR(MAX($T$11+$T$12*LN(Table14[[#This Row],[Frac ADV]]),0),0)*0.0001+0.005/Table14[[#This Row],[Stock Price]]+Table14[[#This Row],[Expense Ratio]]</f>
        <v>1.772066812660756E-2</v>
      </c>
      <c r="M191" s="46">
        <f>(Table14[[#This Row],[Expected Return]]-Table14[[#This Row],[Tcosts]])*Table14[[#This Row],[Investment]]</f>
        <v>42014.603412164251</v>
      </c>
      <c r="Q191" s="16" t="s">
        <v>841</v>
      </c>
    </row>
    <row r="192" spans="1:17" x14ac:dyDescent="0.3">
      <c r="A192" s="2" t="s">
        <v>874</v>
      </c>
      <c r="B192" s="10" t="s">
        <v>875</v>
      </c>
      <c r="C192" s="11">
        <v>50.77</v>
      </c>
      <c r="D192" s="11" t="s">
        <v>726</v>
      </c>
      <c r="E192" s="12">
        <v>2.9999999999999997E-4</v>
      </c>
      <c r="F192" s="11">
        <v>-0.05</v>
      </c>
      <c r="G192" s="3">
        <f t="shared" si="10"/>
        <v>146800000</v>
      </c>
      <c r="H192" s="3" t="b">
        <f t="shared" si="11"/>
        <v>0</v>
      </c>
      <c r="I192" s="26">
        <f>Table14[[#This Row],[Tech]]*$T$7+Table14[[#This Row],[Beta]]*($T$6-$T$8)+$T$8</f>
        <v>3.322E-2</v>
      </c>
      <c r="J192" s="42">
        <v>2359636.3199999998</v>
      </c>
      <c r="K192" s="52">
        <f>Table14[[#This Row],[Investment]]/Table14[[#This Row],[Dollar Volume]]</f>
        <v>1.6073816893732967E-2</v>
      </c>
      <c r="L192" s="34">
        <f>IFERROR(MAX($T$11+$T$12*LN(Table14[[#This Row],[Frac ADV]]),0),0)*0.0001+0.005/Table14[[#This Row],[Stock Price]]+Table14[[#This Row],[Expense Ratio]]</f>
        <v>1.1422477483788879E-2</v>
      </c>
      <c r="M192" s="46">
        <f>(Table14[[#This Row],[Expected Return]]-Table14[[#This Row],[Tcosts]])*Table14[[#This Row],[Investment]]</f>
        <v>51434.22581526955</v>
      </c>
      <c r="Q192" s="13" t="s">
        <v>845</v>
      </c>
    </row>
    <row r="193" spans="1:17" x14ac:dyDescent="0.3">
      <c r="A193" s="4" t="s">
        <v>862</v>
      </c>
      <c r="B193" s="14" t="s">
        <v>863</v>
      </c>
      <c r="C193" s="6">
        <v>23.19</v>
      </c>
      <c r="D193" s="6" t="s">
        <v>864</v>
      </c>
      <c r="E193" s="15">
        <v>5.0000000000000001E-4</v>
      </c>
      <c r="F193" s="6">
        <v>-0.08</v>
      </c>
      <c r="G193" s="3">
        <f t="shared" si="10"/>
        <v>32799999.999999996</v>
      </c>
      <c r="H193" s="3" t="b">
        <f t="shared" si="11"/>
        <v>0</v>
      </c>
      <c r="I193" s="26">
        <f>Table14[[#This Row],[Tech]]*$T$7+Table14[[#This Row],[Beta]]*($T$6-$T$8)+$T$8</f>
        <v>3.1312E-2</v>
      </c>
      <c r="J193" s="42">
        <v>1620347.23</v>
      </c>
      <c r="K193" s="52">
        <f>Table14[[#This Row],[Investment]]/Table14[[#This Row],[Dollar Volume]]</f>
        <v>4.9400830182926833E-2</v>
      </c>
      <c r="L193" s="34">
        <f>IFERROR(MAX($T$11+$T$12*LN(Table14[[#This Row],[Frac ADV]]),0),0)*0.0001+0.005/Table14[[#This Row],[Stock Price]]+Table14[[#This Row],[Expense Ratio]]</f>
        <v>1.7239189833904225E-2</v>
      </c>
      <c r="M193" s="46">
        <f>(Table14[[#This Row],[Expected Return]]-Table14[[#This Row],[Tcosts]])*Table14[[#This Row],[Investment]]</f>
        <v>22802.838970949128</v>
      </c>
      <c r="Q193" s="16" t="s">
        <v>849</v>
      </c>
    </row>
    <row r="194" spans="1:17" x14ac:dyDescent="0.3">
      <c r="A194" s="2" t="s">
        <v>831</v>
      </c>
      <c r="B194" s="10" t="s">
        <v>832</v>
      </c>
      <c r="C194" s="11">
        <v>97.25</v>
      </c>
      <c r="D194" s="11" t="s">
        <v>833</v>
      </c>
      <c r="E194" s="12">
        <v>1E-3</v>
      </c>
      <c r="F194" s="11">
        <v>-0.05</v>
      </c>
      <c r="G194" s="3">
        <f t="shared" ref="G194:G201" si="12">IF(RIGHT(Q194,1)="B", VALUE(SUBSTITUTE(Q194,"B",""))*1000000000,
 IF(RIGHT(Q194,1)="M", VALUE(SUBSTITUTE(Q194,"M",""))*1000000, VALUE(Q194)))</f>
        <v>32170000</v>
      </c>
      <c r="H194" s="3" t="b">
        <f t="shared" ref="H194:H201" si="13">OR(
  ISNUMBER(SEARCH("technology",B194)),
  ISNUMBER(SEARCH("tech",B194)),
  ISNUMBER(SEARCH("qqq",B194)),
  ISNUMBER(SEARCH("semiconductor",B194)),
  ISNUMBER(SEARCH("information technology",B194)),
  ISNUMBER(SEARCH("nasdaq",B194)),
  ISNUMBER(SEARCH("communication",B194))
)</f>
        <v>0</v>
      </c>
      <c r="I194" s="26">
        <f>Table14[[#This Row],[Tech]]*$T$7+Table14[[#This Row],[Beta]]*($T$6-$T$8)+$T$8</f>
        <v>3.322E-2</v>
      </c>
      <c r="J194" s="42">
        <v>1557485.17</v>
      </c>
      <c r="K194" s="52">
        <f>Table14[[#This Row],[Investment]]/Table14[[#This Row],[Dollar Volume]]</f>
        <v>4.8414211066210751E-2</v>
      </c>
      <c r="L194" s="34">
        <f>IFERROR(MAX($T$11+$T$12*LN(Table14[[#This Row],[Frac ADV]]),0),0)*0.0001+0.005/Table14[[#This Row],[Stock Price]]+Table14[[#This Row],[Expense Ratio]]</f>
        <v>1.7476177914769443E-2</v>
      </c>
      <c r="M194" s="46">
        <f>(Table14[[#This Row],[Expected Return]]-Table14[[#This Row],[Tcosts]])*Table14[[#This Row],[Investment]]</f>
        <v>24520.769416865067</v>
      </c>
      <c r="Q194" s="13" t="s">
        <v>853</v>
      </c>
    </row>
    <row r="195" spans="1:17" x14ac:dyDescent="0.3">
      <c r="A195" s="4" t="s">
        <v>689</v>
      </c>
      <c r="B195" s="14" t="s">
        <v>690</v>
      </c>
      <c r="C195" s="6">
        <v>80.790000000000006</v>
      </c>
      <c r="D195" s="6" t="s">
        <v>691</v>
      </c>
      <c r="E195" s="15">
        <v>4.8999999999999998E-3</v>
      </c>
      <c r="F195" s="6">
        <v>0.2</v>
      </c>
      <c r="G195" s="3">
        <f t="shared" si="12"/>
        <v>66080000</v>
      </c>
      <c r="H195" s="3" t="b">
        <f t="shared" si="13"/>
        <v>0</v>
      </c>
      <c r="I195" s="26">
        <f>Table14[[#This Row],[Tech]]*$T$7+Table14[[#This Row],[Beta]]*($T$6-$T$8)+$T$8</f>
        <v>4.9120000000000004E-2</v>
      </c>
      <c r="J195" s="42">
        <v>1466343.17</v>
      </c>
      <c r="K195" s="52">
        <f>Table14[[#This Row],[Investment]]/Table14[[#This Row],[Dollar Volume]]</f>
        <v>2.2190423274818401E-2</v>
      </c>
      <c r="L195" s="34">
        <f>IFERROR(MAX($T$11+$T$12*LN(Table14[[#This Row],[Frac ADV]]),0),0)*0.0001+0.005/Table14[[#This Row],[Stock Price]]+Table14[[#This Row],[Expense Ratio]]</f>
        <v>1.7565403136464468E-2</v>
      </c>
      <c r="M195" s="46">
        <f>(Table14[[#This Row],[Expected Return]]-Table14[[#This Row],[Tcosts]])*Table14[[#This Row],[Investment]]</f>
        <v>46269.867592948758</v>
      </c>
      <c r="Q195" s="16" t="s">
        <v>857</v>
      </c>
    </row>
    <row r="196" spans="1:17" x14ac:dyDescent="0.3">
      <c r="A196" s="4" t="s">
        <v>721</v>
      </c>
      <c r="B196" s="14" t="s">
        <v>722</v>
      </c>
      <c r="C196" s="6">
        <v>52.14</v>
      </c>
      <c r="D196" s="6" t="s">
        <v>703</v>
      </c>
      <c r="E196" s="15">
        <v>4.0000000000000002E-4</v>
      </c>
      <c r="F196" s="6">
        <v>0</v>
      </c>
      <c r="G196" s="3">
        <f t="shared" si="12"/>
        <v>24040000</v>
      </c>
      <c r="H196" s="3" t="b">
        <f t="shared" si="13"/>
        <v>0</v>
      </c>
      <c r="I196" s="26">
        <f>Table14[[#This Row],[Tech]]*$T$7+Table14[[#This Row],[Beta]]*($T$6-$T$8)+$T$8</f>
        <v>3.6400000000000002E-2</v>
      </c>
      <c r="J196" s="42">
        <v>1452101.15</v>
      </c>
      <c r="K196" s="52">
        <f>Table14[[#This Row],[Investment]]/Table14[[#This Row],[Dollar Volume]]</f>
        <v>6.0403542013311141E-2</v>
      </c>
      <c r="L196" s="34">
        <f>IFERROR(MAX($T$11+$T$12*LN(Table14[[#This Row],[Frac ADV]]),0),0)*0.0001+0.005/Table14[[#This Row],[Stock Price]]+Table14[[#This Row],[Expense Ratio]]</f>
        <v>1.8004409032322016E-2</v>
      </c>
      <c r="M196" s="46">
        <f>(Table14[[#This Row],[Expected Return]]-Table14[[#This Row],[Tcosts]])*Table14[[#This Row],[Investment]]</f>
        <v>26712.258799094816</v>
      </c>
      <c r="Q196" s="13" t="s">
        <v>861</v>
      </c>
    </row>
    <row r="197" spans="1:17" x14ac:dyDescent="0.3">
      <c r="A197" s="2" t="s">
        <v>779</v>
      </c>
      <c r="B197" s="10" t="s">
        <v>780</v>
      </c>
      <c r="C197" s="11">
        <v>26.87</v>
      </c>
      <c r="D197" s="11" t="s">
        <v>781</v>
      </c>
      <c r="E197" s="12">
        <v>6.4000000000000003E-3</v>
      </c>
      <c r="F197" s="11">
        <v>0.03</v>
      </c>
      <c r="G197" s="3">
        <f t="shared" si="12"/>
        <v>84260000</v>
      </c>
      <c r="H197" s="3" t="b">
        <f t="shared" si="13"/>
        <v>0</v>
      </c>
      <c r="I197" s="26">
        <f>Table14[[#This Row],[Tech]]*$T$7+Table14[[#This Row],[Beta]]*($T$6-$T$8)+$T$8</f>
        <v>3.8308000000000002E-2</v>
      </c>
      <c r="J197" s="42">
        <v>1402264.8</v>
      </c>
      <c r="K197" s="52">
        <f>Table14[[#This Row],[Investment]]/Table14[[#This Row],[Dollar Volume]]</f>
        <v>1.6642117256112036E-2</v>
      </c>
      <c r="L197" s="34">
        <f>IFERROR(MAX($T$11+$T$12*LN(Table14[[#This Row],[Frac ADV]]),0),0)*0.0001+0.005/Table14[[#This Row],[Stock Price]]+Table14[[#This Row],[Expense Ratio]]</f>
        <v>1.7780263402169132E-2</v>
      </c>
      <c r="M197" s="46">
        <f>(Table14[[#This Row],[Expected Return]]-Table14[[#This Row],[Tcosts]])*Table14[[#This Row],[Investment]]</f>
        <v>28785.322454809986</v>
      </c>
      <c r="Q197" s="16" t="s">
        <v>865</v>
      </c>
    </row>
    <row r="198" spans="1:17" x14ac:dyDescent="0.3">
      <c r="A198" s="2" t="s">
        <v>854</v>
      </c>
      <c r="B198" s="10" t="s">
        <v>855</v>
      </c>
      <c r="C198" s="11">
        <v>103.39</v>
      </c>
      <c r="D198" s="11" t="s">
        <v>856</v>
      </c>
      <c r="E198" s="12">
        <v>1.5E-3</v>
      </c>
      <c r="F198" s="11">
        <v>-0.17</v>
      </c>
      <c r="G198" s="3">
        <f t="shared" si="12"/>
        <v>301030000</v>
      </c>
      <c r="H198" s="3" t="b">
        <f t="shared" si="13"/>
        <v>0</v>
      </c>
      <c r="I198" s="26">
        <f>Table14[[#This Row],[Tech]]*$T$7+Table14[[#This Row],[Beta]]*($T$6-$T$8)+$T$8</f>
        <v>2.5588E-2</v>
      </c>
      <c r="J198" s="42">
        <v>1392218.57</v>
      </c>
      <c r="K198" s="52">
        <f>Table14[[#This Row],[Investment]]/Table14[[#This Row],[Dollar Volume]]</f>
        <v>4.6248499152908348E-3</v>
      </c>
      <c r="L198" s="34">
        <f>IFERROR(MAX($T$11+$T$12*LN(Table14[[#This Row],[Frac ADV]]),0),0)*0.0001+0.005/Table14[[#This Row],[Stock Price]]+Table14[[#This Row],[Expense Ratio]]</f>
        <v>6.4704261182177217E-3</v>
      </c>
      <c r="M198" s="46">
        <f>(Table14[[#This Row],[Expected Return]]-Table14[[#This Row],[Tcosts]])*Table14[[#This Row],[Investment]]</f>
        <v>26615.841371564275</v>
      </c>
      <c r="Q198" s="13" t="s">
        <v>869</v>
      </c>
    </row>
    <row r="199" spans="1:17" x14ac:dyDescent="0.3">
      <c r="A199" s="2" t="s">
        <v>850</v>
      </c>
      <c r="B199" s="10" t="s">
        <v>851</v>
      </c>
      <c r="C199" s="11">
        <v>89.23</v>
      </c>
      <c r="D199" s="11" t="s">
        <v>852</v>
      </c>
      <c r="E199" s="12">
        <v>1.5E-3</v>
      </c>
      <c r="F199" s="11">
        <v>-0.18</v>
      </c>
      <c r="G199" s="3">
        <f t="shared" si="12"/>
        <v>98510000</v>
      </c>
      <c r="H199" s="3" t="b">
        <f t="shared" si="13"/>
        <v>0</v>
      </c>
      <c r="I199" s="26">
        <f>Table14[[#This Row],[Tech]]*$T$7+Table14[[#This Row],[Beta]]*($T$6-$T$8)+$T$8</f>
        <v>2.4952000000000002E-2</v>
      </c>
      <c r="J199" s="42">
        <v>1035612.8</v>
      </c>
      <c r="K199" s="52">
        <f>Table14[[#This Row],[Investment]]/Table14[[#This Row],[Dollar Volume]]</f>
        <v>1.051276824687849E-2</v>
      </c>
      <c r="L199" s="33">
        <f>IFERROR(MAX($T$11+$T$12*LN(Table14[[#This Row],[Frac ADV]]),0),0)*0.0001+0.005/Table14[[#This Row],[Stock Price]]+Table14[[#This Row],[Expense Ratio]]</f>
        <v>1.0500245482715668E-2</v>
      </c>
      <c r="M199" s="46">
        <f>(Table14[[#This Row],[Expected Return]]-Table14[[#This Row],[Tcosts]])*Table14[[#This Row],[Investment]]</f>
        <v>14966.421960557478</v>
      </c>
      <c r="Q199" s="16" t="s">
        <v>873</v>
      </c>
    </row>
    <row r="200" spans="1:17" x14ac:dyDescent="0.3">
      <c r="A200" s="2" t="s">
        <v>783</v>
      </c>
      <c r="B200" s="10" t="s">
        <v>784</v>
      </c>
      <c r="C200" s="11">
        <v>54.2</v>
      </c>
      <c r="D200" s="11" t="s">
        <v>785</v>
      </c>
      <c r="E200" s="12">
        <v>4.0000000000000002E-4</v>
      </c>
      <c r="F200" s="11">
        <v>-0.01</v>
      </c>
      <c r="G200" s="3">
        <f t="shared" si="12"/>
        <v>64050000</v>
      </c>
      <c r="H200" s="3" t="b">
        <f t="shared" si="13"/>
        <v>0</v>
      </c>
      <c r="I200" s="26">
        <f>Table14[[#This Row],[Tech]]*$T$7+Table14[[#This Row],[Beta]]*($T$6-$T$8)+$T$8</f>
        <v>3.5764000000000004E-2</v>
      </c>
      <c r="J200" s="42">
        <v>839677.26</v>
      </c>
      <c r="K200" s="52">
        <f>Table14[[#This Row],[Investment]]/Table14[[#This Row],[Dollar Volume]]</f>
        <v>1.3109715222482436E-2</v>
      </c>
      <c r="L200" s="34">
        <f>IFERROR(MAX($T$11+$T$12*LN(Table14[[#This Row],[Frac ADV]]),0),0)*0.0001+0.005/Table14[[#This Row],[Stock Price]]+Table14[[#This Row],[Expense Ratio]]</f>
        <v>1.051780416395506E-2</v>
      </c>
      <c r="M200" s="46">
        <f>(Table14[[#This Row],[Expected Return]]-Table14[[#This Row],[Tcosts]])*Table14[[#This Row],[Investment]]</f>
        <v>21198.656545033627</v>
      </c>
      <c r="Q200" s="13" t="s">
        <v>876</v>
      </c>
    </row>
    <row r="201" spans="1:17" x14ac:dyDescent="0.3">
      <c r="A201" s="29" t="s">
        <v>775</v>
      </c>
      <c r="B201" s="30" t="s">
        <v>776</v>
      </c>
      <c r="C201" s="31">
        <v>78.34</v>
      </c>
      <c r="D201" s="31" t="s">
        <v>777</v>
      </c>
      <c r="E201" s="32">
        <v>2.9999999999999997E-4</v>
      </c>
      <c r="F201" s="31">
        <v>-0.08</v>
      </c>
      <c r="G201" s="5">
        <f t="shared" si="12"/>
        <v>24620000</v>
      </c>
      <c r="H201" s="5" t="b">
        <f t="shared" si="13"/>
        <v>0</v>
      </c>
      <c r="I201" s="36">
        <f>Table14[[#This Row],[Tech]]*$T$7+Table14[[#This Row],[Beta]]*($T$6-$T$8)+$T$8</f>
        <v>3.1312E-2</v>
      </c>
      <c r="J201" s="59">
        <v>530160.62</v>
      </c>
      <c r="K201" s="53">
        <f>Table14[[#This Row],[Investment]]/Table14[[#This Row],[Dollar Volume]]</f>
        <v>2.1533737611697808E-2</v>
      </c>
      <c r="L201" s="37">
        <f>IFERROR(MAX($T$11+$T$12*LN(Table14[[#This Row],[Frac ADV]]),0),0)*0.0001+0.005/Table14[[#This Row],[Stock Price]]+Table14[[#This Row],[Expense Ratio]]</f>
        <v>1.2820196963131816E-2</v>
      </c>
      <c r="M201" s="47">
        <f>(Table14[[#This Row],[Expected Return]]-Table14[[#This Row],[Tcosts]])*Table14[[#This Row],[Investment]]</f>
        <v>9803.6257629439187</v>
      </c>
      <c r="Q201" s="38" t="s">
        <v>879</v>
      </c>
    </row>
  </sheetData>
  <hyperlinks>
    <hyperlink ref="A42" r:id="rId1" display="https://stockanalysis.com/etf/voo/" xr:uid="{5675C87A-9FB3-451E-8D3F-0FD77FD51F30}"/>
    <hyperlink ref="A37" r:id="rId2" display="https://stockanalysis.com/etf/ivv/" xr:uid="{0E0558D1-AF8B-47FF-8084-C25F3B672ACE}"/>
    <hyperlink ref="A41" r:id="rId3" display="https://stockanalysis.com/etf/spy/" xr:uid="{454D274C-28B5-46DA-8C83-FF730112136E}"/>
    <hyperlink ref="A72" r:id="rId4" display="https://stockanalysis.com/etf/vti/" xr:uid="{B8099593-7FCC-4E8F-9036-C445AEBAA6DB}"/>
    <hyperlink ref="A14" r:id="rId5" display="https://stockanalysis.com/etf/qqq/" xr:uid="{04FF75C4-D4AC-4CBA-B033-294FE3EE6F74}"/>
    <hyperlink ref="A111" r:id="rId6" display="https://stockanalysis.com/etf/vea/" xr:uid="{7047ED4A-7766-4265-8461-474C54D7DF22}"/>
    <hyperlink ref="A23" r:id="rId7" display="https://stockanalysis.com/etf/vug/" xr:uid="{501A012A-FCFC-41E3-ABF6-AEC36949508D}"/>
    <hyperlink ref="A104" r:id="rId8" display="https://stockanalysis.com/etf/iefa/" xr:uid="{E96E987A-DD7C-4EC3-A9E1-FFF3C42CC559}"/>
    <hyperlink ref="A184" r:id="rId9" display="https://stockanalysis.com/etf/gld/" xr:uid="{D83B49DA-D8ED-4D26-8893-A155A7F640C6}"/>
    <hyperlink ref="A100" r:id="rId10" display="https://stockanalysis.com/etf/vtv/" xr:uid="{20468220-4ED9-4C80-8FC6-2EA905ACC237}"/>
    <hyperlink ref="A179" r:id="rId11" display="https://stockanalysis.com/etf/bnd/" xr:uid="{EB981499-C6E5-4DFB-B4D8-C8D7CC3BC83E}"/>
    <hyperlink ref="A123" r:id="rId12" display="https://stockanalysis.com/etf/iemg/" xr:uid="{2D303DDD-71AD-4ADB-A9F5-695ADBA1216A}"/>
    <hyperlink ref="A146" r:id="rId13" display="https://stockanalysis.com/etf/agg/" xr:uid="{13A2AAE0-3D77-4266-BFE0-A477D92D0966}"/>
    <hyperlink ref="A43" r:id="rId14" display="https://stockanalysis.com/etf/vxus/" xr:uid="{FB13ED2E-8C98-45A1-BD0B-15D250623B0F}"/>
    <hyperlink ref="A19" r:id="rId15" display="https://stockanalysis.com/etf/iwf/" xr:uid="{A4985095-A758-4670-A3D7-AC961EBDCEC0}"/>
    <hyperlink ref="A112" r:id="rId16" display="https://stockanalysis.com/etf/vwo/" xr:uid="{C86F3F77-CDDD-40B5-B434-C606E4A877E6}"/>
    <hyperlink ref="A4" r:id="rId17" display="https://stockanalysis.com/etf/vgt/" xr:uid="{BDDE4283-2C73-4BEA-BF5D-922D9B2AAC8A}"/>
    <hyperlink ref="A82" r:id="rId18" display="https://stockanalysis.com/etf/ijh/" xr:uid="{7D86E77B-C50F-4085-A9B4-BFC3DA3D26B0}"/>
    <hyperlink ref="A49" r:id="rId19" display="https://stockanalysis.com/etf/spym/" xr:uid="{E083E11E-96F7-4B04-A207-948F1BC8F12F}"/>
    <hyperlink ref="A38" r:id="rId20" display="https://stockanalysis.com/etf/vig/" xr:uid="{F5FCE263-B609-4C62-B33A-78F43BA6D495}"/>
    <hyperlink ref="A54" r:id="rId21" display="https://stockanalysis.com/etf/ijr/" xr:uid="{95C5707C-A1E9-446D-8CDF-9B5CDE15BD66}"/>
    <hyperlink ref="A84" r:id="rId22" display="https://stockanalysis.com/etf/vo/" xr:uid="{83ADBF9C-BE24-4F4E-84A7-E5767D7AF9DC}"/>
    <hyperlink ref="A10" r:id="rId23" display="https://stockanalysis.com/etf/xlk/" xr:uid="{37446618-13B7-4D1D-BD3B-F2CAF8C36CC1}"/>
    <hyperlink ref="A53" r:id="rId24" display="https://stockanalysis.com/etf/rsp/" xr:uid="{5425ABF8-6824-4DEC-9BC8-127C050B12A5}"/>
    <hyperlink ref="A149" r:id="rId25" display="https://stockanalysis.com/etf/schd/" xr:uid="{DA50B7E2-F94C-4163-B719-377C2EED50FC}"/>
    <hyperlink ref="A66" r:id="rId26" display="https://stockanalysis.com/etf/itot/" xr:uid="{B870C675-8FEE-46A9-849E-09442C731185}"/>
    <hyperlink ref="A181" r:id="rId27" display="https://stockanalysis.com/etf/iau/" xr:uid="{61F423BE-FF13-45A4-8985-AD4B757351C7}"/>
    <hyperlink ref="A80" r:id="rId28" display="https://stockanalysis.com/etf/iwm/" xr:uid="{A59F80C1-023E-4A95-B104-F85D1B729293}"/>
    <hyperlink ref="A102" r:id="rId29" display="https://stockanalysis.com/etf/efa/" xr:uid="{1D76FC17-F70A-4A50-A4C6-D2958E562902}"/>
    <hyperlink ref="A155" r:id="rId30" display="https://stockanalysis.com/etf/bndx/" xr:uid="{A19AE89D-E3A7-46E1-B979-F1F8C5F6D816}"/>
    <hyperlink ref="A114" r:id="rId31" display="https://stockanalysis.com/etf/vym/" xr:uid="{9BF99D6F-2662-4828-BADC-46EE634A9646}"/>
    <hyperlink ref="A17" r:id="rId32" display="https://stockanalysis.com/etf/vb/" xr:uid="{0C4A4139-5F8F-438C-B9FA-24B10A9C9615}"/>
    <hyperlink ref="A164" r:id="rId33" display="https://stockanalysis.com/etf/sgov/" xr:uid="{C5AE4B09-403D-4B49-91E0-A34E4155A246}"/>
    <hyperlink ref="A8" r:id="rId34" display="https://stockanalysis.com/etf/qqqm/" xr:uid="{FFCC2E4F-62A8-4F12-8EBE-4A5E7E822ACE}"/>
    <hyperlink ref="A93" r:id="rId35" display="https://stockanalysis.com/etf/iwd/" xr:uid="{8DD57D19-EF5C-41D2-BE07-F9D01A1AF896}"/>
    <hyperlink ref="A20" r:id="rId36" display="https://stockanalysis.com/etf/ivw/" xr:uid="{7A5C0617-25B7-4608-AE18-8BAFDDD8124D}"/>
    <hyperlink ref="A39" r:id="rId37" display="https://stockanalysis.com/etf/schx/" xr:uid="{EAF6AF78-A0B8-4038-9151-1B1F2125F576}"/>
    <hyperlink ref="A81" r:id="rId38" display="https://stockanalysis.com/etf/vt/" xr:uid="{54179EAC-E233-41F6-870D-233CA59A47B1}"/>
    <hyperlink ref="A153" r:id="rId39" display="https://stockanalysis.com/etf/vcit/" xr:uid="{E877DF34-86A7-4CF3-81F8-7BA8806098E6}"/>
    <hyperlink ref="A120" r:id="rId40" display="https://stockanalysis.com/etf/veu/" xr:uid="{962C0F10-4A52-404A-9116-677DA378EC4B}"/>
    <hyperlink ref="A91" r:id="rId41" display="https://stockanalysis.com/etf/schf/" xr:uid="{A817C8DF-579D-4239-AFA0-7208A9E0BFE3}"/>
    <hyperlink ref="A71" r:id="rId42" display="https://stockanalysis.com/etf/ixus/" xr:uid="{DE58C845-FE70-4BBB-86FB-FC2DBD7D35F4}"/>
    <hyperlink ref="A46" r:id="rId43" display="https://stockanalysis.com/etf/xlf/" xr:uid="{F43B665C-4919-4520-B52E-EFE5243BFDF8}"/>
    <hyperlink ref="A147" r:id="rId44" display="https://stockanalysis.com/etf/ibit/" xr:uid="{DD239E4B-B195-4B6F-AE57-5161E241AE8F}"/>
    <hyperlink ref="A16" r:id="rId45" display="https://stockanalysis.com/etf/schg/" xr:uid="{AA2D959C-AC5C-47CC-8167-C32C8A0FE63B}"/>
    <hyperlink ref="A83" r:id="rId46" display="https://stockanalysis.com/etf/ive/" xr:uid="{AAD181CB-C643-485F-8D96-23E0F1A27A86}"/>
    <hyperlink ref="A86" r:id="rId47" display="https://stockanalysis.com/etf/qual/" xr:uid="{33393EA1-25B3-443D-A004-61BC1E5ED68F}"/>
    <hyperlink ref="A78" r:id="rId48" display="https://stockanalysis.com/etf/iwr/" xr:uid="{A6D820A0-804F-4B9B-976E-24FC24E0DB68}"/>
    <hyperlink ref="A50" r:id="rId49" display="https://stockanalysis.com/etf/vv/" xr:uid="{D4AD478A-4632-4A47-BCE4-791772F90874}"/>
    <hyperlink ref="A55" r:id="rId50" display="https://stockanalysis.com/etf/iwb/" xr:uid="{9208C593-A6F6-43E4-A884-C534ADA9A12D}"/>
    <hyperlink ref="A151" r:id="rId51" display="https://stockanalysis.com/etf/ief/" xr:uid="{C77A506E-8156-4A62-A6C2-E26CDD066747}"/>
    <hyperlink ref="A103" r:id="rId52" display="https://stockanalysis.com/etf/dia/" xr:uid="{6771DE13-0436-4513-95EB-2F6CBA24DA63}"/>
    <hyperlink ref="A9" r:id="rId53" display="https://stockanalysis.com/etf/smh/" xr:uid="{9EBCE15D-62F5-4A90-B05D-F42766303DB1}"/>
    <hyperlink ref="A27" r:id="rId54" display="https://stockanalysis.com/etf/spyg/" xr:uid="{E47E90D2-E4A8-43E7-B6EB-ED0405EDE04A}"/>
    <hyperlink ref="A199" r:id="rId55" display="https://stockanalysis.com/etf/tlt/" xr:uid="{89195348-9117-4426-A344-CC9D80E0874E}"/>
    <hyperlink ref="A144" r:id="rId56" display="https://stockanalysis.com/etf/jepi/" xr:uid="{F420F48A-571A-4CF0-A6B1-0F087D53643E}"/>
    <hyperlink ref="A180" r:id="rId57" display="https://stockanalysis.com/etf/bsv/" xr:uid="{DAC031DC-21C5-4A85-8218-E396E6D3598E}"/>
    <hyperlink ref="A159" r:id="rId58" display="https://stockanalysis.com/etf/bil/" xr:uid="{9229B280-01B7-4E4E-A2D3-A9B53055694F}"/>
    <hyperlink ref="A192" r:id="rId59" display="https://stockanalysis.com/etf/vteb/" xr:uid="{6C9B41FC-CB2D-4E6D-B7AE-80F029ACA644}"/>
    <hyperlink ref="A182" r:id="rId60" display="https://stockanalysis.com/etf/mub/" xr:uid="{24340DB0-A85B-47F8-939A-A39E7C2E7915}"/>
    <hyperlink ref="A70" r:id="rId61" display="https://stockanalysis.com/etf/dfac/" xr:uid="{E07930FC-A256-4AE6-A201-98F2A0C01FC9}"/>
    <hyperlink ref="A97" r:id="rId62" display="https://stockanalysis.com/etf/slv/" xr:uid="{4AEF3F06-A92F-4BE0-9442-9FE3A0CB3ABA}"/>
    <hyperlink ref="A105" r:id="rId63" display="https://stockanalysis.com/etf/xlv/" xr:uid="{AB469845-FDAC-489C-B00A-3014A7CAE15C}"/>
    <hyperlink ref="A170" r:id="rId64" display="https://stockanalysis.com/etf/vcsh/" xr:uid="{5F7E21FA-2FCF-4617-869E-EA5D027A447A}"/>
    <hyperlink ref="A165" r:id="rId65" display="https://stockanalysis.com/etf/mbb/" xr:uid="{1A9D6124-F71E-44B9-9329-80E022A3B590}"/>
    <hyperlink ref="A148" r:id="rId66" display="https://stockanalysis.com/etf/vgit/" xr:uid="{5719C4F5-C21D-4CD6-A250-6FBD36222DE3}"/>
    <hyperlink ref="A31" r:id="rId67" display="https://stockanalysis.com/etf/schb/" xr:uid="{2919B4A4-4578-41C5-9B72-6FA9730D1E4A}"/>
    <hyperlink ref="A143" r:id="rId68" display="https://stockanalysis.com/etf/dgro/" xr:uid="{D920A4BA-FA4A-4548-90A7-305F260BDEAB}"/>
    <hyperlink ref="A28" r:id="rId69" display="https://stockanalysis.com/etf/vong/" xr:uid="{C71D554B-F4D8-48C7-A8DA-1375659D5DE2}"/>
    <hyperlink ref="A109" r:id="rId70" display="https://stockanalysis.com/etf/spdw/" xr:uid="{A4E1004E-AE31-4D8D-AB26-F0A5F07EEA6A}"/>
    <hyperlink ref="A176" r:id="rId71" display="https://stockanalysis.com/etf/jpst/" xr:uid="{3531DD55-236D-4CA7-8383-E5A8CB8BB045}"/>
    <hyperlink ref="A132" r:id="rId72" display="https://stockanalysis.com/etf/xle/" xr:uid="{2E76EF1B-07B3-44AF-A122-7CE97B03A169}"/>
    <hyperlink ref="A162" r:id="rId73" display="https://stockanalysis.com/etf/vnq/" xr:uid="{914467BF-E2EC-46F1-A914-066BF8AADE13}"/>
    <hyperlink ref="A193" r:id="rId74" display="https://stockanalysis.com/etf/govt/" xr:uid="{12CFB339-D843-4625-92EB-E47E6CA29396}"/>
    <hyperlink ref="A187" r:id="rId75" display="https://stockanalysis.com/etf/iusb/" xr:uid="{F16AD3AC-E1B7-4CDC-9098-B10E4F439EFB}"/>
    <hyperlink ref="A88" r:id="rId76" display="https://stockanalysis.com/etf/vbr/" xr:uid="{1EF401F8-ACBF-4386-9717-2389E9364B9B}"/>
    <hyperlink ref="A7" r:id="rId77" display="https://stockanalysis.com/etf/jepq/" xr:uid="{69EFF008-4D9D-405F-AB31-6859E3544029}"/>
    <hyperlink ref="A106" r:id="rId78" display="https://stockanalysis.com/etf/spyv/" xr:uid="{D3BDF9F6-EF84-4B72-9BC9-0D069F1C225A}"/>
    <hyperlink ref="A51" r:id="rId79" display="https://stockanalysis.com/etf/dynf/" xr:uid="{B1AF7EBB-8D67-489F-B186-9EB011C0FE27}"/>
    <hyperlink ref="A131" r:id="rId80" display="https://stockanalysis.com/etf/gdx/" xr:uid="{07B5E2F7-B1BB-46AB-8A97-B19853223213}"/>
    <hyperlink ref="A194" r:id="rId81" display="https://stockanalysis.com/etf/gldm/" xr:uid="{17C855D6-C616-4D1F-8D04-EA82B249BA4B}"/>
    <hyperlink ref="A128" r:id="rId82" display="https://stockanalysis.com/etf/vgk/" xr:uid="{E37EF4E9-5ECE-4980-85E8-491CDB2DA734}"/>
    <hyperlink ref="A25" r:id="rId83" display="https://stockanalysis.com/etf/mgk/" xr:uid="{6865FEFB-FFA6-4073-863D-B5E41E4A318C}"/>
    <hyperlink ref="A154" r:id="rId84" display="https://stockanalysis.com/etf/efv/" xr:uid="{C50A5E1C-CFA7-4DDA-9E98-E4A641F36E5F}"/>
    <hyperlink ref="A89" r:id="rId85" display="https://stockanalysis.com/etf/xli/" xr:uid="{21F4BD43-96F6-488F-ACA4-A84408701515}"/>
    <hyperlink ref="A101" r:id="rId86" display="https://stockanalysis.com/etf/cgdv/" xr:uid="{AC051138-B512-4F36-AC0E-AFF2FE20A29F}"/>
    <hyperlink ref="A167" r:id="rId87" display="https://stockanalysis.com/etf/lqd/" xr:uid="{3E2D98E3-8B4A-41EE-8279-A53BF97305AB}"/>
    <hyperlink ref="A22" r:id="rId88" display="https://stockanalysis.com/etf/oef/" xr:uid="{7E64BF10-45D5-4757-BB60-FD113B9B56AA}"/>
    <hyperlink ref="A6" r:id="rId89" display="https://stockanalysis.com/etf/tqqq/" xr:uid="{F8562B26-FF38-4456-9DDD-1A06A0DBEA76}"/>
    <hyperlink ref="A126" r:id="rId90" display="https://stockanalysis.com/etf/idev/" xr:uid="{59D650AB-03F6-4213-98CA-DE47B768DC22}"/>
    <hyperlink ref="A201" r:id="rId91" display="https://stockanalysis.com/etf/biv/" xr:uid="{A1D1654A-815C-4DCB-B7F3-1816A27F6710}"/>
    <hyperlink ref="A166" r:id="rId92" display="https://stockanalysis.com/etf/eem/" xr:uid="{0F7C8970-6886-4A60-8094-DEE522505A3A}"/>
    <hyperlink ref="A169" r:id="rId93" display="https://stockanalysis.com/etf/vgsh/" xr:uid="{FACF74FA-74DE-4EDF-B5B8-5BCC570B082C}"/>
    <hyperlink ref="A15" r:id="rId94" display="https://stockanalysis.com/etf/iusg/" xr:uid="{FCDB96DD-6C90-4034-B896-797C9B158972}"/>
    <hyperlink ref="A40" r:id="rId95" display="https://stockanalysis.com/etf/acwi/" xr:uid="{5E72AAB8-A36E-4B57-9FCB-0F5A09CC3C36}"/>
    <hyperlink ref="A161" r:id="rId96" display="https://stockanalysis.com/etf/jaaa/" xr:uid="{BA2DD69C-3CC5-4C77-92D3-78B3EFA4E140}"/>
    <hyperlink ref="A11" r:id="rId97" display="https://stockanalysis.com/etf/xlc/" xr:uid="{D10F3405-F6B6-4C79-9817-FA551622C007}"/>
    <hyperlink ref="A29" r:id="rId98" display="https://stockanalysis.com/etf/vxf/" xr:uid="{6EF83081-E090-46D4-83A5-E527416570CD}"/>
    <hyperlink ref="A172" r:id="rId99" display="https://stockanalysis.com/etf/ushy/" xr:uid="{2231F01E-F2FB-43C8-8BA2-02251F7FBEE4}"/>
    <hyperlink ref="A74" r:id="rId100" display="https://stockanalysis.com/etf/mdy/" xr:uid="{D33AF4BD-842F-439E-BB28-38580E5FD559}"/>
    <hyperlink ref="A47" r:id="rId101" display="https://stockanalysis.com/etf/iusv/" xr:uid="{4F825C11-5178-440E-ADE9-ED966AAD5A9C}"/>
    <hyperlink ref="A156" r:id="rId102" display="https://stockanalysis.com/etf/shy/" xr:uid="{96D9CFB1-AA7C-47CD-8FA4-30D982941643}"/>
    <hyperlink ref="A178" r:id="rId103" display="https://stockanalysis.com/etf/fbnd/" xr:uid="{30678B65-58DA-481C-9159-5DEB713BAAD5}"/>
    <hyperlink ref="A98" r:id="rId104" display="https://stockanalysis.com/etf/fndx/" xr:uid="{EC17B346-F29C-4F23-A349-4A50B99A4A0B}"/>
    <hyperlink ref="A56" r:id="rId105" display="https://stockanalysis.com/etf/avuv/" xr:uid="{1C80BE76-7398-4C77-B2E2-6EE72AAA65E5}"/>
    <hyperlink ref="A142" r:id="rId106" display="https://stockanalysis.com/etf/usmv/" xr:uid="{7357F933-A510-4B4E-81DD-F45152A09503}"/>
    <hyperlink ref="A145" r:id="rId107" display="https://stockanalysis.com/etf/dvy/" xr:uid="{3DA46711-5A0C-4C32-81AD-8091EFB61210}"/>
    <hyperlink ref="A48" r:id="rId108" display="https://stockanalysis.com/etf/xly/" xr:uid="{8EFF6F28-74AB-4BB4-8DD0-DF1FA5E757F9}"/>
    <hyperlink ref="A163" r:id="rId109" display="https://stockanalysis.com/etf/igsb/" xr:uid="{38B8C73E-2185-457E-AC4C-499441E86898}"/>
    <hyperlink ref="A13" r:id="rId110" display="https://stockanalysis.com/etf/voog/" xr:uid="{3373652D-4DE3-41B1-A0D7-0FFDAD737D81}"/>
    <hyperlink ref="A5" r:id="rId111" display="https://stockanalysis.com/etf/soxx/" xr:uid="{894C2149-3A82-4902-8540-DDD70FDF54EC}"/>
    <hyperlink ref="A177" r:id="rId112" display="https://stockanalysis.com/etf/xlu/" xr:uid="{91B7F84B-9BC4-44C5-A323-AE4C3B255686}"/>
    <hyperlink ref="A63" r:id="rId113" display="https://stockanalysis.com/etf/voe/" xr:uid="{532073E5-5D81-4161-9203-EFE77F6CC8FA}"/>
    <hyperlink ref="A124" r:id="rId114" display="https://stockanalysis.com/etf/fndf/" xr:uid="{7F9E9448-FDB5-479A-9A9A-86954FEFDB8B}"/>
    <hyperlink ref="A168" r:id="rId115" display="https://stockanalysis.com/etf/sdy/" xr:uid="{59153F72-5069-430E-9123-2D622F4BBC51}"/>
    <hyperlink ref="A36" r:id="rId116" display="https://stockanalysis.com/etf/mtum/" xr:uid="{E00CFA58-0711-4D22-B0F6-AD1AECC290A6}"/>
    <hyperlink ref="A34" r:id="rId117" display="https://stockanalysis.com/etf/vbk/" xr:uid="{24E8E2A1-CF20-4EE6-8D9F-84755A515940}"/>
    <hyperlink ref="A30" r:id="rId118" display="https://stockanalysis.com/etf/scha/" xr:uid="{DAF03522-DB88-4DFC-A446-8AB563748B94}"/>
    <hyperlink ref="A135" r:id="rId119" display="https://stockanalysis.com/etf/rdvy/" xr:uid="{9992E754-D651-4D3A-9CA9-B904137229FA}"/>
    <hyperlink ref="A12" r:id="rId120" display="https://stockanalysis.com/etf/iyw/" xr:uid="{99052A1C-D463-40CE-9ADC-2B9216BB46C5}"/>
    <hyperlink ref="A189" r:id="rId121" display="https://stockanalysis.com/etf/shv/" xr:uid="{A0BF224A-918D-4B88-ADA5-D60684A8B506}"/>
    <hyperlink ref="A33" r:id="rId122" display="https://stockanalysis.com/etf/iwp/" xr:uid="{36835A23-C9A1-4454-8DA1-9CD8B2706169}"/>
    <hyperlink ref="A21" r:id="rId123" display="https://stockanalysis.com/etf/cggr/" xr:uid="{E0098819-EF2C-48C8-AC19-44275FC41B20}"/>
    <hyperlink ref="A117" r:id="rId124" display="https://stockanalysis.com/etf/avem/" xr:uid="{5DDA906D-DE60-4F5C-8CDD-FB537A327785}"/>
    <hyperlink ref="A77" r:id="rId125" display="https://stockanalysis.com/etf/iwv/" xr:uid="{6286C321-A4B5-4932-AD5C-889C8E230CAD}"/>
    <hyperlink ref="A137" r:id="rId126" display="https://stockanalysis.com/etf/cowz/" xr:uid="{35051F03-1513-42C2-932B-0D3FA2AB7F98}"/>
    <hyperlink ref="A35" r:id="rId127" display="https://stockanalysis.com/etf/dfus/" xr:uid="{F40EE30C-83F3-434C-B3DD-19290014A3BA}"/>
    <hyperlink ref="A139" r:id="rId128" display="https://stockanalysis.com/etf/dfiv/" xr:uid="{CBD1032A-2143-4CCC-B2B4-E38D4FAD776D}"/>
    <hyperlink ref="A94" r:id="rId129" display="https://stockanalysis.com/etf/ewj/" xr:uid="{35FDF4A4-1755-40F8-8B2B-1612E771746F}"/>
    <hyperlink ref="A171" r:id="rId130" display="https://stockanalysis.com/etf/iei/" xr:uid="{F0690993-B95E-437A-9583-F027C6E326FC}"/>
    <hyperlink ref="A200" r:id="rId131" display="https://stockanalysis.com/etf/igib/" xr:uid="{0D270CFD-AEE7-49A7-9D11-6A72E01549E5}"/>
    <hyperlink ref="A92" r:id="rId132" display="https://stockanalysis.com/etf/vymi/" xr:uid="{CBC0F741-490D-41BA-897A-31F93612E28D}"/>
    <hyperlink ref="A127" r:id="rId133" display="https://stockanalysis.com/etf/avdv/" xr:uid="{7D678AE7-5238-41E2-935F-BCF27A9856DA}"/>
    <hyperlink ref="A60" r:id="rId134" display="https://stockanalysis.com/etf/vot/" xr:uid="{51F2C00D-E31B-47ED-9659-0955D83EFF3C}"/>
    <hyperlink ref="A158" r:id="rId135" display="https://stockanalysis.com/etf/vht/" xr:uid="{6137F6C7-D742-4B78-A4AB-43E230CACADB}"/>
    <hyperlink ref="A195" r:id="rId136" display="https://stockanalysis.com/etf/hyg/" xr:uid="{B0BB8D53-6716-439C-B8F7-CCF36528C997}"/>
    <hyperlink ref="A173" r:id="rId137" display="https://stockanalysis.com/etf/binc/" xr:uid="{8FE61857-8FBB-4BDF-BE01-01AC01A4272B}"/>
    <hyperlink ref="A196" r:id="rId138" display="https://stockanalysis.com/etf/usig/" xr:uid="{C8894905-D4BE-40DB-B971-A7580D9AFE24}"/>
    <hyperlink ref="A136" r:id="rId139" display="https://stockanalysis.com/etf/spem/" xr:uid="{2A584407-CF5D-4574-BE35-E2ED4038B7B9}"/>
    <hyperlink ref="A188" r:id="rId140" display="https://stockanalysis.com/etf/xlp/" xr:uid="{C0695186-703B-4455-B6BD-988945AAA029}"/>
    <hyperlink ref="A130" r:id="rId141" display="https://stockanalysis.com/etf/emxc/" xr:uid="{D067FD6B-83F0-448C-9544-7D04617DACF5}"/>
    <hyperlink ref="A95" r:id="rId142" display="https://stockanalysis.com/etf/spmd/" xr:uid="{BD016CEB-353A-41D0-8331-A150F1E237AD}"/>
    <hyperlink ref="A119" r:id="rId143" display="https://stockanalysis.com/etf/dgrw/" xr:uid="{708C02D5-6A3A-4ED7-9232-2299FD07DE82}"/>
    <hyperlink ref="A79" r:id="rId144" display="https://stockanalysis.com/etf/sphq/" xr:uid="{9ACE3202-7885-4E2C-B551-3023830EB051}"/>
    <hyperlink ref="A190" r:id="rId145" display="https://stockanalysis.com/etf/usfr/" xr:uid="{AA227840-DC9F-48AB-BAE7-8EAA2D1BDF35}"/>
    <hyperlink ref="A3" r:id="rId146" display="https://stockanalysis.com/etf/ftec/" xr:uid="{DD10E6F7-F8BE-45AE-B670-0D3A0B62A332}"/>
    <hyperlink ref="A140" r:id="rId147" display="https://stockanalysis.com/etf/vtip/" xr:uid="{1A4BCD7D-16B2-426F-9305-6E7828FBD6AC}"/>
    <hyperlink ref="A175" r:id="rId148" display="https://stockanalysis.com/etf/emb/" xr:uid="{C617AE34-A06E-4DB1-AD2E-96E5B23B7F4B}"/>
    <hyperlink ref="A18" r:id="rId149" display="https://stockanalysis.com/etf/iwy/" xr:uid="{F51CE9C2-228E-4A89-9289-A7456BD0EB5C}"/>
    <hyperlink ref="A67" r:id="rId150" display="https://stockanalysis.com/etf/esgu/" xr:uid="{31F990C8-E5B5-4A80-9546-99313FD10ADF}"/>
    <hyperlink ref="A115" r:id="rId151" display="https://stockanalysis.com/etf/bbjp/" xr:uid="{154D60EF-8258-4CCD-831E-0679B5D2C4F6}"/>
    <hyperlink ref="A99" r:id="rId152" display="https://stockanalysis.com/etf/vonv/" xr:uid="{7FE6E94A-8690-486E-A7B4-886533230082}"/>
    <hyperlink ref="A65" r:id="rId153" display="https://stockanalysis.com/etf/schv/" xr:uid="{1CCCE566-A1EC-48E4-BE84-076758A6A434}"/>
    <hyperlink ref="A157" r:id="rId154" display="https://stockanalysis.com/etf/schp/" xr:uid="{52422BF1-0395-4320-B241-4BA5796239F0}"/>
    <hyperlink ref="A107" r:id="rId155" display="https://stockanalysis.com/etf/iws/" xr:uid="{31D3B6B5-C871-402D-AF23-7D470D503E82}"/>
    <hyperlink ref="A44" r:id="rId156" display="https://stockanalysis.com/etf/ita/" xr:uid="{63E4A13F-F58D-47A2-9CB0-DCD896260F40}"/>
    <hyperlink ref="A186" r:id="rId157" display="https://stockanalysis.com/etf/mint/" xr:uid="{D791F3E8-C84D-47A9-B2A5-43E244E58504}"/>
    <hyperlink ref="A62" r:id="rId158" display="https://stockanalysis.com/etf/gslc/" xr:uid="{03686A38-43D6-42E5-93DE-5992960CFBAC}"/>
    <hyperlink ref="A152" r:id="rId159" display="https://stockanalysis.com/etf/vmbs/" xr:uid="{89B1DB70-8502-4BB6-A47A-2470A413744D}"/>
    <hyperlink ref="A26" r:id="rId160" display="https://stockanalysis.com/etf/spsm/" xr:uid="{3E155C46-DC73-4092-A3BD-346A6512B50A}"/>
    <hyperlink ref="A61" r:id="rId161" display="https://stockanalysis.com/etf/vtwo/" xr:uid="{6A0BE9F3-E86C-471C-813F-7EBAD46198D4}"/>
    <hyperlink ref="A125" r:id="rId162" display="https://stockanalysis.com/etf/dfai/" xr:uid="{28D99B12-76D3-49F2-8D2C-56A25094FB29}"/>
    <hyperlink ref="A69" r:id="rId163" display="https://stockanalysis.com/etf/avde/" xr:uid="{C7026C8C-83B4-4F07-B1EC-962CE1F530F1}"/>
    <hyperlink ref="A87" r:id="rId164" display="https://stockanalysis.com/etf/scz/" xr:uid="{65BA06AD-2F11-4756-9E6D-6590E6BE8986}"/>
    <hyperlink ref="A183" r:id="rId165" display="https://stockanalysis.com/etf/stip/" xr:uid="{8CC07959-71A7-4610-A10E-98F54C9B457F}"/>
    <hyperlink ref="A138" r:id="rId166" display="https://stockanalysis.com/etf/tip/" xr:uid="{191C015C-B9A4-4CE8-8669-BF21DE10E541}"/>
    <hyperlink ref="A150" r:id="rId167" display="https://stockanalysis.com/etf/pff/" xr:uid="{A7B8E1A6-6162-443A-B474-43DA916F90E6}"/>
    <hyperlink ref="A133" r:id="rId168" display="https://stockanalysis.com/etf/dfuv/" xr:uid="{CC4AACB4-CCCE-430B-A07A-E3A361EF8984}"/>
    <hyperlink ref="A185" r:id="rId169" display="https://stockanalysis.com/etf/puls/" xr:uid="{4D62E489-D1B4-44C5-8126-24B03FA97062}"/>
    <hyperlink ref="A24" r:id="rId170" display="https://stockanalysis.com/etf/spmo/" xr:uid="{B6B8B715-8DE8-4998-9731-3F514C1ACB09}"/>
    <hyperlink ref="A58" r:id="rId171" display="https://stockanalysis.com/etf/iwo/" xr:uid="{AF3C9FEF-7167-4EC1-93DF-34E948E2039F}"/>
    <hyperlink ref="A73" r:id="rId172" display="https://stockanalysis.com/etf/vfh/" xr:uid="{1849301B-A52C-4D96-879C-3EE339A43DA0}"/>
    <hyperlink ref="A75" r:id="rId173" display="https://stockanalysis.com/etf/dfat/" xr:uid="{EFCF686E-908A-4E96-8234-CCE564B93463}"/>
    <hyperlink ref="A121" r:id="rId174" display="https://stockanalysis.com/etf/fbtc/" xr:uid="{129AE41E-7813-43B6-B2C7-240CD2E01759}"/>
    <hyperlink ref="A96" r:id="rId175" display="https://stockanalysis.com/etf/dfas/" xr:uid="{F627958D-ADEA-44E0-B2B9-C98D3E134DA5}"/>
    <hyperlink ref="A76" r:id="rId176" display="https://stockanalysis.com/etf/schm/" xr:uid="{CACAE1FE-CD98-4B84-9B09-003CE263DD55}"/>
    <hyperlink ref="A141" r:id="rId177" display="https://stockanalysis.com/etf/hdv/" xr:uid="{BE50524B-C595-40C9-ADEB-9FC24DC6D049}"/>
    <hyperlink ref="A134" r:id="rId178" display="https://stockanalysis.com/etf/dfic/" xr:uid="{C3DF7C32-1B9A-4CD9-852F-4A2D7A0717E8}"/>
    <hyperlink ref="A2" r:id="rId179" display="https://stockanalysis.com/etf/soxl/" xr:uid="{661E25B9-C88D-43A0-B70D-3B753238FEE4}"/>
    <hyperlink ref="A110" r:id="rId180" display="https://stockanalysis.com/etf/iwn/" xr:uid="{A3F9CDEA-1192-4AB5-8997-0B11802D6727}"/>
    <hyperlink ref="A64" r:id="rId181" display="https://stockanalysis.com/etf/moat/" xr:uid="{26FFABD3-9872-4D50-81C3-9613DB9DDA01}"/>
    <hyperlink ref="A122" r:id="rId182" display="https://stockanalysis.com/etf/iqlt/" xr:uid="{B90FB087-BF24-4A5E-B049-FF5EBE01ADE1}"/>
    <hyperlink ref="A160" r:id="rId183" display="https://stockanalysis.com/etf/schr/" xr:uid="{1A784F76-9A6F-4A4A-9653-B76621FEE2A2}"/>
    <hyperlink ref="A90" r:id="rId184" display="https://stockanalysis.com/etf/ewy/" xr:uid="{928B3150-8DDB-4504-8A41-7257A4620C67}"/>
    <hyperlink ref="A198" r:id="rId185" display="https://stockanalysis.com/etf/tlh/" xr:uid="{4B704FC7-5F24-4820-B753-4AEC8383E32A}"/>
    <hyperlink ref="A108" r:id="rId186" display="https://stockanalysis.com/etf/sche/" xr:uid="{A587EC9D-D0AC-48EB-9857-0F7515188C0F}"/>
    <hyperlink ref="A52" r:id="rId187" display="https://stockanalysis.com/etf/sptm/" xr:uid="{9A0E25A4-D3ED-467B-9945-F2BBC320AD32}"/>
    <hyperlink ref="A68" r:id="rId188" display="https://stockanalysis.com/etf/pave/" xr:uid="{98B45A2F-4A55-4816-8628-795C6A95BA03}"/>
    <hyperlink ref="A197" r:id="rId189" display="https://stockanalysis.com/etf/pyld/" xr:uid="{A1D01E94-58F9-452F-B45E-7FD7F39F0950}"/>
    <hyperlink ref="A32" r:id="rId190" display="https://stockanalysis.com/etf/esgv/" xr:uid="{9A31058D-5794-4925-BFFC-E5B521EF9369}"/>
    <hyperlink ref="A116" r:id="rId191" display="https://stockanalysis.com/etf/nobl/" xr:uid="{EABFCE5C-845F-4BEB-9AF2-4164944D1807}"/>
    <hyperlink ref="A174" r:id="rId192" display="https://stockanalysis.com/etf/iagg/" xr:uid="{2A447BBB-7320-49D0-A756-17FED1CBF6F1}"/>
    <hyperlink ref="A59" r:id="rId193" display="https://stockanalysis.com/etf/mgv/" xr:uid="{C76E241D-EBE6-4649-950A-F379EA3DEF49}"/>
    <hyperlink ref="A191" r:id="rId194" display="https://stockanalysis.com/etf/scho/" xr:uid="{566935DC-0589-4EB9-A77E-37C409A906F9}"/>
    <hyperlink ref="A113" r:id="rId195" display="https://stockanalysis.com/etf/esgd/" xr:uid="{93C538B1-9469-4C1B-81C9-1360FF265B33}"/>
    <hyperlink ref="A129" r:id="rId196" display="https://stockanalysis.com/etf/amlp/" xr:uid="{043F8B0B-AA44-4D76-95FD-F418147A3B3E}"/>
    <hyperlink ref="A45" r:id="rId197" display="https://stockanalysis.com/etf/xlg/" xr:uid="{06709CC7-B10E-4A8A-B881-59851EA85FE6}"/>
    <hyperlink ref="A57" r:id="rId198" display="https://stockanalysis.com/etf/avus/" xr:uid="{D07860E8-7A40-4632-9679-0E0D47ED872D}"/>
    <hyperlink ref="A85" r:id="rId199" display="https://stockanalysis.com/etf/vss/" xr:uid="{22F7C31E-F07E-464E-8DF5-9F62412C9798}"/>
    <hyperlink ref="A118" r:id="rId200" display="https://stockanalysis.com/etf/dfax/" xr:uid="{71A92A53-C922-4B4E-8380-8C4E3C8706C7}"/>
  </hyperlinks>
  <pageMargins left="0.7" right="0.7" top="0.75" bottom="0.75" header="0.3" footer="0.3"/>
  <drawing r:id="rId201"/>
  <legacyDrawing r:id="rId202"/>
  <tableParts count="1">
    <tablePart r:id="rId20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B99FF-9787-43CD-BF43-74860F0B2B98}">
  <dimension ref="A1:V201"/>
  <sheetViews>
    <sheetView topLeftCell="M1" zoomScale="60" zoomScaleNormal="100" workbookViewId="0">
      <selection activeCell="T25" sqref="T25"/>
    </sheetView>
  </sheetViews>
  <sheetFormatPr defaultColWidth="8.88671875" defaultRowHeight="15" customHeight="1" x14ac:dyDescent="0.3"/>
  <cols>
    <col min="1" max="1" width="11.6640625" customWidth="1"/>
    <col min="2" max="2" width="40.33203125" customWidth="1"/>
    <col min="3" max="3" width="14.44140625" customWidth="1"/>
    <col min="4" max="4" width="16.44140625" customWidth="1"/>
    <col min="5" max="5" width="15.44140625" customWidth="1"/>
    <col min="6" max="6" width="7.33203125" customWidth="1"/>
    <col min="7" max="7" width="21.33203125" customWidth="1"/>
    <col min="8" max="8" width="9.6640625" customWidth="1"/>
    <col min="9" max="9" width="18.6640625" bestFit="1" customWidth="1"/>
    <col min="10" max="10" width="28.109375" style="71" bestFit="1" customWidth="1"/>
    <col min="11" max="11" width="12.44140625" style="63" bestFit="1" customWidth="1"/>
    <col min="12" max="12" width="26.88671875" bestFit="1" customWidth="1"/>
    <col min="13" max="13" width="19.5546875" style="41" customWidth="1"/>
    <col min="17" max="17" width="14.6640625" customWidth="1"/>
    <col min="19" max="19" width="34.44140625" bestFit="1" customWidth="1"/>
    <col min="20" max="20" width="27" customWidth="1"/>
    <col min="21" max="21" width="34.109375" bestFit="1" customWidth="1"/>
    <col min="22" max="22" width="12.88671875" customWidth="1"/>
  </cols>
  <sheetData>
    <row r="1" spans="1:22" ht="15" customHeight="1" x14ac:dyDescent="0.3">
      <c r="A1" s="7" t="s">
        <v>52</v>
      </c>
      <c r="B1" s="8" t="s">
        <v>53</v>
      </c>
      <c r="C1" s="8" t="s">
        <v>54</v>
      </c>
      <c r="D1" s="8" t="s">
        <v>55</v>
      </c>
      <c r="E1" s="8" t="s">
        <v>56</v>
      </c>
      <c r="F1" s="8" t="s">
        <v>57</v>
      </c>
      <c r="G1" s="72" t="s">
        <v>58</v>
      </c>
      <c r="H1" s="9" t="s">
        <v>59</v>
      </c>
      <c r="I1" s="23" t="s">
        <v>60</v>
      </c>
      <c r="J1" s="70" t="s">
        <v>61</v>
      </c>
      <c r="K1" s="60" t="s">
        <v>62</v>
      </c>
      <c r="L1" s="23" t="s">
        <v>63</v>
      </c>
      <c r="M1" s="66" t="s">
        <v>64</v>
      </c>
      <c r="Q1" s="1" t="s">
        <v>65</v>
      </c>
      <c r="S1" t="s">
        <v>66</v>
      </c>
    </row>
    <row r="2" spans="1:22" ht="15" customHeight="1" x14ac:dyDescent="0.3">
      <c r="A2" s="2" t="s">
        <v>67</v>
      </c>
      <c r="B2" s="10" t="s">
        <v>68</v>
      </c>
      <c r="C2" s="11">
        <v>48.26</v>
      </c>
      <c r="D2" s="11" t="s">
        <v>69</v>
      </c>
      <c r="E2" s="12">
        <v>8.2000000000000007E-3</v>
      </c>
      <c r="F2" s="11">
        <v>3.58</v>
      </c>
      <c r="G2" s="3">
        <f t="shared" ref="G2:G33" si="0">IF(RIGHT(Q2,1)="B", VALUE(SUBSTITUTE(Q2,"B",""))*1000000000,
 IF(RIGHT(Q2,1)="M", VALUE(SUBSTITUTE(Q2,"M",""))*1000000, VALUE(Q2)))</f>
        <v>5570000000</v>
      </c>
      <c r="H2" s="25" t="b">
        <f t="shared" ref="H2:H33" si="1">OR(
  ISNUMBER(SEARCH("technology",B2)),
  ISNUMBER(SEARCH("tech",B2)),
  ISNUMBER(SEARCH("qqq",B2)),
  ISNUMBER(SEARCH("semiconductor",B2)),
  ISNUMBER(SEARCH("information technology",B2)),
  ISNUMBER(SEARCH("nasdaq",B2)),
  ISNUMBER(SEARCH("communication",B2))
)</f>
        <v>1</v>
      </c>
      <c r="I2" s="26">
        <f>Table13[[#This Row],[Tech]]*$T$7+Table13[[#This Row],[Beta]]*($T$6-$T$8)+$T$8</f>
        <v>0.36408800000000002</v>
      </c>
      <c r="J2" s="64">
        <v>110937312.53386199</v>
      </c>
      <c r="K2" s="61">
        <f>Table13[[#This Row],[Investment]]/Table13[[#This Row],[Dollar Volume]]</f>
        <v>1.9916932232291202E-2</v>
      </c>
      <c r="L2" s="34">
        <f>IFERROR(MAX($T$11+$T$12*LN(Table13[[#This Row],[Frac ADV]]),0),0)*0.0001+0.005/Table13[[#This Row],[Stock Price]]+Table13[[#This Row],[Expense Ratio]]</f>
        <v>2.037766989613914E-2</v>
      </c>
      <c r="M2" s="67">
        <f>(Table13[[#This Row],[Expected Return]]-Table13[[#This Row],[Tcosts]])*Table13[[#This Row],[Investment]]</f>
        <v>38130300.311848886</v>
      </c>
      <c r="Q2" s="13" t="s">
        <v>70</v>
      </c>
    </row>
    <row r="3" spans="1:22" ht="15" customHeight="1" x14ac:dyDescent="0.3">
      <c r="A3" s="2" t="s">
        <v>76</v>
      </c>
      <c r="B3" s="10" t="s">
        <v>77</v>
      </c>
      <c r="C3" s="11">
        <v>351.5</v>
      </c>
      <c r="D3" s="11" t="s">
        <v>78</v>
      </c>
      <c r="E3" s="12">
        <v>3.3999999999999998E-3</v>
      </c>
      <c r="F3" s="11">
        <v>1.74</v>
      </c>
      <c r="G3" s="3">
        <f t="shared" si="0"/>
        <v>5500000000</v>
      </c>
      <c r="H3" s="3" t="b">
        <f t="shared" si="1"/>
        <v>1</v>
      </c>
      <c r="I3" s="26">
        <f>Table13[[#This Row],[Tech]]*$T$7+Table13[[#This Row],[Beta]]*($T$6-$T$8)+$T$8</f>
        <v>0.24706400000000001</v>
      </c>
      <c r="J3" s="64">
        <v>70081293.503858</v>
      </c>
      <c r="K3" s="61">
        <f>Table13[[#This Row],[Investment]]/Table13[[#This Row],[Dollar Volume]]</f>
        <v>1.2742053364337818E-2</v>
      </c>
      <c r="L3" s="34">
        <f>IFERROR(MAX($T$11+$T$12*LN(Table13[[#This Row],[Frac ADV]]),0),0)*0.0001+0.005/Table13[[#This Row],[Stock Price]]+Table13[[#This Row],[Expense Ratio]]</f>
        <v>1.3300444794100176E-2</v>
      </c>
      <c r="M3" s="68">
        <f>(Table13[[#This Row],[Expected Return]]-Table13[[#This Row],[Tcosts]])*Table13[[#This Row],[Investment]]</f>
        <v>16382452.32288998</v>
      </c>
      <c r="Q3" s="16" t="s">
        <v>74</v>
      </c>
      <c r="S3" t="s">
        <v>75</v>
      </c>
    </row>
    <row r="4" spans="1:22" ht="15" customHeight="1" x14ac:dyDescent="0.3">
      <c r="A4" s="2" t="s">
        <v>71</v>
      </c>
      <c r="B4" s="10" t="s">
        <v>72</v>
      </c>
      <c r="C4" s="11">
        <v>406.11</v>
      </c>
      <c r="D4" s="11" t="s">
        <v>73</v>
      </c>
      <c r="E4" s="12">
        <v>3.5000000000000001E-3</v>
      </c>
      <c r="F4" s="11">
        <v>1.71</v>
      </c>
      <c r="G4" s="3">
        <f t="shared" si="0"/>
        <v>79900000000</v>
      </c>
      <c r="H4" s="3" t="b">
        <f t="shared" si="1"/>
        <v>1</v>
      </c>
      <c r="I4" s="26">
        <f>Table13[[#This Row],[Tech]]*$T$7+Table13[[#This Row],[Beta]]*($T$6-$T$8)+$T$8</f>
        <v>0.24515599999999999</v>
      </c>
      <c r="J4" s="64">
        <v>70033138.834898993</v>
      </c>
      <c r="K4" s="61">
        <f>Table13[[#This Row],[Investment]]/Table13[[#This Row],[Dollar Volume]]</f>
        <v>8.7650987277720894E-4</v>
      </c>
      <c r="L4" s="34">
        <f>IFERROR(MAX($T$11+$T$12*LN(Table13[[#This Row],[Frac ADV]]),0),0)*0.0001+0.005/Table13[[#This Row],[Stock Price]]+Table13[[#This Row],[Expense Ratio]]</f>
        <v>3.5123119351899734E-3</v>
      </c>
      <c r="M4" s="68">
        <f>(Table13[[#This Row],[Expected Return]]-Table13[[#This Row],[Tcosts]])*Table13[[#This Row],[Investment]]</f>
        <v>16923065.954819866</v>
      </c>
      <c r="Q4" s="13" t="s">
        <v>79</v>
      </c>
      <c r="S4" t="s">
        <v>80</v>
      </c>
      <c r="T4" t="s">
        <v>81</v>
      </c>
      <c r="U4" t="s">
        <v>82</v>
      </c>
    </row>
    <row r="5" spans="1:22" ht="15" customHeight="1" x14ac:dyDescent="0.3">
      <c r="A5" s="2" t="s">
        <v>83</v>
      </c>
      <c r="B5" s="10" t="s">
        <v>84</v>
      </c>
      <c r="C5" s="11">
        <v>63.1</v>
      </c>
      <c r="D5" s="11" t="s">
        <v>85</v>
      </c>
      <c r="E5" s="12">
        <v>7.4999999999999997E-3</v>
      </c>
      <c r="F5" s="11">
        <f>4.99/3</f>
        <v>1.6633333333333333</v>
      </c>
      <c r="G5" s="3">
        <f t="shared" si="0"/>
        <v>2350000000</v>
      </c>
      <c r="H5" s="3" t="b">
        <f t="shared" si="1"/>
        <v>1</v>
      </c>
      <c r="I5" s="26">
        <f>Table13[[#This Row],[Tech]]*$T$7+Table13[[#This Row],[Beta]]*($T$6-$T$8)+$T$8</f>
        <v>0.24218800000000001</v>
      </c>
      <c r="J5" s="64">
        <v>67774637.434874997</v>
      </c>
      <c r="K5" s="61">
        <f>Table13[[#This Row],[Investment]]/Table13[[#This Row],[Dollar Volume]]</f>
        <v>2.8840271248882977E-2</v>
      </c>
      <c r="L5" s="34">
        <f>IFERROR(MAX($T$11+$T$12*LN(Table13[[#This Row],[Frac ADV]]),0),0)*0.0001+0.005/Table13[[#This Row],[Stock Price]]+Table13[[#This Row],[Expense Ratio]]</f>
        <v>2.1466631594120145E-2</v>
      </c>
      <c r="M5" s="68">
        <f>(Table13[[#This Row],[Expected Return]]-Table13[[#This Row],[Tcosts]])*Table13[[#This Row],[Investment]]</f>
        <v>14959310.71783798</v>
      </c>
      <c r="Q5" s="16" t="s">
        <v>86</v>
      </c>
      <c r="S5" t="s">
        <v>87</v>
      </c>
      <c r="T5" s="17">
        <v>1000000000</v>
      </c>
      <c r="U5" t="s">
        <v>88</v>
      </c>
    </row>
    <row r="6" spans="1:22" ht="15" customHeight="1" x14ac:dyDescent="0.3">
      <c r="A6" s="4" t="s">
        <v>89</v>
      </c>
      <c r="B6" s="14" t="s">
        <v>90</v>
      </c>
      <c r="C6" s="6">
        <v>217.72</v>
      </c>
      <c r="D6" s="6" t="s">
        <v>91</v>
      </c>
      <c r="E6" s="15">
        <v>8.0000000000000004E-4</v>
      </c>
      <c r="F6" s="6">
        <v>1.43</v>
      </c>
      <c r="G6" s="3">
        <f t="shared" si="0"/>
        <v>48350000000</v>
      </c>
      <c r="H6" s="3" t="b">
        <f t="shared" si="1"/>
        <v>1</v>
      </c>
      <c r="I6" s="26">
        <f>Table13[[#This Row],[Tech]]*$T$7+Table13[[#This Row],[Beta]]*($T$6-$T$8)+$T$8</f>
        <v>0.22734799999999999</v>
      </c>
      <c r="J6" s="64">
        <v>65701275.680749997</v>
      </c>
      <c r="K6" s="61">
        <f>Table13[[#This Row],[Investment]]/Table13[[#This Row],[Dollar Volume]]</f>
        <v>1.3588681629937952E-3</v>
      </c>
      <c r="L6" s="34">
        <f>IFERROR(MAX($T$11+$T$12*LN(Table13[[#This Row],[Frac ADV]]),0),0)*0.0001+0.005/Table13[[#This Row],[Stock Price]]+Table13[[#This Row],[Expense Ratio]]</f>
        <v>8.2296527650192915E-4</v>
      </c>
      <c r="M6" s="68">
        <f>(Table13[[#This Row],[Expected Return]]-Table13[[#This Row],[Tcosts]])*Table13[[#This Row],[Investment]]</f>
        <v>14882983.754960012</v>
      </c>
      <c r="Q6" s="13" t="s">
        <v>92</v>
      </c>
      <c r="S6" t="s">
        <v>93</v>
      </c>
      <c r="T6" s="18">
        <v>0.1</v>
      </c>
      <c r="U6" t="s">
        <v>94</v>
      </c>
    </row>
    <row r="7" spans="1:22" ht="15" customHeight="1" x14ac:dyDescent="0.3">
      <c r="A7" s="2" t="s">
        <v>95</v>
      </c>
      <c r="B7" s="10" t="s">
        <v>96</v>
      </c>
      <c r="C7" s="11">
        <v>729.64</v>
      </c>
      <c r="D7" s="11" t="s">
        <v>97</v>
      </c>
      <c r="E7" s="12">
        <v>8.9999999999999998E-4</v>
      </c>
      <c r="F7" s="11">
        <v>1.43</v>
      </c>
      <c r="G7" s="3">
        <f t="shared" si="0"/>
        <v>1360000000</v>
      </c>
      <c r="H7" s="3" t="b">
        <f t="shared" si="1"/>
        <v>1</v>
      </c>
      <c r="I7" s="26">
        <f>Table13[[#This Row],[Tech]]*$T$7+Table13[[#This Row],[Beta]]*($T$6-$T$8)+$T$8</f>
        <v>0.22734799999999999</v>
      </c>
      <c r="J7" s="64">
        <v>64058078.693077996</v>
      </c>
      <c r="K7" s="61">
        <f>Table13[[#This Row],[Investment]]/Table13[[#This Row],[Dollar Volume]]</f>
        <v>4.7101528450792643E-2</v>
      </c>
      <c r="L7" s="34">
        <f>IFERROR(MAX($T$11+$T$12*LN(Table13[[#This Row],[Frac ADV]]),0),0)*0.0001+0.005/Table13[[#This Row],[Stock Price]]+Table13[[#This Row],[Expense Ratio]]</f>
        <v>1.7196975165654008E-2</v>
      </c>
      <c r="M7" s="68">
        <f>(Table13[[#This Row],[Expected Return]]-Table13[[#This Row],[Tcosts]])*Table13[[#This Row],[Investment]]</f>
        <v>13461870.886269525</v>
      </c>
      <c r="Q7" s="16" t="s">
        <v>98</v>
      </c>
      <c r="S7" t="s">
        <v>99</v>
      </c>
      <c r="T7" s="18">
        <v>0.1</v>
      </c>
      <c r="U7" t="s">
        <v>100</v>
      </c>
    </row>
    <row r="8" spans="1:22" ht="15" customHeight="1" x14ac:dyDescent="0.3">
      <c r="A8" s="4" t="s">
        <v>107</v>
      </c>
      <c r="B8" s="14" t="s">
        <v>108</v>
      </c>
      <c r="C8" s="6">
        <v>190.79</v>
      </c>
      <c r="D8" s="6" t="s">
        <v>109</v>
      </c>
      <c r="E8" s="15">
        <v>3.8E-3</v>
      </c>
      <c r="F8" s="6">
        <v>1.43</v>
      </c>
      <c r="G8" s="3">
        <f t="shared" si="0"/>
        <v>1020000000</v>
      </c>
      <c r="H8" s="3" t="b">
        <f t="shared" si="1"/>
        <v>1</v>
      </c>
      <c r="I8" s="26">
        <f>Table13[[#This Row],[Tech]]*$T$7+Table13[[#This Row],[Beta]]*($T$6-$T$8)+$T$8</f>
        <v>0.22734799999999999</v>
      </c>
      <c r="J8" s="64">
        <v>63720166.418054</v>
      </c>
      <c r="K8" s="61">
        <f>Table13[[#This Row],[Investment]]/Table13[[#This Row],[Dollar Volume]]</f>
        <v>6.2470751390249019E-2</v>
      </c>
      <c r="L8" s="34">
        <f>IFERROR(MAX($T$11+$T$12*LN(Table13[[#This Row],[Frac ADV]]),0),0)*0.0001+0.005/Table13[[#This Row],[Stock Price]]+Table13[[#This Row],[Expense Ratio]]</f>
        <v>2.1499548353626462E-2</v>
      </c>
      <c r="M8" s="68">
        <f>(Table13[[#This Row],[Expected Return]]-Table13[[#This Row],[Tcosts]])*Table13[[#This Row],[Investment]]</f>
        <v>13116697.595805664</v>
      </c>
      <c r="Q8" s="13" t="s">
        <v>104</v>
      </c>
      <c r="S8" t="s">
        <v>105</v>
      </c>
      <c r="T8" s="19">
        <v>3.6400000000000002E-2</v>
      </c>
      <c r="U8" t="s">
        <v>106</v>
      </c>
      <c r="V8" s="21">
        <v>46076</v>
      </c>
    </row>
    <row r="9" spans="1:22" ht="15" customHeight="1" x14ac:dyDescent="0.3">
      <c r="A9" s="2" t="s">
        <v>101</v>
      </c>
      <c r="B9" s="10" t="s">
        <v>102</v>
      </c>
      <c r="C9" s="11">
        <v>139.21</v>
      </c>
      <c r="D9" s="11" t="s">
        <v>103</v>
      </c>
      <c r="E9" s="12">
        <v>8.0000000000000004E-4</v>
      </c>
      <c r="F9" s="11">
        <v>1.41</v>
      </c>
      <c r="G9" s="3">
        <f t="shared" si="0"/>
        <v>1800000000</v>
      </c>
      <c r="H9" s="3" t="b">
        <f t="shared" si="1"/>
        <v>1</v>
      </c>
      <c r="I9" s="26">
        <f>Table13[[#This Row],[Tech]]*$T$7+Table13[[#This Row],[Beta]]*($T$6-$T$8)+$T$8</f>
        <v>0.226076</v>
      </c>
      <c r="J9" s="64">
        <v>63332377.376062997</v>
      </c>
      <c r="K9" s="61">
        <f>Table13[[#This Row],[Investment]]/Table13[[#This Row],[Dollar Volume]]</f>
        <v>3.5184654097812774E-2</v>
      </c>
      <c r="L9" s="34">
        <f>IFERROR(MAX($T$11+$T$12*LN(Table13[[#This Row],[Frac ADV]]),0),0)*0.0001+0.005/Table13[[#This Row],[Stock Price]]+Table13[[#This Row],[Expense Ratio]]</f>
        <v>1.5697255258774929E-2</v>
      </c>
      <c r="M9" s="68">
        <f>(Table13[[#This Row],[Expected Return]]-Table13[[#This Row],[Tcosts]])*Table13[[#This Row],[Investment]]</f>
        <v>13323786.053853694</v>
      </c>
      <c r="Q9" s="16" t="s">
        <v>110</v>
      </c>
      <c r="S9" t="s">
        <v>111</v>
      </c>
      <c r="T9" s="19">
        <f>T8+2%</f>
        <v>5.6400000000000006E-2</v>
      </c>
      <c r="U9" t="s">
        <v>112</v>
      </c>
    </row>
    <row r="10" spans="1:22" ht="15" customHeight="1" x14ac:dyDescent="0.3">
      <c r="A10" s="2" t="s">
        <v>113</v>
      </c>
      <c r="B10" s="10" t="s">
        <v>114</v>
      </c>
      <c r="C10" s="11">
        <v>600.64</v>
      </c>
      <c r="D10" s="11" t="s">
        <v>115</v>
      </c>
      <c r="E10" s="12">
        <v>2E-3</v>
      </c>
      <c r="F10" s="11">
        <v>1.22</v>
      </c>
      <c r="G10" s="3">
        <f t="shared" si="0"/>
        <v>9210000000</v>
      </c>
      <c r="H10" s="3" t="b">
        <f t="shared" si="1"/>
        <v>1</v>
      </c>
      <c r="I10" s="26">
        <f>Table13[[#This Row],[Tech]]*$T$7+Table13[[#This Row],[Beta]]*($T$6-$T$8)+$T$8</f>
        <v>0.21399200000000002</v>
      </c>
      <c r="J10" s="64">
        <v>61809858.569118001</v>
      </c>
      <c r="K10" s="61">
        <f>Table13[[#This Row],[Investment]]/Table13[[#This Row],[Dollar Volume]]</f>
        <v>6.7111681399693816E-3</v>
      </c>
      <c r="L10" s="34">
        <f>IFERROR(MAX($T$11+$T$12*LN(Table13[[#This Row],[Frac ADV]]),0),0)*0.0001+0.005/Table13[[#This Row],[Stock Price]]+Table13[[#This Row],[Expense Ratio]]</f>
        <v>8.7541345017983739E-3</v>
      </c>
      <c r="M10" s="68">
        <f>(Table13[[#This Row],[Expected Return]]-Table13[[#This Row],[Tcosts]])*Table13[[#This Row],[Investment]]</f>
        <v>12685723.439471506</v>
      </c>
      <c r="Q10" s="13" t="s">
        <v>116</v>
      </c>
      <c r="S10" t="s">
        <v>117</v>
      </c>
      <c r="U10" s="22" t="s">
        <v>118</v>
      </c>
    </row>
    <row r="11" spans="1:22" ht="15" customHeight="1" x14ac:dyDescent="0.3">
      <c r="A11" s="4" t="s">
        <v>119</v>
      </c>
      <c r="B11" s="14" t="s">
        <v>120</v>
      </c>
      <c r="C11" s="6">
        <v>247.32</v>
      </c>
      <c r="D11" s="6" t="s">
        <v>121</v>
      </c>
      <c r="E11" s="15">
        <v>1.5E-3</v>
      </c>
      <c r="F11" s="6">
        <v>1.21</v>
      </c>
      <c r="G11" s="3">
        <f t="shared" si="0"/>
        <v>1260000000</v>
      </c>
      <c r="H11" s="3" t="b">
        <f t="shared" si="1"/>
        <v>1</v>
      </c>
      <c r="I11" s="26">
        <f>Table13[[#This Row],[Tech]]*$T$7+Table13[[#This Row],[Beta]]*($T$6-$T$8)+$T$8</f>
        <v>0.21335599999999999</v>
      </c>
      <c r="J11" s="64">
        <v>58911402.731816001</v>
      </c>
      <c r="K11" s="61">
        <f>Table13[[#This Row],[Investment]]/Table13[[#This Row],[Dollar Volume]]</f>
        <v>4.6755081533187304E-2</v>
      </c>
      <c r="L11" s="34">
        <f>IFERROR(MAX($T$11+$T$12*LN(Table13[[#This Row],[Frac ADV]]),0),0)*0.0001+0.005/Table13[[#This Row],[Stock Price]]+Table13[[#This Row],[Expense Ratio]]</f>
        <v>1.7774178162508626E-2</v>
      </c>
      <c r="M11" s="68">
        <f>(Table13[[#This Row],[Expected Return]]-Table13[[#This Row],[Tcosts]])*Table13[[#This Row],[Investment]]</f>
        <v>11521999.47329074</v>
      </c>
      <c r="Q11" s="16" t="s">
        <v>122</v>
      </c>
      <c r="S11" t="s">
        <v>11</v>
      </c>
      <c r="T11" s="20">
        <v>312.56343894969302</v>
      </c>
    </row>
    <row r="12" spans="1:22" ht="15" customHeight="1" x14ac:dyDescent="0.3">
      <c r="A12" s="2" t="s">
        <v>123</v>
      </c>
      <c r="B12" s="10" t="s">
        <v>124</v>
      </c>
      <c r="C12" s="11">
        <v>114.64</v>
      </c>
      <c r="D12" s="11" t="s">
        <v>125</v>
      </c>
      <c r="E12" s="12">
        <v>8.0000000000000004E-4</v>
      </c>
      <c r="F12" s="11">
        <v>0.94</v>
      </c>
      <c r="G12" s="3">
        <f t="shared" si="0"/>
        <v>736290000</v>
      </c>
      <c r="H12" s="3" t="b">
        <f t="shared" si="1"/>
        <v>1</v>
      </c>
      <c r="I12" s="26">
        <f>Table13[[#This Row],[Tech]]*$T$7+Table13[[#This Row],[Beta]]*($T$6-$T$8)+$T$8</f>
        <v>0.19618400000000003</v>
      </c>
      <c r="J12" s="64">
        <v>53110563.096228004</v>
      </c>
      <c r="K12" s="61">
        <f>Table13[[#This Row],[Investment]]/Table13[[#This Row],[Dollar Volume]]</f>
        <v>7.213266932353829E-2</v>
      </c>
      <c r="L12" s="34">
        <f>IFERROR(MAX($T$11+$T$12*LN(Table13[[#This Row],[Frac ADV]]),0),0)*0.0001+0.005/Table13[[#This Row],[Stock Price]]+Table13[[#This Row],[Expense Ratio]]</f>
        <v>1.9221360331084496E-2</v>
      </c>
      <c r="M12" s="68">
        <f>(Table13[[#This Row],[Expected Return]]-Table13[[#This Row],[Tcosts]])*Table13[[#This Row],[Investment]]</f>
        <v>9398585.4398109987</v>
      </c>
      <c r="Q12" s="13" t="s">
        <v>126</v>
      </c>
      <c r="S12" t="s">
        <v>12</v>
      </c>
      <c r="T12" s="20">
        <v>48.982055899151902</v>
      </c>
    </row>
    <row r="13" spans="1:22" ht="15" customHeight="1" x14ac:dyDescent="0.3">
      <c r="A13" s="2" t="s">
        <v>127</v>
      </c>
      <c r="B13" s="10" t="s">
        <v>128</v>
      </c>
      <c r="C13" s="11">
        <v>57.44</v>
      </c>
      <c r="D13" s="11" t="s">
        <v>129</v>
      </c>
      <c r="E13" s="12">
        <v>3.5000000000000001E-3</v>
      </c>
      <c r="F13" s="11">
        <v>0.95</v>
      </c>
      <c r="G13" s="3">
        <f t="shared" si="0"/>
        <v>1780000000</v>
      </c>
      <c r="H13" s="3" t="b">
        <f t="shared" si="1"/>
        <v>1</v>
      </c>
      <c r="I13" s="26">
        <f>Table13[[#This Row],[Tech]]*$T$7+Table13[[#This Row],[Beta]]*($T$6-$T$8)+$T$8</f>
        <v>0.19681999999999999</v>
      </c>
      <c r="J13" s="64">
        <v>52511683.881350003</v>
      </c>
      <c r="K13" s="61">
        <f>Table13[[#This Row],[Investment]]/Table13[[#This Row],[Dollar Volume]]</f>
        <v>2.9500946000758428E-2</v>
      </c>
      <c r="L13" s="34">
        <f>IFERROR(MAX($T$11+$T$12*LN(Table13[[#This Row],[Frac ADV]]),0),0)*0.0001+0.005/Table13[[#This Row],[Stock Price]]+Table13[[#This Row],[Expense Ratio]]</f>
        <v>1.758538210609617E-2</v>
      </c>
      <c r="M13" s="68">
        <f>(Table13[[#This Row],[Expected Return]]-Table13[[#This Row],[Tcosts]])*Table13[[#This Row],[Investment]]</f>
        <v>9411911.5954392366</v>
      </c>
      <c r="Q13" s="16" t="s">
        <v>130</v>
      </c>
    </row>
    <row r="14" spans="1:22" ht="15" customHeight="1" x14ac:dyDescent="0.3">
      <c r="A14" s="2" t="s">
        <v>186</v>
      </c>
      <c r="B14" s="10" t="s">
        <v>187</v>
      </c>
      <c r="C14" s="11">
        <v>460.15</v>
      </c>
      <c r="D14" s="11" t="s">
        <v>188</v>
      </c>
      <c r="E14" s="12">
        <v>2.9999999999999997E-4</v>
      </c>
      <c r="F14" s="11">
        <v>1.24</v>
      </c>
      <c r="G14" s="3">
        <f t="shared" si="0"/>
        <v>1120000000</v>
      </c>
      <c r="H14" s="3" t="b">
        <f t="shared" si="1"/>
        <v>0</v>
      </c>
      <c r="I14" s="26">
        <f>Table13[[#This Row],[Tech]]*$T$7+Table13[[#This Row],[Beta]]*($T$6-$T$8)+$T$8</f>
        <v>0.11526400000000001</v>
      </c>
      <c r="J14" s="64">
        <v>27079262.027773999</v>
      </c>
      <c r="K14" s="61">
        <f>Table13[[#This Row],[Investment]]/Table13[[#This Row],[Dollar Volume]]</f>
        <v>2.4177912524798215E-2</v>
      </c>
      <c r="L14" s="34">
        <f>IFERROR(MAX($T$11+$T$12*LN(Table13[[#This Row],[Frac ADV]]),0),0)*0.0001+0.005/Table13[[#This Row],[Stock Price]]+Table13[[#This Row],[Expense Ratio]]</f>
        <v>1.3334542013810988E-2</v>
      </c>
      <c r="M14" s="68">
        <f>(Table13[[#This Row],[Expected Return]]-Table13[[#This Row],[Tcosts]])*Table13[[#This Row],[Investment]]</f>
        <v>2760174.5011569937</v>
      </c>
      <c r="Q14" s="13" t="s">
        <v>134</v>
      </c>
      <c r="U14" t="s">
        <v>880</v>
      </c>
      <c r="V14" t="s">
        <v>881</v>
      </c>
    </row>
    <row r="15" spans="1:22" ht="15" customHeight="1" x14ac:dyDescent="0.3">
      <c r="A15" s="2" t="s">
        <v>174</v>
      </c>
      <c r="B15" s="10" t="s">
        <v>175</v>
      </c>
      <c r="C15" s="11">
        <v>386.83</v>
      </c>
      <c r="D15" s="11" t="s">
        <v>176</v>
      </c>
      <c r="E15" s="12">
        <v>5.0000000000000001E-4</v>
      </c>
      <c r="F15" s="11">
        <v>1.27</v>
      </c>
      <c r="G15" s="3">
        <f t="shared" si="0"/>
        <v>978550000</v>
      </c>
      <c r="H15" s="3" t="b">
        <f t="shared" si="1"/>
        <v>0</v>
      </c>
      <c r="I15" s="26">
        <f>Table13[[#This Row],[Tech]]*$T$7+Table13[[#This Row],[Beta]]*($T$6-$T$8)+$T$8</f>
        <v>0.11717200000000001</v>
      </c>
      <c r="J15" s="64">
        <v>25747516.982193001</v>
      </c>
      <c r="K15" s="61">
        <f>Table13[[#This Row],[Investment]]/Table13[[#This Row],[Dollar Volume]]</f>
        <v>2.6311907395833632E-2</v>
      </c>
      <c r="L15" s="34">
        <f>IFERROR(MAX($T$11+$T$12*LN(Table13[[#This Row],[Frac ADV]]),0),0)*0.0001+0.005/Table13[[#This Row],[Stock Price]]+Table13[[#This Row],[Expense Ratio]]</f>
        <v>1.3950901976652674E-2</v>
      </c>
      <c r="M15" s="68">
        <f>(Table13[[#This Row],[Expected Return]]-Table13[[#This Row],[Tcosts]])*Table13[[#This Row],[Investment]]</f>
        <v>2657686.9742767438</v>
      </c>
      <c r="Q15" s="16" t="s">
        <v>138</v>
      </c>
      <c r="S15" t="s">
        <v>139</v>
      </c>
      <c r="T15" s="48">
        <f>SUM(Table13[Exp Profit])</f>
        <v>354598011.00306004</v>
      </c>
    </row>
    <row r="16" spans="1:22" ht="15" customHeight="1" x14ac:dyDescent="0.3">
      <c r="A16" s="4" t="s">
        <v>178</v>
      </c>
      <c r="B16" s="14" t="s">
        <v>179</v>
      </c>
      <c r="C16" s="6">
        <v>103.45</v>
      </c>
      <c r="D16" s="6" t="s">
        <v>180</v>
      </c>
      <c r="E16" s="15">
        <v>4.0000000000000002E-4</v>
      </c>
      <c r="F16" s="6">
        <v>1.21</v>
      </c>
      <c r="G16" s="3">
        <f t="shared" si="0"/>
        <v>968150000</v>
      </c>
      <c r="H16" s="3" t="b">
        <f t="shared" si="1"/>
        <v>0</v>
      </c>
      <c r="I16" s="26">
        <f>Table13[[#This Row],[Tech]]*$T$7+Table13[[#This Row],[Beta]]*($T$6-$T$8)+$T$8</f>
        <v>0.113356</v>
      </c>
      <c r="J16" s="64">
        <v>24120330.904824</v>
      </c>
      <c r="K16" s="61">
        <f>Table13[[#This Row],[Investment]]/Table13[[#This Row],[Dollar Volume]]</f>
        <v>2.4913836600551569E-2</v>
      </c>
      <c r="L16" s="34">
        <f>IFERROR(MAX($T$11+$T$12*LN(Table13[[#This Row],[Frac ADV]]),0),0)*0.0001+0.005/Table13[[#This Row],[Stock Price]]+Table13[[#This Row],[Expense Ratio]]</f>
        <v>1.3618875459348256E-2</v>
      </c>
      <c r="M16" s="68">
        <f>(Table13[[#This Row],[Expected Return]]-Table13[[#This Row],[Tcosts]])*Table13[[#This Row],[Investment]]</f>
        <v>2405692.4474161626</v>
      </c>
      <c r="Q16" s="13" t="s">
        <v>143</v>
      </c>
      <c r="S16" t="s">
        <v>144</v>
      </c>
      <c r="T16" s="48">
        <f>SUM(Table13[Investment])</f>
        <v>3000000000.0000072</v>
      </c>
      <c r="U16" s="40">
        <f>T5*3</f>
        <v>3000000000</v>
      </c>
      <c r="V16">
        <f>T18/T5</f>
        <v>0.24179801100305962</v>
      </c>
    </row>
    <row r="17" spans="1:20" ht="15" customHeight="1" x14ac:dyDescent="0.3">
      <c r="A17" s="2" t="s">
        <v>194</v>
      </c>
      <c r="B17" s="10" t="s">
        <v>195</v>
      </c>
      <c r="C17" s="11">
        <v>115.5</v>
      </c>
      <c r="D17" s="11" t="s">
        <v>196</v>
      </c>
      <c r="E17" s="12">
        <v>5.9999999999999995E-4</v>
      </c>
      <c r="F17" s="11">
        <v>1.22</v>
      </c>
      <c r="G17" s="3">
        <f t="shared" si="0"/>
        <v>582850000</v>
      </c>
      <c r="H17" s="3" t="b">
        <f t="shared" si="1"/>
        <v>0</v>
      </c>
      <c r="I17" s="26">
        <f>Table13[[#This Row],[Tech]]*$T$7+Table13[[#This Row],[Beta]]*($T$6-$T$8)+$T$8</f>
        <v>0.11399200000000001</v>
      </c>
      <c r="J17" s="64">
        <v>24058858.811586998</v>
      </c>
      <c r="K17" s="61">
        <f>Table13[[#This Row],[Investment]]/Table13[[#This Row],[Dollar Volume]]</f>
        <v>4.1277959700758343E-2</v>
      </c>
      <c r="L17" s="34">
        <f>IFERROR(MAX($T$11+$T$12*LN(Table13[[#This Row],[Frac ADV]]),0),0)*0.0001+0.005/Table13[[#This Row],[Stock Price]]+Table13[[#This Row],[Expense Ratio]]</f>
        <v>1.6286963222736008E-2</v>
      </c>
      <c r="M17" s="68">
        <f>(Table13[[#This Row],[Expected Return]]-Table13[[#This Row],[Tcosts]])*Table13[[#This Row],[Investment]]</f>
        <v>2350671.6850051098</v>
      </c>
      <c r="Q17" s="16" t="s">
        <v>148</v>
      </c>
      <c r="S17" t="s">
        <v>149</v>
      </c>
      <c r="T17" s="48">
        <f>MAX((T16-T5),0)*T9</f>
        <v>112800000.00000042</v>
      </c>
    </row>
    <row r="18" spans="1:20" ht="15" customHeight="1" x14ac:dyDescent="0.3">
      <c r="A18" s="4" t="s">
        <v>131</v>
      </c>
      <c r="B18" s="14" t="s">
        <v>132</v>
      </c>
      <c r="C18" s="6">
        <v>163.69</v>
      </c>
      <c r="D18" s="6" t="s">
        <v>133</v>
      </c>
      <c r="E18" s="15">
        <v>4.0000000000000002E-4</v>
      </c>
      <c r="F18" s="6">
        <v>1.19</v>
      </c>
      <c r="G18" s="3">
        <f t="shared" si="0"/>
        <v>469470000</v>
      </c>
      <c r="H18" s="3" t="b">
        <f t="shared" si="1"/>
        <v>0</v>
      </c>
      <c r="I18" s="26">
        <f>Table13[[#This Row],[Tech]]*$T$7+Table13[[#This Row],[Beta]]*($T$6-$T$8)+$T$8</f>
        <v>0.112084</v>
      </c>
      <c r="J18" s="64">
        <v>24003875.13958</v>
      </c>
      <c r="K18" s="61">
        <f>Table13[[#This Row],[Investment]]/Table13[[#This Row],[Dollar Volume]]</f>
        <v>5.1129731696551432E-2</v>
      </c>
      <c r="L18" s="34">
        <f>IFERROR(MAX($T$11+$T$12*LN(Table13[[#This Row],[Frac ADV]]),0),0)*0.0001+0.005/Table13[[#This Row],[Stock Price]]+Table13[[#This Row],[Expense Ratio]]</f>
        <v>1.7122618242630758E-2</v>
      </c>
      <c r="M18" s="68">
        <f>(Table13[[#This Row],[Expected Return]]-Table13[[#This Row],[Tcosts]])*Table13[[#This Row],[Investment]]</f>
        <v>2279441.1507858816</v>
      </c>
      <c r="Q18" s="13" t="s">
        <v>153</v>
      </c>
      <c r="S18" t="s">
        <v>154</v>
      </c>
      <c r="T18" s="50">
        <f>T15-T17</f>
        <v>241798011.00305963</v>
      </c>
    </row>
    <row r="19" spans="1:20" ht="15" customHeight="1" x14ac:dyDescent="0.3">
      <c r="A19" s="4" t="s">
        <v>222</v>
      </c>
      <c r="B19" s="14" t="s">
        <v>223</v>
      </c>
      <c r="C19" s="6">
        <v>250.2</v>
      </c>
      <c r="D19" s="6" t="s">
        <v>224</v>
      </c>
      <c r="E19" s="15">
        <v>1.5E-3</v>
      </c>
      <c r="F19" s="6">
        <v>1.17</v>
      </c>
      <c r="G19" s="3">
        <f t="shared" si="0"/>
        <v>1870000000</v>
      </c>
      <c r="H19" s="3" t="b">
        <f t="shared" si="1"/>
        <v>0</v>
      </c>
      <c r="I19" s="26">
        <f>Table13[[#This Row],[Tech]]*$T$7+Table13[[#This Row],[Beta]]*($T$6-$T$8)+$T$8</f>
        <v>0.11081200000000001</v>
      </c>
      <c r="J19" s="64">
        <v>23977505.660259001</v>
      </c>
      <c r="K19" s="61">
        <f>Table13[[#This Row],[Investment]]/Table13[[#This Row],[Dollar Volume]]</f>
        <v>1.2822195540245456E-2</v>
      </c>
      <c r="L19" s="34">
        <f>IFERROR(MAX($T$11+$T$12*LN(Table13[[#This Row],[Frac ADV]]),0),0)*0.0001+0.005/Table13[[#This Row],[Stock Price]]+Table13[[#This Row],[Expense Ratio]]</f>
        <v>1.1436915237009609E-2</v>
      </c>
      <c r="M19" s="68">
        <f>(Table13[[#This Row],[Expected Return]]-Table13[[#This Row],[Tcosts]])*Table13[[#This Row],[Investment]]</f>
        <v>2382766.65739332</v>
      </c>
      <c r="Q19" s="16" t="s">
        <v>158</v>
      </c>
      <c r="S19" t="s">
        <v>159</v>
      </c>
      <c r="T19" s="39">
        <f>COUNTIF(J2:J201,"&gt;0")</f>
        <v>199</v>
      </c>
    </row>
    <row r="20" spans="1:20" ht="15" customHeight="1" x14ac:dyDescent="0.3">
      <c r="A20" s="2" t="s">
        <v>140</v>
      </c>
      <c r="B20" s="10" t="s">
        <v>141</v>
      </c>
      <c r="C20" s="11">
        <v>30.51</v>
      </c>
      <c r="D20" s="11" t="s">
        <v>142</v>
      </c>
      <c r="E20" s="12">
        <v>4.0000000000000002E-4</v>
      </c>
      <c r="F20" s="11">
        <v>1.24</v>
      </c>
      <c r="G20" s="3">
        <f t="shared" si="0"/>
        <v>1070000000.0000001</v>
      </c>
      <c r="H20" s="3" t="b">
        <f t="shared" si="1"/>
        <v>0</v>
      </c>
      <c r="I20" s="26">
        <f>Table13[[#This Row],[Tech]]*$T$7+Table13[[#This Row],[Beta]]*($T$6-$T$8)+$T$8</f>
        <v>0.11526400000000001</v>
      </c>
      <c r="J20" s="64">
        <v>23832575.371692002</v>
      </c>
      <c r="K20" s="61">
        <f>Table13[[#This Row],[Investment]]/Table13[[#This Row],[Dollar Volume]]</f>
        <v>2.2273434926814953E-2</v>
      </c>
      <c r="L20" s="34">
        <f>IFERROR(MAX($T$11+$T$12*LN(Table13[[#This Row],[Frac ADV]]),0),0)*0.0001+0.005/Table13[[#This Row],[Stock Price]]+Table13[[#This Row],[Expense Ratio]]</f>
        <v>1.3185684382166446E-2</v>
      </c>
      <c r="M20" s="68">
        <f>(Table13[[#This Row],[Expected Return]]-Table13[[#This Row],[Tcosts]])*Table13[[#This Row],[Investment]]</f>
        <v>2432789.1507773832</v>
      </c>
      <c r="Q20" s="13" t="s">
        <v>163</v>
      </c>
      <c r="S20" t="s">
        <v>164</v>
      </c>
      <c r="T20" s="40">
        <f>T18+T5</f>
        <v>1241798011.0030596</v>
      </c>
    </row>
    <row r="21" spans="1:20" ht="15" customHeight="1" x14ac:dyDescent="0.3">
      <c r="A21" s="2" t="s">
        <v>165</v>
      </c>
      <c r="B21" s="10" t="s">
        <v>166</v>
      </c>
      <c r="C21" s="11">
        <v>42.54</v>
      </c>
      <c r="D21" s="11" t="s">
        <v>167</v>
      </c>
      <c r="E21" s="12">
        <v>3.8999999999999998E-3</v>
      </c>
      <c r="F21" s="11">
        <v>1.22</v>
      </c>
      <c r="G21" s="3">
        <f t="shared" si="0"/>
        <v>456530000</v>
      </c>
      <c r="H21" s="3" t="b">
        <f t="shared" si="1"/>
        <v>0</v>
      </c>
      <c r="I21" s="26">
        <f>Table13[[#This Row],[Tech]]*$T$7+Table13[[#This Row],[Beta]]*($T$6-$T$8)+$T$8</f>
        <v>0.11399200000000001</v>
      </c>
      <c r="J21" s="64">
        <v>23726946.252758998</v>
      </c>
      <c r="K21" s="61">
        <f>Table13[[#This Row],[Investment]]/Table13[[#This Row],[Dollar Volume]]</f>
        <v>5.1972370386960329E-2</v>
      </c>
      <c r="L21" s="34">
        <f>IFERROR(MAX($T$11+$T$12*LN(Table13[[#This Row],[Frac ADV]]),0),0)*0.0001+0.005/Table13[[#This Row],[Stock Price]]+Table13[[#This Row],[Expense Ratio]]</f>
        <v>2.0789675581532434E-2</v>
      </c>
      <c r="M21" s="68">
        <f>(Table13[[#This Row],[Expected Return]]-Table13[[#This Row],[Tcosts]])*Table13[[#This Row],[Investment]]</f>
        <v>2211406.5421091877</v>
      </c>
      <c r="Q21" s="16" t="s">
        <v>168</v>
      </c>
      <c r="S21" t="s">
        <v>169</v>
      </c>
      <c r="T21" s="113">
        <f>T18/T5</f>
        <v>0.24179801100305962</v>
      </c>
    </row>
    <row r="22" spans="1:20" ht="15" customHeight="1" x14ac:dyDescent="0.3">
      <c r="A22" s="2" t="s">
        <v>150</v>
      </c>
      <c r="B22" s="10" t="s">
        <v>151</v>
      </c>
      <c r="C22" s="11">
        <v>448.96</v>
      </c>
      <c r="D22" s="11" t="s">
        <v>152</v>
      </c>
      <c r="E22" s="12">
        <v>1.8E-3</v>
      </c>
      <c r="F22" s="11">
        <v>1.22</v>
      </c>
      <c r="G22" s="3">
        <f t="shared" si="0"/>
        <v>1220000000</v>
      </c>
      <c r="H22" s="3" t="b">
        <f t="shared" si="1"/>
        <v>0</v>
      </c>
      <c r="I22" s="26">
        <f>Table13[[#This Row],[Tech]]*$T$7+Table13[[#This Row],[Beta]]*($T$6-$T$8)+$T$8</f>
        <v>0.11399200000000001</v>
      </c>
      <c r="J22" s="64">
        <v>23620425.782071002</v>
      </c>
      <c r="K22" s="61">
        <f>Table13[[#This Row],[Investment]]/Table13[[#This Row],[Dollar Volume]]</f>
        <v>1.9361004739402461E-2</v>
      </c>
      <c r="L22" s="34">
        <f>IFERROR(MAX($T$11+$T$12*LN(Table13[[#This Row],[Frac ADV]]),0),0)*0.0001+0.005/Table13[[#This Row],[Stock Price]]+Table13[[#This Row],[Expense Ratio]]</f>
        <v>1.3746536711088796E-2</v>
      </c>
      <c r="M22" s="68">
        <f>(Table13[[#This Row],[Expected Return]]-Table13[[#This Row],[Tcosts]])*Table13[[#This Row],[Investment]]</f>
        <v>2367840.5256050504</v>
      </c>
      <c r="Q22" s="13" t="s">
        <v>173</v>
      </c>
    </row>
    <row r="23" spans="1:20" ht="15" customHeight="1" x14ac:dyDescent="0.3">
      <c r="A23" s="2" t="s">
        <v>145</v>
      </c>
      <c r="B23" s="10" t="s">
        <v>146</v>
      </c>
      <c r="C23" s="11">
        <v>262.27</v>
      </c>
      <c r="D23" s="11" t="s">
        <v>147</v>
      </c>
      <c r="E23" s="12">
        <v>2E-3</v>
      </c>
      <c r="F23" s="11">
        <v>1.2</v>
      </c>
      <c r="G23" s="3">
        <f t="shared" si="0"/>
        <v>309820000</v>
      </c>
      <c r="H23" s="3" t="b">
        <f t="shared" si="1"/>
        <v>0</v>
      </c>
      <c r="I23" s="26">
        <f>Table13[[#This Row],[Tech]]*$T$7+Table13[[#This Row],[Beta]]*($T$6-$T$8)+$T$8</f>
        <v>0.11272</v>
      </c>
      <c r="J23" s="64">
        <v>23493581.911967002</v>
      </c>
      <c r="K23" s="61">
        <f>Table13[[#This Row],[Investment]]/Table13[[#This Row],[Dollar Volume]]</f>
        <v>7.5829778296969214E-2</v>
      </c>
      <c r="L23" s="34">
        <f>IFERROR(MAX($T$11+$T$12*LN(Table13[[#This Row],[Frac ADV]]),0),0)*0.0001+0.005/Table13[[#This Row],[Stock Price]]+Table13[[#This Row],[Expense Ratio]]</f>
        <v>2.0641641846908136E-2</v>
      </c>
      <c r="M23" s="68">
        <f>(Table13[[#This Row],[Expected Return]]-Table13[[#This Row],[Tcosts]])*Table13[[#This Row],[Investment]]</f>
        <v>2163250.4495890983</v>
      </c>
      <c r="Q23" s="16" t="s">
        <v>177</v>
      </c>
    </row>
    <row r="24" spans="1:20" ht="15" customHeight="1" x14ac:dyDescent="0.3">
      <c r="A24" s="4" t="s">
        <v>160</v>
      </c>
      <c r="B24" s="14" t="s">
        <v>161</v>
      </c>
      <c r="C24" s="6">
        <v>118.27</v>
      </c>
      <c r="D24" s="6" t="s">
        <v>162</v>
      </c>
      <c r="E24" s="15">
        <v>1.2999999999999999E-3</v>
      </c>
      <c r="F24" s="6">
        <v>1.23</v>
      </c>
      <c r="G24" s="3">
        <f t="shared" si="0"/>
        <v>4470000000</v>
      </c>
      <c r="H24" s="3" t="b">
        <f t="shared" si="1"/>
        <v>0</v>
      </c>
      <c r="I24" s="26">
        <f>Table13[[#This Row],[Tech]]*$T$7+Table13[[#This Row],[Beta]]*($T$6-$T$8)+$T$8</f>
        <v>0.11462800000000001</v>
      </c>
      <c r="J24" s="64">
        <v>23227067.472213</v>
      </c>
      <c r="K24" s="61">
        <f>Table13[[#This Row],[Investment]]/Table13[[#This Row],[Dollar Volume]]</f>
        <v>5.1962119624637581E-3</v>
      </c>
      <c r="L24" s="34">
        <f>IFERROR(MAX($T$11+$T$12*LN(Table13[[#This Row],[Frac ADV]]),0),0)*0.0001+0.005/Table13[[#This Row],[Stock Price]]+Table13[[#This Row],[Expense Ratio]]</f>
        <v>6.8349139271779002E-3</v>
      </c>
      <c r="M24" s="68">
        <f>(Table13[[#This Row],[Expected Return]]-Table13[[#This Row],[Tcosts]])*Table13[[#This Row],[Investment]]</f>
        <v>2503717.2832515026</v>
      </c>
      <c r="Q24" s="13" t="s">
        <v>181</v>
      </c>
    </row>
    <row r="25" spans="1:20" ht="15" customHeight="1" x14ac:dyDescent="0.3">
      <c r="A25" s="4" t="s">
        <v>190</v>
      </c>
      <c r="B25" s="14" t="s">
        <v>191</v>
      </c>
      <c r="C25" s="6">
        <v>119.49</v>
      </c>
      <c r="D25" s="6" t="s">
        <v>192</v>
      </c>
      <c r="E25" s="15">
        <v>1.8E-3</v>
      </c>
      <c r="F25" s="6">
        <v>1.21</v>
      </c>
      <c r="G25" s="3">
        <f t="shared" si="0"/>
        <v>7750000000</v>
      </c>
      <c r="H25" s="3" t="b">
        <f t="shared" si="1"/>
        <v>0</v>
      </c>
      <c r="I25" s="26">
        <f>Table13[[#This Row],[Tech]]*$T$7+Table13[[#This Row],[Beta]]*($T$6-$T$8)+$T$8</f>
        <v>0.113356</v>
      </c>
      <c r="J25" s="64">
        <v>22739535.158826001</v>
      </c>
      <c r="K25" s="61">
        <f>Table13[[#This Row],[Investment]]/Table13[[#This Row],[Dollar Volume]]</f>
        <v>2.9341335688807743E-3</v>
      </c>
      <c r="L25" s="34">
        <f>IFERROR(MAX($T$11+$T$12*LN(Table13[[#This Row],[Frac ADV]]),0),0)*0.0001+0.005/Table13[[#This Row],[Stock Price]]+Table13[[#This Row],[Expense Ratio]]</f>
        <v>4.5350711501971498E-3</v>
      </c>
      <c r="M25" s="68">
        <f>(Table13[[#This Row],[Expected Return]]-Table13[[#This Row],[Tcosts]])*Table13[[#This Row],[Investment]]</f>
        <v>2474537.3375961948</v>
      </c>
      <c r="Q25" s="16" t="s">
        <v>185</v>
      </c>
    </row>
    <row r="26" spans="1:20" ht="15.6" x14ac:dyDescent="0.3">
      <c r="A26" s="2" t="s">
        <v>296</v>
      </c>
      <c r="B26" s="10" t="s">
        <v>297</v>
      </c>
      <c r="C26" s="11">
        <v>331.12</v>
      </c>
      <c r="D26" s="11" t="s">
        <v>298</v>
      </c>
      <c r="E26" s="12">
        <v>2.3999999999999998E-3</v>
      </c>
      <c r="F26" s="11">
        <v>1.07</v>
      </c>
      <c r="G26" s="3">
        <f t="shared" si="0"/>
        <v>722110000</v>
      </c>
      <c r="H26" s="3" t="b">
        <f t="shared" si="1"/>
        <v>0</v>
      </c>
      <c r="I26" s="26">
        <f>Table13[[#This Row],[Tech]]*$T$7+Table13[[#This Row],[Beta]]*($T$6-$T$8)+$T$8</f>
        <v>0.104452</v>
      </c>
      <c r="J26" s="64">
        <v>22386069.506696999</v>
      </c>
      <c r="K26" s="61">
        <f>Table13[[#This Row],[Investment]]/Table13[[#This Row],[Dollar Volume]]</f>
        <v>3.1000913305032473E-2</v>
      </c>
      <c r="L26" s="34">
        <f>IFERROR(MAX($T$11+$T$12*LN(Table13[[#This Row],[Frac ADV]]),0),0)*0.0001+0.005/Table13[[#This Row],[Stock Price]]+Table13[[#This Row],[Expense Ratio]]</f>
        <v>1.6656358266290278E-2</v>
      </c>
      <c r="M26" s="68">
        <f>(Table13[[#This Row],[Expected Return]]-Table13[[#This Row],[Tcosts]])*Table13[[#This Row],[Investment]]</f>
        <v>1965399.3382358938</v>
      </c>
      <c r="Q26" s="13" t="s">
        <v>189</v>
      </c>
    </row>
    <row r="27" spans="1:20" ht="15.6" x14ac:dyDescent="0.3">
      <c r="A27" s="4" t="s">
        <v>135</v>
      </c>
      <c r="B27" s="14" t="s">
        <v>136</v>
      </c>
      <c r="C27" s="6">
        <v>430.93</v>
      </c>
      <c r="D27" s="6" t="s">
        <v>137</v>
      </c>
      <c r="E27" s="15">
        <v>6.9999999999999999E-4</v>
      </c>
      <c r="F27" s="6">
        <v>1.21</v>
      </c>
      <c r="G27" s="3">
        <f t="shared" si="0"/>
        <v>1290000000</v>
      </c>
      <c r="H27" s="3" t="b">
        <f t="shared" si="1"/>
        <v>0</v>
      </c>
      <c r="I27" s="26">
        <f>Table13[[#This Row],[Tech]]*$T$7+Table13[[#This Row],[Beta]]*($T$6-$T$8)+$T$8</f>
        <v>0.113356</v>
      </c>
      <c r="J27" s="64">
        <v>22189609.332823999</v>
      </c>
      <c r="K27" s="61">
        <f>Table13[[#This Row],[Investment]]/Table13[[#This Row],[Dollar Volume]]</f>
        <v>1.7201247544824806E-2</v>
      </c>
      <c r="L27" s="34">
        <f>IFERROR(MAX($T$11+$T$12*LN(Table13[[#This Row],[Frac ADV]]),0),0)*0.0001+0.005/Table13[[#This Row],[Stock Price]]+Table13[[#This Row],[Expense Ratio]]</f>
        <v>1.2067647495017412E-2</v>
      </c>
      <c r="M27" s="68">
        <f>(Table13[[#This Row],[Expected Return]]-Table13[[#This Row],[Tcosts]])*Table13[[#This Row],[Investment]]</f>
        <v>2247548.9720509285</v>
      </c>
      <c r="Q27" s="16" t="s">
        <v>193</v>
      </c>
    </row>
    <row r="28" spans="1:20" ht="15.6" x14ac:dyDescent="0.3">
      <c r="A28" s="4" t="s">
        <v>214</v>
      </c>
      <c r="B28" s="14" t="s">
        <v>215</v>
      </c>
      <c r="C28" s="6">
        <v>132.91</v>
      </c>
      <c r="D28" s="6" t="s">
        <v>216</v>
      </c>
      <c r="E28" s="15">
        <v>2.3E-3</v>
      </c>
      <c r="F28" s="6">
        <v>1.1299999999999999</v>
      </c>
      <c r="G28" s="3">
        <f t="shared" si="0"/>
        <v>2080000000</v>
      </c>
      <c r="H28" s="3" t="b">
        <f t="shared" si="1"/>
        <v>0</v>
      </c>
      <c r="I28" s="26">
        <f>Table13[[#This Row],[Tech]]*$T$7+Table13[[#This Row],[Beta]]*($T$6-$T$8)+$T$8</f>
        <v>0.108268</v>
      </c>
      <c r="J28" s="64">
        <v>22050302.764082</v>
      </c>
      <c r="K28" s="61">
        <f>Table13[[#This Row],[Investment]]/Table13[[#This Row],[Dollar Volume]]</f>
        <v>1.0601107098116345E-2</v>
      </c>
      <c r="L28" s="34">
        <f>IFERROR(MAX($T$11+$T$12*LN(Table13[[#This Row],[Frac ADV]]),0),0)*0.0001+0.005/Table13[[#This Row],[Stock Price]]+Table13[[#This Row],[Expense Ratio]]</f>
        <v>1.1322817638313156E-2</v>
      </c>
      <c r="M28" s="68">
        <f>(Table13[[#This Row],[Expected Return]]-Table13[[#This Row],[Tcosts]])*Table13[[#This Row],[Investment]]</f>
        <v>2137670.622594337</v>
      </c>
      <c r="Q28" s="13" t="s">
        <v>197</v>
      </c>
    </row>
    <row r="29" spans="1:20" ht="15.6" x14ac:dyDescent="0.3">
      <c r="A29" s="2" t="s">
        <v>277</v>
      </c>
      <c r="B29" s="10" t="s">
        <v>278</v>
      </c>
      <c r="C29" s="11">
        <v>82.87</v>
      </c>
      <c r="D29" s="11" t="s">
        <v>279</v>
      </c>
      <c r="E29" s="12">
        <v>2.9999999999999997E-4</v>
      </c>
      <c r="F29" s="11">
        <v>0.99</v>
      </c>
      <c r="G29" s="3">
        <f t="shared" si="0"/>
        <v>12250000000</v>
      </c>
      <c r="H29" s="3" t="b">
        <f t="shared" si="1"/>
        <v>0</v>
      </c>
      <c r="I29" s="26">
        <f>Table13[[#This Row],[Tech]]*$T$7+Table13[[#This Row],[Beta]]*($T$6-$T$8)+$T$8</f>
        <v>9.9364000000000008E-2</v>
      </c>
      <c r="J29" s="64">
        <v>21815467.29637</v>
      </c>
      <c r="K29" s="61">
        <f>Table13[[#This Row],[Investment]]/Table13[[#This Row],[Dollar Volume]]</f>
        <v>1.7808544731730612E-3</v>
      </c>
      <c r="L29" s="34">
        <f>IFERROR(MAX($T$11+$T$12*LN(Table13[[#This Row],[Frac ADV]]),0),0)*0.0001+0.005/Table13[[#This Row],[Stock Price]]+Table13[[#This Row],[Expense Ratio]]</f>
        <v>6.0779541898436245E-4</v>
      </c>
      <c r="M29" s="68">
        <f>(Table13[[#This Row],[Expected Return]]-Table13[[#This Row],[Tcosts]])*Table13[[#This Row],[Investment]]</f>
        <v>2154412.7513507716</v>
      </c>
      <c r="Q29" s="16" t="s">
        <v>201</v>
      </c>
    </row>
    <row r="30" spans="1:20" ht="15.6" x14ac:dyDescent="0.3">
      <c r="A30" s="4" t="s">
        <v>316</v>
      </c>
      <c r="B30" s="14" t="s">
        <v>317</v>
      </c>
      <c r="C30" s="6">
        <v>131.08000000000001</v>
      </c>
      <c r="D30" s="6" t="s">
        <v>318</v>
      </c>
      <c r="E30" s="15">
        <v>8.9999999999999998E-4</v>
      </c>
      <c r="F30" s="6">
        <v>0.98</v>
      </c>
      <c r="G30" s="3">
        <f t="shared" si="0"/>
        <v>3070000000</v>
      </c>
      <c r="H30" s="3" t="b">
        <f t="shared" si="1"/>
        <v>0</v>
      </c>
      <c r="I30" s="26">
        <f>Table13[[#This Row],[Tech]]*$T$7+Table13[[#This Row],[Beta]]*($T$6-$T$8)+$T$8</f>
        <v>9.872800000000001E-2</v>
      </c>
      <c r="J30" s="64">
        <v>21748766.887802001</v>
      </c>
      <c r="K30" s="61">
        <f>Table13[[#This Row],[Investment]]/Table13[[#This Row],[Dollar Volume]]</f>
        <v>7.0842888885348535E-3</v>
      </c>
      <c r="L30" s="34">
        <f>IFERROR(MAX($T$11+$T$12*LN(Table13[[#This Row],[Frac ADV]]),0),0)*0.0001+0.005/Table13[[#This Row],[Stock Price]]+Table13[[#This Row],[Expense Ratio]]</f>
        <v>7.9489793270878812E-3</v>
      </c>
      <c r="M30" s="68">
        <f>(Table13[[#This Row],[Expected Return]]-Table13[[#This Row],[Tcosts]])*Table13[[#This Row],[Investment]]</f>
        <v>1974331.7589181247</v>
      </c>
      <c r="Q30" s="13" t="s">
        <v>205</v>
      </c>
    </row>
    <row r="31" spans="1:20" ht="15.6" x14ac:dyDescent="0.3">
      <c r="A31" s="2" t="s">
        <v>320</v>
      </c>
      <c r="B31" s="10" t="s">
        <v>321</v>
      </c>
      <c r="C31" s="11">
        <v>387.63</v>
      </c>
      <c r="D31" s="11" t="s">
        <v>322</v>
      </c>
      <c r="E31" s="12">
        <v>2E-3</v>
      </c>
      <c r="F31" s="11">
        <v>0.99</v>
      </c>
      <c r="G31" s="3">
        <f t="shared" si="0"/>
        <v>236140000</v>
      </c>
      <c r="H31" s="3" t="b">
        <f t="shared" si="1"/>
        <v>0</v>
      </c>
      <c r="I31" s="26">
        <f>Table13[[#This Row],[Tech]]*$T$7+Table13[[#This Row],[Beta]]*($T$6-$T$8)+$T$8</f>
        <v>9.9364000000000008E-2</v>
      </c>
      <c r="J31" s="64">
        <v>21228523.927586</v>
      </c>
      <c r="K31" s="61">
        <f>Table13[[#This Row],[Investment]]/Table13[[#This Row],[Dollar Volume]]</f>
        <v>8.9898043226840016E-2</v>
      </c>
      <c r="L31" s="34">
        <f>IFERROR(MAX($T$11+$T$12*LN(Table13[[#This Row],[Frac ADV]]),0),0)*0.0001+0.005/Table13[[#This Row],[Stock Price]]+Table13[[#This Row],[Expense Ratio]]</f>
        <v>2.1469078060377372E-2</v>
      </c>
      <c r="M31" s="68">
        <f>(Table13[[#This Row],[Expected Return]]-Table13[[#This Row],[Tcosts]])*Table13[[#This Row],[Investment]]</f>
        <v>1653594.2142327228</v>
      </c>
      <c r="Q31" s="16" t="s">
        <v>209</v>
      </c>
    </row>
    <row r="32" spans="1:20" ht="15.6" x14ac:dyDescent="0.3">
      <c r="A32" s="2" t="s">
        <v>225</v>
      </c>
      <c r="B32" s="10" t="s">
        <v>226</v>
      </c>
      <c r="C32" s="11">
        <v>74.23</v>
      </c>
      <c r="D32" s="11" t="s">
        <v>227</v>
      </c>
      <c r="E32" s="12">
        <v>8.9999999999999998E-4</v>
      </c>
      <c r="F32" s="11">
        <v>1.01</v>
      </c>
      <c r="G32" s="3">
        <f t="shared" si="0"/>
        <v>341000000</v>
      </c>
      <c r="H32" s="3" t="b">
        <f t="shared" si="1"/>
        <v>0</v>
      </c>
      <c r="I32" s="26">
        <f>Table13[[#This Row],[Tech]]*$T$7+Table13[[#This Row],[Beta]]*($T$6-$T$8)+$T$8</f>
        <v>0.100636</v>
      </c>
      <c r="J32" s="64">
        <v>21126830.794041</v>
      </c>
      <c r="K32" s="61">
        <f>Table13[[#This Row],[Investment]]/Table13[[#This Row],[Dollar Volume]]</f>
        <v>6.1955515525046918E-2</v>
      </c>
      <c r="L32" s="34">
        <f>IFERROR(MAX($T$11+$T$12*LN(Table13[[#This Row],[Frac ADV]]),0),0)*0.0001+0.005/Table13[[#This Row],[Stock Price]]+Table13[[#This Row],[Expense Ratio]]</f>
        <v>1.8600133617400441E-2</v>
      </c>
      <c r="M32" s="68">
        <f>(Table13[[#This Row],[Expected Return]]-Table13[[#This Row],[Tcosts]])*Table13[[#This Row],[Investment]]</f>
        <v>1733157.8681077373</v>
      </c>
      <c r="Q32" s="13" t="s">
        <v>213</v>
      </c>
    </row>
    <row r="33" spans="1:17" ht="15.6" x14ac:dyDescent="0.3">
      <c r="A33" s="4" t="s">
        <v>218</v>
      </c>
      <c r="B33" s="14" t="s">
        <v>219</v>
      </c>
      <c r="C33" s="6">
        <v>118.54</v>
      </c>
      <c r="D33" s="6" t="s">
        <v>220</v>
      </c>
      <c r="E33" s="15">
        <v>8.9999999999999998E-4</v>
      </c>
      <c r="F33" s="6">
        <v>1.06</v>
      </c>
      <c r="G33" s="3">
        <f t="shared" si="0"/>
        <v>434610000</v>
      </c>
      <c r="H33" s="3" t="b">
        <f t="shared" si="1"/>
        <v>0</v>
      </c>
      <c r="I33" s="26">
        <f>Table13[[#This Row],[Tech]]*$T$7+Table13[[#This Row],[Beta]]*($T$6-$T$8)+$T$8</f>
        <v>0.10381600000000001</v>
      </c>
      <c r="J33" s="64">
        <v>20993060.366087999</v>
      </c>
      <c r="K33" s="61">
        <f>Table13[[#This Row],[Investment]]/Table13[[#This Row],[Dollar Volume]]</f>
        <v>4.830321521844412E-2</v>
      </c>
      <c r="L33" s="34">
        <f>IFERROR(MAX($T$11+$T$12*LN(Table13[[#This Row],[Frac ADV]]),0),0)*0.0001+0.005/Table13[[#This Row],[Stock Price]]+Table13[[#This Row],[Expense Ratio]]</f>
        <v>1.7355701224804787E-2</v>
      </c>
      <c r="M33" s="68">
        <f>(Table13[[#This Row],[Expected Return]]-Table13[[#This Row],[Tcosts]])*Table13[[#This Row],[Investment]]</f>
        <v>1815066.2714576775</v>
      </c>
      <c r="Q33" s="16" t="s">
        <v>217</v>
      </c>
    </row>
    <row r="34" spans="1:17" ht="15.6" x14ac:dyDescent="0.3">
      <c r="A34" s="4" t="s">
        <v>328</v>
      </c>
      <c r="B34" s="14" t="s">
        <v>329</v>
      </c>
      <c r="C34" s="6">
        <v>147.88999999999999</v>
      </c>
      <c r="D34" s="6" t="s">
        <v>330</v>
      </c>
      <c r="E34" s="15">
        <v>1.5E-3</v>
      </c>
      <c r="F34" s="6">
        <v>1</v>
      </c>
      <c r="G34" s="3">
        <f t="shared" ref="G34:G65" si="2">IF(RIGHT(Q34,1)="B", VALUE(SUBSTITUTE(Q34,"B",""))*1000000000,
 IF(RIGHT(Q34,1)="M", VALUE(SUBSTITUTE(Q34,"M",""))*1000000, VALUE(Q34)))</f>
        <v>1640000000</v>
      </c>
      <c r="H34" s="3" t="b">
        <f t="shared" ref="H34:H65" si="3">OR(
  ISNUMBER(SEARCH("technology",B34)),
  ISNUMBER(SEARCH("tech",B34)),
  ISNUMBER(SEARCH("qqq",B34)),
  ISNUMBER(SEARCH("semiconductor",B34)),
  ISNUMBER(SEARCH("information technology",B34)),
  ISNUMBER(SEARCH("nasdaq",B34)),
  ISNUMBER(SEARCH("communication",B34))
)</f>
        <v>0</v>
      </c>
      <c r="I34" s="26">
        <f>Table13[[#This Row],[Tech]]*$T$7+Table13[[#This Row],[Beta]]*($T$6-$T$8)+$T$8</f>
        <v>0.1</v>
      </c>
      <c r="J34" s="64">
        <v>20291651.973260999</v>
      </c>
      <c r="K34" s="61">
        <f>Table13[[#This Row],[Investment]]/Table13[[#This Row],[Dollar Volume]]</f>
        <v>1.2372958520281098E-2</v>
      </c>
      <c r="L34" s="34">
        <f>IFERROR(MAX($T$11+$T$12*LN(Table13[[#This Row],[Frac ADV]]),0),0)*0.0001+0.005/Table13[[#This Row],[Stock Price]]+Table13[[#This Row],[Expense Ratio]]</f>
        <v>1.1276048724500861E-2</v>
      </c>
      <c r="M34" s="68">
        <f>(Table13[[#This Row],[Expected Return]]-Table13[[#This Row],[Tcosts]])*Table13[[#This Row],[Investment]]</f>
        <v>1800355.5409749949</v>
      </c>
      <c r="Q34" s="13" t="s">
        <v>221</v>
      </c>
    </row>
    <row r="35" spans="1:17" ht="15.6" x14ac:dyDescent="0.3">
      <c r="A35" s="2" t="s">
        <v>241</v>
      </c>
      <c r="B35" s="10" t="s">
        <v>242</v>
      </c>
      <c r="C35" s="11">
        <v>626.49</v>
      </c>
      <c r="D35" s="11" t="s">
        <v>243</v>
      </c>
      <c r="E35" s="12">
        <v>2.9999999999999997E-4</v>
      </c>
      <c r="F35" s="11">
        <v>0.99</v>
      </c>
      <c r="G35" s="3">
        <f t="shared" si="2"/>
        <v>1800000000</v>
      </c>
      <c r="H35" s="3" t="b">
        <f t="shared" si="3"/>
        <v>0</v>
      </c>
      <c r="I35" s="26">
        <f>Table13[[#This Row],[Tech]]*$T$7+Table13[[#This Row],[Beta]]*($T$6-$T$8)+$T$8</f>
        <v>9.9364000000000008E-2</v>
      </c>
      <c r="J35" s="64">
        <v>20023127.278650001</v>
      </c>
      <c r="K35" s="61">
        <f>Table13[[#This Row],[Investment]]/Table13[[#This Row],[Dollar Volume]]</f>
        <v>1.112395959925E-2</v>
      </c>
      <c r="L35" s="34">
        <f>IFERROR(MAX($T$11+$T$12*LN(Table13[[#This Row],[Frac ADV]]),0),0)*0.0001+0.005/Table13[[#This Row],[Stock Price]]+Table13[[#This Row],[Expense Ratio]]</f>
        <v>9.528992823478015E-3</v>
      </c>
      <c r="M35" s="68">
        <f>(Table13[[#This Row],[Expected Return]]-Table13[[#This Row],[Tcosts]])*Table13[[#This Row],[Investment]]</f>
        <v>1798777.7827739359</v>
      </c>
      <c r="Q35" s="16" t="s">
        <v>110</v>
      </c>
    </row>
    <row r="36" spans="1:17" ht="15.6" x14ac:dyDescent="0.3">
      <c r="A36" s="4" t="s">
        <v>356</v>
      </c>
      <c r="B36" s="14" t="s">
        <v>357</v>
      </c>
      <c r="C36" s="6">
        <v>115.66</v>
      </c>
      <c r="D36" s="6" t="s">
        <v>358</v>
      </c>
      <c r="E36" s="15">
        <v>1.5E-3</v>
      </c>
      <c r="F36" s="6">
        <v>0.98</v>
      </c>
      <c r="G36" s="3">
        <f t="shared" si="2"/>
        <v>862900000</v>
      </c>
      <c r="H36" s="3" t="b">
        <f t="shared" si="3"/>
        <v>0</v>
      </c>
      <c r="I36" s="26">
        <f>Table13[[#This Row],[Tech]]*$T$7+Table13[[#This Row],[Beta]]*($T$6-$T$8)+$T$8</f>
        <v>9.872800000000001E-2</v>
      </c>
      <c r="J36" s="64">
        <v>20007683.743528001</v>
      </c>
      <c r="K36" s="61">
        <f>Table13[[#This Row],[Investment]]/Table13[[#This Row],[Dollar Volume]]</f>
        <v>2.3186561297401785E-2</v>
      </c>
      <c r="L36" s="34">
        <f>IFERROR(MAX($T$11+$T$12*LN(Table13[[#This Row],[Frac ADV]]),0),0)*0.0001+0.005/Table13[[#This Row],[Stock Price]]+Table13[[#This Row],[Expense Ratio]]</f>
        <v>1.436183466865934E-2</v>
      </c>
      <c r="M36" s="68">
        <f>(Table13[[#This Row],[Expected Return]]-Table13[[#This Row],[Tcosts]])*Table13[[#This Row],[Investment]]</f>
        <v>1687971.5546036602</v>
      </c>
      <c r="Q36" s="13" t="s">
        <v>228</v>
      </c>
    </row>
    <row r="37" spans="1:17" ht="15.6" x14ac:dyDescent="0.3">
      <c r="A37" s="2" t="s">
        <v>210</v>
      </c>
      <c r="B37" s="10" t="s">
        <v>211</v>
      </c>
      <c r="C37" s="11">
        <v>310.33</v>
      </c>
      <c r="D37" s="11" t="s">
        <v>212</v>
      </c>
      <c r="E37" s="12">
        <v>5.0000000000000001E-4</v>
      </c>
      <c r="F37" s="11">
        <v>1.06</v>
      </c>
      <c r="G37" s="3">
        <f t="shared" si="2"/>
        <v>480430000</v>
      </c>
      <c r="H37" s="3" t="b">
        <f t="shared" si="3"/>
        <v>0</v>
      </c>
      <c r="I37" s="26">
        <f>Table13[[#This Row],[Tech]]*$T$7+Table13[[#This Row],[Beta]]*($T$6-$T$8)+$T$8</f>
        <v>0.10381600000000001</v>
      </c>
      <c r="J37" s="64">
        <v>19930939.848983001</v>
      </c>
      <c r="K37" s="61">
        <f>Table13[[#This Row],[Investment]]/Table13[[#This Row],[Dollar Volume]]</f>
        <v>4.1485627144397727E-2</v>
      </c>
      <c r="L37" s="34">
        <f>IFERROR(MAX($T$11+$T$12*LN(Table13[[#This Row],[Frac ADV]]),0),0)*0.0001+0.005/Table13[[#This Row],[Stock Price]]+Table13[[#This Row],[Expense Ratio]]</f>
        <v>1.6184365917866234E-2</v>
      </c>
      <c r="M37" s="68">
        <f>(Table13[[#This Row],[Expected Return]]-Table13[[#This Row],[Tcosts]])*Table13[[#This Row],[Investment]]</f>
        <v>1746580.8277590969</v>
      </c>
      <c r="Q37" s="16" t="s">
        <v>232</v>
      </c>
    </row>
    <row r="38" spans="1:17" ht="15.6" x14ac:dyDescent="0.3">
      <c r="A38" s="4" t="s">
        <v>182</v>
      </c>
      <c r="B38" s="14" t="s">
        <v>183</v>
      </c>
      <c r="C38" s="6">
        <v>335.05</v>
      </c>
      <c r="D38" s="6" t="s">
        <v>184</v>
      </c>
      <c r="E38" s="15">
        <v>2E-3</v>
      </c>
      <c r="F38" s="6">
        <v>1.08</v>
      </c>
      <c r="G38" s="3">
        <f t="shared" si="2"/>
        <v>701150000</v>
      </c>
      <c r="H38" s="3" t="b">
        <f t="shared" si="3"/>
        <v>0</v>
      </c>
      <c r="I38" s="26">
        <f>Table13[[#This Row],[Tech]]*$T$7+Table13[[#This Row],[Beta]]*($T$6-$T$8)+$T$8</f>
        <v>0.10508800000000001</v>
      </c>
      <c r="J38" s="64">
        <v>19916133.838429</v>
      </c>
      <c r="K38" s="61">
        <f>Table13[[#This Row],[Investment]]/Table13[[#This Row],[Dollar Volume]]</f>
        <v>2.8404954486813093E-2</v>
      </c>
      <c r="L38" s="34">
        <f>IFERROR(MAX($T$11+$T$12*LN(Table13[[#This Row],[Frac ADV]]),0),0)*0.0001+0.005/Table13[[#This Row],[Stock Price]]+Table13[[#This Row],[Expense Ratio]]</f>
        <v>1.5827817972241094E-2</v>
      </c>
      <c r="M38" s="68">
        <f>(Table13[[#This Row],[Expected Return]]-Table13[[#This Row],[Tcosts]])*Table13[[#This Row],[Investment]]</f>
        <v>1777717.7317073818</v>
      </c>
      <c r="Q38" s="13" t="s">
        <v>236</v>
      </c>
    </row>
    <row r="39" spans="1:17" ht="15.6" x14ac:dyDescent="0.3">
      <c r="A39" s="2" t="s">
        <v>237</v>
      </c>
      <c r="B39" s="10" t="s">
        <v>238</v>
      </c>
      <c r="C39" s="11">
        <v>57.24</v>
      </c>
      <c r="D39" s="11" t="s">
        <v>239</v>
      </c>
      <c r="E39" s="12">
        <v>2E-3</v>
      </c>
      <c r="F39" s="11">
        <v>1.1100000000000001</v>
      </c>
      <c r="G39" s="3">
        <f t="shared" si="2"/>
        <v>892490000</v>
      </c>
      <c r="H39" s="3" t="b">
        <f t="shared" si="3"/>
        <v>0</v>
      </c>
      <c r="I39" s="26">
        <f>Table13[[#This Row],[Tech]]*$T$7+Table13[[#This Row],[Beta]]*($T$6-$T$8)+$T$8</f>
        <v>0.10699600000000001</v>
      </c>
      <c r="J39" s="64">
        <v>19904946.015358001</v>
      </c>
      <c r="K39" s="61">
        <f>Table13[[#This Row],[Investment]]/Table13[[#This Row],[Dollar Volume]]</f>
        <v>2.230271041172226E-2</v>
      </c>
      <c r="L39" s="34">
        <f>IFERROR(MAX($T$11+$T$12*LN(Table13[[#This Row],[Frac ADV]]),0),0)*0.0001+0.005/Table13[[#This Row],[Stock Price]]+Table13[[#This Row],[Expense Ratio]]</f>
        <v>1.4715589006022347E-2</v>
      </c>
      <c r="M39" s="68">
        <f>(Table13[[#This Row],[Expected Return]]-Table13[[#This Row],[Tcosts]])*Table13[[#This Row],[Investment]]</f>
        <v>1836836.5991101742</v>
      </c>
      <c r="Q39" s="16" t="s">
        <v>240</v>
      </c>
    </row>
    <row r="40" spans="1:17" ht="15.6" x14ac:dyDescent="0.3">
      <c r="A40" s="4" t="s">
        <v>336</v>
      </c>
      <c r="B40" s="14" t="s">
        <v>337</v>
      </c>
      <c r="C40" s="6">
        <v>148.97999999999999</v>
      </c>
      <c r="D40" s="6" t="s">
        <v>338</v>
      </c>
      <c r="E40" s="15">
        <v>2.9999999999999997E-4</v>
      </c>
      <c r="F40" s="6">
        <v>1</v>
      </c>
      <c r="G40" s="3">
        <f t="shared" si="2"/>
        <v>866990000</v>
      </c>
      <c r="H40" s="3" t="b">
        <f t="shared" si="3"/>
        <v>0</v>
      </c>
      <c r="I40" s="26">
        <f>Table13[[#This Row],[Tech]]*$T$7+Table13[[#This Row],[Beta]]*($T$6-$T$8)+$T$8</f>
        <v>0.1</v>
      </c>
      <c r="J40" s="64">
        <v>19855940.403363999</v>
      </c>
      <c r="K40" s="61">
        <f>Table13[[#This Row],[Investment]]/Table13[[#This Row],[Dollar Volume]]</f>
        <v>2.290215619945328E-2</v>
      </c>
      <c r="L40" s="34">
        <f>IFERROR(MAX($T$11+$T$12*LN(Table13[[#This Row],[Frac ADV]]),0),0)*0.0001+0.005/Table13[[#This Row],[Stock Price]]+Table13[[#This Row],[Expense Ratio]]</f>
        <v>1.3091713423195471E-2</v>
      </c>
      <c r="M40" s="68">
        <f>(Table13[[#This Row],[Expected Return]]-Table13[[#This Row],[Tcosts]])*Table13[[#This Row],[Investment]]</f>
        <v>1725645.7588275103</v>
      </c>
      <c r="Q40" s="13" t="s">
        <v>244</v>
      </c>
    </row>
    <row r="41" spans="1:17" ht="15.6" x14ac:dyDescent="0.3">
      <c r="A41" s="2" t="s">
        <v>269</v>
      </c>
      <c r="B41" s="10" t="s">
        <v>270</v>
      </c>
      <c r="C41" s="11">
        <v>60.57</v>
      </c>
      <c r="D41" s="11" t="s">
        <v>271</v>
      </c>
      <c r="E41" s="12">
        <v>2.5999999999999999E-3</v>
      </c>
      <c r="F41" s="11">
        <v>1.03</v>
      </c>
      <c r="G41" s="3">
        <f t="shared" si="2"/>
        <v>379340000</v>
      </c>
      <c r="H41" s="3" t="b">
        <f t="shared" si="3"/>
        <v>0</v>
      </c>
      <c r="I41" s="26">
        <f>Table13[[#This Row],[Tech]]*$T$7+Table13[[#This Row],[Beta]]*($T$6-$T$8)+$T$8</f>
        <v>0.10190800000000001</v>
      </c>
      <c r="J41" s="64">
        <v>19845958.294404</v>
      </c>
      <c r="K41" s="61">
        <f>Table13[[#This Row],[Investment]]/Table13[[#This Row],[Dollar Volume]]</f>
        <v>5.2317072532303471E-2</v>
      </c>
      <c r="L41" s="34">
        <f>IFERROR(MAX($T$11+$T$12*LN(Table13[[#This Row],[Frac ADV]]),0),0)*0.0001+0.005/Table13[[#This Row],[Stock Price]]+Table13[[#This Row],[Expense Ratio]]</f>
        <v>1.9487067917589716E-2</v>
      </c>
      <c r="M41" s="68">
        <f>(Table13[[#This Row],[Expected Return]]-Table13[[#This Row],[Tcosts]])*Table13[[#This Row],[Investment]]</f>
        <v>1635722.3806934196</v>
      </c>
      <c r="Q41" s="16" t="s">
        <v>248</v>
      </c>
    </row>
    <row r="42" spans="1:17" ht="15.6" x14ac:dyDescent="0.3">
      <c r="A42" s="2" t="s">
        <v>312</v>
      </c>
      <c r="B42" s="10" t="s">
        <v>313</v>
      </c>
      <c r="C42" s="11">
        <v>113.39</v>
      </c>
      <c r="D42" s="11" t="s">
        <v>314</v>
      </c>
      <c r="E42" s="12">
        <v>2.5000000000000001E-3</v>
      </c>
      <c r="F42" s="11">
        <v>0.95</v>
      </c>
      <c r="G42" s="3">
        <f t="shared" si="2"/>
        <v>381360000</v>
      </c>
      <c r="H42" s="3" t="b">
        <f t="shared" si="3"/>
        <v>0</v>
      </c>
      <c r="I42" s="26">
        <f>Table13[[#This Row],[Tech]]*$T$7+Table13[[#This Row],[Beta]]*($T$6-$T$8)+$T$8</f>
        <v>9.6820000000000003E-2</v>
      </c>
      <c r="J42" s="64">
        <v>19569240.907090001</v>
      </c>
      <c r="K42" s="61">
        <f>Table13[[#This Row],[Investment]]/Table13[[#This Row],[Dollar Volume]]</f>
        <v>5.1314351025513953E-2</v>
      </c>
      <c r="L42" s="34">
        <f>IFERROR(MAX($T$11+$T$12*LN(Table13[[#This Row],[Frac ADV]]),0),0)*0.0001+0.005/Table13[[#This Row],[Stock Price]]+Table13[[#This Row],[Expense Ratio]]</f>
        <v>1.9253822893734812E-2</v>
      </c>
      <c r="M42" s="68">
        <f>(Table13[[#This Row],[Expected Return]]-Table13[[#This Row],[Tcosts]])*Table13[[#This Row],[Investment]]</f>
        <v>1517911.2060345127</v>
      </c>
      <c r="Q42" s="13" t="s">
        <v>252</v>
      </c>
    </row>
    <row r="43" spans="1:17" ht="15.6" x14ac:dyDescent="0.3">
      <c r="A43" s="2" t="s">
        <v>245</v>
      </c>
      <c r="B43" s="10" t="s">
        <v>246</v>
      </c>
      <c r="C43" s="11">
        <v>681.27</v>
      </c>
      <c r="D43" s="11" t="s">
        <v>247</v>
      </c>
      <c r="E43" s="12">
        <v>8.9999999999999998E-4</v>
      </c>
      <c r="F43" s="11">
        <v>1</v>
      </c>
      <c r="G43" s="3">
        <f t="shared" si="2"/>
        <v>159840000</v>
      </c>
      <c r="H43" s="3" t="b">
        <f t="shared" si="3"/>
        <v>0</v>
      </c>
      <c r="I43" s="26">
        <f>Table13[[#This Row],[Tech]]*$T$7+Table13[[#This Row],[Beta]]*($T$6-$T$8)+$T$8</f>
        <v>0.1</v>
      </c>
      <c r="J43" s="64">
        <v>19319387.734042</v>
      </c>
      <c r="K43" s="61">
        <f>Table13[[#This Row],[Investment]]/Table13[[#This Row],[Dollar Volume]]</f>
        <v>0.12086704037814064</v>
      </c>
      <c r="L43" s="34">
        <f>IFERROR(MAX($T$11+$T$12*LN(Table13[[#This Row],[Frac ADV]]),0),0)*0.0001+0.005/Table13[[#This Row],[Stock Price]]+Table13[[#This Row],[Expense Ratio]]</f>
        <v>2.1813460363443823E-2</v>
      </c>
      <c r="M43" s="68">
        <f>(Table13[[#This Row],[Expected Return]]-Table13[[#This Row],[Tcosts]])*Table13[[#This Row],[Investment]]</f>
        <v>1510516.0748216722</v>
      </c>
      <c r="Q43" s="16" t="s">
        <v>256</v>
      </c>
    </row>
    <row r="44" spans="1:17" ht="15.6" x14ac:dyDescent="0.3">
      <c r="A44" s="4" t="s">
        <v>202</v>
      </c>
      <c r="B44" s="14" t="s">
        <v>203</v>
      </c>
      <c r="C44" s="6">
        <v>213.85</v>
      </c>
      <c r="D44" s="6" t="s">
        <v>204</v>
      </c>
      <c r="E44" s="15">
        <v>5.0000000000000001E-4</v>
      </c>
      <c r="F44" s="6">
        <v>1.07</v>
      </c>
      <c r="G44" s="3">
        <f t="shared" si="2"/>
        <v>4880000000</v>
      </c>
      <c r="H44" s="3" t="b">
        <f t="shared" si="3"/>
        <v>0</v>
      </c>
      <c r="I44" s="26">
        <f>Table13[[#This Row],[Tech]]*$T$7+Table13[[#This Row],[Beta]]*($T$6-$T$8)+$T$8</f>
        <v>0.104452</v>
      </c>
      <c r="J44" s="64">
        <v>19295799.120134</v>
      </c>
      <c r="K44" s="61">
        <f>Table13[[#This Row],[Investment]]/Table13[[#This Row],[Dollar Volume]]</f>
        <v>3.9540571967487705E-3</v>
      </c>
      <c r="L44" s="34">
        <f>IFERROR(MAX($T$11+$T$12*LN(Table13[[#This Row],[Frac ADV]]),0),0)*0.0001+0.005/Table13[[#This Row],[Stock Price]]+Table13[[#This Row],[Expense Ratio]]</f>
        <v>4.6778891287925523E-3</v>
      </c>
      <c r="M44" s="68">
        <f>(Table13[[#This Row],[Expected Return]]-Table13[[#This Row],[Tcosts]])*Table13[[#This Row],[Investment]]</f>
        <v>1925221.2007607969</v>
      </c>
      <c r="Q44" s="13" t="s">
        <v>260</v>
      </c>
    </row>
    <row r="45" spans="1:17" ht="15.6" x14ac:dyDescent="0.3">
      <c r="A45" s="2" t="s">
        <v>384</v>
      </c>
      <c r="B45" s="10" t="s">
        <v>385</v>
      </c>
      <c r="C45" s="11">
        <v>40.65</v>
      </c>
      <c r="D45" s="11" t="s">
        <v>386</v>
      </c>
      <c r="E45" s="12">
        <v>1.6999999999999999E-3</v>
      </c>
      <c r="F45" s="11">
        <v>0.95</v>
      </c>
      <c r="G45" s="3">
        <f t="shared" si="2"/>
        <v>2300000000</v>
      </c>
      <c r="H45" s="3" t="b">
        <f t="shared" si="3"/>
        <v>0</v>
      </c>
      <c r="I45" s="26">
        <f>Table13[[#This Row],[Tech]]*$T$7+Table13[[#This Row],[Beta]]*($T$6-$T$8)+$T$8</f>
        <v>9.6820000000000003E-2</v>
      </c>
      <c r="J45" s="64">
        <v>19286280.647597</v>
      </c>
      <c r="K45" s="61">
        <f>Table13[[#This Row],[Investment]]/Table13[[#This Row],[Dollar Volume]]</f>
        <v>8.3853394119986959E-3</v>
      </c>
      <c r="L45" s="34">
        <f>IFERROR(MAX($T$11+$T$12*LN(Table13[[#This Row],[Frac ADV]]),0),0)*0.0001+0.005/Table13[[#This Row],[Stock Price]]+Table13[[#This Row],[Expense Ratio]]</f>
        <v>9.659699695157278E-3</v>
      </c>
      <c r="M45" s="68">
        <f>(Table13[[#This Row],[Expected Return]]-Table13[[#This Row],[Tcosts]])*Table13[[#This Row],[Investment]]</f>
        <v>1680998.0130080313</v>
      </c>
      <c r="Q45" s="16" t="s">
        <v>264</v>
      </c>
    </row>
    <row r="46" spans="1:17" ht="15.6" x14ac:dyDescent="0.3">
      <c r="A46" s="4" t="s">
        <v>300</v>
      </c>
      <c r="B46" s="14" t="s">
        <v>301</v>
      </c>
      <c r="C46" s="6">
        <v>126.87</v>
      </c>
      <c r="D46" s="6" t="s">
        <v>302</v>
      </c>
      <c r="E46" s="15">
        <v>8.9999999999999998E-4</v>
      </c>
      <c r="F46" s="6">
        <v>0.97</v>
      </c>
      <c r="G46" s="3">
        <f t="shared" si="2"/>
        <v>618730000</v>
      </c>
      <c r="H46" s="3" t="b">
        <f t="shared" si="3"/>
        <v>0</v>
      </c>
      <c r="I46" s="26">
        <f>Table13[[#This Row],[Tech]]*$T$7+Table13[[#This Row],[Beta]]*($T$6-$T$8)+$T$8</f>
        <v>9.8092000000000013E-2</v>
      </c>
      <c r="J46" s="64">
        <v>19179788.964171998</v>
      </c>
      <c r="K46" s="61">
        <f>Table13[[#This Row],[Investment]]/Table13[[#This Row],[Dollar Volume]]</f>
        <v>3.0998640706240199E-2</v>
      </c>
      <c r="L46" s="34">
        <f>IFERROR(MAX($T$11+$T$12*LN(Table13[[#This Row],[Frac ADV]]),0),0)*0.0001+0.005/Table13[[#This Row],[Stock Price]]+Table13[[#This Row],[Expense Ratio]]</f>
        <v>1.5180309332376565E-2</v>
      </c>
      <c r="M46" s="68">
        <f>(Table13[[#This Row],[Expected Return]]-Table13[[#This Row],[Tcosts]])*Table13[[#This Row],[Investment]]</f>
        <v>1590228.7296677267</v>
      </c>
      <c r="Q46" s="13" t="s">
        <v>268</v>
      </c>
    </row>
    <row r="47" spans="1:17" ht="15.6" x14ac:dyDescent="0.3">
      <c r="A47" s="2" t="s">
        <v>261</v>
      </c>
      <c r="B47" s="10" t="s">
        <v>262</v>
      </c>
      <c r="C47" s="11">
        <v>145.65</v>
      </c>
      <c r="D47" s="11" t="s">
        <v>263</v>
      </c>
      <c r="E47" s="12">
        <v>3.2000000000000002E-3</v>
      </c>
      <c r="F47" s="11">
        <v>0.89</v>
      </c>
      <c r="G47" s="3">
        <f t="shared" si="2"/>
        <v>192260000</v>
      </c>
      <c r="H47" s="3" t="b">
        <f t="shared" si="3"/>
        <v>0</v>
      </c>
      <c r="I47" s="26">
        <f>Table13[[#This Row],[Tech]]*$T$7+Table13[[#This Row],[Beta]]*($T$6-$T$8)+$T$8</f>
        <v>9.3004000000000003E-2</v>
      </c>
      <c r="J47" s="64">
        <v>19149087.719505001</v>
      </c>
      <c r="K47" s="61">
        <f>Table13[[#This Row],[Investment]]/Table13[[#This Row],[Dollar Volume]]</f>
        <v>9.9599956930744832E-2</v>
      </c>
      <c r="L47" s="34">
        <f>IFERROR(MAX($T$11+$T$12*LN(Table13[[#This Row],[Frac ADV]]),0),0)*0.0001+0.005/Table13[[#This Row],[Stock Price]]+Table13[[#This Row],[Expense Ratio]]</f>
        <v>2.3192503360883219E-2</v>
      </c>
      <c r="M47" s="68">
        <f>(Table13[[#This Row],[Expected Return]]-Table13[[#This Row],[Tcosts]])*Table13[[#This Row],[Investment]]</f>
        <v>1336826.472972376</v>
      </c>
      <c r="Q47" s="16" t="s">
        <v>272</v>
      </c>
    </row>
    <row r="48" spans="1:17" ht="15.6" x14ac:dyDescent="0.3">
      <c r="A48" s="2" t="s">
        <v>519</v>
      </c>
      <c r="B48" s="10" t="s">
        <v>520</v>
      </c>
      <c r="C48" s="11">
        <v>76.209999999999994</v>
      </c>
      <c r="D48" s="11" t="s">
        <v>521</v>
      </c>
      <c r="E48" s="12">
        <v>1.9E-3</v>
      </c>
      <c r="F48" s="11">
        <v>0.83</v>
      </c>
      <c r="G48" s="3">
        <f t="shared" si="2"/>
        <v>516090000.00000006</v>
      </c>
      <c r="H48" s="3" t="b">
        <f t="shared" si="3"/>
        <v>0</v>
      </c>
      <c r="I48" s="26">
        <f>Table13[[#This Row],[Tech]]*$T$7+Table13[[#This Row],[Beta]]*($T$6-$T$8)+$T$8</f>
        <v>8.9188000000000003E-2</v>
      </c>
      <c r="J48" s="64">
        <v>19124227.961323999</v>
      </c>
      <c r="K48" s="61">
        <f>Table13[[#This Row],[Investment]]/Table13[[#This Row],[Dollar Volume]]</f>
        <v>3.7055994034614112E-2</v>
      </c>
      <c r="L48" s="34">
        <f>IFERROR(MAX($T$11+$T$12*LN(Table13[[#This Row],[Frac ADV]]),0),0)*0.0001+0.005/Table13[[#This Row],[Stock Price]]+Table13[[#This Row],[Expense Ratio]]</f>
        <v>1.7080771973295807E-2</v>
      </c>
      <c r="M48" s="68">
        <f>(Table13[[#This Row],[Expected Return]]-Table13[[#This Row],[Tcosts]])*Table13[[#This Row],[Investment]]</f>
        <v>1378995.0664418617</v>
      </c>
      <c r="Q48" s="13" t="s">
        <v>276</v>
      </c>
    </row>
    <row r="49" spans="1:17" ht="15.6" x14ac:dyDescent="0.3">
      <c r="A49" s="4" t="s">
        <v>229</v>
      </c>
      <c r="B49" s="14" t="s">
        <v>230</v>
      </c>
      <c r="C49" s="6">
        <v>684.33</v>
      </c>
      <c r="D49" s="6" t="s">
        <v>231</v>
      </c>
      <c r="E49" s="15">
        <v>2.9999999999999997E-4</v>
      </c>
      <c r="F49" s="6">
        <v>1</v>
      </c>
      <c r="G49" s="3">
        <f t="shared" si="2"/>
        <v>267779999.99999997</v>
      </c>
      <c r="H49" s="3" t="b">
        <f t="shared" si="3"/>
        <v>0</v>
      </c>
      <c r="I49" s="26">
        <f>Table13[[#This Row],[Tech]]*$T$7+Table13[[#This Row],[Beta]]*($T$6-$T$8)+$T$8</f>
        <v>0.1</v>
      </c>
      <c r="J49" s="64">
        <v>18980591.921415001</v>
      </c>
      <c r="K49" s="61">
        <f>Table13[[#This Row],[Investment]]/Table13[[#This Row],[Dollar Volume]]</f>
        <v>7.0881290318227666E-2</v>
      </c>
      <c r="L49" s="34">
        <f>IFERROR(MAX($T$11+$T$12*LN(Table13[[#This Row],[Frac ADV]]),0),0)*0.0001+0.005/Table13[[#This Row],[Stock Price]]+Table13[[#This Row],[Expense Ratio]]</f>
        <v>1.8599330698069926E-2</v>
      </c>
      <c r="M49" s="68">
        <f>(Table13[[#This Row],[Expected Return]]-Table13[[#This Row],[Tcosts]])*Table13[[#This Row],[Investment]]</f>
        <v>1545032.886149988</v>
      </c>
      <c r="Q49" s="16" t="s">
        <v>280</v>
      </c>
    </row>
    <row r="50" spans="1:17" ht="15.6" x14ac:dyDescent="0.3">
      <c r="A50" s="2" t="s">
        <v>253</v>
      </c>
      <c r="B50" s="10" t="s">
        <v>254</v>
      </c>
      <c r="C50" s="11">
        <v>26.85</v>
      </c>
      <c r="D50" s="11" t="s">
        <v>255</v>
      </c>
      <c r="E50" s="12">
        <v>2.9999999999999997E-4</v>
      </c>
      <c r="F50" s="11">
        <v>1.01</v>
      </c>
      <c r="G50" s="3">
        <f t="shared" si="2"/>
        <v>209970000</v>
      </c>
      <c r="H50" s="3" t="b">
        <f t="shared" si="3"/>
        <v>0</v>
      </c>
      <c r="I50" s="26">
        <f>Table13[[#This Row],[Tech]]*$T$7+Table13[[#This Row],[Beta]]*($T$6-$T$8)+$T$8</f>
        <v>0.100636</v>
      </c>
      <c r="J50" s="64">
        <v>18947336.007130999</v>
      </c>
      <c r="K50" s="61">
        <f>Table13[[#This Row],[Investment]]/Table13[[#This Row],[Dollar Volume]]</f>
        <v>9.0238300743587171E-2</v>
      </c>
      <c r="L50" s="34">
        <f>IFERROR(MAX($T$11+$T$12*LN(Table13[[#This Row],[Frac ADV]]),0),0)*0.0001+0.005/Table13[[#This Row],[Stock Price]]+Table13[[#This Row],[Expense Ratio]]</f>
        <v>1.9960903254282462E-2</v>
      </c>
      <c r="M50" s="68">
        <f>(Table13[[#This Row],[Expected Return]]-Table13[[#This Row],[Tcosts]])*Table13[[#This Row],[Investment]]</f>
        <v>1528578.165448911</v>
      </c>
      <c r="Q50" s="13" t="s">
        <v>284</v>
      </c>
    </row>
    <row r="51" spans="1:17" ht="15.6" x14ac:dyDescent="0.3">
      <c r="A51" s="4" t="s">
        <v>492</v>
      </c>
      <c r="B51" s="14" t="s">
        <v>493</v>
      </c>
      <c r="C51" s="6">
        <v>197.17</v>
      </c>
      <c r="D51" s="6" t="s">
        <v>494</v>
      </c>
      <c r="E51" s="15">
        <v>2.3999999999999998E-3</v>
      </c>
      <c r="F51" s="6">
        <v>0.88</v>
      </c>
      <c r="G51" s="3">
        <f t="shared" si="2"/>
        <v>712950000</v>
      </c>
      <c r="H51" s="3" t="b">
        <f t="shared" si="3"/>
        <v>0</v>
      </c>
      <c r="I51" s="26">
        <f>Table13[[#This Row],[Tech]]*$T$7+Table13[[#This Row],[Beta]]*($T$6-$T$8)+$T$8</f>
        <v>9.2368000000000006E-2</v>
      </c>
      <c r="J51" s="64">
        <v>18933347.762701001</v>
      </c>
      <c r="K51" s="61">
        <f>Table13[[#This Row],[Investment]]/Table13[[#This Row],[Dollar Volume]]</f>
        <v>2.6556347237114804E-2</v>
      </c>
      <c r="L51" s="34">
        <f>IFERROR(MAX($T$11+$T$12*LN(Table13[[#This Row],[Frac ADV]]),0),0)*0.0001+0.005/Table13[[#This Row],[Stock Price]]+Table13[[#This Row],[Expense Ratio]]</f>
        <v>1.5908629901612788E-2</v>
      </c>
      <c r="M51" s="68">
        <f>(Table13[[#This Row],[Expected Return]]-Table13[[#This Row],[Tcosts]])*Table13[[#This Row],[Investment]]</f>
        <v>1447631.8437898273</v>
      </c>
      <c r="Q51" s="16" t="s">
        <v>288</v>
      </c>
    </row>
    <row r="52" spans="1:17" ht="15.6" x14ac:dyDescent="0.3">
      <c r="A52" s="4" t="s">
        <v>376</v>
      </c>
      <c r="B52" s="14" t="s">
        <v>377</v>
      </c>
      <c r="C52" s="6">
        <v>336.01</v>
      </c>
      <c r="D52" s="6" t="s">
        <v>378</v>
      </c>
      <c r="E52" s="15">
        <v>2.9999999999999997E-4</v>
      </c>
      <c r="F52" s="6">
        <v>1</v>
      </c>
      <c r="G52" s="3">
        <f t="shared" si="2"/>
        <v>1270000000</v>
      </c>
      <c r="H52" s="3" t="b">
        <f t="shared" si="3"/>
        <v>0</v>
      </c>
      <c r="I52" s="26">
        <f>Table13[[#This Row],[Tech]]*$T$7+Table13[[#This Row],[Beta]]*($T$6-$T$8)+$T$8</f>
        <v>0.1</v>
      </c>
      <c r="J52" s="64">
        <v>18929270.26007</v>
      </c>
      <c r="K52" s="61">
        <f>Table13[[#This Row],[Investment]]/Table13[[#This Row],[Dollar Volume]]</f>
        <v>1.4904937212653542E-2</v>
      </c>
      <c r="L52" s="34">
        <f>IFERROR(MAX($T$11+$T$12*LN(Table13[[#This Row],[Frac ADV]]),0),0)*0.0001+0.005/Table13[[#This Row],[Stock Price]]+Table13[[#This Row],[Expense Ratio]]</f>
        <v>1.0969064260539724E-2</v>
      </c>
      <c r="M52" s="68">
        <f>(Table13[[#This Row],[Expected Return]]-Table13[[#This Row],[Tcosts]])*Table13[[#This Row],[Investment]]</f>
        <v>1685290.6441191686</v>
      </c>
      <c r="Q52" s="13" t="s">
        <v>292</v>
      </c>
    </row>
    <row r="53" spans="1:17" ht="15.6" x14ac:dyDescent="0.3">
      <c r="A53" s="4" t="s">
        <v>257</v>
      </c>
      <c r="B53" s="14" t="s">
        <v>258</v>
      </c>
      <c r="C53" s="6">
        <v>232.53</v>
      </c>
      <c r="D53" s="6" t="s">
        <v>259</v>
      </c>
      <c r="E53" s="15">
        <v>3.8E-3</v>
      </c>
      <c r="F53" s="6">
        <v>1.05</v>
      </c>
      <c r="G53" s="3">
        <f t="shared" si="2"/>
        <v>4470000000</v>
      </c>
      <c r="H53" s="3" t="b">
        <f t="shared" si="3"/>
        <v>0</v>
      </c>
      <c r="I53" s="26">
        <f>Table13[[#This Row],[Tech]]*$T$7+Table13[[#This Row],[Beta]]*($T$6-$T$8)+$T$8</f>
        <v>0.10318000000000001</v>
      </c>
      <c r="J53" s="64">
        <v>18902598.452810999</v>
      </c>
      <c r="K53" s="61">
        <f>Table13[[#This Row],[Investment]]/Table13[[#This Row],[Dollar Volume]]</f>
        <v>4.2287692288167783E-3</v>
      </c>
      <c r="L53" s="34">
        <f>IFERROR(MAX($T$11+$T$12*LN(Table13[[#This Row],[Frac ADV]]),0),0)*0.0001+0.005/Table13[[#This Row],[Stock Price]]+Table13[[#This Row],[Expense Ratio]]</f>
        <v>8.3050174383910193E-3</v>
      </c>
      <c r="M53" s="68">
        <f>(Table13[[#This Row],[Expected Return]]-Table13[[#This Row],[Tcosts]])*Table13[[#This Row],[Investment]]</f>
        <v>1793383.6985795407</v>
      </c>
      <c r="Q53" s="16" t="s">
        <v>181</v>
      </c>
    </row>
    <row r="54" spans="1:17" ht="15.6" x14ac:dyDescent="0.3">
      <c r="A54" s="2" t="s">
        <v>249</v>
      </c>
      <c r="B54" s="10" t="s">
        <v>250</v>
      </c>
      <c r="C54" s="11">
        <v>313</v>
      </c>
      <c r="D54" s="11" t="s">
        <v>251</v>
      </c>
      <c r="E54" s="12">
        <v>2.9999999999999997E-4</v>
      </c>
      <c r="F54" s="11">
        <v>1.01</v>
      </c>
      <c r="G54" s="3">
        <f t="shared" si="2"/>
        <v>4640000000</v>
      </c>
      <c r="H54" s="3" t="b">
        <f t="shared" si="3"/>
        <v>0</v>
      </c>
      <c r="I54" s="26">
        <f>Table13[[#This Row],[Tech]]*$T$7+Table13[[#This Row],[Beta]]*($T$6-$T$8)+$T$8</f>
        <v>0.100636</v>
      </c>
      <c r="J54" s="64">
        <v>18819505.344648998</v>
      </c>
      <c r="K54" s="61">
        <f>Table13[[#This Row],[Investment]]/Table13[[#This Row],[Dollar Volume]]</f>
        <v>4.0559278760019394E-3</v>
      </c>
      <c r="L54" s="34">
        <f>IFERROR(MAX($T$11+$T$12*LN(Table13[[#This Row],[Frac ADV]]),0),0)*0.0001+0.005/Table13[[#This Row],[Stock Price]]+Table13[[#This Row],[Expense Ratio]]</f>
        <v>4.5950797903925077E-3</v>
      </c>
      <c r="M54" s="68">
        <f>(Table13[[#This Row],[Expected Return]]-Table13[[#This Row],[Tcosts]])*Table13[[#This Row],[Investment]]</f>
        <v>1807442.6111897163</v>
      </c>
      <c r="Q54" s="13" t="s">
        <v>299</v>
      </c>
    </row>
    <row r="55" spans="1:17" ht="15.6" x14ac:dyDescent="0.3">
      <c r="A55" s="2" t="s">
        <v>488</v>
      </c>
      <c r="B55" s="10" t="s">
        <v>489</v>
      </c>
      <c r="C55" s="11">
        <v>71.34</v>
      </c>
      <c r="D55" s="11" t="s">
        <v>490</v>
      </c>
      <c r="E55" s="12">
        <v>4.7999999999999996E-3</v>
      </c>
      <c r="F55" s="11">
        <v>0.92</v>
      </c>
      <c r="G55" s="3">
        <f t="shared" si="2"/>
        <v>971070000</v>
      </c>
      <c r="H55" s="3" t="b">
        <f t="shared" si="3"/>
        <v>0</v>
      </c>
      <c r="I55" s="26">
        <f>Table13[[#This Row],[Tech]]*$T$7+Table13[[#This Row],[Beta]]*($T$6-$T$8)+$T$8</f>
        <v>9.491200000000001E-2</v>
      </c>
      <c r="J55" s="64">
        <v>18708044.769951001</v>
      </c>
      <c r="K55" s="61">
        <f>Table13[[#This Row],[Investment]]/Table13[[#This Row],[Dollar Volume]]</f>
        <v>1.9265392577209675E-2</v>
      </c>
      <c r="L55" s="34">
        <f>IFERROR(MAX($T$11+$T$12*LN(Table13[[#This Row],[Frac ADV]]),0),0)*0.0001+0.005/Table13[[#This Row],[Stock Price]]+Table13[[#This Row],[Expense Ratio]]</f>
        <v>1.6781237602026145E-2</v>
      </c>
      <c r="M55" s="68">
        <f>(Table13[[#This Row],[Expected Return]]-Table13[[#This Row],[Tcosts]])*Table13[[#This Row],[Investment]]</f>
        <v>1461673.8008516994</v>
      </c>
      <c r="Q55" s="16" t="s">
        <v>303</v>
      </c>
    </row>
    <row r="56" spans="1:17" ht="15.6" x14ac:dyDescent="0.3">
      <c r="A56" s="4" t="s">
        <v>360</v>
      </c>
      <c r="B56" s="14" t="s">
        <v>361</v>
      </c>
      <c r="C56" s="11">
        <v>92.51</v>
      </c>
      <c r="D56" s="6" t="s">
        <v>362</v>
      </c>
      <c r="E56" s="15">
        <v>1.5E-3</v>
      </c>
      <c r="F56" s="6">
        <v>0.86</v>
      </c>
      <c r="G56" s="3">
        <f t="shared" si="2"/>
        <v>4290000000</v>
      </c>
      <c r="H56" s="3" t="b">
        <f t="shared" si="3"/>
        <v>0</v>
      </c>
      <c r="I56" s="26">
        <f>Table13[[#This Row],[Tech]]*$T$7+Table13[[#This Row],[Beta]]*($T$6-$T$8)+$T$8</f>
        <v>9.109600000000001E-2</v>
      </c>
      <c r="J56" s="64">
        <v>18677376.276376002</v>
      </c>
      <c r="K56" s="61">
        <f>Table13[[#This Row],[Investment]]/Table13[[#This Row],[Dollar Volume]]</f>
        <v>4.3537007637240097E-3</v>
      </c>
      <c r="L56" s="34">
        <f>IFERROR(MAX($T$11+$T$12*LN(Table13[[#This Row],[Frac ADV]]),0),0)*0.0001+0.005/Table13[[#This Row],[Stock Price]]+Table13[[#This Row],[Expense Ratio]]</f>
        <v>6.1801755055137398E-3</v>
      </c>
      <c r="M56" s="68">
        <f>(Table13[[#This Row],[Expected Return]]-Table13[[#This Row],[Tcosts]])*Table13[[#This Row],[Investment]]</f>
        <v>1586004.8059022261</v>
      </c>
      <c r="Q56" s="13" t="s">
        <v>307</v>
      </c>
    </row>
    <row r="57" spans="1:17" ht="15.6" x14ac:dyDescent="0.3">
      <c r="A57" s="4" t="s">
        <v>265</v>
      </c>
      <c r="B57" s="14" t="s">
        <v>266</v>
      </c>
      <c r="C57" s="6">
        <v>116.13</v>
      </c>
      <c r="D57" s="6" t="s">
        <v>267</v>
      </c>
      <c r="E57" s="15">
        <v>8.0000000000000004E-4</v>
      </c>
      <c r="F57" s="6">
        <v>1.08</v>
      </c>
      <c r="G57" s="3">
        <f t="shared" si="2"/>
        <v>416430000</v>
      </c>
      <c r="H57" s="3" t="b">
        <f t="shared" si="3"/>
        <v>0</v>
      </c>
      <c r="I57" s="26">
        <f>Table13[[#This Row],[Tech]]*$T$7+Table13[[#This Row],[Beta]]*($T$6-$T$8)+$T$8</f>
        <v>0.10508800000000001</v>
      </c>
      <c r="J57" s="64">
        <v>18651218.202828001</v>
      </c>
      <c r="K57" s="61">
        <f>Table13[[#This Row],[Investment]]/Table13[[#This Row],[Dollar Volume]]</f>
        <v>4.4788363477242278E-2</v>
      </c>
      <c r="L57" s="34">
        <f>IFERROR(MAX($T$11+$T$12*LN(Table13[[#This Row],[Frac ADV]]),0),0)*0.0001+0.005/Table13[[#This Row],[Stock Price]]+Table13[[#This Row],[Expense Ratio]]</f>
        <v>1.688651828913619E-2</v>
      </c>
      <c r="M57" s="68">
        <f>(Table13[[#This Row],[Expected Return]]-Table13[[#This Row],[Tcosts]])*Table13[[#This Row],[Investment]]</f>
        <v>1645065.0812020644</v>
      </c>
      <c r="Q57" s="16" t="s">
        <v>311</v>
      </c>
    </row>
    <row r="58" spans="1:17" ht="15.6" x14ac:dyDescent="0.3">
      <c r="A58" s="4" t="s">
        <v>380</v>
      </c>
      <c r="B58" s="14" t="s">
        <v>381</v>
      </c>
      <c r="C58" s="6">
        <v>259.54000000000002</v>
      </c>
      <c r="D58" s="6" t="s">
        <v>382</v>
      </c>
      <c r="E58" s="15">
        <v>1.9E-3</v>
      </c>
      <c r="F58" s="6">
        <v>0.98</v>
      </c>
      <c r="G58" s="3">
        <f t="shared" si="2"/>
        <v>195490000</v>
      </c>
      <c r="H58" s="3" t="b">
        <f t="shared" si="3"/>
        <v>0</v>
      </c>
      <c r="I58" s="26">
        <f>Table13[[#This Row],[Tech]]*$T$7+Table13[[#This Row],[Beta]]*($T$6-$T$8)+$T$8</f>
        <v>9.872800000000001E-2</v>
      </c>
      <c r="J58" s="64">
        <v>18618657.922665998</v>
      </c>
      <c r="K58" s="61">
        <f>Table13[[#This Row],[Investment]]/Table13[[#This Row],[Dollar Volume]]</f>
        <v>9.5240973567271972E-2</v>
      </c>
      <c r="L58" s="34">
        <f>IFERROR(MAX($T$11+$T$12*LN(Table13[[#This Row],[Frac ADV]]),0),0)*0.0001+0.005/Table13[[#This Row],[Stock Price]]+Table13[[#This Row],[Expense Ratio]]</f>
        <v>2.1658237353112411E-2</v>
      </c>
      <c r="M58" s="68">
        <f>(Table13[[#This Row],[Expected Return]]-Table13[[#This Row],[Tcosts]])*Table13[[#This Row],[Investment]]</f>
        <v>1434935.5469034619</v>
      </c>
      <c r="Q58" s="13" t="s">
        <v>315</v>
      </c>
    </row>
    <row r="59" spans="1:17" ht="15.6" x14ac:dyDescent="0.3">
      <c r="A59" s="2" t="s">
        <v>428</v>
      </c>
      <c r="B59" s="10" t="s">
        <v>429</v>
      </c>
      <c r="C59" s="11">
        <v>74.87</v>
      </c>
      <c r="D59" s="11" t="s">
        <v>430</v>
      </c>
      <c r="E59" s="12">
        <v>2.7000000000000001E-3</v>
      </c>
      <c r="F59" s="11">
        <v>0.92</v>
      </c>
      <c r="G59" s="3">
        <f t="shared" si="2"/>
        <v>575520000</v>
      </c>
      <c r="H59" s="3" t="b">
        <f t="shared" si="3"/>
        <v>0</v>
      </c>
      <c r="I59" s="26">
        <f>Table13[[#This Row],[Tech]]*$T$7+Table13[[#This Row],[Beta]]*($T$6-$T$8)+$T$8</f>
        <v>9.491200000000001E-2</v>
      </c>
      <c r="J59" s="64">
        <v>18418307.634679999</v>
      </c>
      <c r="K59" s="61">
        <f>Table13[[#This Row],[Investment]]/Table13[[#This Row],[Dollar Volume]]</f>
        <v>3.2002897613775366E-2</v>
      </c>
      <c r="L59" s="34">
        <f>IFERROR(MAX($T$11+$T$12*LN(Table13[[#This Row],[Frac ADV]]),0),0)*0.0001+0.005/Table13[[#This Row],[Stock Price]]+Table13[[#This Row],[Expense Ratio]]</f>
        <v>1.7163851283367358E-2</v>
      </c>
      <c r="M59" s="68">
        <f>(Table13[[#This Row],[Expected Return]]-Table13[[#This Row],[Tcosts]])*Table13[[#This Row],[Investment]]</f>
        <v>1431989.3210897914</v>
      </c>
      <c r="Q59" s="16" t="s">
        <v>319</v>
      </c>
    </row>
    <row r="60" spans="1:17" ht="15.6" x14ac:dyDescent="0.3">
      <c r="A60" s="2" t="s">
        <v>206</v>
      </c>
      <c r="B60" s="10" t="s">
        <v>207</v>
      </c>
      <c r="C60" s="11">
        <v>26.29</v>
      </c>
      <c r="D60" s="11" t="s">
        <v>208</v>
      </c>
      <c r="E60" s="12">
        <v>2.9999999999999997E-4</v>
      </c>
      <c r="F60" s="11">
        <v>1</v>
      </c>
      <c r="G60" s="3">
        <f t="shared" si="2"/>
        <v>556260000</v>
      </c>
      <c r="H60" s="3" t="b">
        <f t="shared" si="3"/>
        <v>0</v>
      </c>
      <c r="I60" s="26">
        <f>Table13[[#This Row],[Tech]]*$T$7+Table13[[#This Row],[Beta]]*($T$6-$T$8)+$T$8</f>
        <v>0.1</v>
      </c>
      <c r="J60" s="64">
        <v>18282770.828159001</v>
      </c>
      <c r="K60" s="61">
        <f>Table13[[#This Row],[Investment]]/Table13[[#This Row],[Dollar Volume]]</f>
        <v>3.2867311739400641E-2</v>
      </c>
      <c r="L60" s="34">
        <f>IFERROR(MAX($T$11+$T$12*LN(Table13[[#This Row],[Frac ADV]]),0),0)*0.0001+0.005/Table13[[#This Row],[Stock Price]]+Table13[[#This Row],[Expense Ratio]]</f>
        <v>1.5017802956093436E-2</v>
      </c>
      <c r="M60" s="68">
        <f>(Table13[[#This Row],[Expected Return]]-Table13[[#This Row],[Tcosts]])*Table13[[#This Row],[Investment]]</f>
        <v>1553710.0330271951</v>
      </c>
      <c r="Q60" s="13" t="s">
        <v>323</v>
      </c>
    </row>
    <row r="61" spans="1:17" ht="15.6" x14ac:dyDescent="0.3">
      <c r="A61" s="4" t="s">
        <v>364</v>
      </c>
      <c r="B61" s="14" t="s">
        <v>365</v>
      </c>
      <c r="C61" s="6">
        <v>270</v>
      </c>
      <c r="D61" s="6" t="s">
        <v>366</v>
      </c>
      <c r="E61" s="15">
        <v>5.0000000000000001E-4</v>
      </c>
      <c r="F61" s="6">
        <v>1.03</v>
      </c>
      <c r="G61" s="3">
        <f t="shared" si="2"/>
        <v>343900000</v>
      </c>
      <c r="H61" s="3" t="b">
        <f t="shared" si="3"/>
        <v>0</v>
      </c>
      <c r="I61" s="26">
        <f>Table13[[#This Row],[Tech]]*$T$7+Table13[[#This Row],[Beta]]*($T$6-$T$8)+$T$8</f>
        <v>0.10190800000000001</v>
      </c>
      <c r="J61" s="64">
        <v>18279687.090635002</v>
      </c>
      <c r="K61" s="61">
        <f>Table13[[#This Row],[Investment]]/Table13[[#This Row],[Dollar Volume]]</f>
        <v>5.3154077030052344E-2</v>
      </c>
      <c r="L61" s="34">
        <f>IFERROR(MAX($T$11+$T$12*LN(Table13[[#This Row],[Frac ADV]]),0),0)*0.0001+0.005/Table13[[#This Row],[Stock Price]]+Table13[[#This Row],[Expense Ratio]]</f>
        <v>1.7400781919607686E-2</v>
      </c>
      <c r="M61" s="68">
        <f>(Table13[[#This Row],[Expected Return]]-Table13[[#This Row],[Tcosts]])*Table13[[#This Row],[Investment]]</f>
        <v>1544765.5034096243</v>
      </c>
      <c r="Q61" s="16" t="s">
        <v>327</v>
      </c>
    </row>
    <row r="62" spans="1:17" ht="15.6" x14ac:dyDescent="0.3">
      <c r="A62" s="4" t="s">
        <v>281</v>
      </c>
      <c r="B62" s="14" t="s">
        <v>282</v>
      </c>
      <c r="C62" s="6">
        <v>373.29</v>
      </c>
      <c r="D62" s="6" t="s">
        <v>283</v>
      </c>
      <c r="E62" s="15">
        <v>1.5E-3</v>
      </c>
      <c r="F62" s="6">
        <v>1</v>
      </c>
      <c r="G62" s="3">
        <f t="shared" si="2"/>
        <v>123340000</v>
      </c>
      <c r="H62" s="3" t="b">
        <f t="shared" si="3"/>
        <v>0</v>
      </c>
      <c r="I62" s="26">
        <f>Table13[[#This Row],[Tech]]*$T$7+Table13[[#This Row],[Beta]]*($T$6-$T$8)+$T$8</f>
        <v>0.1</v>
      </c>
      <c r="J62" s="64">
        <v>18269535.406103</v>
      </c>
      <c r="K62" s="61">
        <f>Table13[[#This Row],[Investment]]/Table13[[#This Row],[Dollar Volume]]</f>
        <v>0.14812336148940328</v>
      </c>
      <c r="L62" s="34">
        <f>IFERROR(MAX($T$11+$T$12*LN(Table13[[#This Row],[Frac ADV]]),0),0)*0.0001+0.005/Table13[[#This Row],[Stock Price]]+Table13[[#This Row],[Expense Ratio]]</f>
        <v>2.3415586948135291E-2</v>
      </c>
      <c r="M62" s="68">
        <f>(Table13[[#This Row],[Expected Return]]-Table13[[#This Row],[Tcosts]])*Table13[[#This Row],[Investment]]</f>
        <v>1399161.645806659</v>
      </c>
      <c r="Q62" s="13" t="s">
        <v>331</v>
      </c>
    </row>
    <row r="63" spans="1:17" ht="15.6" x14ac:dyDescent="0.3">
      <c r="A63" s="4" t="s">
        <v>170</v>
      </c>
      <c r="B63" s="14" t="s">
        <v>171</v>
      </c>
      <c r="C63" s="6">
        <v>50.4</v>
      </c>
      <c r="D63" s="6" t="s">
        <v>172</v>
      </c>
      <c r="E63" s="15">
        <v>2.9999999999999997E-4</v>
      </c>
      <c r="F63" s="6">
        <v>0.92</v>
      </c>
      <c r="G63" s="3">
        <f t="shared" si="2"/>
        <v>8560000000.000001</v>
      </c>
      <c r="H63" s="3" t="b">
        <f t="shared" si="3"/>
        <v>0</v>
      </c>
      <c r="I63" s="26">
        <f>Table13[[#This Row],[Tech]]*$T$7+Table13[[#This Row],[Beta]]*($T$6-$T$8)+$T$8</f>
        <v>9.491200000000001E-2</v>
      </c>
      <c r="J63" s="64">
        <v>18194448.427754998</v>
      </c>
      <c r="K63" s="61">
        <f>Table13[[#This Row],[Investment]]/Table13[[#This Row],[Dollar Volume]]</f>
        <v>2.1255196761396024E-3</v>
      </c>
      <c r="L63" s="34">
        <f>IFERROR(MAX($T$11+$T$12*LN(Table13[[#This Row],[Frac ADV]]),0),0)*0.0001+0.005/Table13[[#This Row],[Stock Price]]+Table13[[#This Row],[Expense Ratio]]</f>
        <v>1.5132717055817918E-3</v>
      </c>
      <c r="M63" s="68">
        <f>(Table13[[#This Row],[Expected Return]]-Table13[[#This Row],[Tcosts]])*Table13[[#This Row],[Investment]]</f>
        <v>1699338.3451706937</v>
      </c>
      <c r="Q63" s="16" t="s">
        <v>335</v>
      </c>
    </row>
    <row r="64" spans="1:17" ht="15.6" x14ac:dyDescent="0.3">
      <c r="A64" s="2" t="s">
        <v>285</v>
      </c>
      <c r="B64" s="10" t="s">
        <v>286</v>
      </c>
      <c r="C64" s="11">
        <v>80.16</v>
      </c>
      <c r="D64" s="11" t="s">
        <v>287</v>
      </c>
      <c r="E64" s="12">
        <v>2.0000000000000001E-4</v>
      </c>
      <c r="F64" s="11">
        <v>0.99</v>
      </c>
      <c r="G64" s="3">
        <f t="shared" si="2"/>
        <v>3030000000</v>
      </c>
      <c r="H64" s="3" t="b">
        <f t="shared" si="3"/>
        <v>0</v>
      </c>
      <c r="I64" s="26">
        <f>Table13[[#This Row],[Tech]]*$T$7+Table13[[#This Row],[Beta]]*($T$6-$T$8)+$T$8</f>
        <v>9.9364000000000008E-2</v>
      </c>
      <c r="J64" s="64">
        <v>18149411.019317999</v>
      </c>
      <c r="K64" s="61">
        <f>Table13[[#This Row],[Investment]]/Table13[[#This Row],[Dollar Volume]]</f>
        <v>5.9899046268376234E-3</v>
      </c>
      <c r="L64" s="34">
        <f>IFERROR(MAX($T$11+$T$12*LN(Table13[[#This Row],[Frac ADV]]),0),0)*0.0001+0.005/Table13[[#This Row],[Stock Price]]+Table13[[#This Row],[Expense Ratio]]</f>
        <v>6.4512713943722681E-3</v>
      </c>
      <c r="M64" s="68">
        <f>(Table13[[#This Row],[Expected Return]]-Table13[[#This Row],[Tcosts]])*Table13[[#This Row],[Investment]]</f>
        <v>1686311.3003898829</v>
      </c>
      <c r="Q64" s="13" t="s">
        <v>339</v>
      </c>
    </row>
    <row r="65" spans="1:17" ht="15.6" x14ac:dyDescent="0.3">
      <c r="A65" s="4" t="s">
        <v>372</v>
      </c>
      <c r="B65" s="14" t="s">
        <v>373</v>
      </c>
      <c r="C65" s="6">
        <v>54.63</v>
      </c>
      <c r="D65" s="6" t="s">
        <v>374</v>
      </c>
      <c r="E65" s="15">
        <v>4.7000000000000002E-3</v>
      </c>
      <c r="F65" s="6">
        <v>1</v>
      </c>
      <c r="G65" s="3">
        <f t="shared" si="2"/>
        <v>384710000</v>
      </c>
      <c r="H65" s="3" t="b">
        <f t="shared" si="3"/>
        <v>0</v>
      </c>
      <c r="I65" s="26">
        <f>Table13[[#This Row],[Tech]]*$T$7+Table13[[#This Row],[Beta]]*($T$6-$T$8)+$T$8</f>
        <v>0.1</v>
      </c>
      <c r="J65" s="64">
        <v>17749894.222691</v>
      </c>
      <c r="K65" s="61">
        <f>Table13[[#This Row],[Investment]]/Table13[[#This Row],[Dollar Volume]]</f>
        <v>4.6138374938761662E-2</v>
      </c>
      <c r="L65" s="34">
        <f>IFERROR(MAX($T$11+$T$12*LN(Table13[[#This Row],[Frac ADV]]),0),0)*0.0001+0.005/Table13[[#This Row],[Stock Price]]+Table13[[#This Row],[Expense Ratio]]</f>
        <v>2.0980448290733585E-2</v>
      </c>
      <c r="M65" s="68">
        <f>(Table13[[#This Row],[Expected Return]]-Table13[[#This Row],[Tcosts]])*Table13[[#This Row],[Investment]]</f>
        <v>1402588.6843639407</v>
      </c>
      <c r="Q65" s="16" t="s">
        <v>343</v>
      </c>
    </row>
    <row r="66" spans="1:17" ht="15.6" x14ac:dyDescent="0.3">
      <c r="A66" s="2" t="s">
        <v>332</v>
      </c>
      <c r="B66" s="10" t="s">
        <v>333</v>
      </c>
      <c r="C66" s="11">
        <v>104.9</v>
      </c>
      <c r="D66" s="11" t="s">
        <v>334</v>
      </c>
      <c r="E66" s="12">
        <v>5.9999999999999995E-4</v>
      </c>
      <c r="F66" s="11">
        <v>0.99</v>
      </c>
      <c r="G66" s="3">
        <f t="shared" ref="G66:G97" si="4">IF(RIGHT(Q66,1)="B", VALUE(SUBSTITUTE(Q66,"B",""))*1000000000,
 IF(RIGHT(Q66,1)="M", VALUE(SUBSTITUTE(Q66,"M",""))*1000000, VALUE(Q66)))</f>
        <v>236760000</v>
      </c>
      <c r="H66" s="3" t="b">
        <f t="shared" ref="H66:H97" si="5">OR(
  ISNUMBER(SEARCH("technology",B66)),
  ISNUMBER(SEARCH("tech",B66)),
  ISNUMBER(SEARCH("qqq",B66)),
  ISNUMBER(SEARCH("semiconductor",B66)),
  ISNUMBER(SEARCH("information technology",B66)),
  ISNUMBER(SEARCH("nasdaq",B66)),
  ISNUMBER(SEARCH("communication",B66))
)</f>
        <v>0</v>
      </c>
      <c r="I66" s="26">
        <f>Table13[[#This Row],[Tech]]*$T$7+Table13[[#This Row],[Beta]]*($T$6-$T$8)+$T$8</f>
        <v>9.9364000000000008E-2</v>
      </c>
      <c r="J66" s="64">
        <v>17741987.327932999</v>
      </c>
      <c r="K66" s="61">
        <f>Table13[[#This Row],[Investment]]/Table13[[#This Row],[Dollar Volume]]</f>
        <v>7.4936591180659734E-2</v>
      </c>
      <c r="L66" s="34">
        <f>IFERROR(MAX($T$11+$T$12*LN(Table13[[#This Row],[Frac ADV]]),0),0)*0.0001+0.005/Table13[[#This Row],[Stock Price]]+Table13[[#This Row],[Expense Ratio]]</f>
        <v>1.9212204284115436E-2</v>
      </c>
      <c r="M66" s="68">
        <f>(Table13[[#This Row],[Expected Return]]-Table13[[#This Row],[Tcosts]])*Table13[[#This Row],[Investment]]</f>
        <v>1422052.1439022985</v>
      </c>
      <c r="Q66" s="13" t="s">
        <v>347</v>
      </c>
    </row>
    <row r="67" spans="1:17" ht="15.6" x14ac:dyDescent="0.3">
      <c r="A67" s="4" t="s">
        <v>440</v>
      </c>
      <c r="B67" s="14" t="s">
        <v>441</v>
      </c>
      <c r="C67" s="6">
        <v>644.5</v>
      </c>
      <c r="D67" s="6" t="s">
        <v>442</v>
      </c>
      <c r="E67" s="15">
        <v>2.3999999999999998E-3</v>
      </c>
      <c r="F67" s="6">
        <v>0.87</v>
      </c>
      <c r="G67" s="3">
        <f t="shared" si="4"/>
        <v>181700000</v>
      </c>
      <c r="H67" s="3" t="b">
        <f t="shared" si="5"/>
        <v>0</v>
      </c>
      <c r="I67" s="26">
        <f>Table13[[#This Row],[Tech]]*$T$7+Table13[[#This Row],[Beta]]*($T$6-$T$8)+$T$8</f>
        <v>9.1732000000000008E-2</v>
      </c>
      <c r="J67" s="64">
        <v>17660785.269432001</v>
      </c>
      <c r="K67" s="61">
        <f>Table13[[#This Row],[Investment]]/Table13[[#This Row],[Dollar Volume]]</f>
        <v>9.7197497355156856E-2</v>
      </c>
      <c r="L67" s="34">
        <f>IFERROR(MAX($T$11+$T$12*LN(Table13[[#This Row],[Frac ADV]]),0),0)*0.0001+0.005/Table13[[#This Row],[Stock Price]]+Table13[[#This Row],[Expense Ratio]]</f>
        <v>2.2246334090698931E-2</v>
      </c>
      <c r="M67" s="68">
        <f>(Table13[[#This Row],[Expected Return]]-Table13[[#This Row],[Tcosts]])*Table13[[#This Row],[Investment]]</f>
        <v>1227171.4249276579</v>
      </c>
      <c r="Q67" s="16" t="s">
        <v>351</v>
      </c>
    </row>
    <row r="68" spans="1:17" ht="15.6" x14ac:dyDescent="0.3">
      <c r="A68" s="4" t="s">
        <v>198</v>
      </c>
      <c r="B68" s="14" t="s">
        <v>199</v>
      </c>
      <c r="C68" s="6">
        <v>30.31</v>
      </c>
      <c r="D68" s="6" t="s">
        <v>200</v>
      </c>
      <c r="E68" s="15">
        <v>4.0000000000000002E-4</v>
      </c>
      <c r="F68" s="6">
        <v>0.98</v>
      </c>
      <c r="G68" s="3">
        <f t="shared" si="4"/>
        <v>355810000</v>
      </c>
      <c r="H68" s="3" t="b">
        <f t="shared" si="5"/>
        <v>0</v>
      </c>
      <c r="I68" s="26">
        <f>Table13[[#This Row],[Tech]]*$T$7+Table13[[#This Row],[Beta]]*($T$6-$T$8)+$T$8</f>
        <v>9.872800000000001E-2</v>
      </c>
      <c r="J68" s="64">
        <v>17591065.756035</v>
      </c>
      <c r="K68" s="61">
        <f>Table13[[#This Row],[Investment]]/Table13[[#This Row],[Dollar Volume]]</f>
        <v>4.9439492302169701E-2</v>
      </c>
      <c r="L68" s="34">
        <f>IFERROR(MAX($T$11+$T$12*LN(Table13[[#This Row],[Frac ADV]]),0),0)*0.0001+0.005/Table13[[#This Row],[Stock Price]]+Table13[[#This Row],[Expense Ratio]]</f>
        <v>1.7092373654324512E-2</v>
      </c>
      <c r="M68" s="68">
        <f>(Table13[[#This Row],[Expected Return]]-Table13[[#This Row],[Tcosts]])*Table13[[#This Row],[Investment]]</f>
        <v>1436057.671081881</v>
      </c>
      <c r="Q68" s="13" t="s">
        <v>355</v>
      </c>
    </row>
    <row r="69" spans="1:17" ht="15.6" x14ac:dyDescent="0.3">
      <c r="A69" s="2" t="s">
        <v>308</v>
      </c>
      <c r="B69" s="10" t="s">
        <v>309</v>
      </c>
      <c r="C69" s="11">
        <v>129.4</v>
      </c>
      <c r="D69" s="11" t="s">
        <v>310</v>
      </c>
      <c r="E69" s="12">
        <v>5.9999999999999995E-4</v>
      </c>
      <c r="F69" s="11">
        <v>0.92</v>
      </c>
      <c r="G69" s="3">
        <f t="shared" si="4"/>
        <v>166560000</v>
      </c>
      <c r="H69" s="3" t="b">
        <f t="shared" si="5"/>
        <v>0</v>
      </c>
      <c r="I69" s="26">
        <f>Table13[[#This Row],[Tech]]*$T$7+Table13[[#This Row],[Beta]]*($T$6-$T$8)+$T$8</f>
        <v>9.491200000000001E-2</v>
      </c>
      <c r="J69" s="64">
        <v>17203969.434774</v>
      </c>
      <c r="K69" s="61">
        <f>Table13[[#This Row],[Investment]]/Table13[[#This Row],[Dollar Volume]]</f>
        <v>0.10328992215882565</v>
      </c>
      <c r="L69" s="34">
        <f>IFERROR(MAX($T$11+$T$12*LN(Table13[[#This Row],[Frac ADV]]),0),0)*0.0001+0.005/Table13[[#This Row],[Stock Price]]+Table13[[#This Row],[Expense Ratio]]</f>
        <v>2.0775001682599787E-2</v>
      </c>
      <c r="M69" s="68">
        <f>(Table13[[#This Row],[Expected Return]]-Table13[[#This Row],[Tcosts]])*Table13[[#This Row],[Investment]]</f>
        <v>1275450.6530384449</v>
      </c>
      <c r="Q69" s="16" t="s">
        <v>359</v>
      </c>
    </row>
    <row r="70" spans="1:17" ht="15.6" x14ac:dyDescent="0.3">
      <c r="A70" s="4" t="s">
        <v>591</v>
      </c>
      <c r="B70" s="14" t="s">
        <v>592</v>
      </c>
      <c r="C70" s="6">
        <v>73.28</v>
      </c>
      <c r="D70" s="6" t="s">
        <v>593</v>
      </c>
      <c r="E70" s="15">
        <v>8.0000000000000004E-4</v>
      </c>
      <c r="F70" s="6">
        <v>0.7</v>
      </c>
      <c r="G70" s="3">
        <f t="shared" si="4"/>
        <v>377500000</v>
      </c>
      <c r="H70" s="3" t="b">
        <f t="shared" si="5"/>
        <v>0</v>
      </c>
      <c r="I70" s="26">
        <f>Table13[[#This Row],[Tech]]*$T$7+Table13[[#This Row],[Beta]]*($T$6-$T$8)+$T$8</f>
        <v>8.0919999999999992E-2</v>
      </c>
      <c r="J70" s="64">
        <v>17195629.044303</v>
      </c>
      <c r="K70" s="61">
        <f>Table13[[#This Row],[Investment]]/Table13[[#This Row],[Dollar Volume]]</f>
        <v>4.5551335216696687E-2</v>
      </c>
      <c r="L70" s="34">
        <f>IFERROR(MAX($T$11+$T$12*LN(Table13[[#This Row],[Frac ADV]]),0),0)*0.0001+0.005/Table13[[#This Row],[Stock Price]]+Table13[[#This Row],[Expense Ratio]]</f>
        <v>1.699443293862762E-2</v>
      </c>
      <c r="M70" s="68">
        <f>(Table13[[#This Row],[Expected Return]]-Table13[[#This Row],[Tcosts]])*Table13[[#This Row],[Investment]]</f>
        <v>1099240.3376340738</v>
      </c>
      <c r="Q70" s="13" t="s">
        <v>363</v>
      </c>
    </row>
    <row r="71" spans="1:17" ht="15.6" x14ac:dyDescent="0.3">
      <c r="A71" s="2" t="s">
        <v>595</v>
      </c>
      <c r="B71" s="10" t="s">
        <v>596</v>
      </c>
      <c r="C71" s="11">
        <v>107.32</v>
      </c>
      <c r="D71" s="11" t="s">
        <v>597</v>
      </c>
      <c r="E71" s="12">
        <v>3.5999999999999999E-3</v>
      </c>
      <c r="F71" s="11">
        <v>0.74</v>
      </c>
      <c r="G71" s="3">
        <f t="shared" si="4"/>
        <v>242840000</v>
      </c>
      <c r="H71" s="3" t="b">
        <f t="shared" si="5"/>
        <v>0</v>
      </c>
      <c r="I71" s="26">
        <f>Table13[[#This Row],[Tech]]*$T$7+Table13[[#This Row],[Beta]]*($T$6-$T$8)+$T$8</f>
        <v>8.346400000000001E-2</v>
      </c>
      <c r="J71" s="64">
        <v>17109572.817504998</v>
      </c>
      <c r="K71" s="61">
        <f>Table13[[#This Row],[Investment]]/Table13[[#This Row],[Dollar Volume]]</f>
        <v>7.0456155565413431E-2</v>
      </c>
      <c r="L71" s="34">
        <f>IFERROR(MAX($T$11+$T$12*LN(Table13[[#This Row],[Frac ADV]]),0),0)*0.0001+0.005/Table13[[#This Row],[Stock Price]]+Table13[[#This Row],[Expense Ratio]]</f>
        <v>2.1909146800550578E-2</v>
      </c>
      <c r="M71" s="68">
        <f>(Table13[[#This Row],[Expected Return]]-Table13[[#This Row],[Tcosts]])*Table13[[#This Row],[Investment]]</f>
        <v>1053177.2430868107</v>
      </c>
      <c r="Q71" s="16" t="s">
        <v>367</v>
      </c>
    </row>
    <row r="72" spans="1:17" ht="15.6" x14ac:dyDescent="0.3">
      <c r="A72" s="2" t="s">
        <v>293</v>
      </c>
      <c r="B72" s="10" t="s">
        <v>294</v>
      </c>
      <c r="C72" s="11">
        <v>106.19</v>
      </c>
      <c r="D72" s="11" t="s">
        <v>295</v>
      </c>
      <c r="E72" s="12">
        <v>4.0000000000000002E-4</v>
      </c>
      <c r="F72" s="11">
        <v>0.77</v>
      </c>
      <c r="G72" s="3">
        <f t="shared" si="4"/>
        <v>345320000</v>
      </c>
      <c r="H72" s="3" t="b">
        <f t="shared" si="5"/>
        <v>0</v>
      </c>
      <c r="I72" s="26">
        <f>Table13[[#This Row],[Tech]]*$T$7+Table13[[#This Row],[Beta]]*($T$6-$T$8)+$T$8</f>
        <v>8.5372000000000003E-2</v>
      </c>
      <c r="J72" s="64">
        <v>17010444.021526001</v>
      </c>
      <c r="K72" s="61">
        <f>Table13[[#This Row],[Investment]]/Table13[[#This Row],[Dollar Volume]]</f>
        <v>4.9259944461734047E-2</v>
      </c>
      <c r="L72" s="34">
        <f>IFERROR(MAX($T$11+$T$12*LN(Table13[[#This Row],[Frac ADV]]),0),0)*0.0001+0.005/Table13[[#This Row],[Stock Price]]+Table13[[#This Row],[Expense Ratio]]</f>
        <v>1.6956675970552684E-2</v>
      </c>
      <c r="M72" s="68">
        <f>(Table13[[#This Row],[Expected Return]]-Table13[[#This Row],[Tcosts]])*Table13[[#This Row],[Investment]]</f>
        <v>1163775.0396174763</v>
      </c>
      <c r="Q72" s="13" t="s">
        <v>371</v>
      </c>
    </row>
    <row r="73" spans="1:17" ht="15.6" x14ac:dyDescent="0.3">
      <c r="A73" s="4" t="s">
        <v>571</v>
      </c>
      <c r="B73" s="14" t="s">
        <v>572</v>
      </c>
      <c r="C73" s="6">
        <v>49.94</v>
      </c>
      <c r="D73" s="6" t="s">
        <v>573</v>
      </c>
      <c r="E73" s="15">
        <v>2.0999999999999999E-3</v>
      </c>
      <c r="F73" s="6">
        <v>0.82</v>
      </c>
      <c r="G73" s="3">
        <f t="shared" si="4"/>
        <v>3640000000</v>
      </c>
      <c r="H73" s="3" t="b">
        <f t="shared" si="5"/>
        <v>0</v>
      </c>
      <c r="I73" s="26">
        <f>Table13[[#This Row],[Tech]]*$T$7+Table13[[#This Row],[Beta]]*($T$6-$T$8)+$T$8</f>
        <v>8.8551999999999992E-2</v>
      </c>
      <c r="J73" s="64">
        <v>16934650.168954</v>
      </c>
      <c r="K73" s="61">
        <f>Table13[[#This Row],[Investment]]/Table13[[#This Row],[Dollar Volume]]</f>
        <v>4.652376420042308E-3</v>
      </c>
      <c r="L73" s="34">
        <f>IFERROR(MAX($T$11+$T$12*LN(Table13[[#This Row],[Frac ADV]]),0),0)*0.0001+0.005/Table13[[#This Row],[Stock Price]]+Table13[[#This Row],[Expense Ratio]]</f>
        <v>7.1512527519376427E-3</v>
      </c>
      <c r="M73" s="68">
        <f>(Table13[[#This Row],[Expected Return]]-Table13[[#This Row],[Tcosts]])*Table13[[#This Row],[Investment]]</f>
        <v>1378493.1781373809</v>
      </c>
      <c r="Q73" s="16" t="s">
        <v>375</v>
      </c>
    </row>
    <row r="74" spans="1:17" ht="15.6" x14ac:dyDescent="0.3">
      <c r="A74" s="4" t="s">
        <v>155</v>
      </c>
      <c r="B74" s="14" t="s">
        <v>156</v>
      </c>
      <c r="C74" s="6">
        <v>272.94</v>
      </c>
      <c r="D74" s="6" t="s">
        <v>157</v>
      </c>
      <c r="E74" s="15">
        <v>2.9999999999999997E-4</v>
      </c>
      <c r="F74" s="6">
        <v>0.94</v>
      </c>
      <c r="G74" s="3">
        <f t="shared" si="4"/>
        <v>696250000</v>
      </c>
      <c r="H74" s="3" t="b">
        <f t="shared" si="5"/>
        <v>0</v>
      </c>
      <c r="I74" s="26">
        <f>Table13[[#This Row],[Tech]]*$T$7+Table13[[#This Row],[Beta]]*($T$6-$T$8)+$T$8</f>
        <v>9.6183999999999992E-2</v>
      </c>
      <c r="J74" s="64">
        <v>16867383.462389998</v>
      </c>
      <c r="K74" s="61">
        <f>Table13[[#This Row],[Investment]]/Table13[[#This Row],[Dollar Volume]]</f>
        <v>2.4226044470219029E-2</v>
      </c>
      <c r="L74" s="34">
        <f>IFERROR(MAX($T$11+$T$12*LN(Table13[[#This Row],[Frac ADV]]),0),0)*0.0001+0.005/Table13[[#This Row],[Stock Price]]+Table13[[#This Row],[Expense Ratio]]</f>
        <v>1.3351736398677396E-2</v>
      </c>
      <c r="M74" s="68">
        <f>(Table13[[#This Row],[Expected Return]]-Table13[[#This Row],[Tcosts]])*Table13[[#This Row],[Investment]]</f>
        <v>1397163.5532212777</v>
      </c>
      <c r="Q74" s="13" t="s">
        <v>379</v>
      </c>
    </row>
    <row r="75" spans="1:17" ht="15.6" x14ac:dyDescent="0.3">
      <c r="A75" s="4" t="s">
        <v>392</v>
      </c>
      <c r="B75" s="14" t="s">
        <v>393</v>
      </c>
      <c r="C75" s="6">
        <v>32.200000000000003</v>
      </c>
      <c r="D75" s="6" t="s">
        <v>394</v>
      </c>
      <c r="E75" s="15">
        <v>4.0000000000000002E-4</v>
      </c>
      <c r="F75" s="6">
        <v>0.92</v>
      </c>
      <c r="G75" s="3">
        <f t="shared" si="4"/>
        <v>160270000</v>
      </c>
      <c r="H75" s="3" t="b">
        <f t="shared" si="5"/>
        <v>0</v>
      </c>
      <c r="I75" s="26">
        <f>Table13[[#This Row],[Tech]]*$T$7+Table13[[#This Row],[Beta]]*($T$6-$T$8)+$T$8</f>
        <v>9.491200000000001E-2</v>
      </c>
      <c r="J75" s="64">
        <v>16853841.076347001</v>
      </c>
      <c r="K75" s="61">
        <f>Table13[[#This Row],[Investment]]/Table13[[#This Row],[Dollar Volume]]</f>
        <v>0.105159050828895</v>
      </c>
      <c r="L75" s="34">
        <f>IFERROR(MAX($T$11+$T$12*LN(Table13[[#This Row],[Frac ADV]]),0),0)*0.0001+0.005/Table13[[#This Row],[Stock Price]]+Table13[[#This Row],[Expense Ratio]]</f>
        <v>2.0779486519215167E-2</v>
      </c>
      <c r="M75" s="68">
        <f>(Table13[[#This Row],[Expected Return]]-Table13[[#This Row],[Tcosts]])*Table13[[#This Row],[Investment]]</f>
        <v>1249417.6007952993</v>
      </c>
      <c r="Q75" s="16" t="s">
        <v>383</v>
      </c>
    </row>
    <row r="76" spans="1:17" ht="15.6" x14ac:dyDescent="0.3">
      <c r="A76" s="2" t="s">
        <v>344</v>
      </c>
      <c r="B76" s="10" t="s">
        <v>345</v>
      </c>
      <c r="C76" s="11">
        <v>104.53</v>
      </c>
      <c r="D76" s="11" t="s">
        <v>346</v>
      </c>
      <c r="E76" s="12">
        <v>4.7000000000000002E-3</v>
      </c>
      <c r="F76" s="11">
        <v>0.92</v>
      </c>
      <c r="G76" s="3">
        <f t="shared" si="4"/>
        <v>106960000</v>
      </c>
      <c r="H76" s="3" t="b">
        <f t="shared" si="5"/>
        <v>0</v>
      </c>
      <c r="I76" s="26">
        <f>Table13[[#This Row],[Tech]]*$T$7+Table13[[#This Row],[Beta]]*($T$6-$T$8)+$T$8</f>
        <v>9.491200000000001E-2</v>
      </c>
      <c r="J76" s="64">
        <v>16714401.364779999</v>
      </c>
      <c r="K76" s="61">
        <f>Table13[[#This Row],[Investment]]/Table13[[#This Row],[Dollar Volume]]</f>
        <v>0.15626777640968587</v>
      </c>
      <c r="L76" s="34">
        <f>IFERROR(MAX($T$11+$T$12*LN(Table13[[#This Row],[Frac ADV]]),0),0)*0.0001+0.005/Table13[[#This Row],[Stock Price]]+Table13[[#This Row],[Expense Ratio]]</f>
        <v>2.6912205092319324E-2</v>
      </c>
      <c r="M76" s="68">
        <f>(Table13[[#This Row],[Expected Return]]-Table13[[#This Row],[Tcosts]])*Table13[[#This Row],[Investment]]</f>
        <v>1136575.864809698</v>
      </c>
      <c r="Q76" s="13" t="s">
        <v>387</v>
      </c>
    </row>
    <row r="77" spans="1:17" ht="15.6" x14ac:dyDescent="0.3">
      <c r="A77" s="2" t="s">
        <v>412</v>
      </c>
      <c r="B77" s="10" t="s">
        <v>413</v>
      </c>
      <c r="C77" s="11">
        <v>200.74</v>
      </c>
      <c r="D77" s="11" t="s">
        <v>414</v>
      </c>
      <c r="E77" s="12">
        <v>1.5E-3</v>
      </c>
      <c r="F77" s="11">
        <v>0.92</v>
      </c>
      <c r="G77" s="3">
        <f t="shared" si="4"/>
        <v>121420000</v>
      </c>
      <c r="H77" s="3" t="b">
        <f t="shared" si="5"/>
        <v>0</v>
      </c>
      <c r="I77" s="26">
        <f>Table13[[#This Row],[Tech]]*$T$7+Table13[[#This Row],[Beta]]*($T$6-$T$8)+$T$8</f>
        <v>9.491200000000001E-2</v>
      </c>
      <c r="J77" s="64">
        <v>16630056.486862</v>
      </c>
      <c r="K77" s="61">
        <f>Table13[[#This Row],[Investment]]/Table13[[#This Row],[Dollar Volume]]</f>
        <v>0.13696307434411134</v>
      </c>
      <c r="L77" s="34">
        <f>IFERROR(MAX($T$11+$T$12*LN(Table13[[#This Row],[Frac ADV]]),0),0)*0.0001+0.005/Table13[[#This Row],[Stock Price]]+Table13[[#This Row],[Expense Ratio]]</f>
        <v>2.3043403894904321E-2</v>
      </c>
      <c r="M77" s="68">
        <f>(Table13[[#This Row],[Expected Return]]-Table13[[#This Row],[Tcosts]])*Table13[[#This Row],[Investment]]</f>
        <v>1195178.8128592116</v>
      </c>
      <c r="Q77" s="16" t="s">
        <v>391</v>
      </c>
    </row>
    <row r="78" spans="1:17" ht="15.6" x14ac:dyDescent="0.3">
      <c r="A78" s="4" t="s">
        <v>404</v>
      </c>
      <c r="B78" s="14" t="s">
        <v>405</v>
      </c>
      <c r="C78" s="6">
        <v>70.540000000000006</v>
      </c>
      <c r="D78" s="6" t="s">
        <v>406</v>
      </c>
      <c r="E78" s="15">
        <v>5.0000000000000001E-4</v>
      </c>
      <c r="F78" s="6">
        <v>0.88</v>
      </c>
      <c r="G78" s="3">
        <f t="shared" si="4"/>
        <v>378650000</v>
      </c>
      <c r="H78" s="3" t="b">
        <f t="shared" si="5"/>
        <v>0</v>
      </c>
      <c r="I78" s="26">
        <f>Table13[[#This Row],[Tech]]*$T$7+Table13[[#This Row],[Beta]]*($T$6-$T$8)+$T$8</f>
        <v>9.2368000000000006E-2</v>
      </c>
      <c r="J78" s="64">
        <v>16607618.531437</v>
      </c>
      <c r="K78" s="61">
        <f>Table13[[#This Row],[Investment]]/Table13[[#This Row],[Dollar Volume]]</f>
        <v>4.3860077991382543E-2</v>
      </c>
      <c r="L78" s="34">
        <f>IFERROR(MAX($T$11+$T$12*LN(Table13[[#This Row],[Frac ADV]]),0),0)*0.0001+0.005/Table13[[#This Row],[Stock Price]]+Table13[[#This Row],[Expense Ratio]]</f>
        <v>1.6511757624027824E-2</v>
      </c>
      <c r="M78" s="68">
        <f>(Table13[[#This Row],[Expected Return]]-Table13[[#This Row],[Tcosts]])*Table13[[#This Row],[Investment]]</f>
        <v>1259791.5366083723</v>
      </c>
      <c r="Q78" s="13" t="s">
        <v>395</v>
      </c>
    </row>
    <row r="79" spans="1:17" ht="15.6" x14ac:dyDescent="0.3">
      <c r="A79" s="4" t="s">
        <v>547</v>
      </c>
      <c r="B79" s="14" t="s">
        <v>548</v>
      </c>
      <c r="C79" s="6">
        <v>74.650000000000006</v>
      </c>
      <c r="D79" s="6" t="s">
        <v>549</v>
      </c>
      <c r="E79" s="15">
        <v>8.9999999999999998E-4</v>
      </c>
      <c r="F79" s="6">
        <v>0.7</v>
      </c>
      <c r="G79" s="3">
        <f t="shared" si="4"/>
        <v>199200000</v>
      </c>
      <c r="H79" s="3" t="b">
        <f t="shared" si="5"/>
        <v>0</v>
      </c>
      <c r="I79" s="26">
        <f>Table13[[#This Row],[Tech]]*$T$7+Table13[[#This Row],[Beta]]*($T$6-$T$8)+$T$8</f>
        <v>8.0919999999999992E-2</v>
      </c>
      <c r="J79" s="64">
        <v>16581100.425827</v>
      </c>
      <c r="K79" s="61">
        <f>Table13[[#This Row],[Investment]]/Table13[[#This Row],[Dollar Volume]]</f>
        <v>8.3238455952946794E-2</v>
      </c>
      <c r="L79" s="34">
        <f>IFERROR(MAX($T$11+$T$12*LN(Table13[[#This Row],[Frac ADV]]),0),0)*0.0001+0.005/Table13[[#This Row],[Stock Price]]+Table13[[#This Row],[Expense Ratio]]</f>
        <v>2.0046159564962869E-2</v>
      </c>
      <c r="M79" s="68">
        <f>(Table13[[#This Row],[Expected Return]]-Table13[[#This Row],[Tcosts]])*Table13[[#This Row],[Investment]]</f>
        <v>1009355.2615591189</v>
      </c>
      <c r="Q79" s="16" t="s">
        <v>399</v>
      </c>
    </row>
    <row r="80" spans="1:17" ht="15.6" x14ac:dyDescent="0.3">
      <c r="A80" s="4" t="s">
        <v>476</v>
      </c>
      <c r="B80" s="14" t="s">
        <v>477</v>
      </c>
      <c r="C80" s="6">
        <v>45.29</v>
      </c>
      <c r="D80" s="6" t="s">
        <v>478</v>
      </c>
      <c r="E80" s="15">
        <v>3.3E-3</v>
      </c>
      <c r="F80" s="6">
        <v>0.88</v>
      </c>
      <c r="G80" s="3">
        <f t="shared" si="4"/>
        <v>301950000</v>
      </c>
      <c r="H80" s="3" t="b">
        <f t="shared" si="5"/>
        <v>0</v>
      </c>
      <c r="I80" s="26">
        <f>Table13[[#This Row],[Tech]]*$T$7+Table13[[#This Row],[Beta]]*($T$6-$T$8)+$T$8</f>
        <v>9.2368000000000006E-2</v>
      </c>
      <c r="J80" s="64">
        <v>16539058.688866001</v>
      </c>
      <c r="K80" s="61">
        <f>Table13[[#This Row],[Investment]]/Table13[[#This Row],[Dollar Volume]]</f>
        <v>5.4774163566371915E-2</v>
      </c>
      <c r="L80" s="34">
        <f>IFERROR(MAX($T$11+$T$12*LN(Table13[[#This Row],[Frac ADV]]),0),0)*0.0001+0.005/Table13[[#This Row],[Stock Price]]+Table13[[#This Row],[Expense Ratio]]</f>
        <v>2.0439725818114183E-2</v>
      </c>
      <c r="M80" s="68">
        <f>(Table13[[#This Row],[Expected Return]]-Table13[[#This Row],[Tcosts]])*Table13[[#This Row],[Investment]]</f>
        <v>1189625.9480830547</v>
      </c>
      <c r="Q80" s="13" t="s">
        <v>403</v>
      </c>
    </row>
    <row r="81" spans="1:17" ht="15.6" x14ac:dyDescent="0.3">
      <c r="A81" s="2" t="s">
        <v>340</v>
      </c>
      <c r="B81" s="10" t="s">
        <v>341</v>
      </c>
      <c r="C81" s="11">
        <v>65.73</v>
      </c>
      <c r="D81" s="11" t="s">
        <v>342</v>
      </c>
      <c r="E81" s="12">
        <v>2.8E-3</v>
      </c>
      <c r="F81" s="11">
        <v>0.9</v>
      </c>
      <c r="G81" s="3">
        <f t="shared" si="4"/>
        <v>4260000000</v>
      </c>
      <c r="H81" s="3" t="b">
        <f t="shared" si="5"/>
        <v>0</v>
      </c>
      <c r="I81" s="26">
        <f>Table13[[#This Row],[Tech]]*$T$7+Table13[[#This Row],[Beta]]*($T$6-$T$8)+$T$8</f>
        <v>9.3640000000000001E-2</v>
      </c>
      <c r="J81" s="64">
        <v>16522093.433003999</v>
      </c>
      <c r="K81" s="61">
        <f>Table13[[#This Row],[Investment]]/Table13[[#This Row],[Dollar Volume]]</f>
        <v>3.8784256884985915E-3</v>
      </c>
      <c r="L81" s="34">
        <f>IFERROR(MAX($T$11+$T$12*LN(Table13[[#This Row],[Frac ADV]]),0),0)*0.0001+0.005/Table13[[#This Row],[Stock Price]]+Table13[[#This Row],[Expense Ratio]]</f>
        <v>6.9359786162701345E-3</v>
      </c>
      <c r="M81" s="68">
        <f>(Table13[[#This Row],[Expected Return]]-Table13[[#This Row],[Tcosts]])*Table13[[#This Row],[Investment]]</f>
        <v>1432531.9423191617</v>
      </c>
      <c r="Q81" s="16" t="s">
        <v>407</v>
      </c>
    </row>
    <row r="82" spans="1:17" ht="15.6" x14ac:dyDescent="0.3">
      <c r="A82" s="4" t="s">
        <v>388</v>
      </c>
      <c r="B82" s="14" t="s">
        <v>389</v>
      </c>
      <c r="C82" s="6">
        <v>100.56</v>
      </c>
      <c r="D82" s="6" t="s">
        <v>390</v>
      </c>
      <c r="E82" s="15">
        <v>1.8E-3</v>
      </c>
      <c r="F82" s="6">
        <v>0.87</v>
      </c>
      <c r="G82" s="3">
        <f t="shared" si="4"/>
        <v>1940000000</v>
      </c>
      <c r="H82" s="3" t="b">
        <f t="shared" si="5"/>
        <v>0</v>
      </c>
      <c r="I82" s="26">
        <f>Table13[[#This Row],[Tech]]*$T$7+Table13[[#This Row],[Beta]]*($T$6-$T$8)+$T$8</f>
        <v>9.1732000000000008E-2</v>
      </c>
      <c r="J82" s="64">
        <v>16256584.770942001</v>
      </c>
      <c r="K82" s="61">
        <f>Table13[[#This Row],[Investment]]/Table13[[#This Row],[Dollar Volume]]</f>
        <v>8.3796828716195884E-3</v>
      </c>
      <c r="L82" s="34">
        <f>IFERROR(MAX($T$11+$T$12*LN(Table13[[#This Row],[Frac ADV]]),0),0)*0.0001+0.005/Table13[[#This Row],[Stock Price]]+Table13[[#This Row],[Expense Ratio]]</f>
        <v>9.6831147023816299E-3</v>
      </c>
      <c r="M82" s="68">
        <f>(Table13[[#This Row],[Expected Return]]-Table13[[#This Row],[Tcosts]])*Table13[[#This Row],[Investment]]</f>
        <v>1333834.6592020299</v>
      </c>
      <c r="Q82" s="13" t="s">
        <v>411</v>
      </c>
    </row>
    <row r="83" spans="1:17" ht="15.6" x14ac:dyDescent="0.3">
      <c r="A83" s="4" t="s">
        <v>304</v>
      </c>
      <c r="B83" s="14" t="s">
        <v>305</v>
      </c>
      <c r="C83" s="6">
        <v>200.79</v>
      </c>
      <c r="D83" s="6" t="s">
        <v>306</v>
      </c>
      <c r="E83" s="15">
        <v>2E-3</v>
      </c>
      <c r="F83" s="6">
        <v>0.78</v>
      </c>
      <c r="G83" s="3">
        <f t="shared" si="4"/>
        <v>370860000</v>
      </c>
      <c r="H83" s="3" t="b">
        <f t="shared" si="5"/>
        <v>0</v>
      </c>
      <c r="I83" s="26">
        <f>Table13[[#This Row],[Tech]]*$T$7+Table13[[#This Row],[Beta]]*($T$6-$T$8)+$T$8</f>
        <v>8.6008000000000001E-2</v>
      </c>
      <c r="J83" s="64">
        <v>16095676.658058001</v>
      </c>
      <c r="K83" s="61">
        <f>Table13[[#This Row],[Investment]]/Table13[[#This Row],[Dollar Volume]]</f>
        <v>4.3400950919640836E-2</v>
      </c>
      <c r="L83" s="34">
        <f>IFERROR(MAX($T$11+$T$12*LN(Table13[[#This Row],[Frac ADV]]),0),0)*0.0001+0.005/Table13[[#This Row],[Stock Price]]+Table13[[#This Row],[Expense Ratio]]</f>
        <v>1.7914232844598935E-2</v>
      </c>
      <c r="M83" s="68">
        <f>(Table13[[#This Row],[Expected Return]]-Table13[[#This Row],[Tcosts]])*Table13[[#This Row],[Investment]]</f>
        <v>1096015.2585624254</v>
      </c>
      <c r="Q83" s="16" t="s">
        <v>415</v>
      </c>
    </row>
    <row r="84" spans="1:17" ht="15.6" x14ac:dyDescent="0.3">
      <c r="A84" s="2" t="s">
        <v>551</v>
      </c>
      <c r="B84" s="10" t="s">
        <v>552</v>
      </c>
      <c r="C84" s="11">
        <v>92.51</v>
      </c>
      <c r="D84" s="11" t="s">
        <v>553</v>
      </c>
      <c r="E84" s="12">
        <v>2.8E-3</v>
      </c>
      <c r="F84" s="11">
        <v>0.77</v>
      </c>
      <c r="G84" s="3">
        <f t="shared" si="4"/>
        <v>323170000</v>
      </c>
      <c r="H84" s="3" t="b">
        <f t="shared" si="5"/>
        <v>0</v>
      </c>
      <c r="I84" s="26">
        <f>Table13[[#This Row],[Tech]]*$T$7+Table13[[#This Row],[Beta]]*($T$6-$T$8)+$T$8</f>
        <v>8.5372000000000003E-2</v>
      </c>
      <c r="J84" s="64">
        <v>15993325.832847999</v>
      </c>
      <c r="K84" s="61">
        <f>Table13[[#This Row],[Investment]]/Table13[[#This Row],[Dollar Volume]]</f>
        <v>4.948889387272333E-2</v>
      </c>
      <c r="L84" s="34">
        <f>IFERROR(MAX($T$11+$T$12*LN(Table13[[#This Row],[Frac ADV]]),0),0)*0.0001+0.005/Table13[[#This Row],[Stock Price]]+Table13[[#This Row],[Expense Ratio]]</f>
        <v>1.9386351811384813E-2</v>
      </c>
      <c r="M84" s="68">
        <f>(Table13[[#This Row],[Expected Return]]-Table13[[#This Row],[Tcosts]])*Table13[[#This Row],[Investment]]</f>
        <v>1055329.971772199</v>
      </c>
      <c r="Q84" s="13" t="s">
        <v>419</v>
      </c>
    </row>
    <row r="85" spans="1:17" ht="15.6" x14ac:dyDescent="0.3">
      <c r="A85" s="4" t="s">
        <v>444</v>
      </c>
      <c r="B85" s="14" t="s">
        <v>445</v>
      </c>
      <c r="C85" s="6">
        <v>494.67</v>
      </c>
      <c r="D85" s="6" t="s">
        <v>446</v>
      </c>
      <c r="E85" s="15">
        <v>1.6000000000000001E-3</v>
      </c>
      <c r="F85" s="6">
        <v>0.86</v>
      </c>
      <c r="G85" s="3">
        <f t="shared" si="4"/>
        <v>220460000</v>
      </c>
      <c r="H85" s="3" t="b">
        <f t="shared" si="5"/>
        <v>0</v>
      </c>
      <c r="I85" s="26">
        <f>Table13[[#This Row],[Tech]]*$T$7+Table13[[#This Row],[Beta]]*($T$6-$T$8)+$T$8</f>
        <v>9.109600000000001E-2</v>
      </c>
      <c r="J85" s="64">
        <v>15795373.526103999</v>
      </c>
      <c r="K85" s="61">
        <f>Table13[[#This Row],[Investment]]/Table13[[#This Row],[Dollar Volume]]</f>
        <v>7.1647344307829083E-2</v>
      </c>
      <c r="L85" s="34">
        <f>IFERROR(MAX($T$11+$T$12*LN(Table13[[#This Row],[Frac ADV]]),0),0)*0.0001+0.005/Table13[[#This Row],[Stock Price]]+Table13[[#This Row],[Expense Ratio]]</f>
        <v>1.9954785675196152E-2</v>
      </c>
      <c r="M85" s="68">
        <f>(Table13[[#This Row],[Expected Return]]-Table13[[#This Row],[Tcosts]])*Table13[[#This Row],[Investment]]</f>
        <v>1123702.0533608976</v>
      </c>
      <c r="Q85" s="16" t="s">
        <v>423</v>
      </c>
    </row>
    <row r="86" spans="1:17" ht="15.6" x14ac:dyDescent="0.3">
      <c r="A86" s="2" t="s">
        <v>273</v>
      </c>
      <c r="B86" s="10" t="s">
        <v>274</v>
      </c>
      <c r="C86" s="11">
        <v>51.69</v>
      </c>
      <c r="D86" s="11" t="s">
        <v>275</v>
      </c>
      <c r="E86" s="12">
        <v>8.0000000000000004E-4</v>
      </c>
      <c r="F86" s="11">
        <v>0.94</v>
      </c>
      <c r="G86" s="3">
        <f t="shared" si="4"/>
        <v>3140000000</v>
      </c>
      <c r="H86" s="3" t="b">
        <f t="shared" si="5"/>
        <v>0</v>
      </c>
      <c r="I86" s="26">
        <f>Table13[[#This Row],[Tech]]*$T$7+Table13[[#This Row],[Beta]]*($T$6-$T$8)+$T$8</f>
        <v>9.6183999999999992E-2</v>
      </c>
      <c r="J86" s="64">
        <v>15778467.490263</v>
      </c>
      <c r="K86" s="61">
        <f>Table13[[#This Row],[Investment]]/Table13[[#This Row],[Dollar Volume]]</f>
        <v>5.0249896465805735E-3</v>
      </c>
      <c r="L86" s="34">
        <f>IFERROR(MAX($T$11+$T$12*LN(Table13[[#This Row],[Frac ADV]]),0),0)*0.0001+0.005/Table13[[#This Row],[Stock Price]]+Table13[[#This Row],[Expense Ratio]]</f>
        <v>6.2252465733258532E-3</v>
      </c>
      <c r="M86" s="68">
        <f>(Table13[[#This Row],[Expected Return]]-Table13[[#This Row],[Tcosts]])*Table13[[#This Row],[Investment]]</f>
        <v>1419411.2664073631</v>
      </c>
      <c r="Q86" s="13" t="s">
        <v>427</v>
      </c>
    </row>
    <row r="87" spans="1:17" ht="15.6" x14ac:dyDescent="0.3">
      <c r="A87" s="4" t="s">
        <v>348</v>
      </c>
      <c r="B87" s="14" t="s">
        <v>349</v>
      </c>
      <c r="C87" s="6">
        <v>92.24</v>
      </c>
      <c r="D87" s="6" t="s">
        <v>350</v>
      </c>
      <c r="E87" s="15">
        <v>6.9999999999999999E-4</v>
      </c>
      <c r="F87" s="6">
        <v>0.71</v>
      </c>
      <c r="G87" s="3">
        <f t="shared" si="4"/>
        <v>292390000</v>
      </c>
      <c r="H87" s="3" t="b">
        <f t="shared" si="5"/>
        <v>0</v>
      </c>
      <c r="I87" s="26">
        <f>Table13[[#This Row],[Tech]]*$T$7+Table13[[#This Row],[Beta]]*($T$6-$T$8)+$T$8</f>
        <v>8.1556000000000003E-2</v>
      </c>
      <c r="J87" s="64">
        <v>15768067.166266</v>
      </c>
      <c r="K87" s="61">
        <f>Table13[[#This Row],[Investment]]/Table13[[#This Row],[Dollar Volume]]</f>
        <v>5.3928202627538564E-2</v>
      </c>
      <c r="L87" s="34">
        <f>IFERROR(MAX($T$11+$T$12*LN(Table13[[#This Row],[Frac ADV]]),0),0)*0.0001+0.005/Table13[[#This Row],[Stock Price]]+Table13[[#This Row],[Expense Ratio]]</f>
        <v>1.7707291852419496E-2</v>
      </c>
      <c r="M87" s="68">
        <f>(Table13[[#This Row],[Expected Return]]-Table13[[#This Row],[Tcosts]])*Table13[[#This Row],[Investment]]</f>
        <v>1006770.7185503646</v>
      </c>
      <c r="Q87" s="16" t="s">
        <v>431</v>
      </c>
    </row>
    <row r="88" spans="1:17" ht="15.6" x14ac:dyDescent="0.3">
      <c r="A88" s="4" t="s">
        <v>460</v>
      </c>
      <c r="B88" s="14" t="s">
        <v>461</v>
      </c>
      <c r="C88" s="6">
        <v>228.98</v>
      </c>
      <c r="D88" s="6" t="s">
        <v>462</v>
      </c>
      <c r="E88" s="15">
        <v>5.0000000000000001E-4</v>
      </c>
      <c r="F88" s="6">
        <v>0.84</v>
      </c>
      <c r="G88" s="3">
        <f t="shared" si="4"/>
        <v>4420000000</v>
      </c>
      <c r="H88" s="3" t="b">
        <f t="shared" si="5"/>
        <v>0</v>
      </c>
      <c r="I88" s="26">
        <f>Table13[[#This Row],[Tech]]*$T$7+Table13[[#This Row],[Beta]]*($T$6-$T$8)+$T$8</f>
        <v>8.9824000000000001E-2</v>
      </c>
      <c r="J88" s="64">
        <v>15572068.454134</v>
      </c>
      <c r="K88" s="61">
        <f>Table13[[#This Row],[Investment]]/Table13[[#This Row],[Dollar Volume]]</f>
        <v>3.5230924104375566E-3</v>
      </c>
      <c r="L88" s="34">
        <f>IFERROR(MAX($T$11+$T$12*LN(Table13[[#This Row],[Frac ADV]]),0),0)*0.0001+0.005/Table13[[#This Row],[Stock Price]]+Table13[[#This Row],[Expense Ratio]]</f>
        <v>4.1110763062261312E-3</v>
      </c>
      <c r="M88" s="68">
        <f>(Table13[[#This Row],[Expected Return]]-Table13[[#This Row],[Tcosts]])*Table13[[#This Row],[Investment]]</f>
        <v>1334727.5151634107</v>
      </c>
      <c r="Q88" s="13" t="s">
        <v>435</v>
      </c>
    </row>
    <row r="89" spans="1:17" ht="15.6" x14ac:dyDescent="0.3">
      <c r="A89" s="4" t="s">
        <v>416</v>
      </c>
      <c r="B89" s="14" t="s">
        <v>417</v>
      </c>
      <c r="C89" s="6">
        <v>61.91</v>
      </c>
      <c r="D89" s="6" t="s">
        <v>418</v>
      </c>
      <c r="E89" s="15">
        <v>2.9999999999999997E-4</v>
      </c>
      <c r="F89" s="6">
        <v>0.87</v>
      </c>
      <c r="G89" s="3">
        <f t="shared" si="4"/>
        <v>220290000</v>
      </c>
      <c r="H89" s="3" t="b">
        <f t="shared" si="5"/>
        <v>0</v>
      </c>
      <c r="I89" s="26">
        <f>Table13[[#This Row],[Tech]]*$T$7+Table13[[#This Row],[Beta]]*($T$6-$T$8)+$T$8</f>
        <v>9.1732000000000008E-2</v>
      </c>
      <c r="J89" s="64">
        <v>15528888.315244</v>
      </c>
      <c r="K89" s="61">
        <f>Table13[[#This Row],[Investment]]/Table13[[#This Row],[Dollar Volume]]</f>
        <v>7.0492933475164554E-2</v>
      </c>
      <c r="L89" s="34">
        <f>IFERROR(MAX($T$11+$T$12*LN(Table13[[#This Row],[Frac ADV]]),0),0)*0.0001+0.005/Table13[[#This Row],[Stock Price]]+Table13[[#This Row],[Expense Ratio]]</f>
        <v>1.8645875741185858E-2</v>
      </c>
      <c r="M89" s="68">
        <f>(Table13[[#This Row],[Expected Return]]-Table13[[#This Row],[Tcosts]])*Table13[[#This Row],[Investment]]</f>
        <v>1134946.2610091702</v>
      </c>
      <c r="Q89" s="16" t="s">
        <v>439</v>
      </c>
    </row>
    <row r="90" spans="1:17" ht="15.6" x14ac:dyDescent="0.3">
      <c r="A90" s="4" t="s">
        <v>599</v>
      </c>
      <c r="B90" s="14" t="s">
        <v>600</v>
      </c>
      <c r="C90" s="6">
        <v>63.52</v>
      </c>
      <c r="D90" s="6" t="s">
        <v>322</v>
      </c>
      <c r="E90" s="15">
        <v>4.8999999999999998E-3</v>
      </c>
      <c r="F90" s="6">
        <v>0.8</v>
      </c>
      <c r="G90" s="3">
        <f t="shared" si="4"/>
        <v>6060000000</v>
      </c>
      <c r="H90" s="3" t="b">
        <f t="shared" si="5"/>
        <v>0</v>
      </c>
      <c r="I90" s="26">
        <f>Table13[[#This Row],[Tech]]*$T$7+Table13[[#This Row],[Beta]]*($T$6-$T$8)+$T$8</f>
        <v>8.728000000000001E-2</v>
      </c>
      <c r="J90" s="64">
        <v>15408776.708419001</v>
      </c>
      <c r="K90" s="61">
        <f>Table13[[#This Row],[Investment]]/Table13[[#This Row],[Dollar Volume]]</f>
        <v>2.5427024271318481E-3</v>
      </c>
      <c r="L90" s="34">
        <f>IFERROR(MAX($T$11+$T$12*LN(Table13[[#This Row],[Frac ADV]]),0),0)*0.0001+0.005/Table13[[#This Row],[Stock Price]]+Table13[[#This Row],[Expense Ratio]]</f>
        <v>6.9705937154926866E-3</v>
      </c>
      <c r="M90" s="68">
        <f>(Table13[[#This Row],[Expected Return]]-Table13[[#This Row],[Tcosts]])*Table13[[#This Row],[Investment]]</f>
        <v>1237469.709023675</v>
      </c>
      <c r="Q90" s="13" t="s">
        <v>443</v>
      </c>
    </row>
    <row r="91" spans="1:17" ht="15.6" x14ac:dyDescent="0.3">
      <c r="A91" s="2" t="s">
        <v>472</v>
      </c>
      <c r="B91" s="10" t="s">
        <v>473</v>
      </c>
      <c r="C91" s="11">
        <v>93.37</v>
      </c>
      <c r="D91" s="11" t="s">
        <v>474</v>
      </c>
      <c r="E91" s="12">
        <v>4.8999999999999998E-3</v>
      </c>
      <c r="F91" s="11">
        <v>0.87</v>
      </c>
      <c r="G91" s="3">
        <f t="shared" si="4"/>
        <v>131539999.99999999</v>
      </c>
      <c r="H91" s="3" t="b">
        <f t="shared" si="5"/>
        <v>0</v>
      </c>
      <c r="I91" s="26">
        <f>Table13[[#This Row],[Tech]]*$T$7+Table13[[#This Row],[Beta]]*($T$6-$T$8)+$T$8</f>
        <v>9.1732000000000008E-2</v>
      </c>
      <c r="J91" s="64">
        <v>15340804.412114</v>
      </c>
      <c r="K91" s="61">
        <f>Table13[[#This Row],[Investment]]/Table13[[#This Row],[Dollar Volume]]</f>
        <v>0.11662463442385587</v>
      </c>
      <c r="L91" s="34">
        <f>IFERROR(MAX($T$11+$T$12*LN(Table13[[#This Row],[Frac ADV]]),0),0)*0.0001+0.005/Table13[[#This Row],[Stock Price]]+Table13[[#This Row],[Expense Ratio]]</f>
        <v>2.5684655808065317E-2</v>
      </c>
      <c r="M91" s="68">
        <f>(Table13[[#This Row],[Expected Return]]-Table13[[#This Row],[Tcosts]])*Table13[[#This Row],[Investment]]</f>
        <v>1013219.3891880438</v>
      </c>
      <c r="Q91" s="16" t="s">
        <v>447</v>
      </c>
    </row>
    <row r="92" spans="1:17" ht="15.6" x14ac:dyDescent="0.3">
      <c r="A92" s="4" t="s">
        <v>400</v>
      </c>
      <c r="B92" s="14" t="s">
        <v>401</v>
      </c>
      <c r="C92" s="6">
        <v>298.35000000000002</v>
      </c>
      <c r="D92" s="6" t="s">
        <v>402</v>
      </c>
      <c r="E92" s="15">
        <v>2.9999999999999997E-4</v>
      </c>
      <c r="F92" s="6">
        <v>0.83</v>
      </c>
      <c r="G92" s="3">
        <f t="shared" si="4"/>
        <v>171250000</v>
      </c>
      <c r="H92" s="3" t="b">
        <f t="shared" si="5"/>
        <v>0</v>
      </c>
      <c r="I92" s="26">
        <f>Table13[[#This Row],[Tech]]*$T$7+Table13[[#This Row],[Beta]]*($T$6-$T$8)+$T$8</f>
        <v>8.9188000000000003E-2</v>
      </c>
      <c r="J92" s="64">
        <v>15285572.828144001</v>
      </c>
      <c r="K92" s="61">
        <f>Table13[[#This Row],[Investment]]/Table13[[#This Row],[Dollar Volume]]</f>
        <v>8.9258819434417519E-2</v>
      </c>
      <c r="L92" s="34">
        <f>IFERROR(MAX($T$11+$T$12*LN(Table13[[#This Row],[Frac ADV]]),0),0)*0.0001+0.005/Table13[[#This Row],[Stock Price]]+Table13[[#This Row],[Expense Ratio]]</f>
        <v>1.973798469044374E-2</v>
      </c>
      <c r="M92" s="68">
        <f>(Table13[[#This Row],[Expected Return]]-Table13[[#This Row],[Tcosts]])*Table13[[#This Row],[Investment]]</f>
        <v>1061583.266929938</v>
      </c>
      <c r="Q92" s="13" t="s">
        <v>451</v>
      </c>
    </row>
    <row r="93" spans="1:17" ht="15.6" x14ac:dyDescent="0.3">
      <c r="A93" s="2" t="s">
        <v>396</v>
      </c>
      <c r="B93" s="10" t="s">
        <v>397</v>
      </c>
      <c r="C93" s="11">
        <v>172.75</v>
      </c>
      <c r="D93" s="11" t="s">
        <v>398</v>
      </c>
      <c r="E93" s="12">
        <v>8.0000000000000004E-4</v>
      </c>
      <c r="F93" s="11">
        <v>0.92</v>
      </c>
      <c r="G93" s="3">
        <f t="shared" si="4"/>
        <v>2910000000</v>
      </c>
      <c r="H93" s="3" t="b">
        <f t="shared" si="5"/>
        <v>0</v>
      </c>
      <c r="I93" s="26">
        <f>Table13[[#This Row],[Tech]]*$T$7+Table13[[#This Row],[Beta]]*($T$6-$T$8)+$T$8</f>
        <v>9.491200000000001E-2</v>
      </c>
      <c r="J93" s="64">
        <v>15057572.564243</v>
      </c>
      <c r="K93" s="61">
        <f>Table13[[#This Row],[Investment]]/Table13[[#This Row],[Dollar Volume]]</f>
        <v>5.1744235615955323E-3</v>
      </c>
      <c r="L93" s="34">
        <f>IFERROR(MAX($T$11+$T$12*LN(Table13[[#This Row],[Frac ADV]]),0),0)*0.0001+0.005/Table13[[#This Row],[Stock Price]]+Table13[[#This Row],[Expense Ratio]]</f>
        <v>6.3009993367809042E-3</v>
      </c>
      <c r="M93" s="68">
        <f>(Table13[[#This Row],[Expected Return]]-Table13[[#This Row],[Tcosts]])*Table13[[#This Row],[Investment]]</f>
        <v>1334266.5724766061</v>
      </c>
      <c r="Q93" s="16" t="s">
        <v>455</v>
      </c>
    </row>
    <row r="94" spans="1:17" ht="15.6" x14ac:dyDescent="0.3">
      <c r="A94" s="4" t="s">
        <v>432</v>
      </c>
      <c r="B94" s="14" t="s">
        <v>433</v>
      </c>
      <c r="C94" s="6">
        <v>145.96</v>
      </c>
      <c r="D94" s="6" t="s">
        <v>434</v>
      </c>
      <c r="E94" s="15">
        <v>5.9999999999999995E-4</v>
      </c>
      <c r="F94" s="6">
        <v>0.89</v>
      </c>
      <c r="G94" s="3">
        <f t="shared" si="4"/>
        <v>173490000</v>
      </c>
      <c r="H94" s="3" t="b">
        <f t="shared" si="5"/>
        <v>0</v>
      </c>
      <c r="I94" s="26">
        <f>Table13[[#This Row],[Tech]]*$T$7+Table13[[#This Row],[Beta]]*($T$6-$T$8)+$T$8</f>
        <v>9.3004000000000003E-2</v>
      </c>
      <c r="J94" s="64">
        <v>14870540.341452001</v>
      </c>
      <c r="K94" s="61">
        <f>Table13[[#This Row],[Investment]]/Table13[[#This Row],[Dollar Volume]]</f>
        <v>8.5714106527477088E-2</v>
      </c>
      <c r="L94" s="34">
        <f>IFERROR(MAX($T$11+$T$12*LN(Table13[[#This Row],[Frac ADV]]),0),0)*0.0001+0.005/Table13[[#This Row],[Stock Price]]+Table13[[#This Row],[Expense Ratio]]</f>
        <v>1.9856992720356483E-2</v>
      </c>
      <c r="M94" s="68">
        <f>(Table13[[#This Row],[Expected Return]]-Table13[[#This Row],[Tcosts]])*Table13[[#This Row],[Investment]]</f>
        <v>1087735.522608422</v>
      </c>
      <c r="Q94" s="13" t="s">
        <v>459</v>
      </c>
    </row>
    <row r="95" spans="1:17" ht="15.6" x14ac:dyDescent="0.3">
      <c r="A95" s="4" t="s">
        <v>606</v>
      </c>
      <c r="B95" s="14" t="s">
        <v>607</v>
      </c>
      <c r="C95" s="6">
        <v>37.71</v>
      </c>
      <c r="D95" s="6" t="s">
        <v>608</v>
      </c>
      <c r="E95" s="15">
        <v>2.3E-3</v>
      </c>
      <c r="F95" s="6">
        <v>0.65</v>
      </c>
      <c r="G95" s="3">
        <f t="shared" si="4"/>
        <v>85390000</v>
      </c>
      <c r="H95" s="3" t="b">
        <f t="shared" si="5"/>
        <v>0</v>
      </c>
      <c r="I95" s="26">
        <f>Table13[[#This Row],[Tech]]*$T$7+Table13[[#This Row],[Beta]]*($T$6-$T$8)+$T$8</f>
        <v>7.7740000000000004E-2</v>
      </c>
      <c r="J95" s="64">
        <v>14835575.287007</v>
      </c>
      <c r="K95" s="61">
        <f>Table13[[#This Row],[Investment]]/Table13[[#This Row],[Dollar Volume]]</f>
        <v>0.17373902432377328</v>
      </c>
      <c r="L95" s="34">
        <f>IFERROR(MAX($T$11+$T$12*LN(Table13[[#This Row],[Frac ADV]]),0),0)*0.0001+0.005/Table13[[#This Row],[Stock Price]]+Table13[[#This Row],[Expense Ratio]]</f>
        <v>2.5116090565076674E-2</v>
      </c>
      <c r="M95" s="68">
        <f>(Table13[[#This Row],[Expected Return]]-Table13[[#This Row],[Tcosts]])*Table13[[#This Row],[Investment]]</f>
        <v>780705.97031844303</v>
      </c>
      <c r="Q95" s="16" t="s">
        <v>463</v>
      </c>
    </row>
    <row r="96" spans="1:17" ht="15.6" x14ac:dyDescent="0.3">
      <c r="A96" s="4" t="s">
        <v>436</v>
      </c>
      <c r="B96" s="14" t="s">
        <v>437</v>
      </c>
      <c r="C96" s="6">
        <v>218.98</v>
      </c>
      <c r="D96" s="6" t="s">
        <v>438</v>
      </c>
      <c r="E96" s="15">
        <v>1.8E-3</v>
      </c>
      <c r="F96" s="6">
        <v>0.77</v>
      </c>
      <c r="G96" s="3">
        <f t="shared" si="4"/>
        <v>1530000000</v>
      </c>
      <c r="H96" s="3" t="b">
        <f t="shared" si="5"/>
        <v>0</v>
      </c>
      <c r="I96" s="26">
        <f>Table13[[#This Row],[Tech]]*$T$7+Table13[[#This Row],[Beta]]*($T$6-$T$8)+$T$8</f>
        <v>8.5372000000000003E-2</v>
      </c>
      <c r="J96" s="64">
        <v>14830892.111653</v>
      </c>
      <c r="K96" s="61">
        <f>Table13[[#This Row],[Investment]]/Table13[[#This Row],[Dollar Volume]]</f>
        <v>9.6933935370281041E-3</v>
      </c>
      <c r="L96" s="34">
        <f>IFERROR(MAX($T$11+$T$12*LN(Table13[[#This Row],[Frac ADV]]),0),0)*0.0001+0.005/Table13[[#This Row],[Stock Price]]+Table13[[#This Row],[Expense Ratio]]</f>
        <v>1.0369574022670601E-2</v>
      </c>
      <c r="M96" s="68">
        <f>(Table13[[#This Row],[Expected Return]]-Table13[[#This Row],[Tcosts]])*Table13[[#This Row],[Investment]]</f>
        <v>1112352.8877820126</v>
      </c>
      <c r="Q96" s="13" t="s">
        <v>467</v>
      </c>
    </row>
    <row r="97" spans="1:17" ht="15.6" x14ac:dyDescent="0.3">
      <c r="A97" s="4" t="s">
        <v>452</v>
      </c>
      <c r="B97" s="14" t="s">
        <v>453</v>
      </c>
      <c r="C97" s="6">
        <v>130.80000000000001</v>
      </c>
      <c r="D97" s="6" t="s">
        <v>454</v>
      </c>
      <c r="E97" s="15">
        <v>5.8999999999999999E-3</v>
      </c>
      <c r="F97" s="6">
        <v>0.9</v>
      </c>
      <c r="G97" s="3">
        <f t="shared" si="4"/>
        <v>334300000</v>
      </c>
      <c r="H97" s="3" t="b">
        <f t="shared" si="5"/>
        <v>0</v>
      </c>
      <c r="I97" s="26">
        <f>Table13[[#This Row],[Tech]]*$T$7+Table13[[#This Row],[Beta]]*($T$6-$T$8)+$T$8</f>
        <v>9.3640000000000001E-2</v>
      </c>
      <c r="J97" s="64">
        <v>14771151.297432</v>
      </c>
      <c r="K97" s="61">
        <f>Table13[[#This Row],[Investment]]/Table13[[#This Row],[Dollar Volume]]</f>
        <v>4.4185316474519891E-2</v>
      </c>
      <c r="L97" s="34">
        <f>IFERROR(MAX($T$11+$T$12*LN(Table13[[#This Row],[Frac ADV]]),0),0)*0.0001+0.005/Table13[[#This Row],[Stock Price]]+Table13[[#This Row],[Expense Ratio]]</f>
        <v>2.1915290128047563E-2</v>
      </c>
      <c r="M97" s="68">
        <f>(Table13[[#This Row],[Expected Return]]-Table13[[#This Row],[Tcosts]])*Table13[[#This Row],[Investment]]</f>
        <v>1059456.541283024</v>
      </c>
      <c r="Q97" s="16" t="s">
        <v>471</v>
      </c>
    </row>
    <row r="98" spans="1:17" ht="15.6" x14ac:dyDescent="0.3">
      <c r="A98" s="2" t="s">
        <v>468</v>
      </c>
      <c r="B98" s="10" t="s">
        <v>469</v>
      </c>
      <c r="C98" s="11">
        <v>104.15</v>
      </c>
      <c r="D98" s="11" t="s">
        <v>470</v>
      </c>
      <c r="E98" s="12">
        <v>3.2000000000000002E-3</v>
      </c>
      <c r="F98" s="11">
        <v>0.73</v>
      </c>
      <c r="G98" s="3">
        <f t="shared" ref="G98:G129" si="6">IF(RIGHT(Q98,1)="B", VALUE(SUBSTITUTE(Q98,"B",""))*1000000000,
 IF(RIGHT(Q98,1)="M", VALUE(SUBSTITUTE(Q98,"M",""))*1000000, VALUE(Q98)))</f>
        <v>929280000</v>
      </c>
      <c r="H98" s="3" t="b">
        <f t="shared" ref="H98:H129" si="7">OR(
  ISNUMBER(SEARCH("technology",B98)),
  ISNUMBER(SEARCH("tech",B98)),
  ISNUMBER(SEARCH("qqq",B98)),
  ISNUMBER(SEARCH("semiconductor",B98)),
  ISNUMBER(SEARCH("information technology",B98)),
  ISNUMBER(SEARCH("nasdaq",B98)),
  ISNUMBER(SEARCH("communication",B98))
)</f>
        <v>0</v>
      </c>
      <c r="I98" s="26">
        <f>Table13[[#This Row],[Tech]]*$T$7+Table13[[#This Row],[Beta]]*($T$6-$T$8)+$T$8</f>
        <v>8.2828000000000013E-2</v>
      </c>
      <c r="J98" s="64">
        <v>14421006.718039</v>
      </c>
      <c r="K98" s="61">
        <f>Table13[[#This Row],[Investment]]/Table13[[#This Row],[Dollar Volume]]</f>
        <v>1.5518473138385632E-2</v>
      </c>
      <c r="L98" s="34">
        <f>IFERROR(MAX($T$11+$T$12*LN(Table13[[#This Row],[Frac ADV]]),0),0)*0.0001+0.005/Table13[[#This Row],[Stock Price]]+Table13[[#This Row],[Expense Ratio]]</f>
        <v>1.4099778261928035E-2</v>
      </c>
      <c r="M98" s="68">
        <f>(Table13[[#This Row],[Expected Return]]-Table13[[#This Row],[Tcosts]])*Table13[[#This Row],[Investment]]</f>
        <v>991130.14740360994</v>
      </c>
      <c r="Q98" s="13" t="s">
        <v>475</v>
      </c>
    </row>
    <row r="99" spans="1:17" ht="15.6" x14ac:dyDescent="0.3">
      <c r="A99" s="4" t="s">
        <v>515</v>
      </c>
      <c r="B99" s="14" t="s">
        <v>516</v>
      </c>
      <c r="C99" s="6">
        <v>28.79</v>
      </c>
      <c r="D99" s="6" t="s">
        <v>517</v>
      </c>
      <c r="E99" s="15">
        <v>2.5000000000000001E-3</v>
      </c>
      <c r="F99" s="6">
        <v>0.82</v>
      </c>
      <c r="G99" s="3">
        <f t="shared" si="6"/>
        <v>106450000</v>
      </c>
      <c r="H99" s="3" t="b">
        <f t="shared" si="7"/>
        <v>0</v>
      </c>
      <c r="I99" s="26">
        <f>Table13[[#This Row],[Tech]]*$T$7+Table13[[#This Row],[Beta]]*($T$6-$T$8)+$T$8</f>
        <v>8.8551999999999992E-2</v>
      </c>
      <c r="J99" s="64">
        <v>14324230.698788</v>
      </c>
      <c r="K99" s="61">
        <f>Table13[[#This Row],[Investment]]/Table13[[#This Row],[Dollar Volume]]</f>
        <v>0.13456299388246126</v>
      </c>
      <c r="L99" s="34">
        <f>IFERROR(MAX($T$11+$T$12*LN(Table13[[#This Row],[Frac ADV]]),0),0)*0.0001+0.005/Table13[[#This Row],[Stock Price]]+Table13[[#This Row],[Expense Ratio]]</f>
        <v>2.4105572513386384E-2</v>
      </c>
      <c r="M99" s="68">
        <f>(Table13[[#This Row],[Expected Return]]-Table13[[#This Row],[Tcosts]])*Table13[[#This Row],[Investment]]</f>
        <v>923145.49503096542</v>
      </c>
      <c r="Q99" s="16" t="s">
        <v>479</v>
      </c>
    </row>
    <row r="100" spans="1:17" ht="15.6" x14ac:dyDescent="0.3">
      <c r="A100" s="4" t="s">
        <v>523</v>
      </c>
      <c r="B100" s="14" t="s">
        <v>524</v>
      </c>
      <c r="C100" s="6">
        <v>58.66</v>
      </c>
      <c r="D100" s="6" t="s">
        <v>525</v>
      </c>
      <c r="E100" s="15">
        <v>4.0000000000000002E-4</v>
      </c>
      <c r="F100" s="6">
        <v>0.77</v>
      </c>
      <c r="G100" s="3">
        <f t="shared" si="6"/>
        <v>458210000</v>
      </c>
      <c r="H100" s="3" t="b">
        <f t="shared" si="7"/>
        <v>0</v>
      </c>
      <c r="I100" s="26">
        <f>Table13[[#This Row],[Tech]]*$T$7+Table13[[#This Row],[Beta]]*($T$6-$T$8)+$T$8</f>
        <v>8.5372000000000003E-2</v>
      </c>
      <c r="J100" s="64">
        <v>13900101.078127</v>
      </c>
      <c r="K100" s="61">
        <f>Table13[[#This Row],[Investment]]/Table13[[#This Row],[Dollar Volume]]</f>
        <v>3.0335656310702518E-2</v>
      </c>
      <c r="L100" s="34">
        <f>IFERROR(MAX($T$11+$T$12*LN(Table13[[#This Row],[Frac ADV]]),0),0)*0.0001+0.005/Table13[[#This Row],[Stock Price]]+Table13[[#This Row],[Expense Ratio]]</f>
        <v>1.4620238827486235E-2</v>
      </c>
      <c r="M100" s="68">
        <f>(Table13[[#This Row],[Expected Return]]-Table13[[#This Row],[Tcosts]])*Table13[[#This Row],[Investment]]</f>
        <v>983456.63175344258</v>
      </c>
      <c r="Q100" s="13" t="s">
        <v>483</v>
      </c>
    </row>
    <row r="101" spans="1:17" ht="15.6" x14ac:dyDescent="0.3">
      <c r="A101" s="2" t="s">
        <v>602</v>
      </c>
      <c r="B101" s="10" t="s">
        <v>603</v>
      </c>
      <c r="C101" s="11">
        <v>102.87</v>
      </c>
      <c r="D101" s="11" t="s">
        <v>604</v>
      </c>
      <c r="E101" s="12">
        <v>2E-3</v>
      </c>
      <c r="F101" s="11">
        <v>0.72</v>
      </c>
      <c r="G101" s="3">
        <f t="shared" si="6"/>
        <v>754920000</v>
      </c>
      <c r="H101" s="3" t="b">
        <f t="shared" si="7"/>
        <v>0</v>
      </c>
      <c r="I101" s="26">
        <f>Table13[[#This Row],[Tech]]*$T$7+Table13[[#This Row],[Beta]]*($T$6-$T$8)+$T$8</f>
        <v>8.2192000000000001E-2</v>
      </c>
      <c r="J101" s="64">
        <v>13898931.892233999</v>
      </c>
      <c r="K101" s="61">
        <f>Table13[[#This Row],[Investment]]/Table13[[#This Row],[Dollar Volume]]</f>
        <v>1.8411132162658293E-2</v>
      </c>
      <c r="L101" s="34">
        <f>IFERROR(MAX($T$11+$T$12*LN(Table13[[#This Row],[Frac ADV]]),0),0)*0.0001+0.005/Table13[[#This Row],[Stock Price]]+Table13[[#This Row],[Expense Ratio]]</f>
        <v>1.3737598275969641E-2</v>
      </c>
      <c r="M101" s="68">
        <f>(Table13[[#This Row],[Expected Return]]-Table13[[#This Row],[Tcosts]])*Table13[[#This Row],[Investment]]</f>
        <v>951443.06728592364</v>
      </c>
      <c r="Q101" s="16" t="s">
        <v>487</v>
      </c>
    </row>
    <row r="102" spans="1:17" ht="15.6" x14ac:dyDescent="0.3">
      <c r="A102" s="2" t="s">
        <v>368</v>
      </c>
      <c r="B102" s="10" t="s">
        <v>369</v>
      </c>
      <c r="C102" s="11">
        <v>90.28</v>
      </c>
      <c r="D102" s="11" t="s">
        <v>370</v>
      </c>
      <c r="E102" s="12">
        <v>2.3E-3</v>
      </c>
      <c r="F102" s="11">
        <v>0.68</v>
      </c>
      <c r="G102" s="3">
        <f t="shared" si="6"/>
        <v>127800000</v>
      </c>
      <c r="H102" s="3" t="b">
        <f t="shared" si="7"/>
        <v>0</v>
      </c>
      <c r="I102" s="26">
        <f>Table13[[#This Row],[Tech]]*$T$7+Table13[[#This Row],[Beta]]*($T$6-$T$8)+$T$8</f>
        <v>7.964800000000001E-2</v>
      </c>
      <c r="J102" s="64">
        <v>13898300.275087001</v>
      </c>
      <c r="K102" s="61">
        <f>Table13[[#This Row],[Investment]]/Table13[[#This Row],[Dollar Volume]]</f>
        <v>0.10875039338878717</v>
      </c>
      <c r="L102" s="34">
        <f>IFERROR(MAX($T$11+$T$12*LN(Table13[[#This Row],[Frac ADV]]),0),0)*0.0001+0.005/Table13[[#This Row],[Stock Price]]+Table13[[#This Row],[Expense Ratio]]</f>
        <v>2.2744078445620583E-2</v>
      </c>
      <c r="M102" s="68">
        <f>(Table13[[#This Row],[Expected Return]]-Table13[[#This Row],[Tcosts]])*Table13[[#This Row],[Investment]]</f>
        <v>790867.78859276068</v>
      </c>
      <c r="Q102" s="13" t="s">
        <v>491</v>
      </c>
    </row>
    <row r="103" spans="1:17" ht="15.6" x14ac:dyDescent="0.3">
      <c r="A103" s="4" t="s">
        <v>531</v>
      </c>
      <c r="B103" s="14" t="s">
        <v>532</v>
      </c>
      <c r="C103" s="6">
        <v>36.07</v>
      </c>
      <c r="D103" s="6" t="s">
        <v>533</v>
      </c>
      <c r="E103" s="15">
        <v>2.8999999999999998E-3</v>
      </c>
      <c r="F103" s="6">
        <v>0.66</v>
      </c>
      <c r="G103" s="3">
        <f t="shared" si="6"/>
        <v>280020000</v>
      </c>
      <c r="H103" s="3" t="b">
        <f t="shared" si="7"/>
        <v>0</v>
      </c>
      <c r="I103" s="26">
        <f>Table13[[#This Row],[Tech]]*$T$7+Table13[[#This Row],[Beta]]*($T$6-$T$8)+$T$8</f>
        <v>7.8376000000000001E-2</v>
      </c>
      <c r="J103" s="64">
        <v>13876663.252064001</v>
      </c>
      <c r="K103" s="61">
        <f>Table13[[#This Row],[Investment]]/Table13[[#This Row],[Dollar Volume]]</f>
        <v>4.9555971902235554E-2</v>
      </c>
      <c r="L103" s="34">
        <f>IFERROR(MAX($T$11+$T$12*LN(Table13[[#This Row],[Frac ADV]]),0),0)*0.0001+0.005/Table13[[#This Row],[Stock Price]]+Table13[[#This Row],[Expense Ratio]]</f>
        <v>1.957755756166003E-2</v>
      </c>
      <c r="M103" s="68">
        <f>(Table13[[#This Row],[Expected Return]]-Table13[[#This Row],[Tcosts]])*Table13[[#This Row],[Investment]]</f>
        <v>815926.18546271266</v>
      </c>
      <c r="Q103" s="16" t="s">
        <v>495</v>
      </c>
    </row>
    <row r="104" spans="1:17" ht="15.6" x14ac:dyDescent="0.3">
      <c r="A104" s="2" t="s">
        <v>324</v>
      </c>
      <c r="B104" s="10" t="s">
        <v>325</v>
      </c>
      <c r="C104" s="11">
        <v>151.69999999999999</v>
      </c>
      <c r="D104" s="11" t="s">
        <v>326</v>
      </c>
      <c r="E104" s="12">
        <v>5.0000000000000001E-4</v>
      </c>
      <c r="F104" s="11">
        <v>0.69</v>
      </c>
      <c r="G104" s="3">
        <f t="shared" si="6"/>
        <v>125040000</v>
      </c>
      <c r="H104" s="3" t="b">
        <f t="shared" si="7"/>
        <v>0</v>
      </c>
      <c r="I104" s="26">
        <f>Table13[[#This Row],[Tech]]*$T$7+Table13[[#This Row],[Beta]]*($T$6-$T$8)+$T$8</f>
        <v>8.0283999999999994E-2</v>
      </c>
      <c r="J104" s="64">
        <v>13803816.932828</v>
      </c>
      <c r="K104" s="61">
        <f>Table13[[#This Row],[Investment]]/Table13[[#This Row],[Dollar Volume]]</f>
        <v>0.11039520899574536</v>
      </c>
      <c r="L104" s="34">
        <f>IFERROR(MAX($T$11+$T$12*LN(Table13[[#This Row],[Frac ADV]]),0),0)*0.0001+0.005/Table13[[#This Row],[Stock Price]]+Table13[[#This Row],[Expense Ratio]]</f>
        <v>2.0995184144965196E-2</v>
      </c>
      <c r="M104" s="68">
        <f>(Table13[[#This Row],[Expected Return]]-Table13[[#This Row],[Tcosts]])*Table13[[#This Row],[Investment]]</f>
        <v>818411.96022705059</v>
      </c>
      <c r="Q104" s="13" t="s">
        <v>498</v>
      </c>
    </row>
    <row r="105" spans="1:17" ht="15.6" x14ac:dyDescent="0.3">
      <c r="A105" s="4" t="s">
        <v>543</v>
      </c>
      <c r="B105" s="14" t="s">
        <v>544</v>
      </c>
      <c r="C105" s="6">
        <v>89.17</v>
      </c>
      <c r="D105" s="6" t="s">
        <v>545</v>
      </c>
      <c r="E105" s="15">
        <v>4.0000000000000002E-4</v>
      </c>
      <c r="F105" s="6">
        <v>0.71</v>
      </c>
      <c r="G105" s="3">
        <f t="shared" si="6"/>
        <v>224410000</v>
      </c>
      <c r="H105" s="3" t="b">
        <f t="shared" si="7"/>
        <v>0</v>
      </c>
      <c r="I105" s="26">
        <f>Table13[[#This Row],[Tech]]*$T$7+Table13[[#This Row],[Beta]]*($T$6-$T$8)+$T$8</f>
        <v>8.1556000000000003E-2</v>
      </c>
      <c r="J105" s="64">
        <v>13782725.143697999</v>
      </c>
      <c r="K105" s="61">
        <f>Table13[[#This Row],[Investment]]/Table13[[#This Row],[Dollar Volume]]</f>
        <v>6.1417606807619977E-2</v>
      </c>
      <c r="L105" s="34">
        <f>IFERROR(MAX($T$11+$T$12*LN(Table13[[#This Row],[Frac ADV]]),0),0)*0.0001+0.005/Table13[[#This Row],[Stock Price]]+Table13[[#This Row],[Expense Ratio]]</f>
        <v>1.8046135302025687E-2</v>
      </c>
      <c r="M105" s="68">
        <f>(Table13[[#This Row],[Expected Return]]-Table13[[#This Row],[Tcosts]])*Table13[[#This Row],[Investment]]</f>
        <v>875339.0090456286</v>
      </c>
      <c r="Q105" s="16" t="s">
        <v>502</v>
      </c>
    </row>
    <row r="106" spans="1:17" ht="15.6" x14ac:dyDescent="0.3">
      <c r="A106" s="2" t="s">
        <v>507</v>
      </c>
      <c r="B106" s="10" t="s">
        <v>508</v>
      </c>
      <c r="C106" s="11">
        <v>222.21</v>
      </c>
      <c r="D106" s="11" t="s">
        <v>509</v>
      </c>
      <c r="E106" s="12">
        <v>1.8E-3</v>
      </c>
      <c r="F106" s="11">
        <v>0.75</v>
      </c>
      <c r="G106" s="3">
        <f t="shared" si="6"/>
        <v>153360000</v>
      </c>
      <c r="H106" s="3" t="b">
        <f t="shared" si="7"/>
        <v>0</v>
      </c>
      <c r="I106" s="26">
        <f>Table13[[#This Row],[Tech]]*$T$7+Table13[[#This Row],[Beta]]*($T$6-$T$8)+$T$8</f>
        <v>8.4100000000000008E-2</v>
      </c>
      <c r="J106" s="64">
        <v>13764012.684635</v>
      </c>
      <c r="K106" s="61">
        <f>Table13[[#This Row],[Investment]]/Table13[[#This Row],[Dollar Volume]]</f>
        <v>8.9749691475189103E-2</v>
      </c>
      <c r="L106" s="34">
        <f>IFERROR(MAX($T$11+$T$12*LN(Table13[[#This Row],[Frac ADV]]),0),0)*0.0001+0.005/Table13[[#This Row],[Stock Price]]+Table13[[#This Row],[Expense Ratio]]</f>
        <v>2.1270590594810037E-2</v>
      </c>
      <c r="M106" s="68">
        <f>(Table13[[#This Row],[Expected Return]]-Table13[[#This Row],[Tcosts]])*Table13[[#This Row],[Investment]]</f>
        <v>864784.78802116029</v>
      </c>
      <c r="Q106" s="13" t="s">
        <v>506</v>
      </c>
    </row>
    <row r="107" spans="1:17" ht="15.6" x14ac:dyDescent="0.3">
      <c r="A107" s="4" t="s">
        <v>233</v>
      </c>
      <c r="B107" s="14" t="s">
        <v>234</v>
      </c>
      <c r="C107" s="6">
        <v>226.52</v>
      </c>
      <c r="D107" s="6" t="s">
        <v>235</v>
      </c>
      <c r="E107" s="15">
        <v>4.0000000000000002E-4</v>
      </c>
      <c r="F107" s="6">
        <v>0.78</v>
      </c>
      <c r="G107" s="3">
        <f t="shared" si="6"/>
        <v>511880000</v>
      </c>
      <c r="H107" s="3" t="b">
        <f t="shared" si="7"/>
        <v>0</v>
      </c>
      <c r="I107" s="26">
        <f>Table13[[#This Row],[Tech]]*$T$7+Table13[[#This Row],[Beta]]*($T$6-$T$8)+$T$8</f>
        <v>8.6008000000000001E-2</v>
      </c>
      <c r="J107" s="64">
        <v>13721991.461169001</v>
      </c>
      <c r="K107" s="61">
        <f>Table13[[#This Row],[Investment]]/Table13[[#This Row],[Dollar Volume]]</f>
        <v>2.6807047474347506E-2</v>
      </c>
      <c r="L107" s="34">
        <f>IFERROR(MAX($T$11+$T$12*LN(Table13[[#This Row],[Frac ADV]]),0),0)*0.0001+0.005/Table13[[#This Row],[Stock Price]]+Table13[[#This Row],[Expense Ratio]]</f>
        <v>1.395136787670471E-2</v>
      </c>
      <c r="M107" s="68">
        <f>(Table13[[#This Row],[Expected Return]]-Table13[[#This Row],[Tcosts]])*Table13[[#This Row],[Investment]]</f>
        <v>988760.49071645387</v>
      </c>
      <c r="Q107" s="16" t="s">
        <v>510</v>
      </c>
    </row>
    <row r="108" spans="1:17" ht="15.6" x14ac:dyDescent="0.3">
      <c r="A108" s="2" t="s">
        <v>587</v>
      </c>
      <c r="B108" s="10" t="s">
        <v>588</v>
      </c>
      <c r="C108" s="11">
        <v>83.77</v>
      </c>
      <c r="D108" s="11" t="s">
        <v>589</v>
      </c>
      <c r="E108" s="12">
        <v>2.5000000000000001E-3</v>
      </c>
      <c r="F108" s="11">
        <v>0.73</v>
      </c>
      <c r="G108" s="3">
        <f t="shared" si="6"/>
        <v>98130000</v>
      </c>
      <c r="H108" s="3" t="b">
        <f t="shared" si="7"/>
        <v>0</v>
      </c>
      <c r="I108" s="26">
        <f>Table13[[#This Row],[Tech]]*$T$7+Table13[[#This Row],[Beta]]*($T$6-$T$8)+$T$8</f>
        <v>8.2828000000000013E-2</v>
      </c>
      <c r="J108" s="64">
        <v>13695520.722323</v>
      </c>
      <c r="K108" s="61">
        <f>Table13[[#This Row],[Investment]]/Table13[[#This Row],[Dollar Volume]]</f>
        <v>0.1395650741090696</v>
      </c>
      <c r="L108" s="34">
        <f>IFERROR(MAX($T$11+$T$12*LN(Table13[[#This Row],[Frac ADV]]),0),0)*0.0001+0.005/Table13[[#This Row],[Stock Price]]+Table13[[#This Row],[Expense Ratio]]</f>
        <v>2.4170365633229655E-2</v>
      </c>
      <c r="M108" s="68">
        <f>(Table13[[#This Row],[Expected Return]]-Table13[[#This Row],[Tcosts]])*Table13[[#This Row],[Investment]]</f>
        <v>803346.84699254925</v>
      </c>
      <c r="Q108" s="13" t="s">
        <v>514</v>
      </c>
    </row>
    <row r="109" spans="1:17" ht="15.6" x14ac:dyDescent="0.3">
      <c r="A109" s="4" t="s">
        <v>464</v>
      </c>
      <c r="B109" s="14" t="s">
        <v>465</v>
      </c>
      <c r="C109" s="6">
        <v>97.2</v>
      </c>
      <c r="D109" s="6" t="s">
        <v>466</v>
      </c>
      <c r="E109" s="15">
        <v>6.9999999999999999E-4</v>
      </c>
      <c r="F109" s="6">
        <v>0.73</v>
      </c>
      <c r="G109" s="3">
        <f t="shared" si="6"/>
        <v>1900000000</v>
      </c>
      <c r="H109" s="3" t="b">
        <f t="shared" si="7"/>
        <v>0</v>
      </c>
      <c r="I109" s="26">
        <f>Table13[[#This Row],[Tech]]*$T$7+Table13[[#This Row],[Beta]]*($T$6-$T$8)+$T$8</f>
        <v>8.2828000000000013E-2</v>
      </c>
      <c r="J109" s="64">
        <v>13595636.936208</v>
      </c>
      <c r="K109" s="61">
        <f>Table13[[#This Row],[Investment]]/Table13[[#This Row],[Dollar Volume]]</f>
        <v>7.1555983874778952E-3</v>
      </c>
      <c r="L109" s="34">
        <f>IFERROR(MAX($T$11+$T$12*LN(Table13[[#This Row],[Frac ADV]]),0),0)*0.0001+0.005/Table13[[#This Row],[Stock Price]]+Table13[[#This Row],[Expense Ratio]]</f>
        <v>7.8113331959632406E-3</v>
      </c>
      <c r="M109" s="68">
        <f>(Table13[[#This Row],[Expected Return]]-Table13[[#This Row],[Tcosts]])*Table13[[#This Row],[Investment]]</f>
        <v>1019899.3660321709</v>
      </c>
      <c r="Q109" s="16" t="s">
        <v>518</v>
      </c>
    </row>
    <row r="110" spans="1:17" ht="15.6" x14ac:dyDescent="0.3">
      <c r="A110" s="2" t="s">
        <v>527</v>
      </c>
      <c r="B110" s="10" t="s">
        <v>528</v>
      </c>
      <c r="C110" s="11">
        <v>150.43</v>
      </c>
      <c r="D110" s="11" t="s">
        <v>529</v>
      </c>
      <c r="E110" s="12">
        <v>2.3E-3</v>
      </c>
      <c r="F110" s="11">
        <v>0.77</v>
      </c>
      <c r="G110" s="3">
        <f t="shared" si="6"/>
        <v>126450000</v>
      </c>
      <c r="H110" s="3" t="b">
        <f t="shared" si="7"/>
        <v>0</v>
      </c>
      <c r="I110" s="26">
        <f>Table13[[#This Row],[Tech]]*$T$7+Table13[[#This Row],[Beta]]*($T$6-$T$8)+$T$8</f>
        <v>8.5372000000000003E-2</v>
      </c>
      <c r="J110" s="64">
        <v>13475494.782687001</v>
      </c>
      <c r="K110" s="61">
        <f>Table13[[#This Row],[Investment]]/Table13[[#This Row],[Dollar Volume]]</f>
        <v>0.10656777210507712</v>
      </c>
      <c r="L110" s="34">
        <f>IFERROR(MAX($T$11+$T$12*LN(Table13[[#This Row],[Frac ADV]]),0),0)*0.0001+0.005/Table13[[#This Row],[Stock Price]]+Table13[[#This Row],[Expense Ratio]]</f>
        <v>2.2622626305365098E-2</v>
      </c>
      <c r="M110" s="68">
        <f>(Table13[[#This Row],[Expected Return]]-Table13[[#This Row],[Tcosts]])*Table13[[#This Row],[Investment]]</f>
        <v>845578.85783892951</v>
      </c>
      <c r="Q110" s="13" t="s">
        <v>522</v>
      </c>
    </row>
    <row r="111" spans="1:17" ht="15.6" x14ac:dyDescent="0.3">
      <c r="A111" s="4" t="s">
        <v>583</v>
      </c>
      <c r="B111" s="14" t="s">
        <v>584</v>
      </c>
      <c r="C111" s="6">
        <v>85.95</v>
      </c>
      <c r="D111" s="6" t="s">
        <v>585</v>
      </c>
      <c r="E111" s="15">
        <v>3.3E-3</v>
      </c>
      <c r="F111" s="6">
        <v>0.69</v>
      </c>
      <c r="G111" s="3">
        <f t="shared" si="6"/>
        <v>140740000</v>
      </c>
      <c r="H111" s="3" t="b">
        <f t="shared" si="7"/>
        <v>0</v>
      </c>
      <c r="I111" s="26">
        <f>Table13[[#This Row],[Tech]]*$T$7+Table13[[#This Row],[Beta]]*($T$6-$T$8)+$T$8</f>
        <v>8.0283999999999994E-2</v>
      </c>
      <c r="J111" s="64">
        <v>13211887.121167</v>
      </c>
      <c r="K111" s="61">
        <f>Table13[[#This Row],[Investment]]/Table13[[#This Row],[Dollar Volume]]</f>
        <v>9.3874428884233335E-2</v>
      </c>
      <c r="L111" s="34">
        <f>IFERROR(MAX($T$11+$T$12*LN(Table13[[#This Row],[Frac ADV]]),0),0)*0.0001+0.005/Table13[[#This Row],[Stock Price]]+Table13[[#This Row],[Expense Ratio]]</f>
        <v>2.3026355923760785E-2</v>
      </c>
      <c r="M111" s="68">
        <f>(Table13[[#This Row],[Expected Return]]-Table13[[#This Row],[Tcosts]])*Table13[[#This Row],[Investment]]</f>
        <v>756481.53035922872</v>
      </c>
      <c r="Q111" s="16" t="s">
        <v>526</v>
      </c>
    </row>
    <row r="112" spans="1:17" ht="15.6" x14ac:dyDescent="0.3">
      <c r="A112" s="2" t="s">
        <v>424</v>
      </c>
      <c r="B112" s="10" t="s">
        <v>425</v>
      </c>
      <c r="C112" s="11">
        <v>31.85</v>
      </c>
      <c r="D112" s="11" t="s">
        <v>426</v>
      </c>
      <c r="E112" s="12">
        <v>4.0000000000000002E-4</v>
      </c>
      <c r="F112" s="11">
        <v>0.72</v>
      </c>
      <c r="G112" s="3">
        <f t="shared" si="6"/>
        <v>3310000000</v>
      </c>
      <c r="H112" s="3" t="b">
        <f t="shared" si="7"/>
        <v>0</v>
      </c>
      <c r="I112" s="26">
        <f>Table13[[#This Row],[Tech]]*$T$7+Table13[[#This Row],[Beta]]*($T$6-$T$8)+$T$8</f>
        <v>8.2192000000000001E-2</v>
      </c>
      <c r="J112" s="64">
        <v>12669012.466146</v>
      </c>
      <c r="K112" s="61">
        <f>Table13[[#This Row],[Investment]]/Table13[[#This Row],[Dollar Volume]]</f>
        <v>3.8274962133371601E-3</v>
      </c>
      <c r="L112" s="34">
        <f>IFERROR(MAX($T$11+$T$12*LN(Table13[[#This Row],[Frac ADV]]),0),0)*0.0001+0.005/Table13[[#This Row],[Stock Price]]+Table13[[#This Row],[Expense Ratio]]</f>
        <v>4.5521489784339378E-3</v>
      </c>
      <c r="M112" s="68">
        <f>(Table13[[#This Row],[Expected Return]]-Table13[[#This Row],[Tcosts]])*Table13[[#This Row],[Investment]]</f>
        <v>983620.24046193867</v>
      </c>
      <c r="Q112" s="13" t="s">
        <v>530</v>
      </c>
    </row>
    <row r="113" spans="1:17" ht="15.6" x14ac:dyDescent="0.3">
      <c r="A113" s="4" t="s">
        <v>661</v>
      </c>
      <c r="B113" s="14" t="s">
        <v>662</v>
      </c>
      <c r="C113" s="6">
        <v>60.86</v>
      </c>
      <c r="D113" s="6" t="s">
        <v>663</v>
      </c>
      <c r="E113" s="15">
        <v>7.1999999999999998E-3</v>
      </c>
      <c r="F113" s="6">
        <v>0.71</v>
      </c>
      <c r="G113" s="3">
        <f t="shared" si="6"/>
        <v>2060000000</v>
      </c>
      <c r="H113" s="3" t="b">
        <f t="shared" si="7"/>
        <v>0</v>
      </c>
      <c r="I113" s="26">
        <f>Table13[[#This Row],[Tech]]*$T$7+Table13[[#This Row],[Beta]]*($T$6-$T$8)+$T$8</f>
        <v>8.1556000000000003E-2</v>
      </c>
      <c r="J113" s="64">
        <v>12484154.021072</v>
      </c>
      <c r="K113" s="61">
        <f>Table13[[#This Row],[Investment]]/Table13[[#This Row],[Dollar Volume]]</f>
        <v>6.0602689422679613E-3</v>
      </c>
      <c r="L113" s="34">
        <f>IFERROR(MAX($T$11+$T$12*LN(Table13[[#This Row],[Frac ADV]]),0),0)*0.0001+0.005/Table13[[#This Row],[Stock Price]]+Table13[[#This Row],[Expense Ratio]]</f>
        <v>1.3528256532301015E-2</v>
      </c>
      <c r="M113" s="68">
        <f>(Table13[[#This Row],[Expected Return]]-Table13[[#This Row],[Tcosts]])*Table13[[#This Row],[Investment]]</f>
        <v>849268.82715672883</v>
      </c>
      <c r="Q113" s="16" t="s">
        <v>534</v>
      </c>
    </row>
    <row r="114" spans="1:17" ht="15.6" x14ac:dyDescent="0.3">
      <c r="A114" s="2" t="s">
        <v>480</v>
      </c>
      <c r="B114" s="10" t="s">
        <v>481</v>
      </c>
      <c r="C114" s="11">
        <v>154.59</v>
      </c>
      <c r="D114" s="11" t="s">
        <v>482</v>
      </c>
      <c r="E114" s="12">
        <v>4.0000000000000002E-4</v>
      </c>
      <c r="F114" s="11">
        <v>0.74</v>
      </c>
      <c r="G114" s="3">
        <f t="shared" si="6"/>
        <v>70210000</v>
      </c>
      <c r="H114" s="3" t="b">
        <f t="shared" si="7"/>
        <v>0</v>
      </c>
      <c r="I114" s="26">
        <f>Table13[[#This Row],[Tech]]*$T$7+Table13[[#This Row],[Beta]]*($T$6-$T$8)+$T$8</f>
        <v>8.346400000000001E-2</v>
      </c>
      <c r="J114" s="64">
        <v>12380945.165379001</v>
      </c>
      <c r="K114" s="61">
        <f>Table13[[#This Row],[Investment]]/Table13[[#This Row],[Dollar Volume]]</f>
        <v>0.17634162035862413</v>
      </c>
      <c r="L114" s="34">
        <f>IFERROR(MAX($T$11+$T$12*LN(Table13[[#This Row],[Frac ADV]]),0),0)*0.0001+0.005/Table13[[#This Row],[Stock Price]]+Table13[[#This Row],[Expense Ratio]]</f>
        <v>2.3188673922452507E-2</v>
      </c>
      <c r="M114" s="68">
        <f>(Table13[[#This Row],[Expected Return]]-Table13[[#This Row],[Tcosts]])*Table13[[#This Row],[Investment]]</f>
        <v>746265.50699145452</v>
      </c>
      <c r="Q114" s="13" t="s">
        <v>538</v>
      </c>
    </row>
    <row r="115" spans="1:17" ht="15.6" x14ac:dyDescent="0.3">
      <c r="A115" s="4" t="s">
        <v>567</v>
      </c>
      <c r="B115" s="14" t="s">
        <v>568</v>
      </c>
      <c r="C115" s="6">
        <v>41.46</v>
      </c>
      <c r="D115" s="6" t="s">
        <v>569</v>
      </c>
      <c r="E115" s="15">
        <v>1.8E-3</v>
      </c>
      <c r="F115" s="6">
        <v>0.68</v>
      </c>
      <c r="G115" s="3">
        <f t="shared" si="6"/>
        <v>86740000</v>
      </c>
      <c r="H115" s="3" t="b">
        <f t="shared" si="7"/>
        <v>0</v>
      </c>
      <c r="I115" s="26">
        <f>Table13[[#This Row],[Tech]]*$T$7+Table13[[#This Row],[Beta]]*($T$6-$T$8)+$T$8</f>
        <v>7.964800000000001E-2</v>
      </c>
      <c r="J115" s="64">
        <v>12375611.453531001</v>
      </c>
      <c r="K115" s="61">
        <f>Table13[[#This Row],[Investment]]/Table13[[#This Row],[Dollar Volume]]</f>
        <v>0.14267479194755592</v>
      </c>
      <c r="L115" s="34">
        <f>IFERROR(MAX($T$11+$T$12*LN(Table13[[#This Row],[Frac ADV]]),0),0)*0.0001+0.005/Table13[[#This Row],[Stock Price]]+Table13[[#This Row],[Expense Ratio]]</f>
        <v>2.3639217752766839E-2</v>
      </c>
      <c r="M115" s="68">
        <f>(Table13[[#This Row],[Expected Return]]-Table13[[#This Row],[Tcosts]])*Table13[[#This Row],[Investment]]</f>
        <v>693142.92707718257</v>
      </c>
      <c r="Q115" s="16" t="s">
        <v>542</v>
      </c>
    </row>
    <row r="116" spans="1:17" ht="15.6" x14ac:dyDescent="0.3">
      <c r="A116" s="4" t="s">
        <v>638</v>
      </c>
      <c r="B116" s="14" t="s">
        <v>639</v>
      </c>
      <c r="C116" s="6">
        <v>55.21</v>
      </c>
      <c r="D116" s="6" t="s">
        <v>640</v>
      </c>
      <c r="E116" s="15">
        <v>2.7000000000000001E-3</v>
      </c>
      <c r="F116" s="6">
        <v>0.67</v>
      </c>
      <c r="G116" s="3">
        <f t="shared" si="6"/>
        <v>45870000</v>
      </c>
      <c r="H116" s="3" t="b">
        <f t="shared" si="7"/>
        <v>0</v>
      </c>
      <c r="I116" s="26">
        <f>Table13[[#This Row],[Tech]]*$T$7+Table13[[#This Row],[Beta]]*($T$6-$T$8)+$T$8</f>
        <v>7.9011999999999999E-2</v>
      </c>
      <c r="J116" s="64">
        <v>12321796.804334</v>
      </c>
      <c r="K116" s="61">
        <f>Table13[[#This Row],[Investment]]/Table13[[#This Row],[Dollar Volume]]</f>
        <v>0.26862430356080225</v>
      </c>
      <c r="L116" s="34">
        <f>IFERROR(MAX($T$11+$T$12*LN(Table13[[#This Row],[Frac ADV]]),0),0)*0.0001+0.005/Table13[[#This Row],[Stock Price]]+Table13[[#This Row],[Expense Ratio]]</f>
        <v>2.7608502414343223E-2</v>
      </c>
      <c r="M116" s="68">
        <f>(Table13[[#This Row],[Expected Return]]-Table13[[#This Row],[Tcosts]])*Table13[[#This Row],[Investment]]</f>
        <v>633383.45228253619</v>
      </c>
      <c r="Q116" s="13" t="s">
        <v>546</v>
      </c>
    </row>
    <row r="117" spans="1:17" ht="15.6" x14ac:dyDescent="0.3">
      <c r="A117" s="4" t="s">
        <v>614</v>
      </c>
      <c r="B117" s="14" t="s">
        <v>615</v>
      </c>
      <c r="C117" s="6">
        <v>51.15</v>
      </c>
      <c r="D117" s="6" t="s">
        <v>616</v>
      </c>
      <c r="E117" s="15">
        <v>2.5000000000000001E-3</v>
      </c>
      <c r="F117" s="6">
        <v>0.67</v>
      </c>
      <c r="G117" s="3">
        <f t="shared" si="6"/>
        <v>264190000</v>
      </c>
      <c r="H117" s="3" t="b">
        <f t="shared" si="7"/>
        <v>0</v>
      </c>
      <c r="I117" s="26">
        <f>Table13[[#This Row],[Tech]]*$T$7+Table13[[#This Row],[Beta]]*($T$6-$T$8)+$T$8</f>
        <v>7.9011999999999999E-2</v>
      </c>
      <c r="J117" s="64">
        <v>12231018.894848</v>
      </c>
      <c r="K117" s="61">
        <f>Table13[[#This Row],[Investment]]/Table13[[#This Row],[Dollar Volume]]</f>
        <v>4.6296297720761576E-2</v>
      </c>
      <c r="L117" s="34">
        <f>IFERROR(MAX($T$11+$T$12*LN(Table13[[#This Row],[Frac ADV]]),0),0)*0.0001+0.005/Table13[[#This Row],[Stock Price]]+Table13[[#This Row],[Expense Ratio]]</f>
        <v>1.8803412186224253E-2</v>
      </c>
      <c r="M117" s="68">
        <f>(Table13[[#This Row],[Expected Return]]-Table13[[#This Row],[Tcosts]])*Table13[[#This Row],[Investment]]</f>
        <v>736412.37518240628</v>
      </c>
      <c r="Q117" s="16" t="s">
        <v>550</v>
      </c>
    </row>
    <row r="118" spans="1:17" ht="15.6" x14ac:dyDescent="0.3">
      <c r="A118" s="4" t="s">
        <v>503</v>
      </c>
      <c r="B118" s="14" t="s">
        <v>504</v>
      </c>
      <c r="C118" s="6">
        <v>97.52</v>
      </c>
      <c r="D118" s="6" t="s">
        <v>505</v>
      </c>
      <c r="E118" s="15">
        <v>5.9999999999999995E-4</v>
      </c>
      <c r="F118" s="6">
        <v>0.76</v>
      </c>
      <c r="G118" s="3">
        <f t="shared" si="6"/>
        <v>62990000</v>
      </c>
      <c r="H118" s="3" t="b">
        <f t="shared" si="7"/>
        <v>0</v>
      </c>
      <c r="I118" s="26">
        <f>Table13[[#This Row],[Tech]]*$T$7+Table13[[#This Row],[Beta]]*($T$6-$T$8)+$T$8</f>
        <v>8.4736000000000006E-2</v>
      </c>
      <c r="J118" s="64">
        <v>12212319.923984</v>
      </c>
      <c r="K118" s="61">
        <f>Table13[[#This Row],[Investment]]/Table13[[#This Row],[Dollar Volume]]</f>
        <v>0.19387712214611844</v>
      </c>
      <c r="L118" s="34">
        <f>IFERROR(MAX($T$11+$T$12*LN(Table13[[#This Row],[Frac ADV]]),0),0)*0.0001+0.005/Table13[[#This Row],[Stock Price]]+Table13[[#This Row],[Expense Ratio]]</f>
        <v>2.3871958727051328E-2</v>
      </c>
      <c r="M118" s="68">
        <f>(Table13[[#This Row],[Expected Return]]-Table13[[#This Row],[Tcosts]])*Table13[[#This Row],[Investment]]</f>
        <v>743291.14389181568</v>
      </c>
      <c r="Q118" s="13" t="s">
        <v>554</v>
      </c>
    </row>
    <row r="119" spans="1:17" ht="15.6" x14ac:dyDescent="0.3">
      <c r="A119" s="2" t="s">
        <v>352</v>
      </c>
      <c r="B119" s="10" t="s">
        <v>353</v>
      </c>
      <c r="C119" s="11">
        <v>190.07</v>
      </c>
      <c r="D119" s="11" t="s">
        <v>354</v>
      </c>
      <c r="E119" s="12">
        <v>5.0000000000000001E-4</v>
      </c>
      <c r="F119" s="11">
        <v>0.69</v>
      </c>
      <c r="G119" s="3">
        <f t="shared" si="6"/>
        <v>103250000</v>
      </c>
      <c r="H119" s="3" t="b">
        <f t="shared" si="7"/>
        <v>0</v>
      </c>
      <c r="I119" s="26">
        <f>Table13[[#This Row],[Tech]]*$T$7+Table13[[#This Row],[Beta]]*($T$6-$T$8)+$T$8</f>
        <v>8.0283999999999994E-2</v>
      </c>
      <c r="J119" s="64">
        <v>12112237.111455999</v>
      </c>
      <c r="K119" s="61">
        <f>Table13[[#This Row],[Investment]]/Table13[[#This Row],[Dollar Volume]]</f>
        <v>0.11730980253226149</v>
      </c>
      <c r="L119" s="34">
        <f>IFERROR(MAX($T$11+$T$12*LN(Table13[[#This Row],[Frac ADV]]),0),0)*0.0001+0.005/Table13[[#This Row],[Stock Price]]+Table13[[#This Row],[Expense Ratio]]</f>
        <v>2.1286104202467356E-2</v>
      </c>
      <c r="M119" s="68">
        <f>(Table13[[#This Row],[Expected Return]]-Table13[[#This Row],[Tcosts]])*Table13[[#This Row],[Investment]]</f>
        <v>714596.50297668879</v>
      </c>
      <c r="Q119" s="16" t="s">
        <v>558</v>
      </c>
    </row>
    <row r="120" spans="1:17" ht="15.6" x14ac:dyDescent="0.3">
      <c r="A120" s="4" t="s">
        <v>289</v>
      </c>
      <c r="B120" s="14" t="s">
        <v>290</v>
      </c>
      <c r="C120" s="6">
        <v>82.13</v>
      </c>
      <c r="D120" s="6" t="s">
        <v>291</v>
      </c>
      <c r="E120" s="15">
        <v>5.0000000000000001E-4</v>
      </c>
      <c r="F120" s="6">
        <v>0.7</v>
      </c>
      <c r="G120" s="3">
        <f t="shared" si="6"/>
        <v>125690000</v>
      </c>
      <c r="H120" s="3" t="b">
        <f t="shared" si="7"/>
        <v>0</v>
      </c>
      <c r="I120" s="26">
        <f>Table13[[#This Row],[Tech]]*$T$7+Table13[[#This Row],[Beta]]*($T$6-$T$8)+$T$8</f>
        <v>8.0919999999999992E-2</v>
      </c>
      <c r="J120" s="64">
        <v>12086365.220303999</v>
      </c>
      <c r="K120" s="61">
        <f>Table13[[#This Row],[Investment]]/Table13[[#This Row],[Dollar Volume]]</f>
        <v>9.6160117911560178E-2</v>
      </c>
      <c r="L120" s="34">
        <f>IFERROR(MAX($T$11+$T$12*LN(Table13[[#This Row],[Frac ADV]]),0),0)*0.0001+0.005/Table13[[#This Row],[Stock Price]]+Table13[[#This Row],[Expense Ratio]]</f>
        <v>2.0346896180232936E-2</v>
      </c>
      <c r="M120" s="68">
        <f>(Table13[[#This Row],[Expected Return]]-Table13[[#This Row],[Tcosts]])*Table13[[#This Row],[Investment]]</f>
        <v>732108.65529309586</v>
      </c>
      <c r="Q120" s="13" t="s">
        <v>562</v>
      </c>
    </row>
    <row r="121" spans="1:17" ht="15.6" x14ac:dyDescent="0.3">
      <c r="A121" s="4" t="s">
        <v>535</v>
      </c>
      <c r="B121" s="14" t="s">
        <v>536</v>
      </c>
      <c r="C121" s="6">
        <v>35.200000000000003</v>
      </c>
      <c r="D121" s="6" t="s">
        <v>537</v>
      </c>
      <c r="E121" s="15">
        <v>6.9999999999999999E-4</v>
      </c>
      <c r="F121" s="6">
        <v>0.67</v>
      </c>
      <c r="G121" s="3">
        <f t="shared" si="6"/>
        <v>327520000</v>
      </c>
      <c r="H121" s="3" t="b">
        <f t="shared" si="7"/>
        <v>0</v>
      </c>
      <c r="I121" s="26">
        <f>Table13[[#This Row],[Tech]]*$T$7+Table13[[#This Row],[Beta]]*($T$6-$T$8)+$T$8</f>
        <v>7.9011999999999999E-2</v>
      </c>
      <c r="J121" s="64">
        <v>11971228.757216999</v>
      </c>
      <c r="K121" s="61">
        <f>Table13[[#This Row],[Investment]]/Table13[[#This Row],[Dollar Volume]]</f>
        <v>3.6551138120472032E-2</v>
      </c>
      <c r="L121" s="34">
        <f>IFERROR(MAX($T$11+$T$12*LN(Table13[[#This Row],[Frac ADV]]),0),0)*0.0001+0.005/Table13[[#This Row],[Stock Price]]+Table13[[#This Row],[Expense Ratio]]</f>
        <v>1.589001665229715E-2</v>
      </c>
      <c r="M121" s="68">
        <f>(Table13[[#This Row],[Expected Return]]-Table13[[#This Row],[Tcosts]])*Table13[[#This Row],[Investment]]</f>
        <v>755647.70226459287</v>
      </c>
      <c r="Q121" s="16" t="s">
        <v>566</v>
      </c>
    </row>
    <row r="122" spans="1:17" ht="15.6" x14ac:dyDescent="0.3">
      <c r="A122" s="4" t="s">
        <v>511</v>
      </c>
      <c r="B122" s="14" t="s">
        <v>512</v>
      </c>
      <c r="C122" s="6">
        <v>80.260000000000005</v>
      </c>
      <c r="D122" s="6" t="s">
        <v>513</v>
      </c>
      <c r="E122" s="15">
        <v>4.0000000000000002E-4</v>
      </c>
      <c r="F122" s="6">
        <v>0.69</v>
      </c>
      <c r="G122" s="3">
        <f t="shared" si="6"/>
        <v>253220000</v>
      </c>
      <c r="H122" s="3" t="b">
        <f t="shared" si="7"/>
        <v>0</v>
      </c>
      <c r="I122" s="26">
        <f>Table13[[#This Row],[Tech]]*$T$7+Table13[[#This Row],[Beta]]*($T$6-$T$8)+$T$8</f>
        <v>8.0283999999999994E-2</v>
      </c>
      <c r="J122" s="64">
        <v>11824760.998684</v>
      </c>
      <c r="K122" s="61">
        <f>Table13[[#This Row],[Investment]]/Table13[[#This Row],[Dollar Volume]]</f>
        <v>4.6697579174962485E-2</v>
      </c>
      <c r="L122" s="34">
        <f>IFERROR(MAX($T$11+$T$12*LN(Table13[[#This Row],[Frac ADV]]),0),0)*0.0001+0.005/Table13[[#This Row],[Stock Price]]+Table13[[#This Row],[Expense Ratio]]</f>
        <v>1.6710231141565036E-2</v>
      </c>
      <c r="M122" s="68">
        <f>(Table13[[#This Row],[Expected Return]]-Table13[[#This Row],[Tcosts]])*Table13[[#This Row],[Investment]]</f>
        <v>751744.62253657321</v>
      </c>
      <c r="Q122" s="13" t="s">
        <v>570</v>
      </c>
    </row>
    <row r="123" spans="1:17" ht="15.6" x14ac:dyDescent="0.3">
      <c r="A123" s="2" t="s">
        <v>484</v>
      </c>
      <c r="B123" s="10" t="s">
        <v>485</v>
      </c>
      <c r="C123" s="11">
        <v>26.4</v>
      </c>
      <c r="D123" s="11" t="s">
        <v>486</v>
      </c>
      <c r="E123" s="12">
        <v>2.9999999999999997E-4</v>
      </c>
      <c r="F123" s="11">
        <v>0.72</v>
      </c>
      <c r="G123" s="3">
        <f t="shared" si="6"/>
        <v>135250000</v>
      </c>
      <c r="H123" s="3" t="b">
        <f t="shared" si="7"/>
        <v>0</v>
      </c>
      <c r="I123" s="26">
        <f>Table13[[#This Row],[Tech]]*$T$7+Table13[[#This Row],[Beta]]*($T$6-$T$8)+$T$8</f>
        <v>8.2192000000000001E-2</v>
      </c>
      <c r="J123" s="64">
        <v>11732984.809945</v>
      </c>
      <c r="K123" s="61">
        <f>Table13[[#This Row],[Investment]]/Table13[[#This Row],[Dollar Volume]]</f>
        <v>8.6750349796266182E-2</v>
      </c>
      <c r="L123" s="34">
        <f>IFERROR(MAX($T$11+$T$12*LN(Table13[[#This Row],[Frac ADV]]),0),0)*0.0001+0.005/Table13[[#This Row],[Stock Price]]+Table13[[#This Row],[Expense Ratio]]</f>
        <v>1.9770992609215984E-2</v>
      </c>
      <c r="M123" s="68">
        <f>(Table13[[#This Row],[Expected Return]]-Table13[[#This Row],[Tcosts]])*Table13[[#This Row],[Investment]]</f>
        <v>732384.73153753346</v>
      </c>
      <c r="Q123" s="16" t="s">
        <v>574</v>
      </c>
    </row>
    <row r="124" spans="1:17" ht="15.6" x14ac:dyDescent="0.3">
      <c r="A124" s="4" t="s">
        <v>496</v>
      </c>
      <c r="B124" s="14" t="s">
        <v>497</v>
      </c>
      <c r="C124" s="6">
        <v>56.91</v>
      </c>
      <c r="D124" s="6" t="s">
        <v>430</v>
      </c>
      <c r="E124" s="15">
        <v>2.5000000000000001E-3</v>
      </c>
      <c r="F124" s="6">
        <v>0.57999999999999996</v>
      </c>
      <c r="G124" s="3">
        <f t="shared" si="6"/>
        <v>161370000</v>
      </c>
      <c r="H124" s="3" t="b">
        <f t="shared" si="7"/>
        <v>0</v>
      </c>
      <c r="I124" s="26">
        <f>Table13[[#This Row],[Tech]]*$T$7+Table13[[#This Row],[Beta]]*($T$6-$T$8)+$T$8</f>
        <v>7.3287999999999992E-2</v>
      </c>
      <c r="J124" s="64">
        <v>11594446.580921</v>
      </c>
      <c r="K124" s="61">
        <f>Table13[[#This Row],[Investment]]/Table13[[#This Row],[Dollar Volume]]</f>
        <v>7.1850074864727026E-2</v>
      </c>
      <c r="L124" s="34">
        <f>IFERROR(MAX($T$11+$T$12*LN(Table13[[#This Row],[Frac ADV]]),0),0)*0.0001+0.005/Table13[[#This Row],[Stock Price]]+Table13[[#This Row],[Expense Ratio]]</f>
        <v>2.0946376149668301E-2</v>
      </c>
      <c r="M124" s="68">
        <f>(Table13[[#This Row],[Expected Return]]-Table13[[#This Row],[Tcosts]])*Table13[[#This Row],[Investment]]</f>
        <v>606872.1616913313</v>
      </c>
      <c r="Q124" s="13" t="s">
        <v>578</v>
      </c>
    </row>
    <row r="125" spans="1:17" ht="15.6" x14ac:dyDescent="0.3">
      <c r="A125" s="4" t="s">
        <v>555</v>
      </c>
      <c r="B125" s="14" t="s">
        <v>556</v>
      </c>
      <c r="C125" s="6">
        <v>48.65</v>
      </c>
      <c r="D125" s="6" t="s">
        <v>557</v>
      </c>
      <c r="E125" s="15">
        <v>2.9999999999999997E-4</v>
      </c>
      <c r="F125" s="6">
        <v>0.69</v>
      </c>
      <c r="G125" s="3">
        <f t="shared" si="6"/>
        <v>132770000.00000001</v>
      </c>
      <c r="H125" s="3" t="b">
        <f t="shared" si="7"/>
        <v>0</v>
      </c>
      <c r="I125" s="26">
        <f>Table13[[#This Row],[Tech]]*$T$7+Table13[[#This Row],[Beta]]*($T$6-$T$8)+$T$8</f>
        <v>8.0283999999999994E-2</v>
      </c>
      <c r="J125" s="64">
        <v>11542064.483295999</v>
      </c>
      <c r="K125" s="61">
        <f>Table13[[#This Row],[Investment]]/Table13[[#This Row],[Dollar Volume]]</f>
        <v>8.6932774597393972E-2</v>
      </c>
      <c r="L125" s="34">
        <f>IFERROR(MAX($T$11+$T$12*LN(Table13[[#This Row],[Frac ADV]]),0),0)*0.0001+0.005/Table13[[#This Row],[Stock Price]]+Table13[[#This Row],[Expense Ratio]]</f>
        <v>1.9694663072646643E-2</v>
      </c>
      <c r="M125" s="68">
        <f>(Table13[[#This Row],[Expected Return]]-Table13[[#This Row],[Tcosts]])*Table13[[#This Row],[Investment]]</f>
        <v>699326.03381565993</v>
      </c>
      <c r="Q125" s="16" t="s">
        <v>582</v>
      </c>
    </row>
    <row r="126" spans="1:17" ht="15.6" x14ac:dyDescent="0.3">
      <c r="A126" s="4" t="s">
        <v>539</v>
      </c>
      <c r="B126" s="14" t="s">
        <v>540</v>
      </c>
      <c r="C126" s="6">
        <v>68.5</v>
      </c>
      <c r="D126" s="6" t="s">
        <v>541</v>
      </c>
      <c r="E126" s="15">
        <v>2.9999999999999997E-4</v>
      </c>
      <c r="F126" s="6">
        <v>0.71</v>
      </c>
      <c r="G126" s="3">
        <f t="shared" si="6"/>
        <v>134650000</v>
      </c>
      <c r="H126" s="3" t="b">
        <f t="shared" si="7"/>
        <v>0</v>
      </c>
      <c r="I126" s="26">
        <f>Table13[[#This Row],[Tech]]*$T$7+Table13[[#This Row],[Beta]]*($T$6-$T$8)+$T$8</f>
        <v>8.1556000000000003E-2</v>
      </c>
      <c r="J126" s="64">
        <v>11522000.367814001</v>
      </c>
      <c r="K126" s="61">
        <f>Table13[[#This Row],[Investment]]/Table13[[#This Row],[Dollar Volume]]</f>
        <v>8.55699990182993E-2</v>
      </c>
      <c r="L126" s="34">
        <f>IFERROR(MAX($T$11+$T$12*LN(Table13[[#This Row],[Frac ADV]]),0),0)*0.0001+0.005/Table13[[#This Row],[Stock Price]]+Table13[[#This Row],[Expense Ratio]]</f>
        <v>1.9587487383780942E-2</v>
      </c>
      <c r="M126" s="68">
        <f>(Table13[[#This Row],[Expected Return]]-Table13[[#This Row],[Tcosts]])*Table13[[#This Row],[Investment]]</f>
        <v>714001.22515696264</v>
      </c>
      <c r="Q126" s="13" t="s">
        <v>586</v>
      </c>
    </row>
    <row r="127" spans="1:17" ht="15.6" x14ac:dyDescent="0.3">
      <c r="A127" s="4" t="s">
        <v>634</v>
      </c>
      <c r="B127" s="14" t="s">
        <v>635</v>
      </c>
      <c r="C127" s="6">
        <v>48.43</v>
      </c>
      <c r="D127" s="6" t="s">
        <v>636</v>
      </c>
      <c r="E127" s="15">
        <v>3.0000000000000001E-3</v>
      </c>
      <c r="F127" s="6">
        <v>0.67</v>
      </c>
      <c r="G127" s="3">
        <f t="shared" si="6"/>
        <v>97020000</v>
      </c>
      <c r="H127" s="3" t="b">
        <f t="shared" si="7"/>
        <v>0</v>
      </c>
      <c r="I127" s="26">
        <f>Table13[[#This Row],[Tech]]*$T$7+Table13[[#This Row],[Beta]]*($T$6-$T$8)+$T$8</f>
        <v>7.9011999999999999E-2</v>
      </c>
      <c r="J127" s="64">
        <v>11492896.655138001</v>
      </c>
      <c r="K127" s="61">
        <f>Table13[[#This Row],[Investment]]/Table13[[#This Row],[Dollar Volume]]</f>
        <v>0.1184590461259328</v>
      </c>
      <c r="L127" s="34">
        <f>IFERROR(MAX($T$11+$T$12*LN(Table13[[#This Row],[Frac ADV]]),0),0)*0.0001+0.005/Table13[[#This Row],[Stock Price]]+Table13[[#This Row],[Expense Ratio]]</f>
        <v>2.3910792397047152E-2</v>
      </c>
      <c r="M127" s="68">
        <f>(Table13[[#This Row],[Expected Return]]-Table13[[#This Row],[Tcosts]])*Table13[[#This Row],[Investment]]</f>
        <v>633272.48455404141</v>
      </c>
      <c r="Q127" s="16" t="s">
        <v>590</v>
      </c>
    </row>
    <row r="128" spans="1:17" ht="15.6" x14ac:dyDescent="0.3">
      <c r="A128" s="4" t="s">
        <v>499</v>
      </c>
      <c r="B128" s="14" t="s">
        <v>500</v>
      </c>
      <c r="C128" s="6">
        <v>204.61</v>
      </c>
      <c r="D128" s="6" t="s">
        <v>501</v>
      </c>
      <c r="E128" s="15">
        <v>2.9999999999999997E-4</v>
      </c>
      <c r="F128" s="6">
        <v>0.69</v>
      </c>
      <c r="G128" s="3">
        <f t="shared" si="6"/>
        <v>55380000</v>
      </c>
      <c r="H128" s="3" t="b">
        <f t="shared" si="7"/>
        <v>0</v>
      </c>
      <c r="I128" s="26">
        <f>Table13[[#This Row],[Tech]]*$T$7+Table13[[#This Row],[Beta]]*($T$6-$T$8)+$T$8</f>
        <v>8.0283999999999994E-2</v>
      </c>
      <c r="J128" s="64">
        <v>11419427.6524</v>
      </c>
      <c r="K128" s="61">
        <f>Table13[[#This Row],[Investment]]/Table13[[#This Row],[Dollar Volume]]</f>
        <v>0.20620129383170821</v>
      </c>
      <c r="L128" s="34">
        <f>IFERROR(MAX($T$11+$T$12*LN(Table13[[#This Row],[Frac ADV]]),0),0)*0.0001+0.005/Table13[[#This Row],[Stock Price]]+Table13[[#This Row],[Expense Ratio]]</f>
        <v>2.384699190612052E-2</v>
      </c>
      <c r="M128" s="68">
        <f>(Table13[[#This Row],[Expected Return]]-Table13[[#This Row],[Tcosts]])*Table13[[#This Row],[Investment]]</f>
        <v>644478.33084596985</v>
      </c>
      <c r="Q128" s="13" t="s">
        <v>594</v>
      </c>
    </row>
    <row r="129" spans="1:17" ht="15.6" x14ac:dyDescent="0.3">
      <c r="A129" s="2" t="s">
        <v>408</v>
      </c>
      <c r="B129" s="10" t="s">
        <v>409</v>
      </c>
      <c r="C129" s="11">
        <v>156.38999999999999</v>
      </c>
      <c r="D129" s="11" t="s">
        <v>410</v>
      </c>
      <c r="E129" s="12">
        <v>5.9999999999999995E-4</v>
      </c>
      <c r="F129" s="11">
        <v>0.68</v>
      </c>
      <c r="G129" s="3">
        <f t="shared" si="6"/>
        <v>90940000</v>
      </c>
      <c r="H129" s="3" t="b">
        <f t="shared" si="7"/>
        <v>0</v>
      </c>
      <c r="I129" s="26">
        <f>Table13[[#This Row],[Tech]]*$T$7+Table13[[#This Row],[Beta]]*($T$6-$T$8)+$T$8</f>
        <v>7.964800000000001E-2</v>
      </c>
      <c r="J129" s="64">
        <v>11268686.78758</v>
      </c>
      <c r="K129" s="61">
        <f>Table13[[#This Row],[Investment]]/Table13[[#This Row],[Dollar Volume]]</f>
        <v>0.12391342409918628</v>
      </c>
      <c r="L129" s="34">
        <f>IFERROR(MAX($T$11+$T$12*LN(Table13[[#This Row],[Frac ADV]]),0),0)*0.0001+0.005/Table13[[#This Row],[Stock Price]]+Table13[[#This Row],[Expense Ratio]]</f>
        <v>2.1660018750920398E-2</v>
      </c>
      <c r="M129" s="68">
        <f>(Table13[[#This Row],[Expected Return]]-Table13[[#This Row],[Tcosts]])*Table13[[#This Row],[Investment]]</f>
        <v>653448.39813994023</v>
      </c>
      <c r="Q129" s="16" t="s">
        <v>598</v>
      </c>
    </row>
    <row r="130" spans="1:17" ht="15.6" x14ac:dyDescent="0.3">
      <c r="A130" s="4" t="s">
        <v>579</v>
      </c>
      <c r="B130" s="14" t="s">
        <v>580</v>
      </c>
      <c r="C130" s="6">
        <v>88.75</v>
      </c>
      <c r="D130" s="6" t="s">
        <v>581</v>
      </c>
      <c r="E130" s="15">
        <v>5.9999999999999995E-4</v>
      </c>
      <c r="F130" s="6">
        <v>0.68</v>
      </c>
      <c r="G130" s="3">
        <f t="shared" ref="G130:G161" si="8">IF(RIGHT(Q130,1)="B", VALUE(SUBSTITUTE(Q130,"B",""))*1000000000,
 IF(RIGHT(Q130,1)="M", VALUE(SUBSTITUTE(Q130,"M",""))*1000000, VALUE(Q130)))</f>
        <v>956440000</v>
      </c>
      <c r="H130" s="3" t="b">
        <f t="shared" ref="H130:H161" si="9">OR(
  ISNUMBER(SEARCH("technology",B130)),
  ISNUMBER(SEARCH("tech",B130)),
  ISNUMBER(SEARCH("qqq",B130)),
  ISNUMBER(SEARCH("semiconductor",B130)),
  ISNUMBER(SEARCH("information technology",B130)),
  ISNUMBER(SEARCH("nasdaq",B130)),
  ISNUMBER(SEARCH("communication",B130))
)</f>
        <v>0</v>
      </c>
      <c r="I130" s="26">
        <f>Table13[[#This Row],[Tech]]*$T$7+Table13[[#This Row],[Beta]]*($T$6-$T$8)+$T$8</f>
        <v>7.964800000000001E-2</v>
      </c>
      <c r="J130" s="64">
        <v>11167686.928663</v>
      </c>
      <c r="K130" s="61">
        <f>Table13[[#This Row],[Investment]]/Table13[[#This Row],[Dollar Volume]]</f>
        <v>1.1676306855278951E-2</v>
      </c>
      <c r="L130" s="34">
        <f>IFERROR(MAX($T$11+$T$12*LN(Table13[[#This Row],[Frac ADV]]),0),0)*0.0001+0.005/Table13[[#This Row],[Stock Price]]+Table13[[#This Row],[Expense Ratio]]</f>
        <v>1.011471902246742E-2</v>
      </c>
      <c r="M130" s="68">
        <f>(Table13[[#This Row],[Expected Return]]-Table13[[#This Row],[Tcosts]])*Table13[[#This Row],[Investment]]</f>
        <v>776525.91307984234</v>
      </c>
      <c r="Q130" s="13" t="s">
        <v>601</v>
      </c>
    </row>
    <row r="131" spans="1:17" ht="15.6" x14ac:dyDescent="0.3">
      <c r="A131" s="4" t="s">
        <v>448</v>
      </c>
      <c r="B131" s="14" t="s">
        <v>449</v>
      </c>
      <c r="C131" s="6">
        <v>85.05</v>
      </c>
      <c r="D131" s="6" t="s">
        <v>450</v>
      </c>
      <c r="E131" s="15">
        <v>4.0000000000000001E-3</v>
      </c>
      <c r="F131" s="6">
        <v>0.71</v>
      </c>
      <c r="G131" s="3">
        <f t="shared" si="8"/>
        <v>392540000</v>
      </c>
      <c r="H131" s="3" t="b">
        <f t="shared" si="9"/>
        <v>0</v>
      </c>
      <c r="I131" s="26">
        <f>Table13[[#This Row],[Tech]]*$T$7+Table13[[#This Row],[Beta]]*($T$6-$T$8)+$T$8</f>
        <v>8.1556000000000003E-2</v>
      </c>
      <c r="J131" s="64">
        <v>11052886.472705999</v>
      </c>
      <c r="K131" s="61">
        <f>Table13[[#This Row],[Investment]]/Table13[[#This Row],[Dollar Volume]]</f>
        <v>2.8157350773694398E-2</v>
      </c>
      <c r="L131" s="34">
        <f>IFERROR(MAX($T$11+$T$12*LN(Table13[[#This Row],[Frac ADV]]),0),0)*0.0001+0.005/Table13[[#This Row],[Stock Price]]+Table13[[#This Row],[Expense Ratio]]</f>
        <v>1.7828799325433513E-2</v>
      </c>
      <c r="M131" s="68">
        <f>(Table13[[#This Row],[Expected Return]]-Table13[[#This Row],[Tcosts]])*Table13[[#This Row],[Investment]]</f>
        <v>704369.51427933667</v>
      </c>
      <c r="Q131" s="16" t="s">
        <v>605</v>
      </c>
    </row>
    <row r="132" spans="1:17" ht="15.6" x14ac:dyDescent="0.3">
      <c r="A132" s="4" t="s">
        <v>650</v>
      </c>
      <c r="B132" s="14" t="s">
        <v>651</v>
      </c>
      <c r="C132" s="6">
        <v>78.88</v>
      </c>
      <c r="D132" s="6" t="s">
        <v>652</v>
      </c>
      <c r="E132" s="15">
        <v>3.3E-3</v>
      </c>
      <c r="F132" s="6">
        <v>0.61</v>
      </c>
      <c r="G132" s="3">
        <f t="shared" si="8"/>
        <v>174030000</v>
      </c>
      <c r="H132" s="3" t="b">
        <f t="shared" si="9"/>
        <v>0</v>
      </c>
      <c r="I132" s="26">
        <f>Table13[[#This Row],[Tech]]*$T$7+Table13[[#This Row],[Beta]]*($T$6-$T$8)+$T$8</f>
        <v>7.5196000000000013E-2</v>
      </c>
      <c r="J132" s="64">
        <v>10988309.203195</v>
      </c>
      <c r="K132" s="61">
        <f>Table13[[#This Row],[Investment]]/Table13[[#This Row],[Dollar Volume]]</f>
        <v>6.3140316055823709E-2</v>
      </c>
      <c r="L132" s="34">
        <f>IFERROR(MAX($T$11+$T$12*LN(Table13[[#This Row],[Frac ADV]]),0),0)*0.0001+0.005/Table13[[#This Row],[Stock Price]]+Table13[[#This Row],[Expense Ratio]]</f>
        <v>2.1088948817644813E-2</v>
      </c>
      <c r="M132" s="68">
        <f>(Table13[[#This Row],[Expected Return]]-Table13[[#This Row],[Tcosts]])*Table13[[#This Row],[Investment]]</f>
        <v>594545.00846481661</v>
      </c>
      <c r="Q132" s="13" t="s">
        <v>609</v>
      </c>
    </row>
    <row r="133" spans="1:17" ht="15.6" x14ac:dyDescent="0.3">
      <c r="A133" s="4" t="s">
        <v>559</v>
      </c>
      <c r="B133" s="14" t="s">
        <v>560</v>
      </c>
      <c r="C133" s="6">
        <v>57.76</v>
      </c>
      <c r="D133" s="6" t="s">
        <v>561</v>
      </c>
      <c r="E133" s="15">
        <v>5.9999999999999995E-4</v>
      </c>
      <c r="F133" s="6">
        <v>0.66</v>
      </c>
      <c r="G133" s="3">
        <f t="shared" si="8"/>
        <v>229180000</v>
      </c>
      <c r="H133" s="3" t="b">
        <f t="shared" si="9"/>
        <v>0</v>
      </c>
      <c r="I133" s="26">
        <f>Table13[[#This Row],[Tech]]*$T$7+Table13[[#This Row],[Beta]]*($T$6-$T$8)+$T$8</f>
        <v>7.8376000000000001E-2</v>
      </c>
      <c r="J133" s="64">
        <v>10848753.335372999</v>
      </c>
      <c r="K133" s="61">
        <f>Table13[[#This Row],[Investment]]/Table13[[#This Row],[Dollar Volume]]</f>
        <v>4.7337260386477877E-2</v>
      </c>
      <c r="L133" s="34">
        <f>IFERROR(MAX($T$11+$T$12*LN(Table13[[#This Row],[Frac ADV]]),0),0)*0.0001+0.005/Table13[[#This Row],[Stock Price]]+Table13[[#This Row],[Expense Ratio]]</f>
        <v>1.7001140780571956E-2</v>
      </c>
      <c r="M133" s="68">
        <f>(Table13[[#This Row],[Expected Return]]-Table13[[#This Row],[Tcosts]])*Table13[[#This Row],[Investment]]</f>
        <v>665840.70866481832</v>
      </c>
      <c r="Q133" s="16" t="s">
        <v>613</v>
      </c>
    </row>
    <row r="134" spans="1:17" ht="15.6" x14ac:dyDescent="0.3">
      <c r="A134" s="4" t="s">
        <v>456</v>
      </c>
      <c r="B134" s="14" t="s">
        <v>457</v>
      </c>
      <c r="C134" s="6">
        <v>67.73</v>
      </c>
      <c r="D134" s="6" t="s">
        <v>458</v>
      </c>
      <c r="E134" s="15">
        <v>5.0000000000000001E-3</v>
      </c>
      <c r="F134" s="6">
        <v>0.66</v>
      </c>
      <c r="G134" s="3">
        <f t="shared" si="8"/>
        <v>91260000</v>
      </c>
      <c r="H134" s="3" t="b">
        <f t="shared" si="9"/>
        <v>0</v>
      </c>
      <c r="I134" s="26">
        <f>Table13[[#This Row],[Tech]]*$T$7+Table13[[#This Row],[Beta]]*($T$6-$T$8)+$T$8</f>
        <v>7.8376000000000001E-2</v>
      </c>
      <c r="J134" s="64">
        <v>10694418.159469999</v>
      </c>
      <c r="K134" s="61">
        <f>Table13[[#This Row],[Investment]]/Table13[[#This Row],[Dollar Volume]]</f>
        <v>0.11718626078753012</v>
      </c>
      <c r="L134" s="34">
        <f>IFERROR(MAX($T$11+$T$12*LN(Table13[[#This Row],[Frac ADV]]),0),0)*0.0001+0.005/Table13[[#This Row],[Stock Price]]+Table13[[#This Row],[Expense Ratio]]</f>
        <v>2.5828459500343962E-2</v>
      </c>
      <c r="M134" s="68">
        <f>(Table13[[#This Row],[Expected Return]]-Table13[[#This Row],[Tcosts]])*Table13[[#This Row],[Investment]]</f>
        <v>561965.37135500682</v>
      </c>
      <c r="Q134" s="13" t="s">
        <v>617</v>
      </c>
    </row>
    <row r="135" spans="1:17" ht="15.6" x14ac:dyDescent="0.3">
      <c r="A135" s="2" t="s">
        <v>630</v>
      </c>
      <c r="B135" s="10" t="s">
        <v>631</v>
      </c>
      <c r="C135" s="11">
        <v>156.34</v>
      </c>
      <c r="D135" s="11" t="s">
        <v>632</v>
      </c>
      <c r="E135" s="12">
        <v>3.8E-3</v>
      </c>
      <c r="F135" s="11">
        <v>0.61</v>
      </c>
      <c r="G135" s="3">
        <f t="shared" si="8"/>
        <v>96950000</v>
      </c>
      <c r="H135" s="3" t="b">
        <f t="shared" si="9"/>
        <v>0</v>
      </c>
      <c r="I135" s="26">
        <f>Table13[[#This Row],[Tech]]*$T$7+Table13[[#This Row],[Beta]]*($T$6-$T$8)+$T$8</f>
        <v>7.5196000000000013E-2</v>
      </c>
      <c r="J135" s="64">
        <v>9886225.7777559999</v>
      </c>
      <c r="K135" s="61">
        <f>Table13[[#This Row],[Investment]]/Table13[[#This Row],[Dollar Volume]]</f>
        <v>0.10197241648020629</v>
      </c>
      <c r="L135" s="34">
        <f>IFERROR(MAX($T$11+$T$12*LN(Table13[[#This Row],[Frac ADV]]),0),0)*0.0001+0.005/Table13[[#This Row],[Stock Price]]+Table13[[#This Row],[Expense Ratio]]</f>
        <v>2.3905462855001326E-2</v>
      </c>
      <c r="M135" s="68">
        <f>(Table13[[#This Row],[Expected Return]]-Table13[[#This Row],[Tcosts]])*Table13[[#This Row],[Investment]]</f>
        <v>507069.83047783771</v>
      </c>
      <c r="Q135" s="16" t="s">
        <v>621</v>
      </c>
    </row>
    <row r="136" spans="1:17" ht="15.6" x14ac:dyDescent="0.3">
      <c r="A136" s="2" t="s">
        <v>575</v>
      </c>
      <c r="B136" s="10" t="s">
        <v>576</v>
      </c>
      <c r="C136" s="11">
        <v>50.29</v>
      </c>
      <c r="D136" s="11" t="s">
        <v>577</v>
      </c>
      <c r="E136" s="12">
        <v>6.9999999999999999E-4</v>
      </c>
      <c r="F136" s="11">
        <v>0.64</v>
      </c>
      <c r="G136" s="3">
        <f t="shared" si="8"/>
        <v>54550000</v>
      </c>
      <c r="H136" s="3" t="b">
        <f t="shared" si="9"/>
        <v>0</v>
      </c>
      <c r="I136" s="26">
        <f>Table13[[#This Row],[Tech]]*$T$7+Table13[[#This Row],[Beta]]*($T$6-$T$8)+$T$8</f>
        <v>7.7104000000000006E-2</v>
      </c>
      <c r="J136" s="64">
        <v>9725821.8414590005</v>
      </c>
      <c r="K136" s="61">
        <f>Table13[[#This Row],[Investment]]/Table13[[#This Row],[Dollar Volume]]</f>
        <v>0.1782918761037397</v>
      </c>
      <c r="L136" s="34">
        <f>IFERROR(MAX($T$11+$T$12*LN(Table13[[#This Row],[Frac ADV]]),0),0)*0.0001+0.005/Table13[[#This Row],[Stock Price]]+Table13[[#This Row],[Expense Ratio]]</f>
        <v>2.3609628141359001E-2</v>
      </c>
      <c r="M136" s="68">
        <f>(Table13[[#This Row],[Expected Return]]-Table13[[#This Row],[Tcosts]])*Table13[[#This Row],[Investment]]</f>
        <v>520276.73021790036</v>
      </c>
      <c r="Q136" s="13" t="s">
        <v>625</v>
      </c>
    </row>
    <row r="137" spans="1:17" ht="15.6" x14ac:dyDescent="0.3">
      <c r="A137" s="4" t="s">
        <v>622</v>
      </c>
      <c r="B137" s="14" t="s">
        <v>623</v>
      </c>
      <c r="C137" s="6">
        <v>37.049999999999997</v>
      </c>
      <c r="D137" s="6" t="s">
        <v>624</v>
      </c>
      <c r="E137" s="15">
        <v>2.5000000000000001E-3</v>
      </c>
      <c r="F137" s="6">
        <v>0.59</v>
      </c>
      <c r="G137" s="3">
        <f t="shared" si="8"/>
        <v>3810000000</v>
      </c>
      <c r="H137" s="3" t="b">
        <f t="shared" si="9"/>
        <v>0</v>
      </c>
      <c r="I137" s="26">
        <f>Table13[[#This Row],[Tech]]*$T$7+Table13[[#This Row],[Beta]]*($T$6-$T$8)+$T$8</f>
        <v>7.3924000000000004E-2</v>
      </c>
      <c r="J137" s="64">
        <v>9298105.0980450008</v>
      </c>
      <c r="K137" s="61">
        <f>Table13[[#This Row],[Investment]]/Table13[[#This Row],[Dollar Volume]]</f>
        <v>2.4404475322952757E-3</v>
      </c>
      <c r="L137" s="34">
        <f>IFERROR(MAX($T$11+$T$12*LN(Table13[[#This Row],[Frac ADV]]),0),0)*0.0001+0.005/Table13[[#This Row],[Stock Price]]+Table13[[#This Row],[Expense Ratio]]</f>
        <v>4.4257792439285513E-3</v>
      </c>
      <c r="M137" s="68">
        <f>(Table13[[#This Row],[Expected Return]]-Table13[[#This Row],[Tcosts]])*Table13[[#This Row],[Investment]]</f>
        <v>646201.76071708486</v>
      </c>
      <c r="Q137" s="16" t="s">
        <v>629</v>
      </c>
    </row>
    <row r="138" spans="1:17" ht="15.6" x14ac:dyDescent="0.3">
      <c r="A138" s="4" t="s">
        <v>642</v>
      </c>
      <c r="B138" s="14" t="s">
        <v>643</v>
      </c>
      <c r="C138" s="6">
        <v>59.01</v>
      </c>
      <c r="D138" s="6" t="s">
        <v>644</v>
      </c>
      <c r="E138" s="15">
        <v>3.5000000000000001E-3</v>
      </c>
      <c r="F138" s="6">
        <v>0.61</v>
      </c>
      <c r="G138" s="3">
        <f t="shared" si="8"/>
        <v>96500000</v>
      </c>
      <c r="H138" s="3" t="b">
        <f t="shared" si="9"/>
        <v>0</v>
      </c>
      <c r="I138" s="26">
        <f>Table13[[#This Row],[Tech]]*$T$7+Table13[[#This Row],[Beta]]*($T$6-$T$8)+$T$8</f>
        <v>7.5196000000000013E-2</v>
      </c>
      <c r="J138" s="64">
        <v>9008301.0404899996</v>
      </c>
      <c r="K138" s="61">
        <f>Table13[[#This Row],[Investment]]/Table13[[#This Row],[Dollar Volume]]</f>
        <v>9.3350269849637305E-2</v>
      </c>
      <c r="L138" s="34">
        <f>IFERROR(MAX($T$11+$T$12*LN(Table13[[#This Row],[Frac ADV]]),0),0)*0.0001+0.005/Table13[[#This Row],[Stock Price]]+Table13[[#This Row],[Expense Ratio]]</f>
        <v>2.3225487614737656E-2</v>
      </c>
      <c r="M138" s="68">
        <f>(Table13[[#This Row],[Expected Return]]-Table13[[#This Row],[Tcosts]])*Table13[[#This Row],[Investment]]</f>
        <v>468166.02079495735</v>
      </c>
      <c r="Q138" s="13" t="s">
        <v>633</v>
      </c>
    </row>
    <row r="139" spans="1:17" ht="15.6" x14ac:dyDescent="0.3">
      <c r="A139" s="4" t="s">
        <v>618</v>
      </c>
      <c r="B139" s="14" t="s">
        <v>619</v>
      </c>
      <c r="C139" s="6">
        <v>53.98</v>
      </c>
      <c r="D139" s="6" t="s">
        <v>620</v>
      </c>
      <c r="E139" s="15">
        <v>8.0000000000000004E-4</v>
      </c>
      <c r="F139" s="6">
        <v>0.63</v>
      </c>
      <c r="G139" s="3">
        <f t="shared" si="8"/>
        <v>93410000</v>
      </c>
      <c r="H139" s="3" t="b">
        <f t="shared" si="9"/>
        <v>0</v>
      </c>
      <c r="I139" s="26">
        <f>Table13[[#This Row],[Tech]]*$T$7+Table13[[#This Row],[Beta]]*($T$6-$T$8)+$T$8</f>
        <v>7.6468000000000008E-2</v>
      </c>
      <c r="J139" s="64">
        <v>8961666.3732440006</v>
      </c>
      <c r="K139" s="61">
        <f>Table13[[#This Row],[Investment]]/Table13[[#This Row],[Dollar Volume]]</f>
        <v>9.5939046924783222E-2</v>
      </c>
      <c r="L139" s="34">
        <f>IFERROR(MAX($T$11+$T$12*LN(Table13[[#This Row],[Frac ADV]]),0),0)*0.0001+0.005/Table13[[#This Row],[Stock Price]]+Table13[[#This Row],[Expense Ratio]]</f>
        <v>2.0667370103351505E-2</v>
      </c>
      <c r="M139" s="68">
        <f>(Table13[[#This Row],[Expected Return]]-Table13[[#This Row],[Tcosts]])*Table13[[#This Row],[Investment]]</f>
        <v>500066.62855062872</v>
      </c>
      <c r="Q139" s="16" t="s">
        <v>637</v>
      </c>
    </row>
    <row r="140" spans="1:17" ht="15.6" x14ac:dyDescent="0.3">
      <c r="A140" s="2" t="s">
        <v>646</v>
      </c>
      <c r="B140" s="10" t="s">
        <v>647</v>
      </c>
      <c r="C140" s="11">
        <v>287.81</v>
      </c>
      <c r="D140" s="11" t="s">
        <v>648</v>
      </c>
      <c r="E140" s="12">
        <v>8.9999999999999998E-4</v>
      </c>
      <c r="F140" s="11">
        <v>0.53</v>
      </c>
      <c r="G140" s="3">
        <f t="shared" si="8"/>
        <v>437940000</v>
      </c>
      <c r="H140" s="3" t="b">
        <f t="shared" si="9"/>
        <v>0</v>
      </c>
      <c r="I140" s="26">
        <f>Table13[[#This Row],[Tech]]*$T$7+Table13[[#This Row],[Beta]]*($T$6-$T$8)+$T$8</f>
        <v>7.0108000000000004E-2</v>
      </c>
      <c r="J140" s="64">
        <v>8896338.4813720006</v>
      </c>
      <c r="K140" s="61">
        <f>Table13[[#This Row],[Investment]]/Table13[[#This Row],[Dollar Volume]]</f>
        <v>2.0314057819272049E-2</v>
      </c>
      <c r="L140" s="34">
        <f>IFERROR(MAX($T$11+$T$12*LN(Table13[[#This Row],[Frac ADV]]),0),0)*0.0001+0.005/Table13[[#This Row],[Stock Price]]+Table13[[#This Row],[Expense Ratio]]</f>
        <v>1.3088141849163895E-2</v>
      </c>
      <c r="M140" s="68">
        <f>(Table13[[#This Row],[Expected Return]]-Table13[[#This Row],[Tcosts]])*Table13[[#This Row],[Investment]]</f>
        <v>507267.95826965617</v>
      </c>
      <c r="Q140" s="13" t="s">
        <v>641</v>
      </c>
    </row>
    <row r="141" spans="1:17" ht="15.6" x14ac:dyDescent="0.3">
      <c r="A141" s="2" t="s">
        <v>610</v>
      </c>
      <c r="B141" s="10" t="s">
        <v>611</v>
      </c>
      <c r="C141" s="11">
        <v>138.38999999999999</v>
      </c>
      <c r="D141" s="11" t="s">
        <v>612</v>
      </c>
      <c r="E141" s="12">
        <v>8.0000000000000004E-4</v>
      </c>
      <c r="F141" s="11">
        <v>0.35</v>
      </c>
      <c r="G141" s="3">
        <f t="shared" si="8"/>
        <v>3150000000</v>
      </c>
      <c r="H141" s="3" t="b">
        <f t="shared" si="9"/>
        <v>0</v>
      </c>
      <c r="I141" s="26">
        <f>Table13[[#This Row],[Tech]]*$T$7+Table13[[#This Row],[Beta]]*($T$6-$T$8)+$T$8</f>
        <v>5.8660000000000004E-2</v>
      </c>
      <c r="J141" s="64">
        <v>7909187.1045340002</v>
      </c>
      <c r="K141" s="61">
        <f>Table13[[#This Row],[Investment]]/Table13[[#This Row],[Dollar Volume]]</f>
        <v>2.5108530490584127E-3</v>
      </c>
      <c r="L141" s="34">
        <f>IFERROR(MAX($T$11+$T$12*LN(Table13[[#This Row],[Frac ADV]]),0),0)*0.0001+0.005/Table13[[#This Row],[Stock Price]]+Table13[[#This Row],[Expense Ratio]]</f>
        <v>2.7662666998339389E-3</v>
      </c>
      <c r="M141" s="68">
        <f>(Table13[[#This Row],[Expected Return]]-Table13[[#This Row],[Tcosts]])*Table13[[#This Row],[Investment]]</f>
        <v>442073.99464193609</v>
      </c>
      <c r="Q141" s="16" t="s">
        <v>645</v>
      </c>
    </row>
    <row r="142" spans="1:17" ht="15.6" x14ac:dyDescent="0.3">
      <c r="A142" s="2" t="s">
        <v>654</v>
      </c>
      <c r="B142" s="10" t="s">
        <v>655</v>
      </c>
      <c r="C142" s="11">
        <v>113.28</v>
      </c>
      <c r="D142" s="11" t="s">
        <v>656</v>
      </c>
      <c r="E142" s="12">
        <v>3.5000000000000001E-3</v>
      </c>
      <c r="F142" s="11">
        <v>0.52</v>
      </c>
      <c r="G142" s="3">
        <f t="shared" si="8"/>
        <v>273110000</v>
      </c>
      <c r="H142" s="3" t="b">
        <f t="shared" si="9"/>
        <v>0</v>
      </c>
      <c r="I142" s="26">
        <f>Table13[[#This Row],[Tech]]*$T$7+Table13[[#This Row],[Beta]]*($T$6-$T$8)+$T$8</f>
        <v>6.9472000000000006E-2</v>
      </c>
      <c r="J142" s="64">
        <v>7835116.269723</v>
      </c>
      <c r="K142" s="61">
        <f>Table13[[#This Row],[Investment]]/Table13[[#This Row],[Dollar Volume]]</f>
        <v>2.8688500127139249E-2</v>
      </c>
      <c r="L142" s="34">
        <f>IFERROR(MAX($T$11+$T$12*LN(Table13[[#This Row],[Frac ADV]]),0),0)*0.0001+0.005/Table13[[#This Row],[Stock Price]]+Table13[[#This Row],[Expense Ratio]]</f>
        <v>1.7405685976032224E-2</v>
      </c>
      <c r="M142" s="68">
        <f>(Table13[[#This Row],[Expected Return]]-Table13[[#This Row],[Tcosts]])*Table13[[#This Row],[Investment]]</f>
        <v>407945.62411369674</v>
      </c>
      <c r="Q142" s="13" t="s">
        <v>649</v>
      </c>
    </row>
    <row r="143" spans="1:17" ht="15.6" x14ac:dyDescent="0.3">
      <c r="A143" s="4" t="s">
        <v>420</v>
      </c>
      <c r="B143" s="14" t="s">
        <v>421</v>
      </c>
      <c r="C143" s="6">
        <v>99.55</v>
      </c>
      <c r="D143" s="6" t="s">
        <v>422</v>
      </c>
      <c r="E143" s="15">
        <v>6.9999999999999999E-4</v>
      </c>
      <c r="F143" s="6">
        <v>0.56000000000000005</v>
      </c>
      <c r="G143" s="3">
        <f t="shared" si="8"/>
        <v>251580000</v>
      </c>
      <c r="H143" s="3" t="b">
        <f t="shared" si="9"/>
        <v>0</v>
      </c>
      <c r="I143" s="26">
        <f>Table13[[#This Row],[Tech]]*$T$7+Table13[[#This Row],[Beta]]*($T$6-$T$8)+$T$8</f>
        <v>7.2016000000000011E-2</v>
      </c>
      <c r="J143" s="64">
        <v>7751829.9604049996</v>
      </c>
      <c r="K143" s="61">
        <f>Table13[[#This Row],[Investment]]/Table13[[#This Row],[Dollar Volume]]</f>
        <v>3.0812584308788454E-2</v>
      </c>
      <c r="L143" s="34">
        <f>IFERROR(MAX($T$11+$T$12*LN(Table13[[#This Row],[Frac ADV]]),0),0)*0.0001+0.005/Table13[[#This Row],[Stock Price]]+Table13[[#This Row],[Expense Ratio]]</f>
        <v>1.496163691196763E-2</v>
      </c>
      <c r="M143" s="68">
        <f>(Table13[[#This Row],[Expected Return]]-Table13[[#This Row],[Tcosts]])*Table13[[#This Row],[Investment]]</f>
        <v>442275.72115763451</v>
      </c>
      <c r="Q143" s="16" t="s">
        <v>653</v>
      </c>
    </row>
    <row r="144" spans="1:17" ht="15.6" x14ac:dyDescent="0.3">
      <c r="A144" s="2" t="s">
        <v>673</v>
      </c>
      <c r="B144" s="10" t="s">
        <v>674</v>
      </c>
      <c r="C144" s="11">
        <v>31.34</v>
      </c>
      <c r="D144" s="11" t="s">
        <v>675</v>
      </c>
      <c r="E144" s="12">
        <v>5.9999999999999995E-4</v>
      </c>
      <c r="F144" s="11">
        <v>0.55000000000000004</v>
      </c>
      <c r="G144" s="3">
        <f t="shared" si="8"/>
        <v>87610000</v>
      </c>
      <c r="H144" s="3" t="b">
        <f t="shared" si="9"/>
        <v>0</v>
      </c>
      <c r="I144" s="26">
        <f>Table13[[#This Row],[Tech]]*$T$7+Table13[[#This Row],[Beta]]*($T$6-$T$8)+$T$8</f>
        <v>7.1379999999999999E-2</v>
      </c>
      <c r="J144" s="64">
        <v>7611349.8798390003</v>
      </c>
      <c r="K144" s="61">
        <f>Table13[[#This Row],[Investment]]/Table13[[#This Row],[Dollar Volume]]</f>
        <v>8.6877638167321081E-2</v>
      </c>
      <c r="L144" s="34">
        <f>IFERROR(MAX($T$11+$T$12*LN(Table13[[#This Row],[Frac ADV]]),0),0)*0.0001+0.005/Table13[[#This Row],[Stock Price]]+Table13[[#This Row],[Expense Ratio]]</f>
        <v>2.0048321038964149E-2</v>
      </c>
      <c r="M144" s="68">
        <f>(Table13[[#This Row],[Expected Return]]-Table13[[#This Row],[Tcosts]])*Table13[[#This Row],[Investment]]</f>
        <v>390703.36849201436</v>
      </c>
      <c r="Q144" s="13" t="s">
        <v>657</v>
      </c>
    </row>
    <row r="145" spans="1:17" ht="15.6" x14ac:dyDescent="0.3">
      <c r="A145" s="4" t="s">
        <v>665</v>
      </c>
      <c r="B145" s="14" t="s">
        <v>666</v>
      </c>
      <c r="C145" s="6">
        <v>98.28</v>
      </c>
      <c r="D145" s="6" t="s">
        <v>667</v>
      </c>
      <c r="E145" s="15">
        <v>5.1000000000000004E-3</v>
      </c>
      <c r="F145" s="6">
        <v>0.53</v>
      </c>
      <c r="G145" s="3">
        <f t="shared" si="8"/>
        <v>178060000</v>
      </c>
      <c r="H145" s="3" t="b">
        <f t="shared" si="9"/>
        <v>0</v>
      </c>
      <c r="I145" s="26">
        <f>Table13[[#This Row],[Tech]]*$T$7+Table13[[#This Row],[Beta]]*($T$6-$T$8)+$T$8</f>
        <v>7.0108000000000004E-2</v>
      </c>
      <c r="J145" s="64">
        <v>7462097.0479450002</v>
      </c>
      <c r="K145" s="61">
        <f>Table13[[#This Row],[Investment]]/Table13[[#This Row],[Dollar Volume]]</f>
        <v>4.1907767314079525E-2</v>
      </c>
      <c r="L145" s="34">
        <f>IFERROR(MAX($T$11+$T$12*LN(Table13[[#This Row],[Frac ADV]]),0),0)*0.0001+0.005/Table13[[#This Row],[Stock Price]]+Table13[[#This Row],[Expense Ratio]]</f>
        <v>2.0868719274541654E-2</v>
      </c>
      <c r="M145" s="68">
        <f>(Table13[[#This Row],[Expected Return]]-Table13[[#This Row],[Tcosts]])*Table13[[#This Row],[Investment]]</f>
        <v>367428.29134437791</v>
      </c>
      <c r="Q145" s="16" t="s">
        <v>660</v>
      </c>
    </row>
    <row r="146" spans="1:17" ht="15.6" x14ac:dyDescent="0.3">
      <c r="A146" s="4" t="s">
        <v>681</v>
      </c>
      <c r="B146" s="14" t="s">
        <v>682</v>
      </c>
      <c r="C146" s="6">
        <v>95.19</v>
      </c>
      <c r="D146" s="6" t="s">
        <v>683</v>
      </c>
      <c r="E146" s="15">
        <v>1.5E-3</v>
      </c>
      <c r="F146" s="6">
        <v>0.49</v>
      </c>
      <c r="G146" s="3">
        <f t="shared" si="8"/>
        <v>226700000</v>
      </c>
      <c r="H146" s="3" t="b">
        <f t="shared" si="9"/>
        <v>0</v>
      </c>
      <c r="I146" s="26">
        <f>Table13[[#This Row],[Tech]]*$T$7+Table13[[#This Row],[Beta]]*($T$6-$T$8)+$T$8</f>
        <v>6.7563999999999999E-2</v>
      </c>
      <c r="J146" s="64">
        <v>6952955.1887929998</v>
      </c>
      <c r="K146" s="61">
        <f>Table13[[#This Row],[Investment]]/Table13[[#This Row],[Dollar Volume]]</f>
        <v>3.0670291966444638E-2</v>
      </c>
      <c r="L146" s="34">
        <f>IFERROR(MAX($T$11+$T$12*LN(Table13[[#This Row],[Frac ADV]]),0),0)*0.0001+0.005/Table13[[#This Row],[Stock Price]]+Table13[[#This Row],[Expense Ratio]]</f>
        <v>1.574126514410459E-2</v>
      </c>
      <c r="M146" s="68">
        <f>(Table13[[#This Row],[Expected Return]]-Table13[[#This Row],[Tcosts]])*Table13[[#This Row],[Investment]]</f>
        <v>360321.15321374184</v>
      </c>
      <c r="Q146" s="13" t="s">
        <v>664</v>
      </c>
    </row>
    <row r="147" spans="1:17" ht="15.6" x14ac:dyDescent="0.3">
      <c r="A147" s="4" t="s">
        <v>626</v>
      </c>
      <c r="B147" s="14" t="s">
        <v>627</v>
      </c>
      <c r="C147" s="6">
        <v>50.27</v>
      </c>
      <c r="D147" s="6" t="s">
        <v>628</v>
      </c>
      <c r="E147" s="15">
        <v>8.5000000000000006E-3</v>
      </c>
      <c r="F147" s="6">
        <v>0.38</v>
      </c>
      <c r="G147" s="3">
        <f t="shared" si="8"/>
        <v>126850000</v>
      </c>
      <c r="H147" s="3" t="b">
        <f t="shared" si="9"/>
        <v>0</v>
      </c>
      <c r="I147" s="26">
        <f>Table13[[#This Row],[Tech]]*$T$7+Table13[[#This Row],[Beta]]*($T$6-$T$8)+$T$8</f>
        <v>6.0568000000000004E-2</v>
      </c>
      <c r="J147" s="64">
        <v>6883515.9510439998</v>
      </c>
      <c r="K147" s="61">
        <f>Table13[[#This Row],[Investment]]/Table13[[#This Row],[Dollar Volume]]</f>
        <v>5.4265005526558927E-2</v>
      </c>
      <c r="L147" s="34">
        <f>IFERROR(MAX($T$11+$T$12*LN(Table13[[#This Row],[Frac ADV]]),0),0)*0.0001+0.005/Table13[[#This Row],[Stock Price]]+Table13[[#This Row],[Expense Ratio]]</f>
        <v>2.558304442961741E-2</v>
      </c>
      <c r="M147" s="68">
        <f>(Table13[[#This Row],[Expected Return]]-Table13[[#This Row],[Tcosts]])*Table13[[#This Row],[Investment]]</f>
        <v>240819.49971529422</v>
      </c>
      <c r="Q147" s="16" t="s">
        <v>668</v>
      </c>
    </row>
    <row r="148" spans="1:17" ht="15.6" x14ac:dyDescent="0.3">
      <c r="A148" s="2" t="s">
        <v>563</v>
      </c>
      <c r="B148" s="10" t="s">
        <v>564</v>
      </c>
      <c r="C148" s="11">
        <v>156</v>
      </c>
      <c r="D148" s="11" t="s">
        <v>565</v>
      </c>
      <c r="E148" s="12">
        <v>8.0000000000000004E-4</v>
      </c>
      <c r="F148" s="11">
        <v>0.47</v>
      </c>
      <c r="G148" s="3">
        <f t="shared" si="8"/>
        <v>61790000</v>
      </c>
      <c r="H148" s="3" t="b">
        <f t="shared" si="9"/>
        <v>0</v>
      </c>
      <c r="I148" s="26">
        <f>Table13[[#This Row],[Tech]]*$T$7+Table13[[#This Row],[Beta]]*($T$6-$T$8)+$T$8</f>
        <v>6.6292000000000004E-2</v>
      </c>
      <c r="J148" s="64">
        <v>6205157.1852970002</v>
      </c>
      <c r="K148" s="61">
        <f>Table13[[#This Row],[Investment]]/Table13[[#This Row],[Dollar Volume]]</f>
        <v>0.10042332392453472</v>
      </c>
      <c r="L148" s="34">
        <f>IFERROR(MAX($T$11+$T$12*LN(Table13[[#This Row],[Frac ADV]]),0),0)*0.0001+0.005/Table13[[#This Row],[Stock Price]]+Table13[[#This Row],[Expense Ratio]]</f>
        <v>2.0830551514173387E-2</v>
      </c>
      <c r="M148" s="68">
        <f>(Table13[[#This Row],[Expected Return]]-Table13[[#This Row],[Tcosts]])*Table13[[#This Row],[Investment]]</f>
        <v>282095.43372583645</v>
      </c>
      <c r="Q148" s="13" t="s">
        <v>672</v>
      </c>
    </row>
    <row r="149" spans="1:17" ht="15.6" x14ac:dyDescent="0.3">
      <c r="A149" s="2" t="s">
        <v>677</v>
      </c>
      <c r="B149" s="10" t="s">
        <v>678</v>
      </c>
      <c r="C149" s="11">
        <v>154.11000000000001</v>
      </c>
      <c r="D149" s="11" t="s">
        <v>679</v>
      </c>
      <c r="E149" s="12">
        <v>3.5000000000000001E-3</v>
      </c>
      <c r="F149" s="11">
        <v>0.48</v>
      </c>
      <c r="G149" s="3">
        <f t="shared" si="8"/>
        <v>722670000</v>
      </c>
      <c r="H149" s="3" t="b">
        <f t="shared" si="9"/>
        <v>0</v>
      </c>
      <c r="I149" s="26">
        <f>Table13[[#This Row],[Tech]]*$T$7+Table13[[#This Row],[Beta]]*($T$6-$T$8)+$T$8</f>
        <v>6.6928000000000001E-2</v>
      </c>
      <c r="J149" s="64">
        <v>5926921.760431</v>
      </c>
      <c r="K149" s="61">
        <f>Table13[[#This Row],[Investment]]/Table13[[#This Row],[Dollar Volume]]</f>
        <v>8.2014221711583426E-3</v>
      </c>
      <c r="L149" s="34">
        <f>IFERROR(MAX($T$11+$T$12*LN(Table13[[#This Row],[Frac ADV]]),0),0)*0.0001+0.005/Table13[[#This Row],[Stock Price]]+Table13[[#This Row],[Expense Ratio]]</f>
        <v>1.1260513857107045E-2</v>
      </c>
      <c r="M149" s="68">
        <f>(Table13[[#This Row],[Expected Return]]-Table13[[#This Row],[Tcosts]])*Table13[[#This Row],[Investment]]</f>
        <v>329936.83496880345</v>
      </c>
      <c r="Q149" s="16" t="s">
        <v>676</v>
      </c>
    </row>
    <row r="150" spans="1:17" ht="15.6" x14ac:dyDescent="0.3">
      <c r="A150" s="2" t="s">
        <v>669</v>
      </c>
      <c r="B150" s="10" t="s">
        <v>670</v>
      </c>
      <c r="C150" s="11">
        <v>93.25</v>
      </c>
      <c r="D150" s="11" t="s">
        <v>671</v>
      </c>
      <c r="E150" s="12">
        <v>1.2999999999999999E-3</v>
      </c>
      <c r="F150" s="11">
        <v>0.42</v>
      </c>
      <c r="G150" s="3">
        <f t="shared" si="8"/>
        <v>102790000</v>
      </c>
      <c r="H150" s="3" t="b">
        <f t="shared" si="9"/>
        <v>0</v>
      </c>
      <c r="I150" s="26">
        <f>Table13[[#This Row],[Tech]]*$T$7+Table13[[#This Row],[Beta]]*($T$6-$T$8)+$T$8</f>
        <v>6.3112000000000001E-2</v>
      </c>
      <c r="J150" s="64">
        <v>5637601.5058570001</v>
      </c>
      <c r="K150" s="61">
        <f>Table13[[#This Row],[Investment]]/Table13[[#This Row],[Dollar Volume]]</f>
        <v>5.4845816770668354E-2</v>
      </c>
      <c r="L150" s="34">
        <f>IFERROR(MAX($T$11+$T$12*LN(Table13[[#This Row],[Frac ADV]]),0),0)*0.0001+0.005/Table13[[#This Row],[Stock Price]]+Table13[[#This Row],[Expense Ratio]]</f>
        <v>1.8389348908729283E-2</v>
      </c>
      <c r="M150" s="68">
        <f>(Table13[[#This Row],[Expected Return]]-Table13[[#This Row],[Tcosts]])*Table13[[#This Row],[Investment]]</f>
        <v>252128.48513806501</v>
      </c>
      <c r="Q150" s="13" t="s">
        <v>680</v>
      </c>
    </row>
    <row r="151" spans="1:17" ht="15.6" x14ac:dyDescent="0.3">
      <c r="A151" s="4" t="s">
        <v>658</v>
      </c>
      <c r="B151" s="14" t="s">
        <v>659</v>
      </c>
      <c r="C151" s="6">
        <v>45.25</v>
      </c>
      <c r="D151" s="6" t="s">
        <v>354</v>
      </c>
      <c r="E151" s="15">
        <v>8.0000000000000004E-4</v>
      </c>
      <c r="F151" s="6">
        <v>0.32</v>
      </c>
      <c r="G151" s="3">
        <f t="shared" si="8"/>
        <v>72150000</v>
      </c>
      <c r="H151" s="3" t="b">
        <f t="shared" si="9"/>
        <v>0</v>
      </c>
      <c r="I151" s="26">
        <f>Table13[[#This Row],[Tech]]*$T$7+Table13[[#This Row],[Beta]]*($T$6-$T$8)+$T$8</f>
        <v>5.6752000000000004E-2</v>
      </c>
      <c r="J151" s="64">
        <v>3463728.3309289999</v>
      </c>
      <c r="K151" s="61">
        <f>Table13[[#This Row],[Investment]]/Table13[[#This Row],[Dollar Volume]]</f>
        <v>4.8007322673998612E-2</v>
      </c>
      <c r="L151" s="34">
        <f>IFERROR(MAX($T$11+$T$12*LN(Table13[[#This Row],[Frac ADV]]),0),0)*0.0001+0.005/Table13[[#This Row],[Stock Price]]+Table13[[#This Row],[Expense Ratio]]</f>
        <v>1.7293921234806678E-2</v>
      </c>
      <c r="M151" s="68">
        <f>(Table13[[#This Row],[Expected Return]]-Table13[[#This Row],[Tcosts]])*Table13[[#This Row],[Investment]]</f>
        <v>136672.0653030281</v>
      </c>
      <c r="Q151" s="16" t="s">
        <v>684</v>
      </c>
    </row>
    <row r="152" spans="1:17" ht="15.6" x14ac:dyDescent="0.3">
      <c r="A152" s="2" t="s">
        <v>709</v>
      </c>
      <c r="B152" s="10" t="s">
        <v>710</v>
      </c>
      <c r="C152" s="11">
        <v>31.48</v>
      </c>
      <c r="D152" s="11" t="s">
        <v>711</v>
      </c>
      <c r="E152" s="12">
        <v>4.4999999999999997E-3</v>
      </c>
      <c r="F152" s="11">
        <v>0.33</v>
      </c>
      <c r="G152" s="3">
        <f t="shared" si="8"/>
        <v>157240000</v>
      </c>
      <c r="H152" s="3" t="b">
        <f t="shared" si="9"/>
        <v>0</v>
      </c>
      <c r="I152" s="26">
        <f>Table13[[#This Row],[Tech]]*$T$7+Table13[[#This Row],[Beta]]*($T$6-$T$8)+$T$8</f>
        <v>5.7388000000000008E-2</v>
      </c>
      <c r="J152" s="64">
        <v>2894736.789316</v>
      </c>
      <c r="K152" s="61">
        <f>Table13[[#This Row],[Investment]]/Table13[[#This Row],[Dollar Volume]]</f>
        <v>1.8409671771279574E-2</v>
      </c>
      <c r="L152" s="34">
        <f>IFERROR(MAX($T$11+$T$12*LN(Table13[[#This Row],[Frac ADV]]),0),0)*0.0001+0.005/Table13[[#This Row],[Stock Price]]+Table13[[#This Row],[Expense Ratio]]</f>
        <v>1.6347435697801505E-2</v>
      </c>
      <c r="M152" s="68">
        <f>(Table13[[#This Row],[Expected Return]]-Table13[[#This Row],[Tcosts]])*Table13[[#This Row],[Investment]]</f>
        <v>118801.63133986294</v>
      </c>
      <c r="Q152" s="13" t="s">
        <v>688</v>
      </c>
    </row>
    <row r="153" spans="1:17" ht="15.6" x14ac:dyDescent="0.3">
      <c r="A153" s="4" t="s">
        <v>685</v>
      </c>
      <c r="B153" s="14" t="s">
        <v>686</v>
      </c>
      <c r="C153" s="6">
        <v>89.21</v>
      </c>
      <c r="D153" s="6" t="s">
        <v>687</v>
      </c>
      <c r="E153" s="15">
        <v>8.0000000000000004E-4</v>
      </c>
      <c r="F153" s="6">
        <v>0.21</v>
      </c>
      <c r="G153" s="3">
        <f t="shared" si="8"/>
        <v>113530000</v>
      </c>
      <c r="H153" s="3" t="b">
        <f t="shared" si="9"/>
        <v>0</v>
      </c>
      <c r="I153" s="26">
        <f>Table13[[#This Row],[Tech]]*$T$7+Table13[[#This Row],[Beta]]*($T$6-$T$8)+$T$8</f>
        <v>4.9756000000000002E-2</v>
      </c>
      <c r="J153" s="64">
        <v>2332258.556777</v>
      </c>
      <c r="K153" s="61">
        <f>Table13[[#This Row],[Investment]]/Table13[[#This Row],[Dollar Volume]]</f>
        <v>2.054310364464899E-2</v>
      </c>
      <c r="L153" s="34">
        <f>IFERROR(MAX($T$11+$T$12*LN(Table13[[#This Row],[Frac ADV]]),0),0)*0.0001+0.005/Table13[[#This Row],[Stock Price]]+Table13[[#This Row],[Expense Ratio]]</f>
        <v>1.308173620032704E-2</v>
      </c>
      <c r="M153" s="68">
        <f>(Table13[[#This Row],[Expected Return]]-Table13[[#This Row],[Tcosts]])*Table13[[#This Row],[Investment]]</f>
        <v>85533.865560284248</v>
      </c>
      <c r="Q153" s="16" t="s">
        <v>692</v>
      </c>
    </row>
    <row r="154" spans="1:17" ht="15.6" x14ac:dyDescent="0.3">
      <c r="A154" s="4" t="s">
        <v>689</v>
      </c>
      <c r="B154" s="14" t="s">
        <v>690</v>
      </c>
      <c r="C154" s="6">
        <v>80.790000000000006</v>
      </c>
      <c r="D154" s="6" t="s">
        <v>691</v>
      </c>
      <c r="E154" s="15">
        <v>4.8999999999999998E-3</v>
      </c>
      <c r="F154" s="6">
        <v>0.2</v>
      </c>
      <c r="G154" s="3">
        <f t="shared" si="8"/>
        <v>112700000</v>
      </c>
      <c r="H154" s="3" t="b">
        <f t="shared" si="9"/>
        <v>0</v>
      </c>
      <c r="I154" s="26">
        <f>Table13[[#This Row],[Tech]]*$T$7+Table13[[#This Row],[Beta]]*($T$6-$T$8)+$T$8</f>
        <v>4.9120000000000004E-2</v>
      </c>
      <c r="J154" s="64">
        <v>1965300.075034</v>
      </c>
      <c r="K154" s="61">
        <f>Table13[[#This Row],[Investment]]/Table13[[#This Row],[Dollar Volume]]</f>
        <v>1.7438332520266192E-2</v>
      </c>
      <c r="L154" s="34">
        <f>IFERROR(MAX($T$11+$T$12*LN(Table13[[#This Row],[Frac ADV]]),0),0)*0.0001+0.005/Table13[[#This Row],[Stock Price]]+Table13[[#This Row],[Expense Ratio]]</f>
        <v>1.6384984521151204E-2</v>
      </c>
      <c r="M154" s="68">
        <f>(Table13[[#This Row],[Expected Return]]-Table13[[#This Row],[Tcosts]])*Table13[[#This Row],[Investment]]</f>
        <v>64334.128376820699</v>
      </c>
      <c r="Q154" s="13" t="s">
        <v>696</v>
      </c>
    </row>
    <row r="155" spans="1:17" ht="15.6" x14ac:dyDescent="0.3">
      <c r="A155" s="2" t="s">
        <v>693</v>
      </c>
      <c r="B155" s="10" t="s">
        <v>694</v>
      </c>
      <c r="C155" s="11">
        <v>37.450000000000003</v>
      </c>
      <c r="D155" s="11" t="s">
        <v>695</v>
      </c>
      <c r="E155" s="12">
        <v>8.0000000000000004E-4</v>
      </c>
      <c r="F155" s="11">
        <v>0.21</v>
      </c>
      <c r="G155" s="3">
        <f t="shared" si="8"/>
        <v>76130000</v>
      </c>
      <c r="H155" s="3" t="b">
        <f t="shared" si="9"/>
        <v>0</v>
      </c>
      <c r="I155" s="26">
        <f>Table13[[#This Row],[Tech]]*$T$7+Table13[[#This Row],[Beta]]*($T$6-$T$8)+$T$8</f>
        <v>4.9756000000000002E-2</v>
      </c>
      <c r="J155" s="64">
        <v>1713188.7072310001</v>
      </c>
      <c r="K155" s="61">
        <f>Table13[[#This Row],[Investment]]/Table13[[#This Row],[Dollar Volume]]</f>
        <v>2.2503463906882966E-2</v>
      </c>
      <c r="L155" s="34">
        <f>IFERROR(MAX($T$11+$T$12*LN(Table13[[#This Row],[Frac ADV]]),0),0)*0.0001+0.005/Table13[[#This Row],[Stock Price]]+Table13[[#This Row],[Expense Ratio]]</f>
        <v>1.3605641841669337E-2</v>
      </c>
      <c r="M155" s="68">
        <f>(Table13[[#This Row],[Expected Return]]-Table13[[#This Row],[Tcosts]])*Table13[[#This Row],[Investment]]</f>
        <v>61932.385359208143</v>
      </c>
      <c r="Q155" s="16" t="s">
        <v>700</v>
      </c>
    </row>
    <row r="156" spans="1:17" ht="15.6" x14ac:dyDescent="0.3">
      <c r="A156" s="4" t="s">
        <v>697</v>
      </c>
      <c r="B156" s="14" t="s">
        <v>698</v>
      </c>
      <c r="C156" s="6">
        <v>50.71</v>
      </c>
      <c r="D156" s="6" t="s">
        <v>699</v>
      </c>
      <c r="E156" s="15">
        <v>2E-3</v>
      </c>
      <c r="F156" s="6">
        <v>0.05</v>
      </c>
      <c r="G156" s="3">
        <f t="shared" si="8"/>
        <v>117390000</v>
      </c>
      <c r="H156" s="3" t="b">
        <f t="shared" si="9"/>
        <v>0</v>
      </c>
      <c r="I156" s="26">
        <f>Table13[[#This Row],[Tech]]*$T$7+Table13[[#This Row],[Beta]]*($T$6-$T$8)+$T$8</f>
        <v>3.9580000000000004E-2</v>
      </c>
      <c r="J156" s="64">
        <v>1563866.4825609999</v>
      </c>
      <c r="K156" s="61">
        <f>Table13[[#This Row],[Investment]]/Table13[[#This Row],[Dollar Volume]]</f>
        <v>1.3321973614115341E-2</v>
      </c>
      <c r="L156" s="34">
        <f>IFERROR(MAX($T$11+$T$12*LN(Table13[[#This Row],[Frac ADV]]),0),0)*0.0001+0.005/Table13[[#This Row],[Stock Price]]+Table13[[#This Row],[Expense Ratio]]</f>
        <v>1.220282441778449E-2</v>
      </c>
      <c r="M156" s="68">
        <f>(Table13[[#This Row],[Expected Return]]-Table13[[#This Row],[Tcosts]])*Table13[[#This Row],[Investment]]</f>
        <v>42814.247280214273</v>
      </c>
      <c r="Q156" s="13" t="s">
        <v>704</v>
      </c>
    </row>
    <row r="157" spans="1:17" ht="15.6" x14ac:dyDescent="0.3">
      <c r="A157" s="4" t="s">
        <v>739</v>
      </c>
      <c r="B157" s="14" t="s">
        <v>740</v>
      </c>
      <c r="C157" s="6">
        <v>50.47</v>
      </c>
      <c r="D157" s="6" t="s">
        <v>741</v>
      </c>
      <c r="E157" s="15">
        <v>6.9999999999999999E-4</v>
      </c>
      <c r="F157" s="6">
        <v>-0.01</v>
      </c>
      <c r="G157" s="3">
        <f t="shared" si="8"/>
        <v>202270000</v>
      </c>
      <c r="H157" s="3" t="b">
        <f t="shared" si="9"/>
        <v>0</v>
      </c>
      <c r="I157" s="26">
        <f>Table13[[#This Row],[Tech]]*$T$7+Table13[[#This Row],[Beta]]*($T$6-$T$8)+$T$8</f>
        <v>3.5764000000000004E-2</v>
      </c>
      <c r="J157" s="64">
        <v>639822.59925099998</v>
      </c>
      <c r="K157" s="61">
        <f>Table13[[#This Row],[Investment]]/Table13[[#This Row],[Dollar Volume]]</f>
        <v>3.1632105564394124E-3</v>
      </c>
      <c r="L157" s="34">
        <f>IFERROR(MAX($T$11+$T$12*LN(Table13[[#This Row],[Frac ADV]]),0),0)*0.0001+0.005/Table13[[#This Row],[Stock Price]]+Table13[[#This Row],[Expense Ratio]]</f>
        <v>3.8605195095683309E-3</v>
      </c>
      <c r="M157" s="68">
        <f>(Table13[[#This Row],[Expected Return]]-Table13[[#This Row],[Tcosts]])*Table13[[#This Row],[Investment]]</f>
        <v>20412.567812541562</v>
      </c>
      <c r="Q157" s="16" t="s">
        <v>708</v>
      </c>
    </row>
    <row r="158" spans="1:17" ht="15.6" x14ac:dyDescent="0.3">
      <c r="A158" s="4" t="s">
        <v>705</v>
      </c>
      <c r="B158" s="14" t="s">
        <v>706</v>
      </c>
      <c r="C158" s="6">
        <v>97.25</v>
      </c>
      <c r="D158" s="6" t="s">
        <v>707</v>
      </c>
      <c r="E158" s="15">
        <v>3.8999999999999998E-3</v>
      </c>
      <c r="F158" s="6">
        <v>0.14000000000000001</v>
      </c>
      <c r="G158" s="3">
        <f t="shared" si="8"/>
        <v>150780000</v>
      </c>
      <c r="H158" s="3" t="b">
        <f t="shared" si="9"/>
        <v>0</v>
      </c>
      <c r="I158" s="26">
        <f>Table13[[#This Row],[Tech]]*$T$7+Table13[[#This Row],[Beta]]*($T$6-$T$8)+$T$8</f>
        <v>4.5304000000000004E-2</v>
      </c>
      <c r="J158" s="64">
        <v>596575.33100100001</v>
      </c>
      <c r="K158" s="61">
        <f>Table13[[#This Row],[Investment]]/Table13[[#This Row],[Dollar Volume]]</f>
        <v>3.9565945815161164E-3</v>
      </c>
      <c r="L158" s="34">
        <f>IFERROR(MAX($T$11+$T$12*LN(Table13[[#This Row],[Frac ADV]]),0),0)*0.0001+0.005/Table13[[#This Row],[Stock Price]]+Table13[[#This Row],[Expense Ratio]]</f>
        <v>8.1090643885994539E-3</v>
      </c>
      <c r="M158" s="68">
        <f>(Table13[[#This Row],[Expected Return]]-Table13[[#This Row],[Tcosts]])*Table13[[#This Row],[Investment]]</f>
        <v>22189.581023932169</v>
      </c>
      <c r="Q158" s="13" t="s">
        <v>712</v>
      </c>
    </row>
    <row r="159" spans="1:17" ht="15.6" x14ac:dyDescent="0.3">
      <c r="A159" s="2" t="s">
        <v>783</v>
      </c>
      <c r="B159" s="10" t="s">
        <v>784</v>
      </c>
      <c r="C159" s="11">
        <v>54.2</v>
      </c>
      <c r="D159" s="11" t="s">
        <v>785</v>
      </c>
      <c r="E159" s="12">
        <v>4.0000000000000002E-4</v>
      </c>
      <c r="F159" s="11">
        <v>-0.01</v>
      </c>
      <c r="G159" s="3">
        <f t="shared" si="8"/>
        <v>34700000</v>
      </c>
      <c r="H159" s="3" t="b">
        <f t="shared" si="9"/>
        <v>0</v>
      </c>
      <c r="I159" s="26">
        <f>Table13[[#This Row],[Tech]]*$T$7+Table13[[#This Row],[Beta]]*($T$6-$T$8)+$T$8</f>
        <v>3.5764000000000004E-2</v>
      </c>
      <c r="J159" s="64">
        <v>415254.47676799999</v>
      </c>
      <c r="K159" s="61">
        <f>Table13[[#This Row],[Investment]]/Table13[[#This Row],[Dollar Volume]]</f>
        <v>1.1966987803112391E-2</v>
      </c>
      <c r="L159" s="34">
        <f>IFERROR(MAX($T$11+$T$12*LN(Table13[[#This Row],[Frac ADV]]),0),0)*0.0001+0.005/Table13[[#This Row],[Stock Price]]+Table13[[#This Row],[Expense Ratio]]</f>
        <v>1.0071079325569648E-2</v>
      </c>
      <c r="M159" s="68">
        <f>(Table13[[#This Row],[Expected Return]]-Table13[[#This Row],[Tcosts]])*Table13[[#This Row],[Investment]]</f>
        <v>10669.100331302307</v>
      </c>
      <c r="Q159" s="16" t="s">
        <v>716</v>
      </c>
    </row>
    <row r="160" spans="1:17" ht="15.6" x14ac:dyDescent="0.3">
      <c r="A160" s="2" t="s">
        <v>736</v>
      </c>
      <c r="B160" s="10" t="s">
        <v>737</v>
      </c>
      <c r="C160" s="11">
        <v>50.68</v>
      </c>
      <c r="D160" s="11" t="s">
        <v>738</v>
      </c>
      <c r="E160" s="12">
        <v>1.8E-3</v>
      </c>
      <c r="F160" s="11">
        <v>0.01</v>
      </c>
      <c r="G160" s="3">
        <f t="shared" si="8"/>
        <v>61090000</v>
      </c>
      <c r="H160" s="3" t="b">
        <f t="shared" si="9"/>
        <v>0</v>
      </c>
      <c r="I160" s="26">
        <f>Table13[[#This Row],[Tech]]*$T$7+Table13[[#This Row],[Beta]]*($T$6-$T$8)+$T$8</f>
        <v>3.7035999999999999E-2</v>
      </c>
      <c r="J160" s="64">
        <v>353998.25397199998</v>
      </c>
      <c r="K160" s="61">
        <f>Table13[[#This Row],[Investment]]/Table13[[#This Row],[Dollar Volume]]</f>
        <v>5.7947005069896871E-3</v>
      </c>
      <c r="L160" s="34">
        <f>IFERROR(MAX($T$11+$T$12*LN(Table13[[#This Row],[Frac ADV]]),0),0)*0.0001+0.005/Table13[[#This Row],[Stock Price]]+Table13[[#This Row],[Expense Ratio]]</f>
        <v>7.9252685353291379E-3</v>
      </c>
      <c r="M160" s="68">
        <f>(Table13[[#This Row],[Expected Return]]-Table13[[#This Row],[Tcosts]])*Table13[[#This Row],[Investment]]</f>
        <v>10305.148110341246</v>
      </c>
      <c r="Q160" s="13" t="s">
        <v>720</v>
      </c>
    </row>
    <row r="161" spans="1:17" ht="15.6" x14ac:dyDescent="0.3">
      <c r="A161" s="2" t="s">
        <v>815</v>
      </c>
      <c r="B161" s="10" t="s">
        <v>816</v>
      </c>
      <c r="C161" s="11">
        <v>49.68</v>
      </c>
      <c r="D161" s="11" t="s">
        <v>817</v>
      </c>
      <c r="E161" s="12">
        <v>1.5E-3</v>
      </c>
      <c r="F161" s="11">
        <v>0.02</v>
      </c>
      <c r="G161" s="3">
        <f t="shared" si="8"/>
        <v>130580000.00000001</v>
      </c>
      <c r="H161" s="3" t="b">
        <f t="shared" si="9"/>
        <v>0</v>
      </c>
      <c r="I161" s="26">
        <f>Table13[[#This Row],[Tech]]*$T$7+Table13[[#This Row],[Beta]]*($T$6-$T$8)+$T$8</f>
        <v>3.7672000000000004E-2</v>
      </c>
      <c r="J161" s="64">
        <v>126521.59401099999</v>
      </c>
      <c r="K161" s="61">
        <f>Table13[[#This Row],[Investment]]/Table13[[#This Row],[Dollar Volume]]</f>
        <v>9.6892015631030765E-4</v>
      </c>
      <c r="L161" s="34">
        <f>IFERROR(MAX($T$11+$T$12*LN(Table13[[#This Row],[Frac ADV]]),0),0)*0.0001+0.005/Table13[[#This Row],[Stock Price]]+Table13[[#This Row],[Expense Ratio]]</f>
        <v>1.6006441223832529E-3</v>
      </c>
      <c r="M161" s="68">
        <f>(Table13[[#This Row],[Expected Return]]-Table13[[#This Row],[Tcosts]])*Table13[[#This Row],[Investment]]</f>
        <v>4563.8054437741248</v>
      </c>
      <c r="Q161" s="16" t="s">
        <v>723</v>
      </c>
    </row>
    <row r="162" spans="1:17" ht="15.6" x14ac:dyDescent="0.3">
      <c r="A162" s="4" t="s">
        <v>771</v>
      </c>
      <c r="B162" s="14" t="s">
        <v>772</v>
      </c>
      <c r="C162" s="6">
        <v>24.39</v>
      </c>
      <c r="D162" s="6" t="s">
        <v>773</v>
      </c>
      <c r="E162" s="15">
        <v>2.9999999999999997E-4</v>
      </c>
      <c r="F162" s="6">
        <v>-0.02</v>
      </c>
      <c r="G162" s="3">
        <f t="shared" ref="G162:G193" si="10">IF(RIGHT(Q162,1)="B", VALUE(SUBSTITUTE(Q162,"B",""))*1000000000,
 IF(RIGHT(Q162,1)="M", VALUE(SUBSTITUTE(Q162,"M",""))*1000000, VALUE(Q162)))</f>
        <v>462550000</v>
      </c>
      <c r="H162" s="3" t="b">
        <f t="shared" ref="H162:H193" si="11">OR(
  ISNUMBER(SEARCH("technology",B162)),
  ISNUMBER(SEARCH("tech",B162)),
  ISNUMBER(SEARCH("qqq",B162)),
  ISNUMBER(SEARCH("semiconductor",B162)),
  ISNUMBER(SEARCH("information technology",B162)),
  ISNUMBER(SEARCH("nasdaq",B162)),
  ISNUMBER(SEARCH("communication",B162))
)</f>
        <v>0</v>
      </c>
      <c r="I162" s="26">
        <f>Table13[[#This Row],[Tech]]*$T$7+Table13[[#This Row],[Beta]]*($T$6-$T$8)+$T$8</f>
        <v>3.5128E-2</v>
      </c>
      <c r="J162" s="64">
        <v>97595.392640999999</v>
      </c>
      <c r="K162" s="61">
        <f>Table13[[#This Row],[Investment]]/Table13[[#This Row],[Dollar Volume]]</f>
        <v>2.1099425498000217E-4</v>
      </c>
      <c r="L162" s="34">
        <f>IFERROR(MAX($T$11+$T$12*LN(Table13[[#This Row],[Frac ADV]]),0),0)*0.0001+0.005/Table13[[#This Row],[Stock Price]]+Table13[[#This Row],[Expense Ratio]]</f>
        <v>5.0500205002050017E-4</v>
      </c>
      <c r="M162" s="68">
        <f>(Table13[[#This Row],[Expected Return]]-Table13[[#This Row],[Tcosts]])*Table13[[#This Row],[Investment]]</f>
        <v>3379.0450793367872</v>
      </c>
      <c r="Q162" s="13" t="s">
        <v>727</v>
      </c>
    </row>
    <row r="163" spans="1:17" ht="15.6" x14ac:dyDescent="0.3">
      <c r="A163" s="2" t="s">
        <v>866</v>
      </c>
      <c r="B163" s="10" t="s">
        <v>867</v>
      </c>
      <c r="C163" s="11">
        <v>74.66</v>
      </c>
      <c r="D163" s="11" t="s">
        <v>868</v>
      </c>
      <c r="E163" s="12">
        <v>2.9999999999999997E-4</v>
      </c>
      <c r="F163" s="11">
        <v>-0.05</v>
      </c>
      <c r="G163" s="3">
        <f t="shared" si="10"/>
        <v>80470000</v>
      </c>
      <c r="H163" s="3" t="b">
        <f t="shared" si="11"/>
        <v>0</v>
      </c>
      <c r="I163" s="26">
        <f>Table13[[#This Row],[Tech]]*$T$7+Table13[[#This Row],[Beta]]*($T$6-$T$8)+$T$8</f>
        <v>3.322E-2</v>
      </c>
      <c r="J163" s="64">
        <v>43679.990572000002</v>
      </c>
      <c r="K163" s="61">
        <f>Table13[[#This Row],[Investment]]/Table13[[#This Row],[Dollar Volume]]</f>
        <v>5.4281086829874488E-4</v>
      </c>
      <c r="L163" s="34">
        <f>IFERROR(MAX($T$11+$T$12*LN(Table13[[#This Row],[Frac ADV]]),0),0)*0.0001+0.005/Table13[[#This Row],[Stock Price]]+Table13[[#This Row],[Expense Ratio]]</f>
        <v>3.6697026520225018E-4</v>
      </c>
      <c r="M163" s="68">
        <f>(Table13[[#This Row],[Expected Return]]-Table13[[#This Row],[Tcosts]])*Table13[[#This Row],[Investment]]</f>
        <v>1435.0200290776015</v>
      </c>
      <c r="Q163" s="16" t="s">
        <v>731</v>
      </c>
    </row>
    <row r="164" spans="1:17" ht="15.6" x14ac:dyDescent="0.3">
      <c r="A164" s="2" t="s">
        <v>811</v>
      </c>
      <c r="B164" s="10" t="s">
        <v>812</v>
      </c>
      <c r="C164" s="11">
        <v>46.89</v>
      </c>
      <c r="D164" s="11" t="s">
        <v>813</v>
      </c>
      <c r="E164" s="12">
        <v>5.9999999999999995E-4</v>
      </c>
      <c r="F164" s="11">
        <v>-0.04</v>
      </c>
      <c r="G164" s="3">
        <f t="shared" si="10"/>
        <v>90770000</v>
      </c>
      <c r="H164" s="3" t="b">
        <f t="shared" si="11"/>
        <v>0</v>
      </c>
      <c r="I164" s="26">
        <f>Table13[[#This Row],[Tech]]*$T$7+Table13[[#This Row],[Beta]]*($T$6-$T$8)+$T$8</f>
        <v>3.3856000000000004E-2</v>
      </c>
      <c r="J164" s="64">
        <v>37635.432947000001</v>
      </c>
      <c r="K164" s="61">
        <f>Table13[[#This Row],[Investment]]/Table13[[#This Row],[Dollar Volume]]</f>
        <v>4.1462413734714114E-4</v>
      </c>
      <c r="L164" s="34">
        <f>IFERROR(MAX($T$11+$T$12*LN(Table13[[#This Row],[Frac ADV]]),0),0)*0.0001+0.005/Table13[[#This Row],[Stock Price]]+Table13[[#This Row],[Expense Ratio]]</f>
        <v>7.0663254425250581E-4</v>
      </c>
      <c r="M164" s="68">
        <f>(Table13[[#This Row],[Expected Return]]-Table13[[#This Row],[Tcosts]])*Table13[[#This Row],[Investment]]</f>
        <v>1247.5907961162491</v>
      </c>
      <c r="Q164" s="13" t="s">
        <v>735</v>
      </c>
    </row>
    <row r="165" spans="1:17" ht="15.6" x14ac:dyDescent="0.3">
      <c r="A165" s="4" t="s">
        <v>835</v>
      </c>
      <c r="B165" s="14" t="s">
        <v>836</v>
      </c>
      <c r="C165" s="6">
        <v>26.82</v>
      </c>
      <c r="D165" s="6" t="s">
        <v>837</v>
      </c>
      <c r="E165" s="15">
        <v>2.9999999999999997E-4</v>
      </c>
      <c r="F165" s="6">
        <v>-0.05</v>
      </c>
      <c r="G165" s="3">
        <f t="shared" si="10"/>
        <v>113530000</v>
      </c>
      <c r="H165" s="3" t="b">
        <f t="shared" si="11"/>
        <v>0</v>
      </c>
      <c r="I165" s="26">
        <f>Table13[[#This Row],[Tech]]*$T$7+Table13[[#This Row],[Beta]]*($T$6-$T$8)+$T$8</f>
        <v>3.322E-2</v>
      </c>
      <c r="J165" s="64">
        <v>30345.059571999998</v>
      </c>
      <c r="K165" s="61">
        <f>Table13[[#This Row],[Investment]]/Table13[[#This Row],[Dollar Volume]]</f>
        <v>2.6728670458909539E-4</v>
      </c>
      <c r="L165" s="34">
        <f>IFERROR(MAX($T$11+$T$12*LN(Table13[[#This Row],[Frac ADV]]),0),0)*0.0001+0.005/Table13[[#This Row],[Stock Price]]+Table13[[#This Row],[Expense Ratio]]</f>
        <v>4.8642803877703205E-4</v>
      </c>
      <c r="M165" s="68">
        <f>(Table13[[#This Row],[Expected Return]]-Table13[[#This Row],[Tcosts]])*Table13[[#This Row],[Investment]]</f>
        <v>993.30219116765966</v>
      </c>
      <c r="Q165" s="16" t="s">
        <v>692</v>
      </c>
    </row>
    <row r="166" spans="1:17" ht="15.6" x14ac:dyDescent="0.3">
      <c r="A166" s="4" t="s">
        <v>795</v>
      </c>
      <c r="B166" s="14" t="s">
        <v>796</v>
      </c>
      <c r="C166" s="6">
        <v>82.93</v>
      </c>
      <c r="D166" s="6" t="s">
        <v>797</v>
      </c>
      <c r="E166" s="15">
        <v>1.5E-3</v>
      </c>
      <c r="F166" s="6">
        <v>-0.02</v>
      </c>
      <c r="G166" s="3">
        <f t="shared" si="10"/>
        <v>111170000</v>
      </c>
      <c r="H166" s="3" t="b">
        <f t="shared" si="11"/>
        <v>0</v>
      </c>
      <c r="I166" s="26">
        <f>Table13[[#This Row],[Tech]]*$T$7+Table13[[#This Row],[Beta]]*($T$6-$T$8)+$T$8</f>
        <v>3.5128E-2</v>
      </c>
      <c r="J166" s="64">
        <v>21021.126007999999</v>
      </c>
      <c r="K166" s="61">
        <f>Table13[[#This Row],[Investment]]/Table13[[#This Row],[Dollar Volume]]</f>
        <v>1.8908991641629935E-4</v>
      </c>
      <c r="L166" s="34">
        <f>IFERROR(MAX($T$11+$T$12*LN(Table13[[#This Row],[Frac ADV]]),0),0)*0.0001+0.005/Table13[[#This Row],[Stock Price]]+Table13[[#This Row],[Expense Ratio]]</f>
        <v>1.5602918123718799E-3</v>
      </c>
      <c r="M166" s="68">
        <f>(Table13[[#This Row],[Expected Return]]-Table13[[#This Row],[Tcosts]])*Table13[[#This Row],[Investment]]</f>
        <v>705.63102361190408</v>
      </c>
      <c r="Q166" s="13" t="s">
        <v>742</v>
      </c>
    </row>
    <row r="167" spans="1:17" ht="15.6" x14ac:dyDescent="0.3">
      <c r="A167" s="4" t="s">
        <v>732</v>
      </c>
      <c r="B167" s="14" t="s">
        <v>733</v>
      </c>
      <c r="C167" s="6">
        <v>79.97</v>
      </c>
      <c r="D167" s="6" t="s">
        <v>734</v>
      </c>
      <c r="E167" s="15">
        <v>2.9999999999999997E-4</v>
      </c>
      <c r="F167" s="6">
        <v>-0.01</v>
      </c>
      <c r="G167" s="3">
        <f t="shared" si="10"/>
        <v>267070000</v>
      </c>
      <c r="H167" s="3" t="b">
        <f t="shared" si="11"/>
        <v>0</v>
      </c>
      <c r="I167" s="26">
        <f>Table13[[#This Row],[Tech]]*$T$7+Table13[[#This Row],[Beta]]*($T$6-$T$8)+$T$8</f>
        <v>3.5764000000000004E-2</v>
      </c>
      <c r="J167" s="64">
        <v>12370.53278</v>
      </c>
      <c r="K167" s="61">
        <f>Table13[[#This Row],[Investment]]/Table13[[#This Row],[Dollar Volume]]</f>
        <v>4.6319439772344329E-5</v>
      </c>
      <c r="L167" s="34">
        <f>IFERROR(MAX($T$11+$T$12*LN(Table13[[#This Row],[Frac ADV]]),0),0)*0.0001+0.005/Table13[[#This Row],[Stock Price]]+Table13[[#This Row],[Expense Ratio]]</f>
        <v>3.6252344629235963E-4</v>
      </c>
      <c r="M167" s="68">
        <f>(Table13[[#This Row],[Expected Return]]-Table13[[#This Row],[Tcosts]])*Table13[[#This Row],[Investment]]</f>
        <v>437.93512616804179</v>
      </c>
      <c r="Q167" s="16" t="s">
        <v>746</v>
      </c>
    </row>
    <row r="168" spans="1:17" ht="15.6" x14ac:dyDescent="0.3">
      <c r="A168" s="2" t="s">
        <v>819</v>
      </c>
      <c r="B168" s="10" t="s">
        <v>820</v>
      </c>
      <c r="C168" s="11">
        <v>84.22</v>
      </c>
      <c r="D168" s="11" t="s">
        <v>821</v>
      </c>
      <c r="E168" s="12">
        <v>2.9999999999999997E-4</v>
      </c>
      <c r="F168" s="11">
        <v>-0.01</v>
      </c>
      <c r="G168" s="3">
        <f t="shared" si="10"/>
        <v>117950000</v>
      </c>
      <c r="H168" s="3" t="b">
        <f t="shared" si="11"/>
        <v>0</v>
      </c>
      <c r="I168" s="26">
        <f>Table13[[#This Row],[Tech]]*$T$7+Table13[[#This Row],[Beta]]*($T$6-$T$8)+$T$8</f>
        <v>3.5764000000000004E-2</v>
      </c>
      <c r="J168" s="64">
        <v>12370.531236999999</v>
      </c>
      <c r="K168" s="61">
        <f>Table13[[#This Row],[Investment]]/Table13[[#This Row],[Dollar Volume]]</f>
        <v>1.0487945092835947E-4</v>
      </c>
      <c r="L168" s="34">
        <f>IFERROR(MAX($T$11+$T$12*LN(Table13[[#This Row],[Frac ADV]]),0),0)*0.0001+0.005/Table13[[#This Row],[Stock Price]]+Table13[[#This Row],[Expense Ratio]]</f>
        <v>3.5936832106388028E-4</v>
      </c>
      <c r="M168" s="68">
        <f>(Table13[[#This Row],[Expected Return]]-Table13[[#This Row],[Tcosts]])*Table13[[#This Row],[Investment]]</f>
        <v>437.97410211875899</v>
      </c>
      <c r="Q168" s="13" t="s">
        <v>750</v>
      </c>
    </row>
    <row r="169" spans="1:17" ht="15.6" x14ac:dyDescent="0.3">
      <c r="A169" s="2" t="s">
        <v>763</v>
      </c>
      <c r="B169" s="10" t="s">
        <v>764</v>
      </c>
      <c r="C169" s="11">
        <v>58.82</v>
      </c>
      <c r="D169" s="11" t="s">
        <v>765</v>
      </c>
      <c r="E169" s="12">
        <v>2.9999999999999997E-4</v>
      </c>
      <c r="F169" s="11">
        <v>-0.02</v>
      </c>
      <c r="G169" s="3">
        <f t="shared" si="10"/>
        <v>25390000</v>
      </c>
      <c r="H169" s="3" t="b">
        <f t="shared" si="11"/>
        <v>0</v>
      </c>
      <c r="I169" s="26">
        <f>Table13[[#This Row],[Tech]]*$T$7+Table13[[#This Row],[Beta]]*($T$6-$T$8)+$T$8</f>
        <v>3.5128E-2</v>
      </c>
      <c r="J169" s="64">
        <v>12367.245113000001</v>
      </c>
      <c r="K169" s="61">
        <f>Table13[[#This Row],[Investment]]/Table13[[#This Row],[Dollar Volume]]</f>
        <v>4.8709118207955894E-4</v>
      </c>
      <c r="L169" s="34">
        <f>IFERROR(MAX($T$11+$T$12*LN(Table13[[#This Row],[Frac ADV]]),0),0)*0.0001+0.005/Table13[[#This Row],[Stock Price]]+Table13[[#This Row],[Expense Ratio]]</f>
        <v>3.8500510030601832E-4</v>
      </c>
      <c r="M169" s="68">
        <f>(Table13[[#This Row],[Expected Return]]-Table13[[#This Row],[Tcosts]])*Table13[[#This Row],[Investment]]</f>
        <v>429.67513388422429</v>
      </c>
      <c r="Q169" s="16" t="s">
        <v>754</v>
      </c>
    </row>
    <row r="170" spans="1:17" ht="15.6" x14ac:dyDescent="0.3">
      <c r="A170" s="2" t="s">
        <v>803</v>
      </c>
      <c r="B170" s="10" t="s">
        <v>804</v>
      </c>
      <c r="C170" s="11">
        <v>49.74</v>
      </c>
      <c r="D170" s="11" t="s">
        <v>805</v>
      </c>
      <c r="E170" s="12">
        <v>2.9999999999999997E-4</v>
      </c>
      <c r="F170" s="11">
        <v>-0.04</v>
      </c>
      <c r="G170" s="3">
        <f t="shared" si="10"/>
        <v>125670000</v>
      </c>
      <c r="H170" s="3" t="b">
        <f t="shared" si="11"/>
        <v>0</v>
      </c>
      <c r="I170" s="26">
        <f>Table13[[#This Row],[Tech]]*$T$7+Table13[[#This Row],[Beta]]*($T$6-$T$8)+$T$8</f>
        <v>3.3856000000000004E-2</v>
      </c>
      <c r="J170" s="64">
        <v>12361.377092000001</v>
      </c>
      <c r="K170" s="61">
        <f>Table13[[#This Row],[Investment]]/Table13[[#This Row],[Dollar Volume]]</f>
        <v>9.8363786838545403E-5</v>
      </c>
      <c r="L170" s="34">
        <f>IFERROR(MAX($T$11+$T$12*LN(Table13[[#This Row],[Frac ADV]]),0),0)*0.0001+0.005/Table13[[#This Row],[Stock Price]]+Table13[[#This Row],[Expense Ratio]]</f>
        <v>4.0052271813429834E-4</v>
      </c>
      <c r="M170" s="68">
        <f>(Table13[[#This Row],[Expected Return]]-Table13[[#This Row],[Tcosts]])*Table13[[#This Row],[Investment]]</f>
        <v>413.55577047398123</v>
      </c>
      <c r="Q170" s="13" t="s">
        <v>758</v>
      </c>
    </row>
    <row r="171" spans="1:17" ht="15.6" x14ac:dyDescent="0.3">
      <c r="A171" s="2" t="s">
        <v>874</v>
      </c>
      <c r="B171" s="10" t="s">
        <v>875</v>
      </c>
      <c r="C171" s="11">
        <v>50.77</v>
      </c>
      <c r="D171" s="11" t="s">
        <v>726</v>
      </c>
      <c r="E171" s="12">
        <v>2.9999999999999997E-4</v>
      </c>
      <c r="F171" s="11">
        <v>-0.05</v>
      </c>
      <c r="G171" s="3">
        <f t="shared" si="10"/>
        <v>177210000</v>
      </c>
      <c r="H171" s="3" t="b">
        <f t="shared" si="11"/>
        <v>0</v>
      </c>
      <c r="I171" s="26">
        <f>Table13[[#This Row],[Tech]]*$T$7+Table13[[#This Row],[Beta]]*($T$6-$T$8)+$T$8</f>
        <v>3.322E-2</v>
      </c>
      <c r="J171" s="64">
        <v>12359.460853</v>
      </c>
      <c r="K171" s="61">
        <f>Table13[[#This Row],[Investment]]/Table13[[#This Row],[Dollar Volume]]</f>
        <v>6.9744714479995487E-5</v>
      </c>
      <c r="L171" s="34">
        <f>IFERROR(MAX($T$11+$T$12*LN(Table13[[#This Row],[Frac ADV]]),0),0)*0.0001+0.005/Table13[[#This Row],[Stock Price]]+Table13[[#This Row],[Expense Ratio]]</f>
        <v>3.9848335631278314E-4</v>
      </c>
      <c r="M171" s="68">
        <f>(Table13[[#This Row],[Expected Return]]-Table13[[#This Row],[Tcosts]])*Table13[[#This Row],[Investment]]</f>
        <v>405.65625009374014</v>
      </c>
      <c r="Q171" s="16" t="s">
        <v>762</v>
      </c>
    </row>
    <row r="172" spans="1:17" ht="15.6" x14ac:dyDescent="0.3">
      <c r="A172" s="4" t="s">
        <v>842</v>
      </c>
      <c r="B172" s="14" t="s">
        <v>843</v>
      </c>
      <c r="C172" s="6">
        <v>60.21</v>
      </c>
      <c r="D172" s="6" t="s">
        <v>844</v>
      </c>
      <c r="E172" s="15">
        <v>2.9999999999999997E-4</v>
      </c>
      <c r="F172" s="6">
        <v>-0.09</v>
      </c>
      <c r="G172" s="3">
        <f t="shared" si="10"/>
        <v>176940000</v>
      </c>
      <c r="H172" s="3" t="b">
        <f t="shared" si="11"/>
        <v>0</v>
      </c>
      <c r="I172" s="26">
        <f>Table13[[#This Row],[Tech]]*$T$7+Table13[[#This Row],[Beta]]*($T$6-$T$8)+$T$8</f>
        <v>3.0676000000000002E-2</v>
      </c>
      <c r="J172" s="64">
        <v>12348.630558000001</v>
      </c>
      <c r="K172" s="61">
        <f>Table13[[#This Row],[Investment]]/Table13[[#This Row],[Dollar Volume]]</f>
        <v>6.978993194303154E-5</v>
      </c>
      <c r="L172" s="34">
        <f>IFERROR(MAX($T$11+$T$12*LN(Table13[[#This Row],[Frac ADV]]),0),0)*0.0001+0.005/Table13[[#This Row],[Stock Price]]+Table13[[#This Row],[Expense Ratio]]</f>
        <v>3.8304268393954491E-4</v>
      </c>
      <c r="M172" s="68">
        <f>(Table13[[#This Row],[Expected Return]]-Table13[[#This Row],[Tcosts]])*Table13[[#This Row],[Investment]]</f>
        <v>374.07653840529383</v>
      </c>
      <c r="Q172" s="13" t="s">
        <v>766</v>
      </c>
    </row>
    <row r="173" spans="1:17" ht="15.6" x14ac:dyDescent="0.3">
      <c r="A173" s="2" t="s">
        <v>713</v>
      </c>
      <c r="B173" s="10" t="s">
        <v>714</v>
      </c>
      <c r="C173" s="11">
        <v>100.48</v>
      </c>
      <c r="D173" s="11" t="s">
        <v>715</v>
      </c>
      <c r="E173" s="12">
        <v>8.9999999999999998E-4</v>
      </c>
      <c r="F173" s="11">
        <v>0.01</v>
      </c>
      <c r="G173" s="3">
        <f t="shared" si="10"/>
        <v>203900000</v>
      </c>
      <c r="H173" s="3" t="b">
        <f t="shared" si="11"/>
        <v>0</v>
      </c>
      <c r="I173" s="26">
        <f>Table13[[#This Row],[Tech]]*$T$7+Table13[[#This Row],[Beta]]*($T$6-$T$8)+$T$8</f>
        <v>3.7035999999999999E-2</v>
      </c>
      <c r="J173" s="64">
        <v>64.900800000000004</v>
      </c>
      <c r="K173" s="61">
        <f>Table13[[#This Row],[Investment]]/Table13[[#This Row],[Dollar Volume]]</f>
        <v>3.182972045120157E-7</v>
      </c>
      <c r="L173" s="34">
        <f>IFERROR(MAX($T$11+$T$12*LN(Table13[[#This Row],[Frac ADV]]),0),0)*0.0001+0.005/Table13[[#This Row],[Stock Price]]+Table13[[#This Row],[Expense Ratio]]</f>
        <v>9.4976114649681525E-4</v>
      </c>
      <c r="M173" s="68">
        <f>(Table13[[#This Row],[Expected Return]]-Table13[[#This Row],[Tcosts]])*Table13[[#This Row],[Investment]]</f>
        <v>2.3420257705834397</v>
      </c>
      <c r="Q173" s="16" t="s">
        <v>770</v>
      </c>
    </row>
    <row r="174" spans="1:17" ht="15.6" x14ac:dyDescent="0.3">
      <c r="A174" s="2" t="s">
        <v>701</v>
      </c>
      <c r="B174" s="10" t="s">
        <v>702</v>
      </c>
      <c r="C174" s="11">
        <v>53.11</v>
      </c>
      <c r="D174" s="11" t="s">
        <v>703</v>
      </c>
      <c r="E174" s="12">
        <v>4.0000000000000001E-3</v>
      </c>
      <c r="F174" s="11">
        <v>7.0000000000000007E-2</v>
      </c>
      <c r="G174" s="3">
        <f t="shared" si="10"/>
        <v>44860000</v>
      </c>
      <c r="H174" s="3" t="b">
        <f t="shared" si="11"/>
        <v>0</v>
      </c>
      <c r="I174" s="26">
        <f>Table13[[#This Row],[Tech]]*$T$7+Table13[[#This Row],[Beta]]*($T$6-$T$8)+$T$8</f>
        <v>4.0851999999999999E-2</v>
      </c>
      <c r="J174" s="64">
        <v>64.024519999999995</v>
      </c>
      <c r="K174" s="61">
        <f>Table13[[#This Row],[Investment]]/Table13[[#This Row],[Dollar Volume]]</f>
        <v>1.4272073116362014E-6</v>
      </c>
      <c r="L174" s="34">
        <f>IFERROR(MAX($T$11+$T$12*LN(Table13[[#This Row],[Frac ADV]]),0),0)*0.0001+0.005/Table13[[#This Row],[Stock Price]]+Table13[[#This Row],[Expense Ratio]]</f>
        <v>4.0941442289587652E-3</v>
      </c>
      <c r="M174" s="68">
        <f>(Table13[[#This Row],[Expected Return]]-Table13[[#This Row],[Tcosts]])*Table13[[#This Row],[Investment]]</f>
        <v>2.3534040719701448</v>
      </c>
      <c r="Q174" s="13" t="s">
        <v>774</v>
      </c>
    </row>
    <row r="175" spans="1:17" ht="15.6" x14ac:dyDescent="0.3">
      <c r="A175" s="4" t="s">
        <v>724</v>
      </c>
      <c r="B175" s="14" t="s">
        <v>725</v>
      </c>
      <c r="C175" s="6">
        <v>91.47</v>
      </c>
      <c r="D175" s="6" t="s">
        <v>726</v>
      </c>
      <c r="E175" s="15">
        <v>1.4E-3</v>
      </c>
      <c r="F175" s="6">
        <v>0.01</v>
      </c>
      <c r="G175" s="3">
        <f t="shared" si="10"/>
        <v>546640000</v>
      </c>
      <c r="H175" s="3" t="b">
        <f t="shared" si="11"/>
        <v>0</v>
      </c>
      <c r="I175" s="26">
        <f>Table13[[#This Row],[Tech]]*$T$7+Table13[[#This Row],[Beta]]*($T$6-$T$8)+$T$8</f>
        <v>3.7035999999999999E-2</v>
      </c>
      <c r="J175" s="64">
        <v>63.146796999999999</v>
      </c>
      <c r="K175" s="61">
        <f>Table13[[#This Row],[Investment]]/Table13[[#This Row],[Dollar Volume]]</f>
        <v>1.1551806856432021E-7</v>
      </c>
      <c r="L175" s="34">
        <f>IFERROR(MAX($T$11+$T$12*LN(Table13[[#This Row],[Frac ADV]]),0),0)*0.0001+0.005/Table13[[#This Row],[Stock Price]]+Table13[[#This Row],[Expense Ratio]]</f>
        <v>1.4546627309500384E-3</v>
      </c>
      <c r="M175" s="68">
        <f>(Table13[[#This Row],[Expected Return]]-Table13[[#This Row],[Tcosts]])*Table13[[#This Row],[Investment]]</f>
        <v>2.2468474815172321</v>
      </c>
      <c r="Q175" s="16" t="s">
        <v>778</v>
      </c>
    </row>
    <row r="176" spans="1:17" ht="15.6" x14ac:dyDescent="0.3">
      <c r="A176" s="2" t="s">
        <v>767</v>
      </c>
      <c r="B176" s="10" t="s">
        <v>768</v>
      </c>
      <c r="C176" s="11">
        <v>110.22</v>
      </c>
      <c r="D176" s="11" t="s">
        <v>769</v>
      </c>
      <c r="E176" s="12">
        <v>1.5E-3</v>
      </c>
      <c r="F176" s="11">
        <v>0.01</v>
      </c>
      <c r="G176" s="3">
        <f t="shared" si="10"/>
        <v>42740000</v>
      </c>
      <c r="H176" s="3" t="b">
        <f t="shared" si="11"/>
        <v>0</v>
      </c>
      <c r="I176" s="26">
        <f>Table13[[#This Row],[Tech]]*$T$7+Table13[[#This Row],[Beta]]*($T$6-$T$8)+$T$8</f>
        <v>3.7035999999999999E-2</v>
      </c>
      <c r="J176" s="64">
        <v>63.085475000000002</v>
      </c>
      <c r="K176" s="61">
        <f>Table13[[#This Row],[Investment]]/Table13[[#This Row],[Dollar Volume]]</f>
        <v>1.476028895648105E-6</v>
      </c>
      <c r="L176" s="34">
        <f>IFERROR(MAX($T$11+$T$12*LN(Table13[[#This Row],[Frac ADV]]),0),0)*0.0001+0.005/Table13[[#This Row],[Stock Price]]+Table13[[#This Row],[Expense Ratio]]</f>
        <v>1.5453638178189078E-3</v>
      </c>
      <c r="M176" s="68">
        <f>(Table13[[#This Row],[Expected Return]]-Table13[[#This Row],[Tcosts]])*Table13[[#This Row],[Investment]]</f>
        <v>2.2389436416050805</v>
      </c>
      <c r="Q176" s="13" t="s">
        <v>782</v>
      </c>
    </row>
    <row r="177" spans="1:17" ht="15.6" x14ac:dyDescent="0.3">
      <c r="A177" s="4" t="s">
        <v>743</v>
      </c>
      <c r="B177" s="14" t="s">
        <v>744</v>
      </c>
      <c r="C177" s="6">
        <v>48.8</v>
      </c>
      <c r="D177" s="6" t="s">
        <v>745</v>
      </c>
      <c r="E177" s="15">
        <v>6.9999999999999999E-4</v>
      </c>
      <c r="F177" s="6">
        <v>-0.01</v>
      </c>
      <c r="G177" s="3">
        <f t="shared" si="10"/>
        <v>45530000</v>
      </c>
      <c r="H177" s="3" t="b">
        <f t="shared" si="11"/>
        <v>0</v>
      </c>
      <c r="I177" s="26">
        <f>Table13[[#This Row],[Tech]]*$T$7+Table13[[#This Row],[Beta]]*($T$6-$T$8)+$T$8</f>
        <v>3.5764000000000004E-2</v>
      </c>
      <c r="J177" s="64">
        <v>63.001900999999997</v>
      </c>
      <c r="K177" s="61">
        <f>Table13[[#This Row],[Investment]]/Table13[[#This Row],[Dollar Volume]]</f>
        <v>1.3837448056226664E-6</v>
      </c>
      <c r="L177" s="34">
        <f>IFERROR(MAX($T$11+$T$12*LN(Table13[[#This Row],[Frac ADV]]),0),0)*0.0001+0.005/Table13[[#This Row],[Stock Price]]+Table13[[#This Row],[Expense Ratio]]</f>
        <v>8.0245901639344264E-4</v>
      </c>
      <c r="M177" s="68">
        <f>(Table13[[#This Row],[Expected Return]]-Table13[[#This Row],[Tcosts]])*Table13[[#This Row],[Investment]]</f>
        <v>2.2026435438566234</v>
      </c>
      <c r="Q177" s="16" t="s">
        <v>786</v>
      </c>
    </row>
    <row r="178" spans="1:17" ht="15.6" x14ac:dyDescent="0.3">
      <c r="A178" s="2" t="s">
        <v>791</v>
      </c>
      <c r="B178" s="10" t="s">
        <v>792</v>
      </c>
      <c r="C178" s="11">
        <v>100.51</v>
      </c>
      <c r="D178" s="11" t="s">
        <v>793</v>
      </c>
      <c r="E178" s="12">
        <v>3.5999999999999999E-3</v>
      </c>
      <c r="F178" s="11">
        <v>0.02</v>
      </c>
      <c r="G178" s="3">
        <f t="shared" si="10"/>
        <v>99420000</v>
      </c>
      <c r="H178" s="3" t="b">
        <f t="shared" si="11"/>
        <v>0</v>
      </c>
      <c r="I178" s="26">
        <f>Table13[[#This Row],[Tech]]*$T$7+Table13[[#This Row],[Beta]]*($T$6-$T$8)+$T$8</f>
        <v>3.7672000000000004E-2</v>
      </c>
      <c r="J178" s="64">
        <v>60.399084999999999</v>
      </c>
      <c r="K178" s="61">
        <f>Table13[[#This Row],[Investment]]/Table13[[#This Row],[Dollar Volume]]</f>
        <v>6.075144337155502E-7</v>
      </c>
      <c r="L178" s="34">
        <f>IFERROR(MAX($T$11+$T$12*LN(Table13[[#This Row],[Frac ADV]]),0),0)*0.0001+0.005/Table13[[#This Row],[Stock Price]]+Table13[[#This Row],[Expense Ratio]]</f>
        <v>3.6497462939011041E-3</v>
      </c>
      <c r="M178" s="68">
        <f>(Table13[[#This Row],[Expected Return]]-Table13[[#This Row],[Tcosts]])*Table13[[#This Row],[Investment]]</f>
        <v>2.0549129934862322</v>
      </c>
      <c r="Q178" s="13" t="s">
        <v>790</v>
      </c>
    </row>
    <row r="179" spans="1:17" ht="15.6" x14ac:dyDescent="0.3">
      <c r="A179" s="2" t="s">
        <v>799</v>
      </c>
      <c r="B179" s="10" t="s">
        <v>800</v>
      </c>
      <c r="C179" s="11">
        <v>78.98</v>
      </c>
      <c r="D179" s="11" t="s">
        <v>801</v>
      </c>
      <c r="E179" s="12">
        <v>2.9999999999999997E-4</v>
      </c>
      <c r="F179" s="11">
        <v>-0.04</v>
      </c>
      <c r="G179" s="3">
        <f t="shared" si="10"/>
        <v>35920000</v>
      </c>
      <c r="H179" s="3" t="b">
        <f t="shared" si="11"/>
        <v>0</v>
      </c>
      <c r="I179" s="26">
        <f>Table13[[#This Row],[Tech]]*$T$7+Table13[[#This Row],[Beta]]*($T$6-$T$8)+$T$8</f>
        <v>3.3856000000000004E-2</v>
      </c>
      <c r="J179" s="64">
        <v>59.168286000000002</v>
      </c>
      <c r="K179" s="61">
        <f>Table13[[#This Row],[Investment]]/Table13[[#This Row],[Dollar Volume]]</f>
        <v>1.6472239977728286E-6</v>
      </c>
      <c r="L179" s="34">
        <f>IFERROR(MAX($T$11+$T$12*LN(Table13[[#This Row],[Frac ADV]]),0),0)*0.0001+0.005/Table13[[#This Row],[Stock Price]]+Table13[[#This Row],[Expense Ratio]]</f>
        <v>3.6330716637123319E-4</v>
      </c>
      <c r="M179" s="68">
        <f>(Table13[[#This Row],[Expected Return]]-Table13[[#This Row],[Tcosts]])*Table13[[#This Row],[Investment]]</f>
        <v>1.9817052284902974</v>
      </c>
      <c r="Q179" s="16" t="s">
        <v>794</v>
      </c>
    </row>
    <row r="180" spans="1:17" ht="15.6" x14ac:dyDescent="0.3">
      <c r="A180" s="4" t="s">
        <v>807</v>
      </c>
      <c r="B180" s="14" t="s">
        <v>808</v>
      </c>
      <c r="C180" s="6">
        <v>108.09</v>
      </c>
      <c r="D180" s="6" t="s">
        <v>809</v>
      </c>
      <c r="E180" s="15">
        <v>5.0000000000000001E-4</v>
      </c>
      <c r="F180" s="6">
        <v>-0.04</v>
      </c>
      <c r="G180" s="3">
        <f t="shared" si="10"/>
        <v>5330000000</v>
      </c>
      <c r="H180" s="3" t="b">
        <f t="shared" si="11"/>
        <v>0</v>
      </c>
      <c r="I180" s="26">
        <f>Table13[[#This Row],[Tech]]*$T$7+Table13[[#This Row],[Beta]]*($T$6-$T$8)+$T$8</f>
        <v>3.3856000000000004E-2</v>
      </c>
      <c r="J180" s="64">
        <v>59.045867999999999</v>
      </c>
      <c r="K180" s="61">
        <f>Table13[[#This Row],[Investment]]/Table13[[#This Row],[Dollar Volume]]</f>
        <v>1.107802401500938E-8</v>
      </c>
      <c r="L180" s="34">
        <f>IFERROR(MAX($T$11+$T$12*LN(Table13[[#This Row],[Frac ADV]]),0),0)*0.0001+0.005/Table13[[#This Row],[Stock Price]]+Table13[[#This Row],[Expense Ratio]]</f>
        <v>5.4625774817281892E-4</v>
      </c>
      <c r="M180" s="68">
        <f>(Table13[[#This Row],[Expected Return]]-Table13[[#This Row],[Tcosts]])*Table13[[#This Row],[Investment]]</f>
        <v>1.9668026441154107</v>
      </c>
      <c r="Q180" s="13" t="s">
        <v>798</v>
      </c>
    </row>
    <row r="181" spans="1:17" ht="15.6" x14ac:dyDescent="0.3">
      <c r="A181" s="4" t="s">
        <v>862</v>
      </c>
      <c r="B181" s="14" t="s">
        <v>863</v>
      </c>
      <c r="C181" s="6">
        <v>23.19</v>
      </c>
      <c r="D181" s="6" t="s">
        <v>864</v>
      </c>
      <c r="E181" s="15">
        <v>5.0000000000000001E-4</v>
      </c>
      <c r="F181" s="6">
        <v>-0.08</v>
      </c>
      <c r="G181" s="3">
        <f t="shared" si="10"/>
        <v>152890000</v>
      </c>
      <c r="H181" s="3" t="b">
        <f t="shared" si="11"/>
        <v>0</v>
      </c>
      <c r="I181" s="26">
        <f>Table13[[#This Row],[Tech]]*$T$7+Table13[[#This Row],[Beta]]*($T$6-$T$8)+$T$8</f>
        <v>3.1312E-2</v>
      </c>
      <c r="J181" s="64">
        <v>52.833573999999999</v>
      </c>
      <c r="K181" s="61">
        <f>Table13[[#This Row],[Investment]]/Table13[[#This Row],[Dollar Volume]]</f>
        <v>3.4556592321276734E-7</v>
      </c>
      <c r="L181" s="34">
        <f>IFERROR(MAX($T$11+$T$12*LN(Table13[[#This Row],[Frac ADV]]),0),0)*0.0001+0.005/Table13[[#This Row],[Stock Price]]+Table13[[#This Row],[Expense Ratio]]</f>
        <v>7.1561017680034497E-4</v>
      </c>
      <c r="M181" s="68">
        <f>(Table13[[#This Row],[Expected Return]]-Table13[[#This Row],[Tcosts]])*Table13[[#This Row],[Investment]]</f>
        <v>1.616516625856866</v>
      </c>
      <c r="Q181" s="16" t="s">
        <v>802</v>
      </c>
    </row>
    <row r="182" spans="1:17" ht="15.6" x14ac:dyDescent="0.3">
      <c r="A182" s="2" t="s">
        <v>759</v>
      </c>
      <c r="B182" s="10" t="s">
        <v>760</v>
      </c>
      <c r="C182" s="11">
        <v>46.44</v>
      </c>
      <c r="D182" s="11" t="s">
        <v>761</v>
      </c>
      <c r="E182" s="12">
        <v>3.5999999999999999E-3</v>
      </c>
      <c r="F182" s="11">
        <v>-0.06</v>
      </c>
      <c r="G182" s="3">
        <f t="shared" si="10"/>
        <v>113370000</v>
      </c>
      <c r="H182" s="3" t="b">
        <f t="shared" si="11"/>
        <v>0</v>
      </c>
      <c r="I182" s="26">
        <f>Table13[[#This Row],[Tech]]*$T$7+Table13[[#This Row],[Beta]]*($T$6-$T$8)+$T$8</f>
        <v>3.2584000000000002E-2</v>
      </c>
      <c r="J182" s="64">
        <v>49.817664999999998</v>
      </c>
      <c r="K182" s="61">
        <f>Table13[[#This Row],[Investment]]/Table13[[#This Row],[Dollar Volume]]</f>
        <v>4.3942546529064122E-7</v>
      </c>
      <c r="L182" s="34">
        <f>IFERROR(MAX($T$11+$T$12*LN(Table13[[#This Row],[Frac ADV]]),0),0)*0.0001+0.005/Table13[[#This Row],[Stock Price]]+Table13[[#This Row],[Expense Ratio]]</f>
        <v>3.7076658053402239E-3</v>
      </c>
      <c r="M182" s="68">
        <f>(Table13[[#This Row],[Expected Return]]-Table13[[#This Row],[Tcosts]])*Table13[[#This Row],[Investment]]</f>
        <v>1.4385515433376055</v>
      </c>
      <c r="Q182" s="13" t="s">
        <v>806</v>
      </c>
    </row>
    <row r="183" spans="1:17" ht="15.6" x14ac:dyDescent="0.3">
      <c r="A183" s="2" t="s">
        <v>751</v>
      </c>
      <c r="B183" s="10" t="s">
        <v>752</v>
      </c>
      <c r="C183" s="11">
        <v>451.39</v>
      </c>
      <c r="D183" s="11" t="s">
        <v>753</v>
      </c>
      <c r="E183" s="12">
        <v>4.0000000000000001E-3</v>
      </c>
      <c r="F183" s="11">
        <v>-0.05</v>
      </c>
      <c r="G183" s="3">
        <f t="shared" si="10"/>
        <v>83690000</v>
      </c>
      <c r="H183" s="3" t="b">
        <f t="shared" si="11"/>
        <v>0</v>
      </c>
      <c r="I183" s="26">
        <f>Table13[[#This Row],[Tech]]*$T$7+Table13[[#This Row],[Beta]]*($T$6-$T$8)+$T$8</f>
        <v>3.322E-2</v>
      </c>
      <c r="J183" s="64">
        <v>39.453038999999997</v>
      </c>
      <c r="K183" s="61">
        <f>Table13[[#This Row],[Investment]]/Table13[[#This Row],[Dollar Volume]]</f>
        <v>4.7141879555502447E-7</v>
      </c>
      <c r="L183" s="34">
        <f>IFERROR(MAX($T$11+$T$12*LN(Table13[[#This Row],[Frac ADV]]),0),0)*0.0001+0.005/Table13[[#This Row],[Stock Price]]+Table13[[#This Row],[Expense Ratio]]</f>
        <v>4.0110768958107178E-3</v>
      </c>
      <c r="M183" s="68">
        <f>(Table13[[#This Row],[Expected Return]]-Table13[[#This Row],[Tcosts]])*Table13[[#This Row],[Investment]]</f>
        <v>1.1523807823775807</v>
      </c>
      <c r="Q183" s="16" t="s">
        <v>810</v>
      </c>
    </row>
    <row r="184" spans="1:17" ht="15.6" x14ac:dyDescent="0.3">
      <c r="A184" s="2" t="s">
        <v>717</v>
      </c>
      <c r="B184" s="10" t="s">
        <v>718</v>
      </c>
      <c r="C184" s="11">
        <v>53.05</v>
      </c>
      <c r="D184" s="11" t="s">
        <v>719</v>
      </c>
      <c r="E184" s="12">
        <v>4.0000000000000002E-4</v>
      </c>
      <c r="F184" s="11">
        <v>0</v>
      </c>
      <c r="G184" s="3">
        <f t="shared" si="10"/>
        <v>67300000</v>
      </c>
      <c r="H184" s="3" t="b">
        <f t="shared" si="11"/>
        <v>0</v>
      </c>
      <c r="I184" s="26">
        <f>Table13[[#This Row],[Tech]]*$T$7+Table13[[#This Row],[Beta]]*($T$6-$T$8)+$T$8</f>
        <v>3.6400000000000002E-2</v>
      </c>
      <c r="J184" s="64">
        <v>30.652301000000001</v>
      </c>
      <c r="K184" s="61">
        <f>Table13[[#This Row],[Investment]]/Table13[[#This Row],[Dollar Volume]]</f>
        <v>4.5545766716196137E-7</v>
      </c>
      <c r="L184" s="34">
        <f>IFERROR(MAX($T$11+$T$12*LN(Table13[[#This Row],[Frac ADV]]),0),0)*0.0001+0.005/Table13[[#This Row],[Stock Price]]+Table13[[#This Row],[Expense Ratio]]</f>
        <v>4.9425070688030159E-4</v>
      </c>
      <c r="M184" s="68">
        <f>(Table13[[#This Row],[Expected Return]]-Table13[[#This Row],[Tcosts]])*Table13[[#This Row],[Investment]]</f>
        <v>1.1005938349632425</v>
      </c>
      <c r="Q184" s="13" t="s">
        <v>814</v>
      </c>
    </row>
    <row r="185" spans="1:17" ht="15.6" x14ac:dyDescent="0.3">
      <c r="A185" s="2" t="s">
        <v>846</v>
      </c>
      <c r="B185" s="10" t="s">
        <v>847</v>
      </c>
      <c r="C185" s="11">
        <v>25.19</v>
      </c>
      <c r="D185" s="11" t="s">
        <v>848</v>
      </c>
      <c r="E185" s="12">
        <v>2.9999999999999997E-4</v>
      </c>
      <c r="F185" s="11">
        <v>-0.09</v>
      </c>
      <c r="G185" s="3">
        <f t="shared" si="10"/>
        <v>2160000000</v>
      </c>
      <c r="H185" s="3" t="b">
        <f t="shared" si="11"/>
        <v>0</v>
      </c>
      <c r="I185" s="26">
        <f>Table13[[#This Row],[Tech]]*$T$7+Table13[[#This Row],[Beta]]*($T$6-$T$8)+$T$8</f>
        <v>3.0676000000000002E-2</v>
      </c>
      <c r="J185" s="64">
        <v>7.9094720000000001</v>
      </c>
      <c r="K185" s="61">
        <f>Table13[[#This Row],[Investment]]/Table13[[#This Row],[Dollar Volume]]</f>
        <v>3.6617925925925927E-9</v>
      </c>
      <c r="L185" s="34">
        <f>IFERROR(MAX($T$11+$T$12*LN(Table13[[#This Row],[Frac ADV]]),0),0)*0.0001+0.005/Table13[[#This Row],[Stock Price]]+Table13[[#This Row],[Expense Ratio]]</f>
        <v>4.9849146486701066E-4</v>
      </c>
      <c r="M185" s="68">
        <f>(Table13[[#This Row],[Expected Return]]-Table13[[#This Row],[Tcosts]])*Table13[[#This Row],[Investment]]</f>
        <v>0.23868815878839542</v>
      </c>
      <c r="Q185" s="16" t="s">
        <v>818</v>
      </c>
    </row>
    <row r="186" spans="1:17" ht="15.6" x14ac:dyDescent="0.3">
      <c r="A186" s="2" t="s">
        <v>775</v>
      </c>
      <c r="B186" s="10" t="s">
        <v>776</v>
      </c>
      <c r="C186" s="11">
        <v>78.34</v>
      </c>
      <c r="D186" s="11" t="s">
        <v>777</v>
      </c>
      <c r="E186" s="12">
        <v>2.9999999999999997E-4</v>
      </c>
      <c r="F186" s="11">
        <v>-0.08</v>
      </c>
      <c r="G186" s="3">
        <f t="shared" si="10"/>
        <v>110680000</v>
      </c>
      <c r="H186" s="3" t="b">
        <f t="shared" si="11"/>
        <v>0</v>
      </c>
      <c r="I186" s="26">
        <f>Table13[[#This Row],[Tech]]*$T$7+Table13[[#This Row],[Beta]]*($T$6-$T$8)+$T$8</f>
        <v>3.1312E-2</v>
      </c>
      <c r="J186" s="64">
        <v>0.37811</v>
      </c>
      <c r="K186" s="61">
        <f>Table13[[#This Row],[Investment]]/Table13[[#This Row],[Dollar Volume]]</f>
        <v>3.4162450307191906E-9</v>
      </c>
      <c r="L186" s="34">
        <f>IFERROR(MAX($T$11+$T$12*LN(Table13[[#This Row],[Frac ADV]]),0),0)*0.0001+0.005/Table13[[#This Row],[Stock Price]]+Table13[[#This Row],[Expense Ratio]]</f>
        <v>3.6382435537401071E-4</v>
      </c>
      <c r="M186" s="68">
        <f>(Table13[[#This Row],[Expected Return]]-Table13[[#This Row],[Tcosts]])*Table13[[#This Row],[Investment]]</f>
        <v>1.1701814692989533E-2</v>
      </c>
      <c r="Q186" s="13" t="s">
        <v>822</v>
      </c>
    </row>
    <row r="187" spans="1:17" ht="15.6" x14ac:dyDescent="0.3">
      <c r="A187" s="2" t="s">
        <v>823</v>
      </c>
      <c r="B187" s="10" t="s">
        <v>824</v>
      </c>
      <c r="C187" s="11">
        <v>100.67</v>
      </c>
      <c r="D187" s="11" t="s">
        <v>825</v>
      </c>
      <c r="E187" s="12">
        <v>2.9999999999999997E-4</v>
      </c>
      <c r="F187" s="11">
        <v>-0.06</v>
      </c>
      <c r="G187" s="3">
        <f t="shared" si="10"/>
        <v>103190000</v>
      </c>
      <c r="H187" s="3" t="b">
        <f t="shared" si="11"/>
        <v>0</v>
      </c>
      <c r="I187" s="26">
        <f>Table13[[#This Row],[Tech]]*$T$7+Table13[[#This Row],[Beta]]*($T$6-$T$8)+$T$8</f>
        <v>3.2584000000000002E-2</v>
      </c>
      <c r="J187" s="64">
        <v>0.377106</v>
      </c>
      <c r="K187" s="61">
        <f>Table13[[#This Row],[Investment]]/Table13[[#This Row],[Dollar Volume]]</f>
        <v>3.654482023451885E-9</v>
      </c>
      <c r="L187" s="34">
        <f>IFERROR(MAX($T$11+$T$12*LN(Table13[[#This Row],[Frac ADV]]),0),0)*0.0001+0.005/Table13[[#This Row],[Stock Price]]+Table13[[#This Row],[Expense Ratio]]</f>
        <v>3.4966722956193501E-4</v>
      </c>
      <c r="M187" s="68">
        <f>(Table13[[#This Row],[Expected Return]]-Table13[[#This Row],[Tcosts]])*Table13[[#This Row],[Investment]]</f>
        <v>1.2155760293728817E-2</v>
      </c>
      <c r="Q187" s="16" t="s">
        <v>826</v>
      </c>
    </row>
    <row r="188" spans="1:17" ht="15.6" x14ac:dyDescent="0.3">
      <c r="A188" s="4" t="s">
        <v>755</v>
      </c>
      <c r="B188" s="14" t="s">
        <v>756</v>
      </c>
      <c r="C188" s="6">
        <v>119.82</v>
      </c>
      <c r="D188" s="6" t="s">
        <v>757</v>
      </c>
      <c r="E188" s="15">
        <v>1.5E-3</v>
      </c>
      <c r="F188" s="6">
        <v>-0.09</v>
      </c>
      <c r="G188" s="3">
        <f t="shared" si="10"/>
        <v>51210000</v>
      </c>
      <c r="H188" s="3" t="b">
        <f t="shared" si="11"/>
        <v>0</v>
      </c>
      <c r="I188" s="26">
        <f>Table13[[#This Row],[Tech]]*$T$7+Table13[[#This Row],[Beta]]*($T$6-$T$8)+$T$8</f>
        <v>3.0676000000000002E-2</v>
      </c>
      <c r="J188" s="64">
        <v>0.36879899999999999</v>
      </c>
      <c r="K188" s="61">
        <f>Table13[[#This Row],[Investment]]/Table13[[#This Row],[Dollar Volume]]</f>
        <v>7.2016988869361452E-9</v>
      </c>
      <c r="L188" s="34">
        <f>IFERROR(MAX($T$11+$T$12*LN(Table13[[#This Row],[Frac ADV]]),0),0)*0.0001+0.005/Table13[[#This Row],[Stock Price]]+Table13[[#This Row],[Expense Ratio]]</f>
        <v>1.541729260557503E-3</v>
      </c>
      <c r="M188" s="68">
        <f>(Table13[[#This Row],[Expected Return]]-Table13[[#This Row],[Tcosts]])*Table13[[#This Row],[Investment]]</f>
        <v>1.0744689914435654E-2</v>
      </c>
      <c r="Q188" s="13" t="s">
        <v>830</v>
      </c>
    </row>
    <row r="189" spans="1:17" ht="15.6" x14ac:dyDescent="0.3">
      <c r="A189" s="2" t="s">
        <v>831</v>
      </c>
      <c r="B189" s="10" t="s">
        <v>832</v>
      </c>
      <c r="C189" s="11">
        <v>97.25</v>
      </c>
      <c r="D189" s="11" t="s">
        <v>833</v>
      </c>
      <c r="E189" s="12">
        <v>1E-3</v>
      </c>
      <c r="F189" s="11">
        <v>-0.05</v>
      </c>
      <c r="G189" s="3">
        <f t="shared" si="10"/>
        <v>140630000</v>
      </c>
      <c r="H189" s="3" t="b">
        <f t="shared" si="11"/>
        <v>0</v>
      </c>
      <c r="I189" s="26">
        <f>Table13[[#This Row],[Tech]]*$T$7+Table13[[#This Row],[Beta]]*($T$6-$T$8)+$T$8</f>
        <v>3.322E-2</v>
      </c>
      <c r="J189" s="64">
        <v>0.36664000000000002</v>
      </c>
      <c r="K189" s="61">
        <f>Table13[[#This Row],[Investment]]/Table13[[#This Row],[Dollar Volume]]</f>
        <v>2.6071250799971556E-9</v>
      </c>
      <c r="L189" s="34">
        <f>IFERROR(MAX($T$11+$T$12*LN(Table13[[#This Row],[Frac ADV]]),0),0)*0.0001+0.005/Table13[[#This Row],[Stock Price]]+Table13[[#This Row],[Expense Ratio]]</f>
        <v>1.0514138817480721E-3</v>
      </c>
      <c r="M189" s="68">
        <f>(Table13[[#This Row],[Expected Return]]-Table13[[#This Row],[Tcosts]])*Table13[[#This Row],[Investment]]</f>
        <v>1.1794290414395888E-2</v>
      </c>
      <c r="Q189" s="16" t="s">
        <v>834</v>
      </c>
    </row>
    <row r="190" spans="1:17" ht="15.6" x14ac:dyDescent="0.3">
      <c r="A190" s="4" t="s">
        <v>839</v>
      </c>
      <c r="B190" s="14" t="s">
        <v>840</v>
      </c>
      <c r="C190" s="6">
        <v>111.25</v>
      </c>
      <c r="D190" s="6" t="s">
        <v>730</v>
      </c>
      <c r="E190" s="15">
        <v>1.8E-3</v>
      </c>
      <c r="F190" s="6">
        <v>-0.04</v>
      </c>
      <c r="G190" s="3">
        <f t="shared" si="10"/>
        <v>75700000</v>
      </c>
      <c r="H190" s="3" t="b">
        <f t="shared" si="11"/>
        <v>0</v>
      </c>
      <c r="I190" s="26">
        <f>Table13[[#This Row],[Tech]]*$T$7+Table13[[#This Row],[Beta]]*($T$6-$T$8)+$T$8</f>
        <v>3.3856000000000004E-2</v>
      </c>
      <c r="J190" s="64">
        <v>0.31671899999999997</v>
      </c>
      <c r="K190" s="61">
        <f>Table13[[#This Row],[Investment]]/Table13[[#This Row],[Dollar Volume]]</f>
        <v>4.1838705416116248E-9</v>
      </c>
      <c r="L190" s="34">
        <f>IFERROR(MAX($T$11+$T$12*LN(Table13[[#This Row],[Frac ADV]]),0),0)*0.0001+0.005/Table13[[#This Row],[Stock Price]]+Table13[[#This Row],[Expense Ratio]]</f>
        <v>1.844943820224719E-3</v>
      </c>
      <c r="M190" s="68">
        <f>(Table13[[#This Row],[Expected Return]]-Table13[[#This Row],[Tcosts]])*Table13[[#This Row],[Investment]]</f>
        <v>1.0138509702202248E-2</v>
      </c>
      <c r="Q190" s="13" t="s">
        <v>838</v>
      </c>
    </row>
    <row r="191" spans="1:17" ht="15.6" x14ac:dyDescent="0.3">
      <c r="A191" s="2" t="s">
        <v>827</v>
      </c>
      <c r="B191" s="10" t="s">
        <v>828</v>
      </c>
      <c r="C191" s="11">
        <v>47.56</v>
      </c>
      <c r="D191" s="11" t="s">
        <v>829</v>
      </c>
      <c r="E191" s="12">
        <v>2.9999999999999997E-4</v>
      </c>
      <c r="F191" s="11">
        <v>-0.06</v>
      </c>
      <c r="G191" s="3">
        <f t="shared" si="10"/>
        <v>42420000</v>
      </c>
      <c r="H191" s="3" t="b">
        <f t="shared" si="11"/>
        <v>0</v>
      </c>
      <c r="I191" s="26">
        <f>Table13[[#This Row],[Tech]]*$T$7+Table13[[#This Row],[Beta]]*($T$6-$T$8)+$T$8</f>
        <v>3.2584000000000002E-2</v>
      </c>
      <c r="J191" s="64">
        <v>0.106253</v>
      </c>
      <c r="K191" s="61">
        <f>Table13[[#This Row],[Investment]]/Table13[[#This Row],[Dollar Volume]]</f>
        <v>2.5047854785478548E-9</v>
      </c>
      <c r="L191" s="34">
        <f>IFERROR(MAX($T$11+$T$12*LN(Table13[[#This Row],[Frac ADV]]),0),0)*0.0001+0.005/Table13[[#This Row],[Stock Price]]+Table13[[#This Row],[Expense Ratio]]</f>
        <v>4.0513036164844401E-4</v>
      </c>
      <c r="M191" s="68">
        <f>(Table13[[#This Row],[Expected Return]]-Table13[[#This Row],[Tcosts]])*Table13[[#This Row],[Investment]]</f>
        <v>3.4191014356837681E-3</v>
      </c>
      <c r="Q191" s="16" t="s">
        <v>841</v>
      </c>
    </row>
    <row r="192" spans="1:17" ht="15.6" x14ac:dyDescent="0.3">
      <c r="A192" s="2" t="s">
        <v>858</v>
      </c>
      <c r="B192" s="10" t="s">
        <v>859</v>
      </c>
      <c r="C192" s="11">
        <v>96.83</v>
      </c>
      <c r="D192" s="11" t="s">
        <v>860</v>
      </c>
      <c r="E192" s="12">
        <v>1.5E-3</v>
      </c>
      <c r="F192" s="11">
        <v>-0.12</v>
      </c>
      <c r="G192" s="3">
        <f t="shared" si="10"/>
        <v>146800000</v>
      </c>
      <c r="H192" s="3" t="b">
        <f t="shared" si="11"/>
        <v>0</v>
      </c>
      <c r="I192" s="26">
        <f>Table13[[#This Row],[Tech]]*$T$7+Table13[[#This Row],[Beta]]*($T$6-$T$8)+$T$8</f>
        <v>2.8768000000000002E-2</v>
      </c>
      <c r="J192" s="64">
        <v>6.4991999999999994E-2</v>
      </c>
      <c r="K192" s="61">
        <f>Table13[[#This Row],[Investment]]/Table13[[#This Row],[Dollar Volume]]</f>
        <v>4.4272479564032693E-10</v>
      </c>
      <c r="L192" s="34">
        <f>IFERROR(MAX($T$11+$T$12*LN(Table13[[#This Row],[Frac ADV]]),0),0)*0.0001+0.005/Table13[[#This Row],[Stock Price]]+Table13[[#This Row],[Expense Ratio]]</f>
        <v>1.5516368893937829E-3</v>
      </c>
      <c r="M192" s="68">
        <f>(Table13[[#This Row],[Expected Return]]-Table13[[#This Row],[Tcosts]])*Table13[[#This Row],[Investment]]</f>
        <v>1.7688458712845192E-3</v>
      </c>
      <c r="Q192" s="13" t="s">
        <v>845</v>
      </c>
    </row>
    <row r="193" spans="1:17" ht="15.6" x14ac:dyDescent="0.3">
      <c r="A193" s="2" t="s">
        <v>728</v>
      </c>
      <c r="B193" s="10" t="s">
        <v>729</v>
      </c>
      <c r="C193" s="11">
        <v>102.99</v>
      </c>
      <c r="D193" s="11" t="s">
        <v>730</v>
      </c>
      <c r="E193" s="12">
        <v>2.9999999999999997E-4</v>
      </c>
      <c r="F193" s="11">
        <v>-0.01</v>
      </c>
      <c r="G193" s="3">
        <f t="shared" si="10"/>
        <v>32799999.999999996</v>
      </c>
      <c r="H193" s="3" t="b">
        <f t="shared" si="11"/>
        <v>0</v>
      </c>
      <c r="I193" s="26">
        <f>Table13[[#This Row],[Tech]]*$T$7+Table13[[#This Row],[Beta]]*($T$6-$T$8)+$T$8</f>
        <v>3.5764000000000004E-2</v>
      </c>
      <c r="J193" s="64">
        <v>4.5129999999999997E-3</v>
      </c>
      <c r="K193" s="61">
        <f>Table13[[#This Row],[Investment]]/Table13[[#This Row],[Dollar Volume]]</f>
        <v>1.3759146341463414E-10</v>
      </c>
      <c r="L193" s="34">
        <f>IFERROR(MAX($T$11+$T$12*LN(Table13[[#This Row],[Frac ADV]]),0),0)*0.0001+0.005/Table13[[#This Row],[Stock Price]]+Table13[[#This Row],[Expense Ratio]]</f>
        <v>3.4854840275754927E-4</v>
      </c>
      <c r="M193" s="68">
        <f>(Table13[[#This Row],[Expected Return]]-Table13[[#This Row],[Tcosts]])*Table13[[#This Row],[Investment]]</f>
        <v>1.5982993305835519E-4</v>
      </c>
      <c r="Q193" s="16" t="s">
        <v>849</v>
      </c>
    </row>
    <row r="194" spans="1:17" ht="15.6" x14ac:dyDescent="0.3">
      <c r="A194" s="2" t="s">
        <v>854</v>
      </c>
      <c r="B194" s="10" t="s">
        <v>855</v>
      </c>
      <c r="C194" s="11">
        <v>103.39</v>
      </c>
      <c r="D194" s="11" t="s">
        <v>856</v>
      </c>
      <c r="E194" s="12">
        <v>1.5E-3</v>
      </c>
      <c r="F194" s="11">
        <v>-0.17</v>
      </c>
      <c r="G194" s="3">
        <f t="shared" ref="G194:G201" si="12">IF(RIGHT(Q194,1)="B", VALUE(SUBSTITUTE(Q194,"B",""))*1000000000,
 IF(RIGHT(Q194,1)="M", VALUE(SUBSTITUTE(Q194,"M",""))*1000000, VALUE(Q194)))</f>
        <v>32170000</v>
      </c>
      <c r="H194" s="3" t="b">
        <f t="shared" ref="H194:H201" si="13">OR(
  ISNUMBER(SEARCH("technology",B194)),
  ISNUMBER(SEARCH("tech",B194)),
  ISNUMBER(SEARCH("qqq",B194)),
  ISNUMBER(SEARCH("semiconductor",B194)),
  ISNUMBER(SEARCH("information technology",B194)),
  ISNUMBER(SEARCH("nasdaq",B194)),
  ISNUMBER(SEARCH("communication",B194))
)</f>
        <v>0</v>
      </c>
      <c r="I194" s="26">
        <f>Table13[[#This Row],[Tech]]*$T$7+Table13[[#This Row],[Beta]]*($T$6-$T$8)+$T$8</f>
        <v>2.5588E-2</v>
      </c>
      <c r="J194" s="64">
        <v>1.6230000000000001E-3</v>
      </c>
      <c r="K194" s="61">
        <f>Table13[[#This Row],[Investment]]/Table13[[#This Row],[Dollar Volume]]</f>
        <v>5.0450730494249301E-11</v>
      </c>
      <c r="L194" s="34">
        <f>IFERROR(MAX($T$11+$T$12*LN(Table13[[#This Row],[Frac ADV]]),0),0)*0.0001+0.005/Table13[[#This Row],[Stock Price]]+Table13[[#This Row],[Expense Ratio]]</f>
        <v>1.5483605764580713E-3</v>
      </c>
      <c r="M194" s="68">
        <f>(Table13[[#This Row],[Expected Return]]-Table13[[#This Row],[Tcosts]])*Table13[[#This Row],[Investment]]</f>
        <v>3.901633478440855E-5</v>
      </c>
      <c r="Q194" s="13" t="s">
        <v>853</v>
      </c>
    </row>
    <row r="195" spans="1:17" ht="15.6" x14ac:dyDescent="0.3">
      <c r="A195" s="2" t="s">
        <v>850</v>
      </c>
      <c r="B195" s="10" t="s">
        <v>851</v>
      </c>
      <c r="C195" s="11">
        <v>89.23</v>
      </c>
      <c r="D195" s="11" t="s">
        <v>852</v>
      </c>
      <c r="E195" s="12">
        <v>1.5E-3</v>
      </c>
      <c r="F195" s="11">
        <v>-0.18</v>
      </c>
      <c r="G195" s="3">
        <f t="shared" si="12"/>
        <v>66080000</v>
      </c>
      <c r="H195" s="3" t="b">
        <f t="shared" si="13"/>
        <v>0</v>
      </c>
      <c r="I195" s="26">
        <f>Table13[[#This Row],[Tech]]*$T$7+Table13[[#This Row],[Beta]]*($T$6-$T$8)+$T$8</f>
        <v>2.4952000000000002E-2</v>
      </c>
      <c r="J195" s="64">
        <v>1.6230000000000001E-3</v>
      </c>
      <c r="K195" s="61">
        <f>Table13[[#This Row],[Investment]]/Table13[[#This Row],[Dollar Volume]]</f>
        <v>2.4561138014527846E-11</v>
      </c>
      <c r="L195" s="33">
        <f>IFERROR(MAX($T$11+$T$12*LN(Table13[[#This Row],[Frac ADV]]),0),0)*0.0001+0.005/Table13[[#This Row],[Stock Price]]+Table13[[#This Row],[Expense Ratio]]</f>
        <v>1.5560349658186709E-3</v>
      </c>
      <c r="M195" s="68">
        <f>(Table13[[#This Row],[Expected Return]]-Table13[[#This Row],[Tcosts]])*Table13[[#This Row],[Investment]]</f>
        <v>3.7971651250476303E-5</v>
      </c>
      <c r="Q195" s="16" t="s">
        <v>857</v>
      </c>
    </row>
    <row r="196" spans="1:17" ht="15.6" x14ac:dyDescent="0.3">
      <c r="A196" s="2" t="s">
        <v>779</v>
      </c>
      <c r="B196" s="10" t="s">
        <v>780</v>
      </c>
      <c r="C196" s="11">
        <v>26.87</v>
      </c>
      <c r="D196" s="11" t="s">
        <v>781</v>
      </c>
      <c r="E196" s="12">
        <v>6.4000000000000003E-3</v>
      </c>
      <c r="F196" s="11">
        <v>0.03</v>
      </c>
      <c r="G196" s="3">
        <f t="shared" si="12"/>
        <v>24040000</v>
      </c>
      <c r="H196" s="3" t="b">
        <f t="shared" si="13"/>
        <v>0</v>
      </c>
      <c r="I196" s="26">
        <f>Table13[[#This Row],[Tech]]*$T$7+Table13[[#This Row],[Beta]]*($T$6-$T$8)+$T$8</f>
        <v>3.8308000000000002E-2</v>
      </c>
      <c r="J196" s="64">
        <v>4.6200000000000001E-4</v>
      </c>
      <c r="K196" s="61">
        <f>Table13[[#This Row],[Investment]]/Table13[[#This Row],[Dollar Volume]]</f>
        <v>1.9217970049916806E-11</v>
      </c>
      <c r="L196" s="34">
        <f>IFERROR(MAX($T$11+$T$12*LN(Table13[[#This Row],[Frac ADV]]),0),0)*0.0001+0.005/Table13[[#This Row],[Stock Price]]+Table13[[#This Row],[Expense Ratio]]</f>
        <v>6.5860811313732791E-3</v>
      </c>
      <c r="M196" s="68">
        <f>(Table13[[#This Row],[Expected Return]]-Table13[[#This Row],[Tcosts]])*Table13[[#This Row],[Investment]]</f>
        <v>1.4655526517305545E-5</v>
      </c>
      <c r="Q196" s="13" t="s">
        <v>861</v>
      </c>
    </row>
    <row r="197" spans="1:17" ht="15.6" x14ac:dyDescent="0.3">
      <c r="A197" s="2" t="s">
        <v>747</v>
      </c>
      <c r="B197" s="10" t="s">
        <v>748</v>
      </c>
      <c r="C197" s="11">
        <v>111.22</v>
      </c>
      <c r="D197" s="11" t="s">
        <v>749</v>
      </c>
      <c r="E197" s="12">
        <v>1.4E-3</v>
      </c>
      <c r="F197" s="11">
        <v>0</v>
      </c>
      <c r="G197" s="3">
        <f t="shared" si="12"/>
        <v>84260000</v>
      </c>
      <c r="H197" s="3" t="b">
        <f t="shared" si="13"/>
        <v>0</v>
      </c>
      <c r="I197" s="26">
        <f>Table13[[#This Row],[Tech]]*$T$7+Table13[[#This Row],[Beta]]*($T$6-$T$8)+$T$8</f>
        <v>3.6400000000000002E-2</v>
      </c>
      <c r="J197" s="64">
        <v>1.46E-4</v>
      </c>
      <c r="K197" s="61">
        <f>Table13[[#This Row],[Investment]]/Table13[[#This Row],[Dollar Volume]]</f>
        <v>1.7327320199382863E-12</v>
      </c>
      <c r="L197" s="34">
        <f>IFERROR(MAX($T$11+$T$12*LN(Table13[[#This Row],[Frac ADV]]),0),0)*0.0001+0.005/Table13[[#This Row],[Stock Price]]+Table13[[#This Row],[Expense Ratio]]</f>
        <v>1.4449559431756879E-3</v>
      </c>
      <c r="M197" s="68">
        <f>(Table13[[#This Row],[Expected Return]]-Table13[[#This Row],[Tcosts]])*Table13[[#This Row],[Investment]]</f>
        <v>5.1034364322963499E-6</v>
      </c>
      <c r="Q197" s="16" t="s">
        <v>865</v>
      </c>
    </row>
    <row r="198" spans="1:17" ht="15.6" x14ac:dyDescent="0.3">
      <c r="A198" s="2" t="s">
        <v>877</v>
      </c>
      <c r="B198" s="10" t="s">
        <v>878</v>
      </c>
      <c r="C198" s="11">
        <v>96.14</v>
      </c>
      <c r="D198" s="11" t="s">
        <v>844</v>
      </c>
      <c r="E198" s="12">
        <v>4.0000000000000002E-4</v>
      </c>
      <c r="F198" s="11">
        <v>-0.05</v>
      </c>
      <c r="G198" s="3">
        <f t="shared" si="12"/>
        <v>301030000</v>
      </c>
      <c r="H198" s="3" t="b">
        <f t="shared" si="13"/>
        <v>0</v>
      </c>
      <c r="I198" s="26">
        <f>Table13[[#This Row],[Tech]]*$T$7+Table13[[#This Row],[Beta]]*($T$6-$T$8)+$T$8</f>
        <v>3.322E-2</v>
      </c>
      <c r="J198" s="64">
        <v>3.0000000000000001E-6</v>
      </c>
      <c r="K198" s="61">
        <f>Table13[[#This Row],[Investment]]/Table13[[#This Row],[Dollar Volume]]</f>
        <v>9.9657841411155038E-15</v>
      </c>
      <c r="L198" s="34">
        <f>IFERROR(MAX($T$11+$T$12*LN(Table13[[#This Row],[Frac ADV]]),0),0)*0.0001+0.005/Table13[[#This Row],[Stock Price]]+Table13[[#This Row],[Expense Ratio]]</f>
        <v>4.5200748907842732E-4</v>
      </c>
      <c r="M198" s="68">
        <f>(Table13[[#This Row],[Expected Return]]-Table13[[#This Row],[Tcosts]])*Table13[[#This Row],[Investment]]</f>
        <v>9.8303977532764719E-8</v>
      </c>
      <c r="Q198" s="13" t="s">
        <v>869</v>
      </c>
    </row>
    <row r="199" spans="1:17" ht="15.6" x14ac:dyDescent="0.3">
      <c r="A199" s="2" t="s">
        <v>787</v>
      </c>
      <c r="B199" s="10" t="s">
        <v>788</v>
      </c>
      <c r="C199" s="11">
        <v>50.41</v>
      </c>
      <c r="D199" s="11" t="s">
        <v>789</v>
      </c>
      <c r="E199" s="12">
        <v>1.5E-3</v>
      </c>
      <c r="F199" s="11">
        <v>-0.01</v>
      </c>
      <c r="G199" s="3">
        <f t="shared" si="12"/>
        <v>98510000</v>
      </c>
      <c r="H199" s="3" t="b">
        <f t="shared" si="13"/>
        <v>0</v>
      </c>
      <c r="I199" s="26">
        <f>Table13[[#This Row],[Tech]]*$T$7+Table13[[#This Row],[Beta]]*($T$6-$T$8)+$T$8</f>
        <v>3.5764000000000004E-2</v>
      </c>
      <c r="J199" s="64">
        <v>9.9999999999999995E-7</v>
      </c>
      <c r="K199" s="61">
        <f>Table13[[#This Row],[Investment]]/Table13[[#This Row],[Dollar Volume]]</f>
        <v>1.0151253679829459E-14</v>
      </c>
      <c r="L199" s="34">
        <f>IFERROR(MAX($T$11+$T$12*LN(Table13[[#This Row],[Frac ADV]]),0),0)*0.0001+0.005/Table13[[#This Row],[Stock Price]]+Table13[[#This Row],[Expense Ratio]]</f>
        <v>1.5991866693116446E-3</v>
      </c>
      <c r="M199" s="68">
        <f>(Table13[[#This Row],[Expected Return]]-Table13[[#This Row],[Tcosts]])*Table13[[#This Row],[Investment]]</f>
        <v>3.4164813330688358E-8</v>
      </c>
      <c r="Q199" s="16" t="s">
        <v>873</v>
      </c>
    </row>
    <row r="200" spans="1:17" ht="15.6" x14ac:dyDescent="0.3">
      <c r="A200" s="4" t="s">
        <v>721</v>
      </c>
      <c r="B200" s="14" t="s">
        <v>722</v>
      </c>
      <c r="C200" s="6">
        <v>52.14</v>
      </c>
      <c r="D200" s="6" t="s">
        <v>703</v>
      </c>
      <c r="E200" s="15">
        <v>4.0000000000000002E-4</v>
      </c>
      <c r="F200" s="6">
        <v>0</v>
      </c>
      <c r="G200" s="3">
        <f t="shared" si="12"/>
        <v>64050000</v>
      </c>
      <c r="H200" s="3" t="b">
        <f t="shared" si="13"/>
        <v>0</v>
      </c>
      <c r="I200" s="26">
        <f>Table13[[#This Row],[Tech]]*$T$7+Table13[[#This Row],[Beta]]*($T$6-$T$8)+$T$8</f>
        <v>3.6400000000000002E-2</v>
      </c>
      <c r="J200" s="64">
        <v>9.9999999999999995E-7</v>
      </c>
      <c r="K200" s="61">
        <f>Table13[[#This Row],[Investment]]/Table13[[#This Row],[Dollar Volume]]</f>
        <v>1.5612802498048399E-14</v>
      </c>
      <c r="L200" s="34">
        <f>IFERROR(MAX($T$11+$T$12*LN(Table13[[#This Row],[Frac ADV]]),0),0)*0.0001+0.005/Table13[[#This Row],[Stock Price]]+Table13[[#This Row],[Expense Ratio]]</f>
        <v>4.9589566551591874E-4</v>
      </c>
      <c r="M200" s="68">
        <f>(Table13[[#This Row],[Expected Return]]-Table13[[#This Row],[Tcosts]])*Table13[[#This Row],[Investment]]</f>
        <v>3.5904104334484081E-8</v>
      </c>
      <c r="Q200" s="13" t="s">
        <v>876</v>
      </c>
    </row>
    <row r="201" spans="1:17" ht="15.6" x14ac:dyDescent="0.3">
      <c r="A201" s="29" t="s">
        <v>870</v>
      </c>
      <c r="B201" s="30" t="s">
        <v>871</v>
      </c>
      <c r="C201" s="31">
        <v>92.48</v>
      </c>
      <c r="D201" s="31" t="s">
        <v>872</v>
      </c>
      <c r="E201" s="32">
        <v>2.5000000000000001E-3</v>
      </c>
      <c r="F201" s="31">
        <v>-0.05</v>
      </c>
      <c r="G201" s="5">
        <f t="shared" si="12"/>
        <v>24620000</v>
      </c>
      <c r="H201" s="5" t="b">
        <f t="shared" si="13"/>
        <v>0</v>
      </c>
      <c r="I201" s="36">
        <f>Table13[[#This Row],[Tech]]*$T$7+Table13[[#This Row],[Beta]]*($T$6-$T$8)+$T$8</f>
        <v>3.322E-2</v>
      </c>
      <c r="J201" s="65">
        <v>0</v>
      </c>
      <c r="K201" s="62">
        <f>Table13[[#This Row],[Investment]]/Table13[[#This Row],[Dollar Volume]]</f>
        <v>0</v>
      </c>
      <c r="L201" s="37">
        <f>IFERROR(MAX($T$11+$T$12*LN(Table13[[#This Row],[Frac ADV]]),0),0)*0.0001+0.005/Table13[[#This Row],[Stock Price]]+Table13[[#This Row],[Expense Ratio]]</f>
        <v>2.5540657439446367E-3</v>
      </c>
      <c r="M201" s="69">
        <f>(Table13[[#This Row],[Expected Return]]-Table13[[#This Row],[Tcosts]])*Table13[[#This Row],[Investment]]</f>
        <v>0</v>
      </c>
      <c r="Q201" s="38" t="s">
        <v>879</v>
      </c>
    </row>
  </sheetData>
  <hyperlinks>
    <hyperlink ref="A35" r:id="rId1" display="https://stockanalysis.com/etf/voo/" xr:uid="{11AD6652-371D-4CB2-81DA-FD5B7DD869D4}"/>
    <hyperlink ref="A49" r:id="rId2" display="https://stockanalysis.com/etf/ivv/" xr:uid="{9590FF5D-7BC5-4803-9723-DA3E1BDDF4D8}"/>
    <hyperlink ref="A43" r:id="rId3" display="https://stockanalysis.com/etf/spy/" xr:uid="{438C2933-F6E4-4E15-BE9D-6A5991E8BE31}"/>
    <hyperlink ref="A52" r:id="rId4" display="https://stockanalysis.com/etf/vti/" xr:uid="{FDCD7549-0E81-4D34-9F12-91BC0793AB16}"/>
    <hyperlink ref="A10" r:id="rId5" display="https://stockanalysis.com/etf/qqq/" xr:uid="{37C02C48-62CC-4EF2-8C13-1AFF7F608B19}"/>
    <hyperlink ref="A126" r:id="rId6" display="https://stockanalysis.com/etf/vea/" xr:uid="{F0B321E5-C003-4B06-BA90-E35E609E19D2}"/>
    <hyperlink ref="A14" r:id="rId7" display="https://stockanalysis.com/etf/vug/" xr:uid="{A984039D-C190-4C2C-9CB0-D89B0B0E8C86}"/>
    <hyperlink ref="A109" r:id="rId8" display="https://stockanalysis.com/etf/iefa/" xr:uid="{088EB486-B3A4-41BB-8B73-EEB07E228264}"/>
    <hyperlink ref="A183" r:id="rId9" display="https://stockanalysis.com/etf/gld/" xr:uid="{1362FAC6-A476-41B8-9840-305D34ABAE83}"/>
    <hyperlink ref="A128" r:id="rId10" display="https://stockanalysis.com/etf/vtv/" xr:uid="{79592A94-3712-49A9-9686-3BCFA3E71115}"/>
    <hyperlink ref="A163" r:id="rId11" display="https://stockanalysis.com/etf/bnd/" xr:uid="{41CBEEA6-D336-4242-99E3-2BBCDD503666}"/>
    <hyperlink ref="A79" r:id="rId12" display="https://stockanalysis.com/etf/iemg/" xr:uid="{14D01F5C-A6A9-428F-B818-1EBB7295D434}"/>
    <hyperlink ref="A187" r:id="rId13" display="https://stockanalysis.com/etf/agg/" xr:uid="{BE13E209-027E-47A7-A322-E7FEAE71A6B1}"/>
    <hyperlink ref="A120" r:id="rId14" display="https://stockanalysis.com/etf/vxus/" xr:uid="{8C1D4E5E-3E8A-4EEE-AD95-9791CFE7769C}"/>
    <hyperlink ref="A22" r:id="rId15" display="https://stockanalysis.com/etf/iwf/" xr:uid="{EA678BE8-82A7-4485-8214-86AF05FE482A}"/>
    <hyperlink ref="A133" r:id="rId16" display="https://stockanalysis.com/etf/vwo/" xr:uid="{C972A6C5-428E-49CC-971F-EE535D367A59}"/>
    <hyperlink ref="A7" r:id="rId17" display="https://stockanalysis.com/etf/vgt/" xr:uid="{8A18D6FF-1371-4965-BDCC-8EB27D0B1C61}"/>
    <hyperlink ref="A78" r:id="rId18" display="https://stockanalysis.com/etf/ijh/" xr:uid="{0EBF49BC-2218-460D-98A8-B89382E57606}"/>
    <hyperlink ref="A64" r:id="rId19" display="https://stockanalysis.com/etf/spym/" xr:uid="{9A345E94-D647-436E-A9B2-1DEAB3A0A4F8}"/>
    <hyperlink ref="A107" r:id="rId20" display="https://stockanalysis.com/etf/vig/" xr:uid="{277C9E80-336F-4C25-AF6C-EE2BB2973E55}"/>
    <hyperlink ref="A69" r:id="rId21" display="https://stockanalysis.com/etf/ijr/" xr:uid="{5966BF12-BFF8-4EBD-9382-92AB6E449977}"/>
    <hyperlink ref="A92" r:id="rId22" display="https://stockanalysis.com/etf/vo/" xr:uid="{AC64AF8F-866D-4605-AC2C-C6B216921202}"/>
    <hyperlink ref="A9" r:id="rId23" display="https://stockanalysis.com/etf/xlk/" xr:uid="{2F1BC118-78C0-4915-8F5A-EB2BB709DADE}"/>
    <hyperlink ref="A83" r:id="rId24" display="https://stockanalysis.com/etf/rsp/" xr:uid="{001458CB-F194-4A21-91CC-946A8A03060E}"/>
    <hyperlink ref="A144" r:id="rId25" display="https://stockanalysis.com/etf/schd/" xr:uid="{164B7E9F-06EE-4671-8D09-BBFB7869B187}"/>
    <hyperlink ref="A40" r:id="rId26" display="https://stockanalysis.com/etf/itot/" xr:uid="{2993E588-A8E7-4645-9848-B9BA5CF359ED}"/>
    <hyperlink ref="A201" r:id="rId27" display="https://stockanalysis.com/etf/iau/" xr:uid="{8359AF8A-3002-4421-91B0-6533311DCD2A}"/>
    <hyperlink ref="A58" r:id="rId28" display="https://stockanalysis.com/etf/iwm/" xr:uid="{9C164B87-81DA-47BF-BD05-496E5B9686ED}"/>
    <hyperlink ref="A98" r:id="rId29" display="https://stockanalysis.com/etf/efa/" xr:uid="{B0292F0A-AE3A-4930-8A4F-0CC233ABDABD}"/>
    <hyperlink ref="A177" r:id="rId30" display="https://stockanalysis.com/etf/bndx/" xr:uid="{F6B16625-C865-423B-8080-FDC69497F77C}"/>
    <hyperlink ref="A114" r:id="rId31" display="https://stockanalysis.com/etf/vym/" xr:uid="{BE55F979-375F-46B0-98CB-6D8A5DDE8F06}"/>
    <hyperlink ref="A74" r:id="rId32" display="https://stockanalysis.com/etf/vb/" xr:uid="{4A7895AA-D848-4EC0-BD3D-79571CC4B91D}"/>
    <hyperlink ref="A173" r:id="rId33" display="https://stockanalysis.com/etf/sgov/" xr:uid="{7EE2E67A-2C84-4085-BF77-EE60D4CE48BB}"/>
    <hyperlink ref="A11" r:id="rId34" display="https://stockanalysis.com/etf/qqqm/" xr:uid="{19D27AC8-541C-49B4-9D31-CAD7AF07AB32}"/>
    <hyperlink ref="A106" r:id="rId35" display="https://stockanalysis.com/etf/iwd/" xr:uid="{71996EBA-B801-49A8-AA4A-DD51E47E16ED}"/>
    <hyperlink ref="A25" r:id="rId36" display="https://stockanalysis.com/etf/ivw/" xr:uid="{F188DAE8-E863-49AE-8824-02349A02FA6E}"/>
    <hyperlink ref="A50" r:id="rId37" display="https://stockanalysis.com/etf/schx/" xr:uid="{F46A9071-3B2F-4254-8721-43ED6EF982BF}"/>
    <hyperlink ref="A94" r:id="rId38" display="https://stockanalysis.com/etf/vt/" xr:uid="{8043C957-2BCF-4CCF-A1CC-8622CD524119}"/>
    <hyperlink ref="A168" r:id="rId39" display="https://stockanalysis.com/etf/vcit/" xr:uid="{8A2A6B45-C6C8-4418-B806-567F32C2570B}"/>
    <hyperlink ref="A122" r:id="rId40" display="https://stockanalysis.com/etf/veu/" xr:uid="{2DFD1CB1-0616-46D0-AD55-01F26FE5CB61}"/>
    <hyperlink ref="A123" r:id="rId41" display="https://stockanalysis.com/etf/schf/" xr:uid="{4F173EB1-66FC-439C-8F83-ADF1A90BF9B0}"/>
    <hyperlink ref="A87" r:id="rId42" display="https://stockanalysis.com/etf/ixus/" xr:uid="{CF862173-F882-47B0-9606-48A9EA4FD2E4}"/>
    <hyperlink ref="A86" r:id="rId43" display="https://stockanalysis.com/etf/xlf/" xr:uid="{C9D3B937-0F85-4530-A973-4A0A7DEAF4CB}"/>
    <hyperlink ref="A137" r:id="rId44" display="https://stockanalysis.com/etf/ibit/" xr:uid="{88EF212C-0A7A-4133-A286-D092B4AF3056}"/>
    <hyperlink ref="A20" r:id="rId45" display="https://stockanalysis.com/etf/schg/" xr:uid="{CC1BF5CD-2E70-4C07-960D-23F6D2A2228B}"/>
    <hyperlink ref="A96" r:id="rId46" display="https://stockanalysis.com/etf/ive/" xr:uid="{99F88AE0-30D6-4327-B07E-CC7D8F4B7DE5}"/>
    <hyperlink ref="A77" r:id="rId47" display="https://stockanalysis.com/etf/qual/" xr:uid="{428CDE59-E0CF-44A6-BD26-01157C9F2738}"/>
    <hyperlink ref="A82" r:id="rId48" display="https://stockanalysis.com/etf/iwr/" xr:uid="{69CA6A60-F547-4DC5-B31B-065A65AEB1A0}"/>
    <hyperlink ref="A54" r:id="rId49" display="https://stockanalysis.com/etf/vv/" xr:uid="{4CA4BF18-BB03-434F-92B5-0C479C5B5566}"/>
    <hyperlink ref="A62" r:id="rId50" display="https://stockanalysis.com/etf/iwb/" xr:uid="{A0731049-B0E0-4B69-971E-BC20A988216A}"/>
    <hyperlink ref="A192" r:id="rId51" display="https://stockanalysis.com/etf/ief/" xr:uid="{818C29BE-88BC-4153-B120-8F5505490877}"/>
    <hyperlink ref="A85" r:id="rId52" display="https://stockanalysis.com/etf/dia/" xr:uid="{1AD8FEFC-8424-406B-99C7-AEEE60E0CBDA}"/>
    <hyperlink ref="A4" r:id="rId53" display="https://stockanalysis.com/etf/smh/" xr:uid="{0C4B343C-3A71-47C1-959C-D6529FADF47F}"/>
    <hyperlink ref="A16" r:id="rId54" display="https://stockanalysis.com/etf/spyg/" xr:uid="{B788455C-DC2A-450B-97C0-C2BE893B6ED4}"/>
    <hyperlink ref="A195" r:id="rId55" display="https://stockanalysis.com/etf/tlt/" xr:uid="{8E8642D2-6EFE-4BD3-B9D1-9B9C5F950CF5}"/>
    <hyperlink ref="A138" r:id="rId56" display="https://stockanalysis.com/etf/jepi/" xr:uid="{1615CF82-2E3C-46D0-B244-0DA1D81BDDB9}"/>
    <hyperlink ref="A179" r:id="rId57" display="https://stockanalysis.com/etf/bsv/" xr:uid="{3A12E8AF-9FDB-401E-8FA9-AA94ED996AE0}"/>
    <hyperlink ref="A175" r:id="rId58" display="https://stockanalysis.com/etf/bil/" xr:uid="{6467FF11-9AAB-4CFB-AFE2-2446CB29FFC9}"/>
    <hyperlink ref="A171" r:id="rId59" display="https://stockanalysis.com/etf/vteb/" xr:uid="{3A702AAE-95E6-4F1E-9E41-0FDFF02A1F0D}"/>
    <hyperlink ref="A180" r:id="rId60" display="https://stockanalysis.com/etf/mub/" xr:uid="{5A5CC4F0-EC76-471B-9943-66F264E64D00}"/>
    <hyperlink ref="A45" r:id="rId61" display="https://stockanalysis.com/etf/dfac/" xr:uid="{238622D5-1882-40F2-8C9D-CE6F1E305EDA}"/>
    <hyperlink ref="A134" r:id="rId62" display="https://stockanalysis.com/etf/slv/" xr:uid="{55F3DF63-0757-4BBD-9522-98FFC00A1E5B}"/>
    <hyperlink ref="A148" r:id="rId63" display="https://stockanalysis.com/etf/xlv/" xr:uid="{1D6EB6AF-6614-4A43-B7EC-47BB969238E5}"/>
    <hyperlink ref="A167" r:id="rId64" display="https://stockanalysis.com/etf/vcsh/" xr:uid="{0C24DE1B-7C35-4FFB-B6FB-14AC650179F6}"/>
    <hyperlink ref="A198" r:id="rId65" display="https://stockanalysis.com/etf/mbb/" xr:uid="{1584564C-E12F-4BDC-8650-874F31BCDD97}"/>
    <hyperlink ref="A172" r:id="rId66" display="https://stockanalysis.com/etf/vgit/" xr:uid="{DC4D4539-7AB9-4678-A6DE-EE6F30FE7566}"/>
    <hyperlink ref="A60" r:id="rId67" display="https://stockanalysis.com/etf/schb/" xr:uid="{EFDBE9AA-5352-4A2A-B2C9-C46FDACDD937}"/>
    <hyperlink ref="A70" r:id="rId68" display="https://stockanalysis.com/etf/dgro/" xr:uid="{B5D9BC67-1507-4B4E-AF5C-4EAFE7B37944}"/>
    <hyperlink ref="A17" r:id="rId69" display="https://stockanalysis.com/etf/vong/" xr:uid="{BDD438E0-F1A7-47E0-BF0F-2BCA5DFA7354}"/>
    <hyperlink ref="A125" r:id="rId70" display="https://stockanalysis.com/etf/spdw/" xr:uid="{46AB3325-12F0-46BF-ADC0-0AC18FCED288}"/>
    <hyperlink ref="A160" r:id="rId71" display="https://stockanalysis.com/etf/jpst/" xr:uid="{DB913200-EA3E-4EEB-8157-89306B5226EA}"/>
    <hyperlink ref="A139" r:id="rId72" display="https://stockanalysis.com/etf/xle/" xr:uid="{B12BBC2A-5942-4384-8A41-8387DDAAC7FF}"/>
    <hyperlink ref="A150" r:id="rId73" display="https://stockanalysis.com/etf/vnq/" xr:uid="{C99E7FBF-AEF5-4057-9F72-DE269543A0B3}"/>
    <hyperlink ref="A181" r:id="rId74" display="https://stockanalysis.com/etf/govt/" xr:uid="{6ED0E60B-A2CB-48CC-BFFB-1C7B95FEBA29}"/>
    <hyperlink ref="A164" r:id="rId75" display="https://stockanalysis.com/etf/iusb/" xr:uid="{CA10242D-B429-4DB9-B2E7-884A7A39756D}"/>
    <hyperlink ref="A88" r:id="rId76" display="https://stockanalysis.com/etf/vbr/" xr:uid="{7A48D3F0-42F1-49B7-A296-BA812DF48F3D}"/>
    <hyperlink ref="A13" r:id="rId77" display="https://stockanalysis.com/etf/jepq/" xr:uid="{5B34ED4D-0C6F-43CA-A664-0D91FF1BB831}"/>
    <hyperlink ref="A100" r:id="rId78" display="https://stockanalysis.com/etf/spyv/" xr:uid="{7C02A88C-8E51-47F3-9A1B-258CB748D8E5}"/>
    <hyperlink ref="A41" r:id="rId79" display="https://stockanalysis.com/etf/dynf/" xr:uid="{2C2620A9-F6AF-46EE-9BA8-0491E9692344}"/>
    <hyperlink ref="A145" r:id="rId80" display="https://stockanalysis.com/etf/gdx/" xr:uid="{C16BDC38-47EC-42B3-BF56-17618A994761}"/>
    <hyperlink ref="A189" r:id="rId81" display="https://stockanalysis.com/etf/gldm/" xr:uid="{83338FE6-A7A5-4F8E-BAD0-3CD0290A4902}"/>
    <hyperlink ref="A130" r:id="rId82" display="https://stockanalysis.com/etf/vgk/" xr:uid="{B194713E-9B27-4DEE-9B06-947EF1D34C92}"/>
    <hyperlink ref="A15" r:id="rId83" display="https://stockanalysis.com/etf/mgk/" xr:uid="{9E89CE91-1901-43BD-89B5-2DDF3C06D147}"/>
    <hyperlink ref="A132" r:id="rId84" display="https://stockanalysis.com/etf/efv/" xr:uid="{58B81DD5-FC7A-4C40-B5CE-FA6D8A311C9F}"/>
    <hyperlink ref="A93" r:id="rId85" display="https://stockanalysis.com/etf/xli/" xr:uid="{D1F93518-08C8-4120-916D-9FA6206B3BC4}"/>
    <hyperlink ref="A80" r:id="rId86" display="https://stockanalysis.com/etf/cgdv/" xr:uid="{9A0E4ED9-CAE0-4E30-87D6-211EACA0C4CA}"/>
    <hyperlink ref="A197" r:id="rId87" display="https://stockanalysis.com/etf/lqd/" xr:uid="{1601C6D8-B8CB-464A-9B09-96E3FE4D8D00}"/>
    <hyperlink ref="A38" r:id="rId88" display="https://stockanalysis.com/etf/oef/" xr:uid="{9B3A71F4-D32F-44EF-97A8-AEA71F53D032}"/>
    <hyperlink ref="A2" r:id="rId89" display="https://stockanalysis.com/etf/tqqq/" xr:uid="{2FDBE0FA-5A1A-4894-9087-516D94A0B6C9}"/>
    <hyperlink ref="A105" r:id="rId90" display="https://stockanalysis.com/etf/idev/" xr:uid="{33213950-8488-40BF-BC83-F73415D6C70E}"/>
    <hyperlink ref="A186" r:id="rId91" display="https://stockanalysis.com/etf/biv/" xr:uid="{DB7B3BD6-2A5C-4FBD-8874-AAD1EE95C314}"/>
    <hyperlink ref="A113" r:id="rId92" display="https://stockanalysis.com/etf/eem/" xr:uid="{5105488F-ADF6-4147-80C6-F3D938C3AF89}"/>
    <hyperlink ref="A169" r:id="rId93" display="https://stockanalysis.com/etf/vgsh/" xr:uid="{6C42B62B-FF81-4D96-9B7B-1695C2F54473}"/>
    <hyperlink ref="A18" r:id="rId94" display="https://stockanalysis.com/etf/iusg/" xr:uid="{AE83A1A4-9A18-48D6-9519-B646B22F9F68}"/>
    <hyperlink ref="A47" r:id="rId95" display="https://stockanalysis.com/etf/acwi/" xr:uid="{2AB94653-573D-4249-88FE-B9DD635A0245}"/>
    <hyperlink ref="A156" r:id="rId96" display="https://stockanalysis.com/etf/jaaa/" xr:uid="{DCCA3B39-DD40-42BB-8CA6-B1A5B9D73D0C}"/>
    <hyperlink ref="A12" r:id="rId97" display="https://stockanalysis.com/etf/xlc/" xr:uid="{EA1B6C91-D147-450F-882E-A3BC50F98D16}"/>
    <hyperlink ref="A44" r:id="rId98" display="https://stockanalysis.com/etf/vxf/" xr:uid="{F6D76A9C-F2D1-4514-BA1E-24917918BA19}"/>
    <hyperlink ref="A155" r:id="rId99" display="https://stockanalysis.com/etf/ushy/" xr:uid="{29D411C9-E77D-464C-A99A-10047AF32F52}"/>
    <hyperlink ref="A67" r:id="rId100" display="https://stockanalysis.com/etf/mdy/" xr:uid="{D0C34DBB-76B7-4477-8F03-0B2784B9B163}"/>
    <hyperlink ref="A72" r:id="rId101" display="https://stockanalysis.com/etf/iusv/" xr:uid="{44092E3D-9B1E-4422-AF22-DBC149453BFC}"/>
    <hyperlink ref="A166" r:id="rId102" display="https://stockanalysis.com/etf/shy/" xr:uid="{1F123438-732A-466E-99C5-376A41903759}"/>
    <hyperlink ref="A182" r:id="rId103" display="https://stockanalysis.com/etf/fbnd/" xr:uid="{AD1D7386-5ADE-40C6-9222-222530BABEC8}"/>
    <hyperlink ref="A99" r:id="rId104" display="https://stockanalysis.com/etf/fndx/" xr:uid="{70A5D694-EC02-4F9B-8906-FDF2E1D70CBA}"/>
    <hyperlink ref="A42" r:id="rId105" display="https://stockanalysis.com/etf/avuv/" xr:uid="{9E5C4822-177F-4703-B5DC-255EFA104098}"/>
    <hyperlink ref="A146" r:id="rId106" display="https://stockanalysis.com/etf/usmv/" xr:uid="{3164123B-891B-4449-AEE3-C22390166747}"/>
    <hyperlink ref="A135" r:id="rId107" display="https://stockanalysis.com/etf/dvy/" xr:uid="{36E69D28-9210-4587-8227-569187B783D3}"/>
    <hyperlink ref="A57" r:id="rId108" display="https://stockanalysis.com/etf/xly/" xr:uid="{2137FF64-3ACC-4386-8D5D-473C41051500}"/>
    <hyperlink ref="A184" r:id="rId109" display="https://stockanalysis.com/etf/igsb/" xr:uid="{6E41E80D-828F-414A-92AE-4101FCCAE457}"/>
    <hyperlink ref="A27" r:id="rId110" display="https://stockanalysis.com/etf/voog/" xr:uid="{DDD7E6C0-1673-41CD-92B8-6FC3B0FEDE81}"/>
    <hyperlink ref="A3" r:id="rId111" display="https://stockanalysis.com/etf/soxx/" xr:uid="{F73ACE64-4291-4906-945B-7A199BEFE91D}"/>
    <hyperlink ref="A151" r:id="rId112" display="https://stockanalysis.com/etf/xlu/" xr:uid="{19633D8B-C300-43AE-AB79-F05BFBE3538B}"/>
    <hyperlink ref="A119" r:id="rId113" display="https://stockanalysis.com/etf/voe/" xr:uid="{797A0885-05D3-429C-BEEA-8AA7CBB8AF26}"/>
    <hyperlink ref="A117" r:id="rId114" display="https://stockanalysis.com/etf/fndf/" xr:uid="{3F6DB434-2E6A-4334-BACE-98630DA833E9}"/>
    <hyperlink ref="A149" r:id="rId115" display="https://stockanalysis.com/etf/sdy/" xr:uid="{FD1B119B-2CBE-47DF-AB44-034E028637D4}"/>
    <hyperlink ref="A19" r:id="rId116" display="https://stockanalysis.com/etf/mtum/" xr:uid="{833AFFB2-653C-49AF-863B-7D65A528378A}"/>
    <hyperlink ref="A37" r:id="rId117" display="https://stockanalysis.com/etf/vbk/" xr:uid="{173ABC77-62E2-454D-ADE5-8E1D616845A1}"/>
    <hyperlink ref="A68" r:id="rId118" display="https://stockanalysis.com/etf/scha/" xr:uid="{37ECB811-9EC6-4A75-BE99-8A5A557A7DE4}"/>
    <hyperlink ref="A55" r:id="rId119" display="https://stockanalysis.com/etf/rdvy/" xr:uid="{8FBD8F9D-8A06-4248-84BF-D3A74742B887}"/>
    <hyperlink ref="A8" r:id="rId120" display="https://stockanalysis.com/etf/iyw/" xr:uid="{94FA475F-F246-4B67-BA14-9E6298910C06}"/>
    <hyperlink ref="A176" r:id="rId121" display="https://stockanalysis.com/etf/shv/" xr:uid="{648CA445-D899-4DCB-922F-B16D5CE0A599}"/>
    <hyperlink ref="A28" r:id="rId122" display="https://stockanalysis.com/etf/iwp/" xr:uid="{D572358A-49A5-449E-919B-002184130C44}"/>
    <hyperlink ref="A21" r:id="rId123" display="https://stockanalysis.com/etf/cggr/" xr:uid="{E68401CF-C3D1-4405-A4D6-FD7EBD42819F}"/>
    <hyperlink ref="A111" r:id="rId124" display="https://stockanalysis.com/etf/avem/" xr:uid="{D9BF16BC-10C2-4D5F-8282-E29436AC37C8}"/>
    <hyperlink ref="A31" r:id="rId125" display="https://stockanalysis.com/etf/iwv/" xr:uid="{8311DA7B-E712-4C69-B09E-C8C438754A5C}"/>
    <hyperlink ref="A90" r:id="rId126" display="https://stockanalysis.com/etf/cowz/" xr:uid="{00106537-8AA7-470E-866E-FE37C590C70A}"/>
    <hyperlink ref="A32" r:id="rId127" display="https://stockanalysis.com/etf/dfus/" xr:uid="{8F9255CD-E542-4DFC-972A-241532D07650}"/>
    <hyperlink ref="A116" r:id="rId128" display="https://stockanalysis.com/etf/dfiv/" xr:uid="{A74C571E-BB85-4B4C-B40A-A86D37C029C1}"/>
    <hyperlink ref="A91" r:id="rId129" display="https://stockanalysis.com/etf/ewj/" xr:uid="{75A50B04-B8F2-40AC-9424-E35F08C38A71}"/>
    <hyperlink ref="A188" r:id="rId130" display="https://stockanalysis.com/etf/iei/" xr:uid="{9C41C705-3886-4935-AFCD-51528F65697B}"/>
    <hyperlink ref="A159" r:id="rId131" display="https://stockanalysis.com/etf/igib/" xr:uid="{6C7118F0-5CAA-457F-A1EB-8D9259AD4B02}"/>
    <hyperlink ref="A143" r:id="rId132" display="https://stockanalysis.com/etf/vymi/" xr:uid="{02E95EB2-7741-4429-A5A2-0607594B5379}"/>
    <hyperlink ref="A71" r:id="rId133" display="https://stockanalysis.com/etf/avdv/" xr:uid="{3AF1D0D2-413B-4DA2-A491-90A6B9BE3C95}"/>
    <hyperlink ref="A61" r:id="rId134" display="https://stockanalysis.com/etf/vot/" xr:uid="{1DA77B53-DBBA-4C24-B7EE-D667597E764E}"/>
    <hyperlink ref="A140" r:id="rId135" display="https://stockanalysis.com/etf/vht/" xr:uid="{31E26A89-D686-42F7-8E5F-77C034DD3B53}"/>
    <hyperlink ref="A154" r:id="rId136" display="https://stockanalysis.com/etf/hyg/" xr:uid="{59E7E2D9-0140-4E06-8E5F-A338F5C1AD17}"/>
    <hyperlink ref="A174" r:id="rId137" display="https://stockanalysis.com/etf/binc/" xr:uid="{FF94BBDD-2979-4956-BA02-619826A67B6B}"/>
    <hyperlink ref="A200" r:id="rId138" display="https://stockanalysis.com/etf/usig/" xr:uid="{9CA125A4-816D-48C4-B39B-CABF43ABEC8C}"/>
    <hyperlink ref="A136" r:id="rId139" display="https://stockanalysis.com/etf/spem/" xr:uid="{81C40696-B312-470D-B342-49B10C29479A}"/>
    <hyperlink ref="A153" r:id="rId140" display="https://stockanalysis.com/etf/xlp/" xr:uid="{A06228E3-CA4E-4850-A8D6-46410A520BCB}"/>
    <hyperlink ref="A108" r:id="rId141" display="https://stockanalysis.com/etf/emxc/" xr:uid="{FA5E445B-873E-417C-8225-FC639D4C4C07}"/>
    <hyperlink ref="A89" r:id="rId142" display="https://stockanalysis.com/etf/spmd/" xr:uid="{C6F82836-B47B-4AB0-B79C-2098A530FF40}"/>
    <hyperlink ref="A84" r:id="rId143" display="https://stockanalysis.com/etf/dgrw/" xr:uid="{E20F9DA8-364E-429B-9F96-99598D09D628}"/>
    <hyperlink ref="A56" r:id="rId144" display="https://stockanalysis.com/etf/sphq/" xr:uid="{FCBE4D82-9354-48D3-850D-FDADB2A3C35D}"/>
    <hyperlink ref="A199" r:id="rId145" display="https://stockanalysis.com/etf/usfr/" xr:uid="{80E3F6D6-3B37-42B0-9A07-A0FA8F2D3032}"/>
    <hyperlink ref="A6" r:id="rId146" display="https://stockanalysis.com/etf/ftec/" xr:uid="{BC82EC89-C6A8-4887-945D-B330DE144F86}"/>
    <hyperlink ref="A170" r:id="rId147" display="https://stockanalysis.com/etf/vtip/" xr:uid="{753B5B0E-CFA6-4D0A-A0A2-65631FE791A1}"/>
    <hyperlink ref="A158" r:id="rId148" display="https://stockanalysis.com/etf/emb/" xr:uid="{3A9DC2FF-89FD-4BA1-A72D-B56DA9C2DC75}"/>
    <hyperlink ref="A23" r:id="rId149" display="https://stockanalysis.com/etf/iwy/" xr:uid="{26EDC5BB-2687-4CED-B426-71DAEDE1A3D9}"/>
    <hyperlink ref="A34" r:id="rId150" display="https://stockanalysis.com/etf/esgu/" xr:uid="{0739BF90-BBD5-4D41-A497-00F53A02CBB6}"/>
    <hyperlink ref="A48" r:id="rId151" display="https://stockanalysis.com/etf/bbjp/" xr:uid="{B1CC9BAE-A65B-4409-BB1D-4E4A83D2AE44}"/>
    <hyperlink ref="A118" r:id="rId152" display="https://stockanalysis.com/etf/vonv/" xr:uid="{AAAB063D-7204-4716-B2E2-CFC3DD4F4045}"/>
    <hyperlink ref="A112" r:id="rId153" display="https://stockanalysis.com/etf/schv/" xr:uid="{FE157FD4-C007-4385-9A15-B490FC0CA78C}"/>
    <hyperlink ref="A165" r:id="rId154" display="https://stockanalysis.com/etf/schp/" xr:uid="{C32E317B-573A-45DD-8AA9-529CF12A3E5C}"/>
    <hyperlink ref="A110" r:id="rId155" display="https://stockanalysis.com/etf/iws/" xr:uid="{42FE26A8-1811-4C66-A055-DC22943BE581}"/>
    <hyperlink ref="A53" r:id="rId156" display="https://stockanalysis.com/etf/ita/" xr:uid="{D05B0B2F-7696-40BF-A5AA-D37D01127CBE}"/>
    <hyperlink ref="A178" r:id="rId157" display="https://stockanalysis.com/etf/mint/" xr:uid="{041C794F-A081-4028-B747-84357A8F2300}"/>
    <hyperlink ref="A30" r:id="rId158" display="https://stockanalysis.com/etf/gslc/" xr:uid="{B5C2C88E-B97A-4FE2-94AF-BF8BC1A787E7}"/>
    <hyperlink ref="A191" r:id="rId159" display="https://stockanalysis.com/etf/vmbs/" xr:uid="{71A87375-BB78-4C2B-AA97-DD550FF3F1D5}"/>
    <hyperlink ref="A63" r:id="rId160" display="https://stockanalysis.com/etf/spsm/" xr:uid="{EA85D5BA-BC16-4C6C-8977-C2CB74811AE1}"/>
    <hyperlink ref="A66" r:id="rId161" display="https://stockanalysis.com/etf/vtwo/" xr:uid="{3A3DC6A8-54C3-4F5C-ADF9-545FB59567ED}"/>
    <hyperlink ref="A115" r:id="rId162" display="https://stockanalysis.com/etf/dfai/" xr:uid="{30E6B479-BCB6-415D-876C-0C76D555F31F}"/>
    <hyperlink ref="A102" r:id="rId163" display="https://stockanalysis.com/etf/avde/" xr:uid="{92256779-1F3E-4741-A891-FADBF9D7F256}"/>
    <hyperlink ref="A131" r:id="rId164" display="https://stockanalysis.com/etf/scz/" xr:uid="{94BAE33D-A371-4854-9299-8A04A87A0077}"/>
    <hyperlink ref="A193" r:id="rId165" display="https://stockanalysis.com/etf/stip/" xr:uid="{D137C0D1-C8B3-411C-B294-8DEDC5A03593}"/>
    <hyperlink ref="A190" r:id="rId166" display="https://stockanalysis.com/etf/tip/" xr:uid="{13096F1C-2AA7-421A-8115-A904C79839B8}"/>
    <hyperlink ref="A152" r:id="rId167" display="https://stockanalysis.com/etf/pff/" xr:uid="{34365EFD-8C39-4237-97D9-5304AE5BE2A7}"/>
    <hyperlink ref="A73" r:id="rId168" display="https://stockanalysis.com/etf/dfuv/" xr:uid="{A70B1957-BB74-4421-AD9C-399334517B3F}"/>
    <hyperlink ref="A161" r:id="rId169" display="https://stockanalysis.com/etf/puls/" xr:uid="{5E1D7842-BD53-403A-B96B-74133B27AD1D}"/>
    <hyperlink ref="A24" r:id="rId170" display="https://stockanalysis.com/etf/spmo/" xr:uid="{8B90067C-1749-4B5A-BC48-CFB0EA51A95B}"/>
    <hyperlink ref="A26" r:id="rId171" display="https://stockanalysis.com/etf/iwo/" xr:uid="{85DACB4F-F4A6-4084-A4E5-10EFA851B03E}"/>
    <hyperlink ref="A46" r:id="rId172" display="https://stockanalysis.com/etf/vfh/" xr:uid="{6B897734-DA9E-4A5E-BBFA-2C8492EFCA60}"/>
    <hyperlink ref="A81" r:id="rId173" display="https://stockanalysis.com/etf/dfat/" xr:uid="{FA388F26-4E7E-4169-B069-7D6B566F386E}"/>
    <hyperlink ref="A124" r:id="rId174" display="https://stockanalysis.com/etf/fbtc/" xr:uid="{67D07D3D-4EB7-4002-91A9-26C35A08BA47}"/>
    <hyperlink ref="A59" r:id="rId175" display="https://stockanalysis.com/etf/dfas/" xr:uid="{3944E815-9E0F-4732-9DCF-BA038F9C9386}"/>
    <hyperlink ref="A75" r:id="rId176" display="https://stockanalysis.com/etf/schm/" xr:uid="{18265045-069B-4853-BB77-F01FF8B0B587}"/>
    <hyperlink ref="A141" r:id="rId177" display="https://stockanalysis.com/etf/hdv/" xr:uid="{6F35F8D6-BE47-45F3-8056-FEFE5FD1BDD1}"/>
    <hyperlink ref="A95" r:id="rId178" display="https://stockanalysis.com/etf/dfic/" xr:uid="{D13017AF-5EA2-4C90-AE8F-59262DC31407}"/>
    <hyperlink ref="A5" r:id="rId179" display="https://stockanalysis.com/etf/soxl/" xr:uid="{E6584AA4-0053-4114-9DFA-FD285F1A041B}"/>
    <hyperlink ref="A51" r:id="rId180" display="https://stockanalysis.com/etf/iwn/" xr:uid="{19ADDA0B-7C0F-42EF-A2E6-66CEE9D620BB}"/>
    <hyperlink ref="A76" r:id="rId181" display="https://stockanalysis.com/etf/moat/" xr:uid="{F6ECB373-5BB5-4E8E-BD80-F273249B46DD}"/>
    <hyperlink ref="A127" r:id="rId182" display="https://stockanalysis.com/etf/iqlt/" xr:uid="{835B1D6E-A52F-47D9-9DD2-6777770CF31C}"/>
    <hyperlink ref="A185" r:id="rId183" display="https://stockanalysis.com/etf/schr/" xr:uid="{27386308-C8E7-4648-98D8-0B057B59ED2D}"/>
    <hyperlink ref="A97" r:id="rId184" display="https://stockanalysis.com/etf/ewy/" xr:uid="{2327B0C2-C8B5-438B-BB7B-077E6A6F4473}"/>
    <hyperlink ref="A194" r:id="rId185" display="https://stockanalysis.com/etf/tlh/" xr:uid="{9138D927-2044-425F-9E84-6FCBF8EB5EB6}"/>
    <hyperlink ref="A121" r:id="rId186" display="https://stockanalysis.com/etf/sche/" xr:uid="{01C084D0-07EB-4C1F-AF92-233FB52578E5}"/>
    <hyperlink ref="A29" r:id="rId187" display="https://stockanalysis.com/etf/sptm/" xr:uid="{B947999B-76F5-4A2D-84E2-843F4178415E}"/>
    <hyperlink ref="A65" r:id="rId188" display="https://stockanalysis.com/etf/pave/" xr:uid="{A861EC24-3D40-490E-9C1A-6F22F923EE04}"/>
    <hyperlink ref="A196" r:id="rId189" display="https://stockanalysis.com/etf/pyld/" xr:uid="{8ED2CEA1-155D-45B0-88E4-26665BD8BE61}"/>
    <hyperlink ref="A33" r:id="rId190" display="https://stockanalysis.com/etf/esgv/" xr:uid="{91848AF1-8F8E-4A48-9E07-E685B45B2E8A}"/>
    <hyperlink ref="A142" r:id="rId191" display="https://stockanalysis.com/etf/nobl/" xr:uid="{2C6C84F4-B78D-4F35-B5D7-A3C65A999A78}"/>
    <hyperlink ref="A157" r:id="rId192" display="https://stockanalysis.com/etf/iagg/" xr:uid="{4506D6A5-95FF-46D8-AD16-AAA91AB61EAC}"/>
    <hyperlink ref="A104" r:id="rId193" display="https://stockanalysis.com/etf/mgv/" xr:uid="{6805831E-F030-47B3-BD9D-AC0D9768ACC7}"/>
    <hyperlink ref="A162" r:id="rId194" display="https://stockanalysis.com/etf/scho/" xr:uid="{2943427C-9546-4E9E-98D6-ED0660DB5469}"/>
    <hyperlink ref="A101" r:id="rId195" display="https://stockanalysis.com/etf/esgd/" xr:uid="{B7D7FCE7-370D-4A6C-A369-3B44048A21D9}"/>
    <hyperlink ref="A147" r:id="rId196" display="https://stockanalysis.com/etf/amlp/" xr:uid="{3526C0AF-F054-4806-ABC2-D38A041D8CA4}"/>
    <hyperlink ref="A39" r:id="rId197" display="https://stockanalysis.com/etf/xlg/" xr:uid="{79642C69-B15F-4BDD-A4D0-833C3BC50E68}"/>
    <hyperlink ref="A36" r:id="rId198" display="https://stockanalysis.com/etf/avus/" xr:uid="{92D151F2-8CCB-4C37-9EAF-1A632E1D24E6}"/>
    <hyperlink ref="A129" r:id="rId199" display="https://stockanalysis.com/etf/vss/" xr:uid="{A1C3B55A-9AA4-4ED8-B7EA-D58ADC5EF8BF}"/>
    <hyperlink ref="A103" r:id="rId200" display="https://stockanalysis.com/etf/dfax/" xr:uid="{88CD6431-118E-43D6-A946-44E689150482}"/>
  </hyperlinks>
  <pageMargins left="0.7" right="0.7" top="0.75" bottom="0.75" header="0.3" footer="0.3"/>
  <drawing r:id="rId201"/>
  <legacyDrawing r:id="rId202"/>
  <tableParts count="1">
    <tablePart r:id="rId20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67CE4-75F0-4E2D-A0AF-A702BC3C5B48}">
  <dimension ref="A1:V201"/>
  <sheetViews>
    <sheetView topLeftCell="F1" zoomScale="68" zoomScaleNormal="100" workbookViewId="0">
      <selection activeCell="S20" sqref="S20:S21"/>
    </sheetView>
  </sheetViews>
  <sheetFormatPr defaultColWidth="8.88671875" defaultRowHeight="15" customHeight="1" x14ac:dyDescent="0.3"/>
  <cols>
    <col min="1" max="1" width="11.6640625" customWidth="1"/>
    <col min="2" max="2" width="60.44140625" bestFit="1" customWidth="1"/>
    <col min="3" max="3" width="14.44140625" customWidth="1"/>
    <col min="4" max="4" width="16.44140625" style="88" customWidth="1"/>
    <col min="5" max="5" width="15.44140625" customWidth="1"/>
    <col min="6" max="6" width="12.44140625" customWidth="1"/>
    <col min="7" max="7" width="15.109375" customWidth="1"/>
    <col min="8" max="8" width="9.6640625" customWidth="1"/>
    <col min="9" max="9" width="18.6640625" bestFit="1" customWidth="1"/>
    <col min="10" max="10" width="28.109375" style="71" bestFit="1" customWidth="1"/>
    <col min="11" max="11" width="12.44140625" style="63" bestFit="1" customWidth="1"/>
    <col min="12" max="12" width="26.88671875" bestFit="1" customWidth="1"/>
    <col min="13" max="13" width="14.33203125" style="41" bestFit="1" customWidth="1"/>
    <col min="17" max="17" width="14.6640625" customWidth="1"/>
    <col min="19" max="19" width="34.44140625" bestFit="1" customWidth="1"/>
    <col min="20" max="20" width="19.44140625" customWidth="1"/>
    <col min="21" max="21" width="34.109375" bestFit="1" customWidth="1"/>
    <col min="22" max="22" width="12.88671875" customWidth="1"/>
  </cols>
  <sheetData>
    <row r="1" spans="1:22" ht="15" customHeight="1" x14ac:dyDescent="0.3">
      <c r="A1" s="7" t="s">
        <v>52</v>
      </c>
      <c r="B1" s="8" t="s">
        <v>53</v>
      </c>
      <c r="C1" s="8" t="s">
        <v>54</v>
      </c>
      <c r="D1" s="84" t="s">
        <v>55</v>
      </c>
      <c r="E1" s="8" t="s">
        <v>56</v>
      </c>
      <c r="F1" s="8" t="s">
        <v>57</v>
      </c>
      <c r="G1" s="72" t="s">
        <v>58</v>
      </c>
      <c r="H1" s="9" t="s">
        <v>59</v>
      </c>
      <c r="I1" s="23" t="s">
        <v>60</v>
      </c>
      <c r="J1" s="70" t="s">
        <v>61</v>
      </c>
      <c r="K1" s="60" t="s">
        <v>62</v>
      </c>
      <c r="L1" s="23" t="s">
        <v>63</v>
      </c>
      <c r="M1" s="66" t="s">
        <v>64</v>
      </c>
      <c r="Q1" s="1" t="s">
        <v>65</v>
      </c>
      <c r="S1" t="s">
        <v>66</v>
      </c>
    </row>
    <row r="2" spans="1:22" ht="15" customHeight="1" x14ac:dyDescent="0.3">
      <c r="A2" s="77" t="s">
        <v>113</v>
      </c>
      <c r="B2" s="73" t="s">
        <v>114</v>
      </c>
      <c r="C2" s="73">
        <v>600.64</v>
      </c>
      <c r="D2" s="85" t="s">
        <v>115</v>
      </c>
      <c r="E2" s="75">
        <v>2E-3</v>
      </c>
      <c r="F2" s="73">
        <v>1.22</v>
      </c>
      <c r="G2" s="78">
        <v>79900000000</v>
      </c>
      <c r="H2" s="25" t="b">
        <f t="shared" ref="H2:H33" si="0">OR(
  ISNUMBER(SEARCH("technology",B2)),
  ISNUMBER(SEARCH("tech",B2)),
  ISNUMBER(SEARCH("qqq",B2)),
  ISNUMBER(SEARCH("semiconductor",B2)),
  ISNUMBER(SEARCH("information technology",B2)),
  ISNUMBER(SEARCH("nasdaq",B2)),
  ISNUMBER(SEARCH("communication",B2))
)</f>
        <v>1</v>
      </c>
      <c r="I2" s="26">
        <f>Table135[[#This Row],[Tech]]*$T$7+Table135[[#This Row],[Beta]]*($T$6-$T$8)+$T$8</f>
        <v>0.21399200000000002</v>
      </c>
      <c r="J2" s="64">
        <v>430004010.77465099</v>
      </c>
      <c r="K2" s="61">
        <f>Table135[[#This Row],[Investment]]/Table135[[#This Row],[Dollar Volume]]</f>
        <v>5.3817773563786106E-3</v>
      </c>
      <c r="L2" s="34">
        <f>IFERROR(MAX($T$11+$T$12*LN(Table135[[#This Row],[Frac ADV]]),0),0)*0.0001+0.005/Table135[[#This Row],[Stock Price]]+Table135[[#This Row],[Expense Ratio]]</f>
        <v>7.6728343498589672E-3</v>
      </c>
      <c r="M2" s="67">
        <f>(Table135[[#This Row],[Expected Return]]-Table135[[#This Row],[Tcosts]])*Table135[[#This Row],[Investment]]</f>
        <v>88718068.729240254</v>
      </c>
      <c r="Q2" s="13" t="s">
        <v>70</v>
      </c>
    </row>
    <row r="3" spans="1:22" ht="15" customHeight="1" x14ac:dyDescent="0.3">
      <c r="A3" s="77" t="s">
        <v>76</v>
      </c>
      <c r="B3" s="73" t="s">
        <v>77</v>
      </c>
      <c r="C3" s="73">
        <v>351.5</v>
      </c>
      <c r="D3" s="85" t="s">
        <v>78</v>
      </c>
      <c r="E3" s="75">
        <v>3.3999999999999998E-3</v>
      </c>
      <c r="F3" s="73">
        <v>1.74</v>
      </c>
      <c r="G3" s="78">
        <v>48350000000</v>
      </c>
      <c r="H3" s="3" t="b">
        <f t="shared" si="0"/>
        <v>1</v>
      </c>
      <c r="I3" s="26">
        <f>Table135[[#This Row],[Tech]]*$T$7+Table135[[#This Row],[Beta]]*($T$6-$T$8)+$T$8</f>
        <v>0.24706400000000001</v>
      </c>
      <c r="J3" s="64">
        <v>406968496.63036799</v>
      </c>
      <c r="K3" s="61">
        <f>Table135[[#This Row],[Investment]]/Table135[[#This Row],[Dollar Volume]]</f>
        <v>8.4171354008349113E-3</v>
      </c>
      <c r="L3" s="34">
        <f>IFERROR(MAX($T$11+$T$12*LN(Table135[[#This Row],[Frac ADV]]),0),0)*0.0001+0.005/Table135[[#This Row],[Stock Price]]+Table135[[#This Row],[Expense Ratio]]</f>
        <v>1.1269461375369058E-2</v>
      </c>
      <c r="M3" s="68">
        <f>(Table135[[#This Row],[Expected Return]]-Table135[[#This Row],[Tcosts]])*Table135[[#This Row],[Investment]]</f>
        <v>95960948.897717297</v>
      </c>
      <c r="Q3" s="16" t="s">
        <v>74</v>
      </c>
      <c r="S3" t="s">
        <v>75</v>
      </c>
    </row>
    <row r="4" spans="1:22" ht="15" customHeight="1" x14ac:dyDescent="0.3">
      <c r="A4" s="79" t="s">
        <v>202</v>
      </c>
      <c r="B4" s="74" t="s">
        <v>203</v>
      </c>
      <c r="C4" s="74">
        <v>213.85</v>
      </c>
      <c r="D4" s="86" t="s">
        <v>204</v>
      </c>
      <c r="E4" s="76">
        <v>5.0000000000000001E-4</v>
      </c>
      <c r="F4" s="74">
        <v>1.07</v>
      </c>
      <c r="G4" s="78">
        <v>9210000000</v>
      </c>
      <c r="H4" s="3" t="b">
        <f t="shared" si="0"/>
        <v>0</v>
      </c>
      <c r="I4" s="26">
        <f>Table135[[#This Row],[Tech]]*$T$7+Table135[[#This Row],[Beta]]*($T$6-$T$8)+$T$8</f>
        <v>0.104452</v>
      </c>
      <c r="J4" s="64">
        <v>124393595.601987</v>
      </c>
      <c r="K4" s="61">
        <f>Table135[[#This Row],[Investment]]/Table135[[#This Row],[Dollar Volume]]</f>
        <v>1.3506362171768404E-2</v>
      </c>
      <c r="L4" s="34">
        <f>IFERROR(MAX($T$11+$T$12*LN(Table135[[#This Row],[Frac ADV]]),0),0)*0.0001+0.005/Table135[[#This Row],[Stock Price]]+Table135[[#This Row],[Expense Ratio]]</f>
        <v>1.069493625748833E-2</v>
      </c>
      <c r="M4" s="68">
        <f>(Table135[[#This Row],[Expected Return]]-Table135[[#This Row],[Tcosts]])*Table135[[#This Row],[Investment]]</f>
        <v>11662778.272015717</v>
      </c>
      <c r="Q4" s="13" t="s">
        <v>79</v>
      </c>
      <c r="S4" t="s">
        <v>80</v>
      </c>
      <c r="T4" t="s">
        <v>81</v>
      </c>
      <c r="U4" t="s">
        <v>82</v>
      </c>
    </row>
    <row r="5" spans="1:22" ht="15" customHeight="1" x14ac:dyDescent="0.3">
      <c r="A5" s="77" t="s">
        <v>71</v>
      </c>
      <c r="B5" s="73" t="s">
        <v>72</v>
      </c>
      <c r="C5" s="73">
        <v>406.11</v>
      </c>
      <c r="D5" s="85" t="s">
        <v>73</v>
      </c>
      <c r="E5" s="75">
        <v>3.5000000000000001E-3</v>
      </c>
      <c r="F5" s="73">
        <v>1.71</v>
      </c>
      <c r="G5" s="78">
        <v>5570000000</v>
      </c>
      <c r="H5" s="3" t="b">
        <f t="shared" si="0"/>
        <v>1</v>
      </c>
      <c r="I5" s="26">
        <f>Table135[[#This Row],[Tech]]*$T$7+Table135[[#This Row],[Beta]]*($T$6-$T$8)+$T$8</f>
        <v>0.24515599999999999</v>
      </c>
      <c r="J5" s="64">
        <v>111400000</v>
      </c>
      <c r="K5" s="61">
        <f>Table135[[#This Row],[Investment]]/Table135[[#This Row],[Dollar Volume]]</f>
        <v>0.02</v>
      </c>
      <c r="L5" s="34">
        <f>IFERROR(MAX($T$11+$T$12*LN(Table135[[#This Row],[Frac ADV]]),0),0)*0.0001+0.005/Table135[[#This Row],[Stock Price]]+Table135[[#This Row],[Expense Ratio]]</f>
        <v>1.5606762877094308E-2</v>
      </c>
      <c r="M5" s="68">
        <f>(Table135[[#This Row],[Expected Return]]-Table135[[#This Row],[Tcosts]])*Table135[[#This Row],[Investment]]</f>
        <v>25571785.01549169</v>
      </c>
      <c r="Q5" s="16" t="s">
        <v>86</v>
      </c>
      <c r="S5" t="s">
        <v>87</v>
      </c>
      <c r="T5" s="17">
        <v>1000000000</v>
      </c>
      <c r="U5" t="s">
        <v>88</v>
      </c>
    </row>
    <row r="6" spans="1:22" ht="15" customHeight="1" x14ac:dyDescent="0.3">
      <c r="A6" s="79" t="s">
        <v>89</v>
      </c>
      <c r="B6" s="74" t="s">
        <v>90</v>
      </c>
      <c r="C6" s="74">
        <v>217.72</v>
      </c>
      <c r="D6" s="86" t="s">
        <v>91</v>
      </c>
      <c r="E6" s="76">
        <v>8.0000000000000004E-4</v>
      </c>
      <c r="F6" s="74">
        <v>1.43</v>
      </c>
      <c r="G6" s="78">
        <v>5500000000</v>
      </c>
      <c r="H6" s="3" t="b">
        <f t="shared" si="0"/>
        <v>1</v>
      </c>
      <c r="I6" s="26">
        <f>Table135[[#This Row],[Tech]]*$T$7+Table135[[#This Row],[Beta]]*($T$6-$T$8)+$T$8</f>
        <v>0.22734799999999999</v>
      </c>
      <c r="J6" s="64">
        <v>110000000</v>
      </c>
      <c r="K6" s="61">
        <f>Table135[[#This Row],[Investment]]/Table135[[#This Row],[Dollar Volume]]</f>
        <v>0.02</v>
      </c>
      <c r="L6" s="34">
        <f>IFERROR(MAX($T$11+$T$12*LN(Table135[[#This Row],[Frac ADV]]),0),0)*0.0001+0.005/Table135[[#This Row],[Stock Price]]+Table135[[#This Row],[Expense Ratio]]</f>
        <v>1.2917416218406265E-2</v>
      </c>
      <c r="M6" s="68">
        <f>(Table135[[#This Row],[Expected Return]]-Table135[[#This Row],[Tcosts]])*Table135[[#This Row],[Investment]]</f>
        <v>23587364.215975311</v>
      </c>
      <c r="Q6" s="13" t="s">
        <v>92</v>
      </c>
      <c r="S6" t="s">
        <v>93</v>
      </c>
      <c r="T6" s="18">
        <v>0.1</v>
      </c>
      <c r="U6" t="s">
        <v>94</v>
      </c>
    </row>
    <row r="7" spans="1:22" ht="15" customHeight="1" x14ac:dyDescent="0.3">
      <c r="A7" s="79" t="s">
        <v>222</v>
      </c>
      <c r="B7" s="74" t="s">
        <v>223</v>
      </c>
      <c r="C7" s="74">
        <v>250.2</v>
      </c>
      <c r="D7" s="86" t="s">
        <v>224</v>
      </c>
      <c r="E7" s="76">
        <v>1.5E-3</v>
      </c>
      <c r="F7" s="74">
        <v>1.17</v>
      </c>
      <c r="G7" s="78">
        <v>4470000000</v>
      </c>
      <c r="H7" s="3" t="b">
        <f t="shared" si="0"/>
        <v>0</v>
      </c>
      <c r="I7" s="26">
        <f>Table135[[#This Row],[Tech]]*$T$7+Table135[[#This Row],[Beta]]*($T$6-$T$8)+$T$8</f>
        <v>0.11081200000000001</v>
      </c>
      <c r="J7" s="64">
        <v>89400000</v>
      </c>
      <c r="K7" s="61">
        <f>Table135[[#This Row],[Investment]]/Table135[[#This Row],[Dollar Volume]]</f>
        <v>0.02</v>
      </c>
      <c r="L7" s="34">
        <f>IFERROR(MAX($T$11+$T$12*LN(Table135[[#This Row],[Frac ADV]]),0),0)*0.0001+0.005/Table135[[#This Row],[Stock Price]]+Table135[[#This Row],[Expense Ratio]]</f>
        <v>1.3614434954694103E-2</v>
      </c>
      <c r="M7" s="68">
        <f>(Table135[[#This Row],[Expected Return]]-Table135[[#This Row],[Tcosts]])*Table135[[#This Row],[Investment]]</f>
        <v>8689462.3150503486</v>
      </c>
      <c r="Q7" s="16" t="s">
        <v>98</v>
      </c>
      <c r="S7" t="s">
        <v>99</v>
      </c>
      <c r="T7" s="18">
        <v>0.1</v>
      </c>
      <c r="U7" t="s">
        <v>100</v>
      </c>
    </row>
    <row r="8" spans="1:22" ht="15" customHeight="1" x14ac:dyDescent="0.3">
      <c r="A8" s="79" t="s">
        <v>131</v>
      </c>
      <c r="B8" s="74" t="s">
        <v>132</v>
      </c>
      <c r="C8" s="74">
        <v>163.69</v>
      </c>
      <c r="D8" s="86" t="s">
        <v>133</v>
      </c>
      <c r="E8" s="76">
        <v>4.0000000000000002E-4</v>
      </c>
      <c r="F8" s="74">
        <v>1.19</v>
      </c>
      <c r="G8" s="78">
        <v>4290000000</v>
      </c>
      <c r="H8" s="3" t="b">
        <f t="shared" si="0"/>
        <v>0</v>
      </c>
      <c r="I8" s="26">
        <f>Table135[[#This Row],[Tech]]*$T$7+Table135[[#This Row],[Beta]]*($T$6-$T$8)+$T$8</f>
        <v>0.112084</v>
      </c>
      <c r="J8" s="64">
        <v>78813498.140064999</v>
      </c>
      <c r="K8" s="61">
        <f>Table135[[#This Row],[Investment]]/Table135[[#This Row],[Dollar Volume]]</f>
        <v>1.8371444787893938E-2</v>
      </c>
      <c r="L8" s="34">
        <f>IFERROR(MAX($T$11+$T$12*LN(Table135[[#This Row],[Frac ADV]]),0),0)*0.0001+0.005/Table135[[#This Row],[Stock Price]]+Table135[[#This Row],[Expense Ratio]]</f>
        <v>1.2108968725323391E-2</v>
      </c>
      <c r="M8" s="68">
        <f>(Table135[[#This Row],[Expected Return]]-Table135[[#This Row],[Tcosts]])*Table135[[#This Row],[Investment]]</f>
        <v>7879381.9414196648</v>
      </c>
      <c r="Q8" s="13" t="s">
        <v>104</v>
      </c>
      <c r="S8" t="s">
        <v>105</v>
      </c>
      <c r="T8" s="19">
        <v>3.6400000000000002E-2</v>
      </c>
      <c r="U8" t="s">
        <v>106</v>
      </c>
      <c r="V8" s="21">
        <v>46076</v>
      </c>
    </row>
    <row r="9" spans="1:22" ht="15" customHeight="1" x14ac:dyDescent="0.3">
      <c r="A9" s="79" t="s">
        <v>388</v>
      </c>
      <c r="B9" s="74" t="s">
        <v>389</v>
      </c>
      <c r="C9" s="74">
        <v>100.56</v>
      </c>
      <c r="D9" s="86" t="s">
        <v>390</v>
      </c>
      <c r="E9" s="76">
        <v>1.8E-3</v>
      </c>
      <c r="F9" s="74">
        <v>0.87</v>
      </c>
      <c r="G9" s="78">
        <v>7750000000</v>
      </c>
      <c r="H9" s="3" t="b">
        <f t="shared" si="0"/>
        <v>0</v>
      </c>
      <c r="I9" s="26">
        <f>Table135[[#This Row],[Tech]]*$T$7+Table135[[#This Row],[Beta]]*($T$6-$T$8)+$T$8</f>
        <v>9.1732000000000008E-2</v>
      </c>
      <c r="J9" s="64">
        <v>71956293.799090996</v>
      </c>
      <c r="K9" s="61">
        <f>Table135[[#This Row],[Investment]]/Table135[[#This Row],[Dollar Volume]]</f>
        <v>9.2846830708504507E-3</v>
      </c>
      <c r="L9" s="34">
        <f>IFERROR(MAX($T$11+$T$12*LN(Table135[[#This Row],[Frac ADV]]),0),0)*0.0001+0.005/Table135[[#This Row],[Stock Price]]+Table135[[#This Row],[Expense Ratio]]</f>
        <v>1.0185455028177196E-2</v>
      </c>
      <c r="M9" s="68">
        <f>(Table135[[#This Row],[Expected Return]]-Table135[[#This Row],[Tcosts]])*Table135[[#This Row],[Investment]]</f>
        <v>5867787.1482932689</v>
      </c>
      <c r="Q9" s="16" t="s">
        <v>110</v>
      </c>
      <c r="S9" t="s">
        <v>111</v>
      </c>
      <c r="T9" s="19">
        <f>T8+2%</f>
        <v>5.6400000000000006E-2</v>
      </c>
      <c r="U9" t="s">
        <v>112</v>
      </c>
    </row>
    <row r="10" spans="1:22" ht="15" customHeight="1" x14ac:dyDescent="0.3">
      <c r="A10" s="79" t="s">
        <v>356</v>
      </c>
      <c r="B10" s="74" t="s">
        <v>357</v>
      </c>
      <c r="C10" s="74">
        <v>115.66</v>
      </c>
      <c r="D10" s="86" t="s">
        <v>358</v>
      </c>
      <c r="E10" s="76">
        <v>1.5E-3</v>
      </c>
      <c r="F10" s="74">
        <v>0.98</v>
      </c>
      <c r="G10" s="78">
        <v>4880000000</v>
      </c>
      <c r="H10" s="3" t="b">
        <f t="shared" si="0"/>
        <v>0</v>
      </c>
      <c r="I10" s="26">
        <f>Table135[[#This Row],[Tech]]*$T$7+Table135[[#This Row],[Beta]]*($T$6-$T$8)+$T$8</f>
        <v>9.872800000000001E-2</v>
      </c>
      <c r="J10" s="64">
        <v>63385048.297706001</v>
      </c>
      <c r="K10" s="61">
        <f>Table135[[#This Row],[Investment]]/Table135[[#This Row],[Dollar Volume]]</f>
        <v>1.2988739405267622E-2</v>
      </c>
      <c r="L10" s="34">
        <f>IFERROR(MAX($T$11+$T$12*LN(Table135[[#This Row],[Frac ADV]]),0),0)*0.0001+0.005/Table135[[#This Row],[Stock Price]]+Table135[[#This Row],[Expense Ratio]]</f>
        <v>1.1523373149292951E-2</v>
      </c>
      <c r="M10" s="68">
        <f>(Table135[[#This Row],[Expected Return]]-Table135[[#This Row],[Tcosts]])*Table135[[#This Row],[Investment]]</f>
        <v>5527469.4847154962</v>
      </c>
      <c r="Q10" s="13" t="s">
        <v>116</v>
      </c>
      <c r="S10" t="s">
        <v>117</v>
      </c>
      <c r="U10" s="22" t="s">
        <v>118</v>
      </c>
    </row>
    <row r="11" spans="1:22" ht="15" customHeight="1" x14ac:dyDescent="0.3">
      <c r="A11" s="77" t="s">
        <v>206</v>
      </c>
      <c r="B11" s="73" t="s">
        <v>207</v>
      </c>
      <c r="C11" s="73">
        <v>26.29</v>
      </c>
      <c r="D11" s="85" t="s">
        <v>208</v>
      </c>
      <c r="E11" s="75">
        <v>2.9999999999999997E-4</v>
      </c>
      <c r="F11" s="73">
        <v>1</v>
      </c>
      <c r="G11" s="78">
        <v>4470000000</v>
      </c>
      <c r="H11" s="3" t="b">
        <f t="shared" si="0"/>
        <v>0</v>
      </c>
      <c r="I11" s="26">
        <f>Table135[[#This Row],[Tech]]*$T$7+Table135[[#This Row],[Beta]]*($T$6-$T$8)+$T$8</f>
        <v>0.1</v>
      </c>
      <c r="J11" s="64">
        <v>61650491.106843002</v>
      </c>
      <c r="K11" s="61">
        <f>Table135[[#This Row],[Investment]]/Table135[[#This Row],[Dollar Volume]]</f>
        <v>1.3792056176027518E-2</v>
      </c>
      <c r="L11" s="34">
        <f>IFERROR(MAX($T$11+$T$12*LN(Table135[[#This Row],[Frac ADV]]),0),0)*0.0001+0.005/Table135[[#This Row],[Stock Price]]+Table135[[#This Row],[Expense Ratio]]</f>
        <v>1.0764270714091698E-2</v>
      </c>
      <c r="M11" s="68">
        <f>(Table135[[#This Row],[Expected Return]]-Table135[[#This Row],[Tcosts]])*Table135[[#This Row],[Investment]]</f>
        <v>5501426.5347535396</v>
      </c>
      <c r="Q11" s="16" t="s">
        <v>122</v>
      </c>
      <c r="S11" t="s">
        <v>11</v>
      </c>
      <c r="T11" s="20">
        <v>312.56343894969302</v>
      </c>
    </row>
    <row r="12" spans="1:22" ht="15" customHeight="1" x14ac:dyDescent="0.3">
      <c r="A12" s="79" t="s">
        <v>328</v>
      </c>
      <c r="B12" s="74" t="s">
        <v>329</v>
      </c>
      <c r="C12" s="74">
        <v>147.88999999999999</v>
      </c>
      <c r="D12" s="86" t="s">
        <v>330</v>
      </c>
      <c r="E12" s="76">
        <v>1.5E-3</v>
      </c>
      <c r="F12" s="74">
        <v>1</v>
      </c>
      <c r="G12" s="78">
        <v>3070000000</v>
      </c>
      <c r="H12" s="3" t="b">
        <f t="shared" si="0"/>
        <v>0</v>
      </c>
      <c r="I12" s="26">
        <f>Table135[[#This Row],[Tech]]*$T$7+Table135[[#This Row],[Beta]]*($T$6-$T$8)+$T$8</f>
        <v>0.1</v>
      </c>
      <c r="J12" s="64">
        <v>61400000</v>
      </c>
      <c r="K12" s="61">
        <f>Table135[[#This Row],[Investment]]/Table135[[#This Row],[Dollar Volume]]</f>
        <v>0.02</v>
      </c>
      <c r="L12" s="34">
        <f>IFERROR(MAX($T$11+$T$12*LN(Table135[[#This Row],[Frac ADV]]),0),0)*0.0001+0.005/Table135[[#This Row],[Stock Price]]+Table135[[#This Row],[Expense Ratio]]</f>
        <v>1.3628259853933546E-2</v>
      </c>
      <c r="M12" s="68">
        <f>(Table135[[#This Row],[Expected Return]]-Table135[[#This Row],[Tcosts]])*Table135[[#This Row],[Investment]]</f>
        <v>5303224.844968481</v>
      </c>
      <c r="Q12" s="13" t="s">
        <v>126</v>
      </c>
      <c r="S12" t="s">
        <v>12</v>
      </c>
      <c r="T12" s="20">
        <v>48.982055899151902</v>
      </c>
    </row>
    <row r="13" spans="1:22" ht="15" customHeight="1" x14ac:dyDescent="0.3">
      <c r="A13" s="79" t="s">
        <v>599</v>
      </c>
      <c r="B13" s="74" t="s">
        <v>600</v>
      </c>
      <c r="C13" s="74">
        <v>63.52</v>
      </c>
      <c r="D13" s="86" t="s">
        <v>322</v>
      </c>
      <c r="E13" s="76">
        <v>4.8999999999999998E-3</v>
      </c>
      <c r="F13" s="74">
        <v>0.8</v>
      </c>
      <c r="G13" s="78">
        <v>12250000000</v>
      </c>
      <c r="H13" s="3" t="b">
        <f t="shared" si="0"/>
        <v>0</v>
      </c>
      <c r="I13" s="26">
        <f>Table135[[#This Row],[Tech]]*$T$7+Table135[[#This Row],[Beta]]*($T$6-$T$8)+$T$8</f>
        <v>8.728000000000001E-2</v>
      </c>
      <c r="J13" s="64">
        <v>61093087.350801997</v>
      </c>
      <c r="K13" s="61">
        <f>Table135[[#This Row],[Investment]]/Table135[[#This Row],[Dollar Volume]]</f>
        <v>4.9871908041471021E-3</v>
      </c>
      <c r="L13" s="34">
        <f>IFERROR(MAX($T$11+$T$12*LN(Table135[[#This Row],[Frac ADV]]),0),0)*0.0001+0.005/Table135[[#This Row],[Stock Price]]+Table135[[#This Row],[Expense Ratio]]</f>
        <v>1.027024700227732E-2</v>
      </c>
      <c r="M13" s="68">
        <f>(Table135[[#This Row],[Expected Return]]-Table135[[#This Row],[Tcosts]])*Table135[[#This Row],[Investment]]</f>
        <v>4704763.5667535588</v>
      </c>
      <c r="Q13" s="16" t="s">
        <v>130</v>
      </c>
    </row>
    <row r="14" spans="1:22" ht="15" customHeight="1" x14ac:dyDescent="0.3">
      <c r="A14" s="79" t="s">
        <v>281</v>
      </c>
      <c r="B14" s="74" t="s">
        <v>282</v>
      </c>
      <c r="C14" s="74">
        <v>373.29</v>
      </c>
      <c r="D14" s="86" t="s">
        <v>283</v>
      </c>
      <c r="E14" s="76">
        <v>1.5E-3</v>
      </c>
      <c r="F14" s="74">
        <v>1</v>
      </c>
      <c r="G14" s="78">
        <v>6060000000</v>
      </c>
      <c r="H14" s="3" t="b">
        <f t="shared" si="0"/>
        <v>0</v>
      </c>
      <c r="I14" s="26">
        <f>Table135[[#This Row],[Tech]]*$T$7+Table135[[#This Row],[Beta]]*($T$6-$T$8)+$T$8</f>
        <v>0.1</v>
      </c>
      <c r="J14" s="64">
        <v>56479202.439686</v>
      </c>
      <c r="K14" s="61">
        <f>Table135[[#This Row],[Investment]]/Table135[[#This Row],[Dollar Volume]]</f>
        <v>9.3200004025884488E-3</v>
      </c>
      <c r="L14" s="34">
        <f>IFERROR(MAX($T$11+$T$12*LN(Table135[[#This Row],[Frac ADV]]),0),0)*0.0001+0.005/Table135[[#This Row],[Stock Price]]+Table135[[#This Row],[Expense Ratio]]</f>
        <v>9.8677244626138843E-3</v>
      </c>
      <c r="M14" s="68">
        <f>(Table135[[#This Row],[Expected Return]]-Table135[[#This Row],[Tcosts]])*Table135[[#This Row],[Investment]]</f>
        <v>5090599.0364255887</v>
      </c>
      <c r="Q14" s="13" t="s">
        <v>134</v>
      </c>
      <c r="U14" t="s">
        <v>880</v>
      </c>
      <c r="V14" t="s">
        <v>881</v>
      </c>
    </row>
    <row r="15" spans="1:22" ht="15" customHeight="1" x14ac:dyDescent="0.3">
      <c r="A15" s="77" t="s">
        <v>245</v>
      </c>
      <c r="B15" s="73" t="s">
        <v>246</v>
      </c>
      <c r="C15" s="73">
        <v>681.27</v>
      </c>
      <c r="D15" s="85" t="s">
        <v>247</v>
      </c>
      <c r="E15" s="75">
        <v>8.9999999999999998E-4</v>
      </c>
      <c r="F15" s="73">
        <v>1</v>
      </c>
      <c r="G15" s="78">
        <v>3140000000</v>
      </c>
      <c r="H15" s="3" t="b">
        <f t="shared" si="0"/>
        <v>0</v>
      </c>
      <c r="I15" s="26">
        <f>Table135[[#This Row],[Tech]]*$T$7+Table135[[#This Row],[Beta]]*($T$6-$T$8)+$T$8</f>
        <v>0.1</v>
      </c>
      <c r="J15" s="64">
        <v>53200766.498696998</v>
      </c>
      <c r="K15" s="61">
        <f>Table135[[#This Row],[Investment]]/Table135[[#This Row],[Dollar Volume]]</f>
        <v>1.6942919267100953E-2</v>
      </c>
      <c r="L15" s="34">
        <f>IFERROR(MAX($T$11+$T$12*LN(Table135[[#This Row],[Frac ADV]]),0),0)*0.0001+0.005/Table135[[#This Row],[Stock Price]]+Table135[[#This Row],[Expense Ratio]]</f>
        <v>1.2189264716934396E-2</v>
      </c>
      <c r="M15" s="68">
        <f>(Table135[[#This Row],[Expected Return]]-Table135[[#This Row],[Tcosts]])*Table135[[#This Row],[Investment]]</f>
        <v>4671598.4238732671</v>
      </c>
      <c r="Q15" s="16" t="s">
        <v>138</v>
      </c>
      <c r="S15" t="s">
        <v>139</v>
      </c>
      <c r="T15" s="48">
        <f>SUM(Table135[Exp Profit])</f>
        <v>427787892.03052878</v>
      </c>
    </row>
    <row r="16" spans="1:22" ht="15" customHeight="1" x14ac:dyDescent="0.3">
      <c r="A16" s="79" t="s">
        <v>404</v>
      </c>
      <c r="B16" s="74" t="s">
        <v>405</v>
      </c>
      <c r="C16" s="74">
        <v>70.540000000000006</v>
      </c>
      <c r="D16" s="86" t="s">
        <v>406</v>
      </c>
      <c r="E16" s="76">
        <v>5.0000000000000001E-4</v>
      </c>
      <c r="F16" s="74">
        <v>0.88</v>
      </c>
      <c r="G16" s="78">
        <v>8560000000</v>
      </c>
      <c r="H16" s="3" t="b">
        <f t="shared" si="0"/>
        <v>0</v>
      </c>
      <c r="I16" s="26">
        <f>Table135[[#This Row],[Tech]]*$T$7+Table135[[#This Row],[Beta]]*($T$6-$T$8)+$T$8</f>
        <v>9.2368000000000006E-2</v>
      </c>
      <c r="J16" s="64">
        <v>52769750.108506002</v>
      </c>
      <c r="K16" s="61">
        <f>Table135[[#This Row],[Investment]]/Table135[[#This Row],[Dollar Volume]]</f>
        <v>6.1646904332366822E-3</v>
      </c>
      <c r="L16" s="34">
        <f>IFERROR(MAX($T$11+$T$12*LN(Table135[[#This Row],[Frac ADV]]),0),0)*0.0001+0.005/Table135[[#This Row],[Stock Price]]+Table135[[#This Row],[Expense Ratio]]</f>
        <v>6.9006622184587252E-3</v>
      </c>
      <c r="M16" s="68">
        <f>(Table135[[#This Row],[Expected Return]]-Table135[[#This Row],[Tcosts]])*Table135[[#This Row],[Investment]]</f>
        <v>4510090.0571712069</v>
      </c>
      <c r="Q16" s="13" t="s">
        <v>143</v>
      </c>
      <c r="S16" t="s">
        <v>144</v>
      </c>
      <c r="T16" s="48">
        <f>SUM(Table135[Investment])</f>
        <v>3000000000.0000005</v>
      </c>
      <c r="U16" s="40">
        <f>T5*3</f>
        <v>3000000000</v>
      </c>
      <c r="V16">
        <f>T18/T5</f>
        <v>0.31498789203052874</v>
      </c>
    </row>
    <row r="17" spans="1:20" ht="15" customHeight="1" x14ac:dyDescent="0.3">
      <c r="A17" s="79" t="s">
        <v>380</v>
      </c>
      <c r="B17" s="74" t="s">
        <v>381</v>
      </c>
      <c r="C17" s="74">
        <v>259.54000000000002</v>
      </c>
      <c r="D17" s="86" t="s">
        <v>382</v>
      </c>
      <c r="E17" s="76">
        <v>1.9E-3</v>
      </c>
      <c r="F17" s="74">
        <v>0.98</v>
      </c>
      <c r="G17" s="78">
        <v>4260000000</v>
      </c>
      <c r="H17" s="3" t="b">
        <f t="shared" si="0"/>
        <v>0</v>
      </c>
      <c r="I17" s="26">
        <f>Table135[[#This Row],[Tech]]*$T$7+Table135[[#This Row],[Beta]]*($T$6-$T$8)+$T$8</f>
        <v>9.872800000000001E-2</v>
      </c>
      <c r="J17" s="64">
        <v>52496166.320510998</v>
      </c>
      <c r="K17" s="61">
        <f>Table135[[#This Row],[Investment]]/Table135[[#This Row],[Dollar Volume]]</f>
        <v>1.2323043737209155E-2</v>
      </c>
      <c r="L17" s="34">
        <f>IFERROR(MAX($T$11+$T$12*LN(Table135[[#This Row],[Frac ADV]]),0),0)*0.0001+0.005/Table135[[#This Row],[Stock Price]]+Table135[[#This Row],[Expense Ratio]]</f>
        <v>1.1641704440532429E-2</v>
      </c>
      <c r="M17" s="68">
        <f>(Table135[[#This Row],[Expected Return]]-Table135[[#This Row],[Tcosts]])*Table135[[#This Row],[Investment]]</f>
        <v>4571696.6559269885</v>
      </c>
      <c r="Q17" s="16" t="s">
        <v>148</v>
      </c>
      <c r="S17" t="s">
        <v>149</v>
      </c>
      <c r="T17" s="48">
        <f>MAX((T16-T5),0)*T9</f>
        <v>112800000.00000004</v>
      </c>
    </row>
    <row r="18" spans="1:20" ht="15" customHeight="1" x14ac:dyDescent="0.3">
      <c r="A18" s="77" t="s">
        <v>67</v>
      </c>
      <c r="B18" s="73" t="s">
        <v>68</v>
      </c>
      <c r="C18" s="73">
        <v>48.26</v>
      </c>
      <c r="D18" s="85" t="s">
        <v>69</v>
      </c>
      <c r="E18" s="75">
        <v>8.2000000000000007E-3</v>
      </c>
      <c r="F18" s="73">
        <v>3.58</v>
      </c>
      <c r="G18" s="78">
        <v>2350000000</v>
      </c>
      <c r="H18" s="3" t="b">
        <f t="shared" si="0"/>
        <v>1</v>
      </c>
      <c r="I18" s="26">
        <f>Table135[[#This Row],[Tech]]*$T$7+Table135[[#This Row],[Beta]]*($T$6-$T$8)+$T$8</f>
        <v>0.36408800000000002</v>
      </c>
      <c r="J18" s="64">
        <v>47000000</v>
      </c>
      <c r="K18" s="61">
        <f>Table135[[#This Row],[Investment]]/Table135[[#This Row],[Dollar Volume]]</f>
        <v>0.02</v>
      </c>
      <c r="L18" s="34">
        <f>IFERROR(MAX($T$11+$T$12*LN(Table135[[#This Row],[Frac ADV]]),0),0)*0.0001+0.005/Table135[[#This Row],[Stock Price]]+Table135[[#This Row],[Expense Ratio]]</f>
        <v>2.0398056412273172E-2</v>
      </c>
      <c r="M18" s="68">
        <f>(Table135[[#This Row],[Expected Return]]-Table135[[#This Row],[Tcosts]])*Table135[[#This Row],[Investment]]</f>
        <v>16153427.348623162</v>
      </c>
      <c r="Q18" s="13" t="s">
        <v>153</v>
      </c>
      <c r="S18" t="s">
        <v>154</v>
      </c>
      <c r="T18" s="50">
        <f>T15-T17</f>
        <v>314987892.03052872</v>
      </c>
    </row>
    <row r="19" spans="1:20" ht="15" customHeight="1" thickBot="1" x14ac:dyDescent="0.35">
      <c r="A19" s="77" t="s">
        <v>123</v>
      </c>
      <c r="B19" s="73" t="s">
        <v>124</v>
      </c>
      <c r="C19" s="73">
        <v>114.64</v>
      </c>
      <c r="D19" s="85" t="s">
        <v>125</v>
      </c>
      <c r="E19" s="75">
        <v>8.0000000000000004E-4</v>
      </c>
      <c r="F19" s="73">
        <v>0.94</v>
      </c>
      <c r="G19" s="78">
        <v>2300000000</v>
      </c>
      <c r="H19" s="3" t="b">
        <f t="shared" si="0"/>
        <v>1</v>
      </c>
      <c r="I19" s="26">
        <f>Table135[[#This Row],[Tech]]*$T$7+Table135[[#This Row],[Beta]]*($T$6-$T$8)+$T$8</f>
        <v>0.19618400000000003</v>
      </c>
      <c r="J19" s="64">
        <v>46000000</v>
      </c>
      <c r="K19" s="61">
        <f>Table135[[#This Row],[Investment]]/Table135[[#This Row],[Dollar Volume]]</f>
        <v>0.02</v>
      </c>
      <c r="L19" s="34">
        <f>IFERROR(MAX($T$11+$T$12*LN(Table135[[#This Row],[Frac ADV]]),0),0)*0.0001+0.005/Table135[[#This Row],[Stock Price]]+Table135[[#This Row],[Expense Ratio]]</f>
        <v>1.2938065736042507E-2</v>
      </c>
      <c r="M19" s="68">
        <f>(Table135[[#This Row],[Expected Return]]-Table135[[#This Row],[Tcosts]])*Table135[[#This Row],[Investment]]</f>
        <v>8429312.9761420451</v>
      </c>
      <c r="Q19" s="16" t="s">
        <v>158</v>
      </c>
      <c r="S19" t="s">
        <v>159</v>
      </c>
      <c r="T19" s="39">
        <f>COUNTIF(J2:J201,"&gt;0")</f>
        <v>90</v>
      </c>
    </row>
    <row r="20" spans="1:20" ht="15" customHeight="1" thickBot="1" x14ac:dyDescent="0.35">
      <c r="A20" s="77" t="s">
        <v>519</v>
      </c>
      <c r="B20" s="73" t="s">
        <v>520</v>
      </c>
      <c r="C20" s="73">
        <v>76.209999999999994</v>
      </c>
      <c r="D20" s="85" t="s">
        <v>521</v>
      </c>
      <c r="E20" s="75">
        <v>1.9E-3</v>
      </c>
      <c r="F20" s="73">
        <v>0.83</v>
      </c>
      <c r="G20" s="78">
        <v>4640000000</v>
      </c>
      <c r="H20" s="3" t="b">
        <f t="shared" si="0"/>
        <v>0</v>
      </c>
      <c r="I20" s="26">
        <f>Table135[[#This Row],[Tech]]*$T$7+Table135[[#This Row],[Beta]]*($T$6-$T$8)+$T$8</f>
        <v>8.9188000000000003E-2</v>
      </c>
      <c r="J20" s="64">
        <v>42807268.001323998</v>
      </c>
      <c r="K20" s="61">
        <f>Table135[[#This Row],[Investment]]/Table135[[#This Row],[Dollar Volume]]</f>
        <v>9.2257043106301721E-3</v>
      </c>
      <c r="L20" s="34">
        <f>IFERROR(MAX($T$11+$T$12*LN(Table135[[#This Row],[Frac ADV]]),0),0)*0.0001+0.005/Table135[[#This Row],[Stock Price]]+Table135[[#This Row],[Expense Ratio]]</f>
        <v>1.0270127715722306E-2</v>
      </c>
      <c r="M20" s="68">
        <f>(Table135[[#This Row],[Expected Return]]-Table135[[#This Row],[Tcosts]])*Table135[[#This Row],[Investment]]</f>
        <v>3378258.5089673349</v>
      </c>
      <c r="Q20" s="13" t="s">
        <v>163</v>
      </c>
      <c r="S20" s="119" t="s">
        <v>164</v>
      </c>
      <c r="T20" s="40">
        <f>T18+T5</f>
        <v>1314987892.0305288</v>
      </c>
    </row>
    <row r="21" spans="1:20" ht="15" customHeight="1" thickBot="1" x14ac:dyDescent="0.35">
      <c r="A21" s="77" t="s">
        <v>241</v>
      </c>
      <c r="B21" s="73" t="s">
        <v>242</v>
      </c>
      <c r="C21" s="73">
        <v>626.49</v>
      </c>
      <c r="D21" s="85" t="s">
        <v>243</v>
      </c>
      <c r="E21" s="75">
        <v>2.9999999999999997E-4</v>
      </c>
      <c r="F21" s="73">
        <v>0.99</v>
      </c>
      <c r="G21" s="78">
        <v>2080000000</v>
      </c>
      <c r="H21" s="3" t="b">
        <f t="shared" si="0"/>
        <v>0</v>
      </c>
      <c r="I21" s="26">
        <f>Table135[[#This Row],[Tech]]*$T$7+Table135[[#This Row],[Beta]]*($T$6-$T$8)+$T$8</f>
        <v>9.9364000000000008E-2</v>
      </c>
      <c r="J21" s="64">
        <v>41600000</v>
      </c>
      <c r="K21" s="61">
        <f>Table135[[#This Row],[Investment]]/Table135[[#This Row],[Dollar Volume]]</f>
        <v>0.02</v>
      </c>
      <c r="L21" s="34">
        <f>IFERROR(MAX($T$11+$T$12*LN(Table135[[#This Row],[Frac ADV]]),0),0)*0.0001+0.005/Table135[[#This Row],[Stock Price]]+Table135[[#This Row],[Expense Ratio]]</f>
        <v>1.2402431915263846E-2</v>
      </c>
      <c r="M21" s="68">
        <f>(Table135[[#This Row],[Expected Return]]-Table135[[#This Row],[Tcosts]])*Table135[[#This Row],[Investment]]</f>
        <v>3617601.2323250244</v>
      </c>
      <c r="Q21" s="16" t="s">
        <v>168</v>
      </c>
      <c r="S21" s="119" t="s">
        <v>169</v>
      </c>
      <c r="T21" s="121">
        <f>T18/T5</f>
        <v>0.31498789203052874</v>
      </c>
    </row>
    <row r="22" spans="1:20" ht="15" customHeight="1" thickBot="1" x14ac:dyDescent="0.35">
      <c r="A22" s="77" t="s">
        <v>472</v>
      </c>
      <c r="B22" s="73" t="s">
        <v>473</v>
      </c>
      <c r="C22" s="73">
        <v>93.37</v>
      </c>
      <c r="D22" s="85" t="s">
        <v>474</v>
      </c>
      <c r="E22" s="75">
        <v>4.8999999999999998E-3</v>
      </c>
      <c r="F22" s="73">
        <v>0.87</v>
      </c>
      <c r="G22" s="78">
        <v>4420000000</v>
      </c>
      <c r="H22" s="3" t="b">
        <f t="shared" si="0"/>
        <v>0</v>
      </c>
      <c r="I22" s="26">
        <f>Table135[[#This Row],[Tech]]*$T$7+Table135[[#This Row],[Beta]]*($T$6-$T$8)+$T$8</f>
        <v>9.1732000000000008E-2</v>
      </c>
      <c r="J22" s="64">
        <v>37439809.135388002</v>
      </c>
      <c r="K22" s="61">
        <f>Table135[[#This Row],[Investment]]/Table135[[#This Row],[Dollar Volume]]</f>
        <v>8.4705450532552035E-3</v>
      </c>
      <c r="L22" s="34">
        <f>IFERROR(MAX($T$11+$T$12*LN(Table135[[#This Row],[Frac ADV]]),0),0)*0.0001+0.005/Table135[[#This Row],[Stock Price]]+Table135[[#This Row],[Expense Ratio]]</f>
        <v>1.2839769639624273E-2</v>
      </c>
      <c r="M22" s="68">
        <f>(Table135[[#This Row],[Expected Return]]-Table135[[#This Row],[Tcosts]])*Table135[[#This Row],[Investment]]</f>
        <v>2953710.0469575301</v>
      </c>
      <c r="Q22" s="13" t="s">
        <v>173</v>
      </c>
    </row>
    <row r="23" spans="1:20" ht="15" customHeight="1" x14ac:dyDescent="0.3">
      <c r="A23" s="77" t="s">
        <v>340</v>
      </c>
      <c r="B23" s="73" t="s">
        <v>341</v>
      </c>
      <c r="C23" s="73">
        <v>65.73</v>
      </c>
      <c r="D23" s="85" t="s">
        <v>342</v>
      </c>
      <c r="E23" s="75">
        <v>2.8E-3</v>
      </c>
      <c r="F23" s="73">
        <v>0.9</v>
      </c>
      <c r="G23" s="78">
        <v>1870000000</v>
      </c>
      <c r="H23" s="3" t="b">
        <f t="shared" si="0"/>
        <v>0</v>
      </c>
      <c r="I23" s="26">
        <f>Table135[[#This Row],[Tech]]*$T$7+Table135[[#This Row],[Beta]]*($T$6-$T$8)+$T$8</f>
        <v>9.3640000000000001E-2</v>
      </c>
      <c r="J23" s="64">
        <v>37400000</v>
      </c>
      <c r="K23" s="61">
        <f>Table135[[#This Row],[Investment]]/Table135[[#This Row],[Dollar Volume]]</f>
        <v>0.02</v>
      </c>
      <c r="L23" s="34">
        <f>IFERROR(MAX($T$11+$T$12*LN(Table135[[#This Row],[Frac ADV]]),0),0)*0.0001+0.005/Table135[[#This Row],[Stock Price]]+Table135[[#This Row],[Expense Ratio]]</f>
        <v>1.4970519708068949E-2</v>
      </c>
      <c r="M23" s="68">
        <f>(Table135[[#This Row],[Expected Return]]-Table135[[#This Row],[Tcosts]])*Table135[[#This Row],[Investment]]</f>
        <v>2942238.5629182211</v>
      </c>
      <c r="Q23" s="16" t="s">
        <v>177</v>
      </c>
    </row>
    <row r="24" spans="1:20" ht="15" customHeight="1" x14ac:dyDescent="0.3">
      <c r="A24" s="77" t="s">
        <v>277</v>
      </c>
      <c r="B24" s="73" t="s">
        <v>278</v>
      </c>
      <c r="C24" s="73">
        <v>82.87</v>
      </c>
      <c r="D24" s="85" t="s">
        <v>279</v>
      </c>
      <c r="E24" s="75">
        <v>2.9999999999999997E-4</v>
      </c>
      <c r="F24" s="73">
        <v>0.99</v>
      </c>
      <c r="G24" s="78">
        <v>1800000000</v>
      </c>
      <c r="H24" s="3" t="b">
        <f t="shared" si="0"/>
        <v>0</v>
      </c>
      <c r="I24" s="26">
        <f>Table135[[#This Row],[Tech]]*$T$7+Table135[[#This Row],[Beta]]*($T$6-$T$8)+$T$8</f>
        <v>9.9364000000000008E-2</v>
      </c>
      <c r="J24" s="64">
        <v>36000000</v>
      </c>
      <c r="K24" s="61">
        <f>Table135[[#This Row],[Investment]]/Table135[[#This Row],[Dollar Volume]]</f>
        <v>0.02</v>
      </c>
      <c r="L24" s="34">
        <f>IFERROR(MAX($T$11+$T$12*LN(Table135[[#This Row],[Frac ADV]]),0),0)*0.0001+0.005/Table135[[#This Row],[Stock Price]]+Table135[[#This Row],[Expense Ratio]]</f>
        <v>1.2454786407090771E-2</v>
      </c>
      <c r="M24" s="68">
        <f>(Table135[[#This Row],[Expected Return]]-Table135[[#This Row],[Tcosts]])*Table135[[#This Row],[Investment]]</f>
        <v>3128731.6893447326</v>
      </c>
      <c r="Q24" s="13" t="s">
        <v>181</v>
      </c>
    </row>
    <row r="25" spans="1:20" ht="15" customHeight="1" x14ac:dyDescent="0.3">
      <c r="A25" s="77" t="s">
        <v>150</v>
      </c>
      <c r="B25" s="73" t="s">
        <v>151</v>
      </c>
      <c r="C25" s="73">
        <v>448.96</v>
      </c>
      <c r="D25" s="85" t="s">
        <v>152</v>
      </c>
      <c r="E25" s="75">
        <v>1.8E-3</v>
      </c>
      <c r="F25" s="73">
        <v>1.22</v>
      </c>
      <c r="G25" s="78">
        <v>1800000000</v>
      </c>
      <c r="H25" s="3" t="b">
        <f t="shared" si="0"/>
        <v>0</v>
      </c>
      <c r="I25" s="26">
        <f>Table135[[#This Row],[Tech]]*$T$7+Table135[[#This Row],[Beta]]*($T$6-$T$8)+$T$8</f>
        <v>0.11399200000000001</v>
      </c>
      <c r="J25" s="64">
        <v>36000000</v>
      </c>
      <c r="K25" s="61">
        <f>Table135[[#This Row],[Investment]]/Table135[[#This Row],[Dollar Volume]]</f>
        <v>0.02</v>
      </c>
      <c r="L25" s="34">
        <f>IFERROR(MAX($T$11+$T$12*LN(Table135[[#This Row],[Frac ADV]]),0),0)*0.0001+0.005/Table135[[#This Row],[Stock Price]]+Table135[[#This Row],[Expense Ratio]]</f>
        <v>1.3905587791512318E-2</v>
      </c>
      <c r="M25" s="68">
        <f>(Table135[[#This Row],[Expected Return]]-Table135[[#This Row],[Tcosts]])*Table135[[#This Row],[Investment]]</f>
        <v>3603110.8395055565</v>
      </c>
      <c r="Q25" s="16" t="s">
        <v>185</v>
      </c>
    </row>
    <row r="26" spans="1:20" ht="15.6" x14ac:dyDescent="0.3">
      <c r="A26" s="79" t="s">
        <v>170</v>
      </c>
      <c r="B26" s="74" t="s">
        <v>171</v>
      </c>
      <c r="C26" s="74">
        <v>50.4</v>
      </c>
      <c r="D26" s="86" t="s">
        <v>172</v>
      </c>
      <c r="E26" s="76">
        <v>2.9999999999999997E-4</v>
      </c>
      <c r="F26" s="74">
        <v>0.92</v>
      </c>
      <c r="G26" s="78">
        <v>1780000000</v>
      </c>
      <c r="H26" s="3" t="b">
        <f t="shared" si="0"/>
        <v>0</v>
      </c>
      <c r="I26" s="26">
        <f>Table135[[#This Row],[Tech]]*$T$7+Table135[[#This Row],[Beta]]*($T$6-$T$8)+$T$8</f>
        <v>9.491200000000001E-2</v>
      </c>
      <c r="J26" s="64">
        <v>35600000</v>
      </c>
      <c r="K26" s="61">
        <f>Table135[[#This Row],[Investment]]/Table135[[#This Row],[Dollar Volume]]</f>
        <v>0.02</v>
      </c>
      <c r="L26" s="34">
        <f>IFERROR(MAX($T$11+$T$12*LN(Table135[[#This Row],[Frac ADV]]),0),0)*0.0001+0.005/Table135[[#This Row],[Stock Price]]+Table135[[#This Row],[Expense Ratio]]</f>
        <v>1.2493657291110684E-2</v>
      </c>
      <c r="M26" s="68">
        <f>(Table135[[#This Row],[Expected Return]]-Table135[[#This Row],[Tcosts]])*Table135[[#This Row],[Investment]]</f>
        <v>2934093.0004364601</v>
      </c>
      <c r="Q26" s="13" t="s">
        <v>189</v>
      </c>
    </row>
    <row r="27" spans="1:20" ht="15.6" x14ac:dyDescent="0.3">
      <c r="A27" s="79" t="s">
        <v>376</v>
      </c>
      <c r="B27" s="74" t="s">
        <v>377</v>
      </c>
      <c r="C27" s="74">
        <v>336.01</v>
      </c>
      <c r="D27" s="86" t="s">
        <v>378</v>
      </c>
      <c r="E27" s="76">
        <v>2.9999999999999997E-4</v>
      </c>
      <c r="F27" s="74">
        <v>1</v>
      </c>
      <c r="G27" s="78">
        <v>1640000000</v>
      </c>
      <c r="H27" s="3" t="b">
        <f t="shared" si="0"/>
        <v>0</v>
      </c>
      <c r="I27" s="26">
        <f>Table135[[#This Row],[Tech]]*$T$7+Table135[[#This Row],[Beta]]*($T$6-$T$8)+$T$8</f>
        <v>0.1</v>
      </c>
      <c r="J27" s="64">
        <v>32800000</v>
      </c>
      <c r="K27" s="61">
        <f>Table135[[#This Row],[Investment]]/Table135[[#This Row],[Dollar Volume]]</f>
        <v>0.02</v>
      </c>
      <c r="L27" s="34">
        <f>IFERROR(MAX($T$11+$T$12*LN(Table135[[#This Row],[Frac ADV]]),0),0)*0.0001+0.005/Table135[[#This Row],[Stock Price]]+Table135[[#This Row],[Expense Ratio]]</f>
        <v>1.2409331451412981E-2</v>
      </c>
      <c r="M27" s="68">
        <f>(Table135[[#This Row],[Expected Return]]-Table135[[#This Row],[Tcosts]])*Table135[[#This Row],[Investment]]</f>
        <v>2872973.9283936541</v>
      </c>
      <c r="Q27" s="16" t="s">
        <v>193</v>
      </c>
    </row>
    <row r="28" spans="1:20" ht="15.6" x14ac:dyDescent="0.3">
      <c r="A28" s="79" t="s">
        <v>348</v>
      </c>
      <c r="B28" s="74" t="s">
        <v>349</v>
      </c>
      <c r="C28" s="74">
        <v>92.24</v>
      </c>
      <c r="D28" s="86" t="s">
        <v>350</v>
      </c>
      <c r="E28" s="76">
        <v>6.9999999999999999E-4</v>
      </c>
      <c r="F28" s="74">
        <v>0.71</v>
      </c>
      <c r="G28" s="78">
        <v>3640000000</v>
      </c>
      <c r="H28" s="3" t="b">
        <f t="shared" si="0"/>
        <v>0</v>
      </c>
      <c r="I28" s="26">
        <f>Table135[[#This Row],[Tech]]*$T$7+Table135[[#This Row],[Beta]]*($T$6-$T$8)+$T$8</f>
        <v>8.1556000000000003E-2</v>
      </c>
      <c r="J28" s="64">
        <v>29379286.102566998</v>
      </c>
      <c r="K28" s="61">
        <f>Table135[[#This Row],[Investment]]/Table135[[#This Row],[Dollar Volume]]</f>
        <v>8.0712324457601643E-3</v>
      </c>
      <c r="L28" s="34">
        <f>IFERROR(MAX($T$11+$T$12*LN(Table135[[#This Row],[Frac ADV]]),0),0)*0.0001+0.005/Table135[[#This Row],[Stock Price]]+Table135[[#This Row],[Expense Ratio]]</f>
        <v>8.4038978452729163E-3</v>
      </c>
      <c r="M28" s="68">
        <f>(Table135[[#This Row],[Expected Return]]-Table135[[#This Row],[Tcosts]])*Table135[[#This Row],[Investment]]</f>
        <v>2149156.5382079352</v>
      </c>
      <c r="Q28" s="13" t="s">
        <v>197</v>
      </c>
    </row>
    <row r="29" spans="1:20" ht="15.6" x14ac:dyDescent="0.3">
      <c r="A29" s="79" t="s">
        <v>591</v>
      </c>
      <c r="B29" s="74" t="s">
        <v>592</v>
      </c>
      <c r="C29" s="74">
        <v>73.28</v>
      </c>
      <c r="D29" s="86" t="s">
        <v>593</v>
      </c>
      <c r="E29" s="76">
        <v>8.0000000000000004E-4</v>
      </c>
      <c r="F29" s="74">
        <v>0.7</v>
      </c>
      <c r="G29" s="78">
        <v>3030000000</v>
      </c>
      <c r="H29" s="3" t="b">
        <f t="shared" si="0"/>
        <v>0</v>
      </c>
      <c r="I29" s="26">
        <f>Table135[[#This Row],[Tech]]*$T$7+Table135[[#This Row],[Beta]]*($T$6-$T$8)+$T$8</f>
        <v>8.0919999999999992E-2</v>
      </c>
      <c r="J29" s="64">
        <v>27783537.387637001</v>
      </c>
      <c r="K29" s="61">
        <f>Table135[[#This Row],[Investment]]/Table135[[#This Row],[Dollar Volume]]</f>
        <v>9.1694842863488443E-3</v>
      </c>
      <c r="L29" s="34">
        <f>IFERROR(MAX($T$11+$T$12*LN(Table135[[#This Row],[Frac ADV]]),0),0)*0.0001+0.005/Table135[[#This Row],[Stock Price]]+Table135[[#This Row],[Expense Ratio]]</f>
        <v>9.1428107382318952E-3</v>
      </c>
      <c r="M29" s="68">
        <f>(Table135[[#This Row],[Expected Return]]-Table135[[#This Row],[Tcosts]])*Table135[[#This Row],[Investment]]</f>
        <v>1994224.2214338309</v>
      </c>
      <c r="Q29" s="16" t="s">
        <v>201</v>
      </c>
    </row>
    <row r="30" spans="1:20" ht="15.6" x14ac:dyDescent="0.3">
      <c r="A30" s="79" t="s">
        <v>190</v>
      </c>
      <c r="B30" s="74" t="s">
        <v>191</v>
      </c>
      <c r="C30" s="74">
        <v>119.49</v>
      </c>
      <c r="D30" s="86" t="s">
        <v>192</v>
      </c>
      <c r="E30" s="76">
        <v>1.8E-3</v>
      </c>
      <c r="F30" s="74">
        <v>1.21</v>
      </c>
      <c r="G30" s="78">
        <v>1360000000</v>
      </c>
      <c r="H30" s="3" t="b">
        <f t="shared" si="0"/>
        <v>0</v>
      </c>
      <c r="I30" s="26">
        <f>Table135[[#This Row],[Tech]]*$T$7+Table135[[#This Row],[Beta]]*($T$6-$T$8)+$T$8</f>
        <v>0.113356</v>
      </c>
      <c r="J30" s="64">
        <v>27200000</v>
      </c>
      <c r="K30" s="61">
        <f>Table135[[#This Row],[Investment]]/Table135[[#This Row],[Dollar Volume]]</f>
        <v>0.02</v>
      </c>
      <c r="L30" s="34">
        <f>IFERROR(MAX($T$11+$T$12*LN(Table135[[#This Row],[Frac ADV]]),0),0)*0.0001+0.005/Table135[[#This Row],[Stock Price]]+Table135[[#This Row],[Expense Ratio]]</f>
        <v>1.3936295447720721E-2</v>
      </c>
      <c r="M30" s="68">
        <f>(Table135[[#This Row],[Expected Return]]-Table135[[#This Row],[Tcosts]])*Table135[[#This Row],[Investment]]</f>
        <v>2704215.9638219965</v>
      </c>
      <c r="Q30" s="13" t="s">
        <v>205</v>
      </c>
    </row>
    <row r="31" spans="1:20" ht="15.6" x14ac:dyDescent="0.3">
      <c r="A31" s="77" t="s">
        <v>127</v>
      </c>
      <c r="B31" s="73" t="s">
        <v>128</v>
      </c>
      <c r="C31" s="73">
        <v>57.44</v>
      </c>
      <c r="D31" s="85" t="s">
        <v>129</v>
      </c>
      <c r="E31" s="75">
        <v>3.5000000000000001E-3</v>
      </c>
      <c r="F31" s="73">
        <v>0.95</v>
      </c>
      <c r="G31" s="78">
        <v>1290000000</v>
      </c>
      <c r="H31" s="3" t="b">
        <f t="shared" si="0"/>
        <v>1</v>
      </c>
      <c r="I31" s="26">
        <f>Table135[[#This Row],[Tech]]*$T$7+Table135[[#This Row],[Beta]]*($T$6-$T$8)+$T$8</f>
        <v>0.19681999999999999</v>
      </c>
      <c r="J31" s="64">
        <v>25800000</v>
      </c>
      <c r="K31" s="61">
        <f>Table135[[#This Row],[Investment]]/Table135[[#This Row],[Dollar Volume]]</f>
        <v>0.02</v>
      </c>
      <c r="L31" s="34">
        <f>IFERROR(MAX($T$11+$T$12*LN(Table135[[#This Row],[Frac ADV]]),0),0)*0.0001+0.005/Table135[[#This Row],[Stock Price]]+Table135[[#This Row],[Expense Ratio]]</f>
        <v>1.5681498295664783E-2</v>
      </c>
      <c r="M31" s="68">
        <f>(Table135[[#This Row],[Expected Return]]-Table135[[#This Row],[Tcosts]])*Table135[[#This Row],[Investment]]</f>
        <v>4673373.3439718485</v>
      </c>
      <c r="Q31" s="16" t="s">
        <v>209</v>
      </c>
    </row>
    <row r="32" spans="1:20" ht="15.6" x14ac:dyDescent="0.3">
      <c r="A32" s="77" t="s">
        <v>428</v>
      </c>
      <c r="B32" s="73" t="s">
        <v>429</v>
      </c>
      <c r="C32" s="73">
        <v>74.87</v>
      </c>
      <c r="D32" s="85" t="s">
        <v>430</v>
      </c>
      <c r="E32" s="75">
        <v>2.7000000000000001E-3</v>
      </c>
      <c r="F32" s="73">
        <v>0.92</v>
      </c>
      <c r="G32" s="78">
        <v>1270000000</v>
      </c>
      <c r="H32" s="3" t="b">
        <f t="shared" si="0"/>
        <v>0</v>
      </c>
      <c r="I32" s="26">
        <f>Table135[[#This Row],[Tech]]*$T$7+Table135[[#This Row],[Beta]]*($T$6-$T$8)+$T$8</f>
        <v>9.491200000000001E-2</v>
      </c>
      <c r="J32" s="64">
        <v>25400000</v>
      </c>
      <c r="K32" s="61">
        <f>Table135[[#This Row],[Investment]]/Table135[[#This Row],[Dollar Volume]]</f>
        <v>0.02</v>
      </c>
      <c r="L32" s="34">
        <f>IFERROR(MAX($T$11+$T$12*LN(Table135[[#This Row],[Frac ADV]]),0),0)*0.0001+0.005/Table135[[#This Row],[Stock Price]]+Table135[[#This Row],[Expense Ratio]]</f>
        <v>1.4861233364770639E-2</v>
      </c>
      <c r="M32" s="68">
        <f>(Table135[[#This Row],[Expected Return]]-Table135[[#This Row],[Tcosts]])*Table135[[#This Row],[Investment]]</f>
        <v>2033289.4725348258</v>
      </c>
      <c r="Q32" s="13" t="s">
        <v>213</v>
      </c>
    </row>
    <row r="33" spans="1:17" ht="15.6" x14ac:dyDescent="0.3">
      <c r="A33" s="77" t="s">
        <v>249</v>
      </c>
      <c r="B33" s="73" t="s">
        <v>250</v>
      </c>
      <c r="C33" s="73">
        <v>313</v>
      </c>
      <c r="D33" s="85" t="s">
        <v>251</v>
      </c>
      <c r="E33" s="75">
        <v>2.9999999999999997E-4</v>
      </c>
      <c r="F33" s="73">
        <v>1.01</v>
      </c>
      <c r="G33" s="78">
        <v>1260000000</v>
      </c>
      <c r="H33" s="3" t="b">
        <f t="shared" si="0"/>
        <v>0</v>
      </c>
      <c r="I33" s="26">
        <f>Table135[[#This Row],[Tech]]*$T$7+Table135[[#This Row],[Beta]]*($T$6-$T$8)+$T$8</f>
        <v>0.100636</v>
      </c>
      <c r="J33" s="64">
        <v>25200000</v>
      </c>
      <c r="K33" s="61">
        <f>Table135[[#This Row],[Investment]]/Table135[[#This Row],[Dollar Volume]]</f>
        <v>0.02</v>
      </c>
      <c r="L33" s="34">
        <f>IFERROR(MAX($T$11+$T$12*LN(Table135[[#This Row],[Frac ADV]]),0),0)*0.0001+0.005/Table135[[#This Row],[Stock Price]]+Table135[[#This Row],[Expense Ratio]]</f>
        <v>1.2410425382798905E-2</v>
      </c>
      <c r="M33" s="68">
        <f>(Table135[[#This Row],[Expected Return]]-Table135[[#This Row],[Tcosts]])*Table135[[#This Row],[Investment]]</f>
        <v>2223284.4803534676</v>
      </c>
      <c r="Q33" s="16" t="s">
        <v>217</v>
      </c>
    </row>
    <row r="34" spans="1:17" ht="15.6" x14ac:dyDescent="0.3">
      <c r="A34" s="79" t="s">
        <v>214</v>
      </c>
      <c r="B34" s="74" t="s">
        <v>215</v>
      </c>
      <c r="C34" s="74">
        <v>132.91</v>
      </c>
      <c r="D34" s="86" t="s">
        <v>216</v>
      </c>
      <c r="E34" s="76">
        <v>2.3E-3</v>
      </c>
      <c r="F34" s="74">
        <v>1.1299999999999999</v>
      </c>
      <c r="G34" s="78">
        <v>1220000000</v>
      </c>
      <c r="H34" s="3" t="b">
        <f t="shared" ref="H34:H65" si="1">OR(
  ISNUMBER(SEARCH("technology",B34)),
  ISNUMBER(SEARCH("tech",B34)),
  ISNUMBER(SEARCH("qqq",B34)),
  ISNUMBER(SEARCH("semiconductor",B34)),
  ISNUMBER(SEARCH("information technology",B34)),
  ISNUMBER(SEARCH("nasdaq",B34)),
  ISNUMBER(SEARCH("communication",B34))
)</f>
        <v>0</v>
      </c>
      <c r="I34" s="26">
        <f>Table135[[#This Row],[Tech]]*$T$7+Table135[[#This Row],[Beta]]*($T$6-$T$8)+$T$8</f>
        <v>0.108268</v>
      </c>
      <c r="J34" s="64">
        <v>24400000</v>
      </c>
      <c r="K34" s="61">
        <f>Table135[[#This Row],[Investment]]/Table135[[#This Row],[Dollar Volume]]</f>
        <v>0.02</v>
      </c>
      <c r="L34" s="34">
        <f>IFERROR(MAX($T$11+$T$12*LN(Table135[[#This Row],[Frac ADV]]),0),0)*0.0001+0.005/Table135[[#This Row],[Stock Price]]+Table135[[#This Row],[Expense Ratio]]</f>
        <v>1.4432070383631821E-2</v>
      </c>
      <c r="M34" s="68">
        <f>(Table135[[#This Row],[Expected Return]]-Table135[[#This Row],[Tcosts]])*Table135[[#This Row],[Investment]]</f>
        <v>2289596.6826393837</v>
      </c>
      <c r="Q34" s="13" t="s">
        <v>221</v>
      </c>
    </row>
    <row r="35" spans="1:17" ht="15.6" x14ac:dyDescent="0.3">
      <c r="A35" s="79" t="s">
        <v>547</v>
      </c>
      <c r="B35" s="74" t="s">
        <v>548</v>
      </c>
      <c r="C35" s="74">
        <v>74.650000000000006</v>
      </c>
      <c r="D35" s="86" t="s">
        <v>549</v>
      </c>
      <c r="E35" s="76">
        <v>8.9999999999999998E-4</v>
      </c>
      <c r="F35" s="74">
        <v>0.7</v>
      </c>
      <c r="G35" s="78">
        <v>1940000000</v>
      </c>
      <c r="H35" s="3" t="b">
        <f t="shared" si="1"/>
        <v>0</v>
      </c>
      <c r="I35" s="26">
        <f>Table135[[#This Row],[Tech]]*$T$7+Table135[[#This Row],[Beta]]*($T$6-$T$8)+$T$8</f>
        <v>8.0919999999999992E-2</v>
      </c>
      <c r="J35" s="64">
        <v>23091099.860009</v>
      </c>
      <c r="K35" s="61">
        <f>Table135[[#This Row],[Investment]]/Table135[[#This Row],[Dollar Volume]]</f>
        <v>1.1902628793819071E-2</v>
      </c>
      <c r="L35" s="34">
        <f>IFERROR(MAX($T$11+$T$12*LN(Table135[[#This Row],[Frac ADV]]),0),0)*0.0001+0.005/Table135[[#This Row],[Stock Price]]+Table135[[#This Row],[Expense Ratio]]</f>
        <v>1.0519393773842103E-2</v>
      </c>
      <c r="M35" s="68">
        <f>(Table135[[#This Row],[Expected Return]]-Table135[[#This Row],[Tcosts]])*Table135[[#This Row],[Investment]]</f>
        <v>1625627.428573383</v>
      </c>
      <c r="Q35" s="16" t="s">
        <v>110</v>
      </c>
    </row>
    <row r="36" spans="1:17" ht="15.6" x14ac:dyDescent="0.3">
      <c r="A36" s="79" t="s">
        <v>316</v>
      </c>
      <c r="B36" s="74" t="s">
        <v>317</v>
      </c>
      <c r="C36" s="74">
        <v>131.08000000000001</v>
      </c>
      <c r="D36" s="86" t="s">
        <v>318</v>
      </c>
      <c r="E36" s="76">
        <v>8.9999999999999998E-4</v>
      </c>
      <c r="F36" s="74">
        <v>0.98</v>
      </c>
      <c r="G36" s="78">
        <v>1120000000</v>
      </c>
      <c r="H36" s="3" t="b">
        <f t="shared" si="1"/>
        <v>0</v>
      </c>
      <c r="I36" s="26">
        <f>Table135[[#This Row],[Tech]]*$T$7+Table135[[#This Row],[Beta]]*($T$6-$T$8)+$T$8</f>
        <v>9.872800000000001E-2</v>
      </c>
      <c r="J36" s="64">
        <v>22400000</v>
      </c>
      <c r="K36" s="61">
        <f>Table135[[#This Row],[Investment]]/Table135[[#This Row],[Dollar Volume]]</f>
        <v>0.02</v>
      </c>
      <c r="L36" s="34">
        <f>IFERROR(MAX($T$11+$T$12*LN(Table135[[#This Row],[Frac ADV]]),0),0)*0.0001+0.005/Table135[[#This Row],[Stock Price]]+Table135[[#This Row],[Expense Ratio]]</f>
        <v>1.3032595586396249E-2</v>
      </c>
      <c r="M36" s="68">
        <f>(Table135[[#This Row],[Expected Return]]-Table135[[#This Row],[Tcosts]])*Table135[[#This Row],[Investment]]</f>
        <v>1919577.0588647244</v>
      </c>
      <c r="Q36" s="13" t="s">
        <v>228</v>
      </c>
    </row>
    <row r="37" spans="1:17" ht="15.6" x14ac:dyDescent="0.3">
      <c r="A37" s="79" t="s">
        <v>360</v>
      </c>
      <c r="B37" s="74" t="s">
        <v>361</v>
      </c>
      <c r="C37" s="73">
        <v>92.51</v>
      </c>
      <c r="D37" s="86" t="s">
        <v>362</v>
      </c>
      <c r="E37" s="76">
        <v>1.5E-3</v>
      </c>
      <c r="F37" s="74">
        <v>0.86</v>
      </c>
      <c r="G37" s="78">
        <v>1070000000</v>
      </c>
      <c r="H37" s="3" t="b">
        <f t="shared" si="1"/>
        <v>0</v>
      </c>
      <c r="I37" s="26">
        <f>Table135[[#This Row],[Tech]]*$T$7+Table135[[#This Row],[Beta]]*($T$6-$T$8)+$T$8</f>
        <v>9.109600000000001E-2</v>
      </c>
      <c r="J37" s="64">
        <v>21400000</v>
      </c>
      <c r="K37" s="61">
        <f>Table135[[#This Row],[Investment]]/Table135[[#This Row],[Dollar Volume]]</f>
        <v>0.02</v>
      </c>
      <c r="L37" s="34">
        <f>IFERROR(MAX($T$11+$T$12*LN(Table135[[#This Row],[Frac ADV]]),0),0)*0.0001+0.005/Table135[[#This Row],[Stock Price]]+Table135[[#This Row],[Expense Ratio]]</f>
        <v>1.364849915290855E-2</v>
      </c>
      <c r="M37" s="68">
        <f>(Table135[[#This Row],[Expected Return]]-Table135[[#This Row],[Tcosts]])*Table135[[#This Row],[Investment]]</f>
        <v>1657376.5181277571</v>
      </c>
      <c r="Q37" s="16" t="s">
        <v>232</v>
      </c>
    </row>
    <row r="38" spans="1:17" ht="15.6" x14ac:dyDescent="0.3">
      <c r="A38" s="79" t="s">
        <v>160</v>
      </c>
      <c r="B38" s="74" t="s">
        <v>161</v>
      </c>
      <c r="C38" s="74">
        <v>118.27</v>
      </c>
      <c r="D38" s="86" t="s">
        <v>162</v>
      </c>
      <c r="E38" s="76">
        <v>1.2999999999999999E-3</v>
      </c>
      <c r="F38" s="74">
        <v>1.23</v>
      </c>
      <c r="G38" s="78">
        <v>1020000000</v>
      </c>
      <c r="H38" s="3" t="b">
        <f t="shared" si="1"/>
        <v>0</v>
      </c>
      <c r="I38" s="26">
        <f>Table135[[#This Row],[Tech]]*$T$7+Table135[[#This Row],[Beta]]*($T$6-$T$8)+$T$8</f>
        <v>0.11462800000000001</v>
      </c>
      <c r="J38" s="64">
        <v>20400000</v>
      </c>
      <c r="K38" s="61">
        <f>Table135[[#This Row],[Investment]]/Table135[[#This Row],[Dollar Volume]]</f>
        <v>0.02</v>
      </c>
      <c r="L38" s="34">
        <f>IFERROR(MAX($T$11+$T$12*LN(Table135[[#This Row],[Frac ADV]]),0),0)*0.0001+0.005/Table135[[#This Row],[Stock Price]]+Table135[[#This Row],[Expense Ratio]]</f>
        <v>1.3436727089701749E-2</v>
      </c>
      <c r="M38" s="68">
        <f>(Table135[[#This Row],[Expected Return]]-Table135[[#This Row],[Tcosts]])*Table135[[#This Row],[Investment]]</f>
        <v>2064301.9673700843</v>
      </c>
      <c r="Q38" s="13" t="s">
        <v>236</v>
      </c>
    </row>
    <row r="39" spans="1:17" ht="15.6" x14ac:dyDescent="0.3">
      <c r="A39" s="77" t="s">
        <v>285</v>
      </c>
      <c r="B39" s="73" t="s">
        <v>286</v>
      </c>
      <c r="C39" s="73">
        <v>80.16</v>
      </c>
      <c r="D39" s="85" t="s">
        <v>287</v>
      </c>
      <c r="E39" s="75">
        <v>2.0000000000000001E-4</v>
      </c>
      <c r="F39" s="73">
        <v>0.99</v>
      </c>
      <c r="G39" s="78">
        <v>978550000</v>
      </c>
      <c r="H39" s="3" t="b">
        <f t="shared" si="1"/>
        <v>0</v>
      </c>
      <c r="I39" s="26">
        <f>Table135[[#This Row],[Tech]]*$T$7+Table135[[#This Row],[Beta]]*($T$6-$T$8)+$T$8</f>
        <v>9.9364000000000008E-2</v>
      </c>
      <c r="J39" s="64">
        <v>19571000</v>
      </c>
      <c r="K39" s="61">
        <f>Table135[[#This Row],[Investment]]/Table135[[#This Row],[Dollar Volume]]</f>
        <v>0.02</v>
      </c>
      <c r="L39" s="34">
        <f>IFERROR(MAX($T$11+$T$12*LN(Table135[[#This Row],[Frac ADV]]),0),0)*0.0001+0.005/Table135[[#This Row],[Stock Price]]+Table135[[#This Row],[Expense Ratio]]</f>
        <v>1.2356826191405334E-2</v>
      </c>
      <c r="M39" s="68">
        <f>(Table135[[#This Row],[Expected Return]]-Table135[[#This Row],[Tcosts]])*Table135[[#This Row],[Investment]]</f>
        <v>1702817.3986080063</v>
      </c>
      <c r="Q39" s="16" t="s">
        <v>240</v>
      </c>
    </row>
    <row r="40" spans="1:17" ht="15.6" x14ac:dyDescent="0.3">
      <c r="A40" s="77" t="s">
        <v>210</v>
      </c>
      <c r="B40" s="73" t="s">
        <v>211</v>
      </c>
      <c r="C40" s="73">
        <v>310.33</v>
      </c>
      <c r="D40" s="85" t="s">
        <v>212</v>
      </c>
      <c r="E40" s="75">
        <v>5.0000000000000001E-4</v>
      </c>
      <c r="F40" s="73">
        <v>1.06</v>
      </c>
      <c r="G40" s="78">
        <v>971070000</v>
      </c>
      <c r="H40" s="3" t="b">
        <f t="shared" si="1"/>
        <v>0</v>
      </c>
      <c r="I40" s="26">
        <f>Table135[[#This Row],[Tech]]*$T$7+Table135[[#This Row],[Beta]]*($T$6-$T$8)+$T$8</f>
        <v>0.10381600000000001</v>
      </c>
      <c r="J40" s="64">
        <v>19421400</v>
      </c>
      <c r="K40" s="61">
        <f>Table135[[#This Row],[Investment]]/Table135[[#This Row],[Dollar Volume]]</f>
        <v>0.02</v>
      </c>
      <c r="L40" s="34">
        <f>IFERROR(MAX($T$11+$T$12*LN(Table135[[#This Row],[Frac ADV]]),0),0)*0.0001+0.005/Table135[[#This Row],[Stock Price]]+Table135[[#This Row],[Expense Ratio]]</f>
        <v>1.2610562822805312E-2</v>
      </c>
      <c r="M40" s="68">
        <f>(Table135[[#This Row],[Expected Return]]-Table135[[#This Row],[Tcosts]])*Table135[[#This Row],[Investment]]</f>
        <v>1771337.2775931689</v>
      </c>
      <c r="Q40" s="13" t="s">
        <v>244</v>
      </c>
    </row>
    <row r="41" spans="1:17" ht="15.6" x14ac:dyDescent="0.3">
      <c r="A41" s="77" t="s">
        <v>273</v>
      </c>
      <c r="B41" s="73" t="s">
        <v>274</v>
      </c>
      <c r="C41" s="73">
        <v>51.69</v>
      </c>
      <c r="D41" s="85" t="s">
        <v>275</v>
      </c>
      <c r="E41" s="75">
        <v>8.0000000000000004E-4</v>
      </c>
      <c r="F41" s="73">
        <v>0.94</v>
      </c>
      <c r="G41" s="78">
        <v>968150000</v>
      </c>
      <c r="H41" s="3" t="b">
        <f t="shared" si="1"/>
        <v>0</v>
      </c>
      <c r="I41" s="26">
        <f>Table135[[#This Row],[Tech]]*$T$7+Table135[[#This Row],[Beta]]*($T$6-$T$8)+$T$8</f>
        <v>9.6183999999999992E-2</v>
      </c>
      <c r="J41" s="64">
        <v>19363000</v>
      </c>
      <c r="K41" s="61">
        <f>Table135[[#This Row],[Investment]]/Table135[[#This Row],[Dollar Volume]]</f>
        <v>0.02</v>
      </c>
      <c r="L41" s="34">
        <f>IFERROR(MAX($T$11+$T$12*LN(Table135[[#This Row],[Frac ADV]]),0),0)*0.0001+0.005/Table135[[#This Row],[Stock Price]]+Table135[[#This Row],[Expense Ratio]]</f>
        <v>1.2991181450706811E-2</v>
      </c>
      <c r="M41" s="68">
        <f>(Table135[[#This Row],[Expected Return]]-Table135[[#This Row],[Tcosts]])*Table135[[#This Row],[Investment]]</f>
        <v>1610862.545569964</v>
      </c>
      <c r="Q41" s="16" t="s">
        <v>248</v>
      </c>
    </row>
    <row r="42" spans="1:17" ht="15.6" x14ac:dyDescent="0.3">
      <c r="A42" s="77" t="s">
        <v>174</v>
      </c>
      <c r="B42" s="73" t="s">
        <v>175</v>
      </c>
      <c r="C42" s="73">
        <v>386.83</v>
      </c>
      <c r="D42" s="85" t="s">
        <v>176</v>
      </c>
      <c r="E42" s="75">
        <v>5.0000000000000001E-4</v>
      </c>
      <c r="F42" s="73">
        <v>1.27</v>
      </c>
      <c r="G42" s="78">
        <v>892490000</v>
      </c>
      <c r="H42" s="3" t="b">
        <f t="shared" si="1"/>
        <v>0</v>
      </c>
      <c r="I42" s="26">
        <f>Table135[[#This Row],[Tech]]*$T$7+Table135[[#This Row],[Beta]]*($T$6-$T$8)+$T$8</f>
        <v>0.11717200000000001</v>
      </c>
      <c r="J42" s="64">
        <v>17849800</v>
      </c>
      <c r="K42" s="61">
        <f>Table135[[#This Row],[Investment]]/Table135[[#This Row],[Dollar Volume]]</f>
        <v>0.02</v>
      </c>
      <c r="L42" s="34">
        <f>IFERROR(MAX($T$11+$T$12*LN(Table135[[#This Row],[Frac ADV]]),0),0)*0.0001+0.005/Table135[[#This Row],[Stock Price]]+Table135[[#This Row],[Expense Ratio]]</f>
        <v>1.2607376516446124E-2</v>
      </c>
      <c r="M42" s="68">
        <f>(Table135[[#This Row],[Expected Return]]-Table135[[#This Row],[Tcosts]])*Table135[[#This Row],[Investment]]</f>
        <v>1866457.6162567402</v>
      </c>
      <c r="Q42" s="13" t="s">
        <v>252</v>
      </c>
    </row>
    <row r="43" spans="1:17" ht="15.6" x14ac:dyDescent="0.3">
      <c r="A43" s="79" t="s">
        <v>178</v>
      </c>
      <c r="B43" s="74" t="s">
        <v>179</v>
      </c>
      <c r="C43" s="74">
        <v>103.45</v>
      </c>
      <c r="D43" s="86" t="s">
        <v>180</v>
      </c>
      <c r="E43" s="76">
        <v>4.0000000000000002E-4</v>
      </c>
      <c r="F43" s="74">
        <v>1.21</v>
      </c>
      <c r="G43" s="78">
        <v>866990000</v>
      </c>
      <c r="H43" s="3" t="b">
        <f t="shared" si="1"/>
        <v>0</v>
      </c>
      <c r="I43" s="26">
        <f>Table135[[#This Row],[Tech]]*$T$7+Table135[[#This Row],[Beta]]*($T$6-$T$8)+$T$8</f>
        <v>0.113356</v>
      </c>
      <c r="J43" s="64">
        <v>17339800</v>
      </c>
      <c r="K43" s="61">
        <f>Table135[[#This Row],[Investment]]/Table135[[#This Row],[Dollar Volume]]</f>
        <v>0.02</v>
      </c>
      <c r="L43" s="34">
        <f>IFERROR(MAX($T$11+$T$12*LN(Table135[[#This Row],[Frac ADV]]),0),0)*0.0001+0.005/Table135[[#This Row],[Stock Price]]+Table135[[#This Row],[Expense Ratio]]</f>
        <v>1.2542783469695538E-2</v>
      </c>
      <c r="M43" s="68">
        <f>(Table135[[#This Row],[Expected Return]]-Table135[[#This Row],[Tcosts]])*Table135[[#This Row],[Investment]]</f>
        <v>1748081.0119921733</v>
      </c>
      <c r="Q43" s="16" t="s">
        <v>256</v>
      </c>
    </row>
    <row r="44" spans="1:17" ht="15.6" x14ac:dyDescent="0.3">
      <c r="A44" s="77" t="s">
        <v>186</v>
      </c>
      <c r="B44" s="73" t="s">
        <v>187</v>
      </c>
      <c r="C44" s="73">
        <v>460.15</v>
      </c>
      <c r="D44" s="85" t="s">
        <v>188</v>
      </c>
      <c r="E44" s="75">
        <v>2.9999999999999997E-4</v>
      </c>
      <c r="F44" s="73">
        <v>1.24</v>
      </c>
      <c r="G44" s="78">
        <v>862900000</v>
      </c>
      <c r="H44" s="3" t="b">
        <f t="shared" si="1"/>
        <v>0</v>
      </c>
      <c r="I44" s="26">
        <f>Table135[[#This Row],[Tech]]*$T$7+Table135[[#This Row],[Beta]]*($T$6-$T$8)+$T$8</f>
        <v>0.11526400000000001</v>
      </c>
      <c r="J44" s="64">
        <v>17258000</v>
      </c>
      <c r="K44" s="61">
        <f>Table135[[#This Row],[Investment]]/Table135[[#This Row],[Dollar Volume]]</f>
        <v>0.02</v>
      </c>
      <c r="L44" s="34">
        <f>IFERROR(MAX($T$11+$T$12*LN(Table135[[#This Row],[Frac ADV]]),0),0)*0.0001+0.005/Table135[[#This Row],[Stock Price]]+Table135[[#This Row],[Expense Ratio]]</f>
        <v>1.24053169638537E-2</v>
      </c>
      <c r="M44" s="68">
        <f>(Table135[[#This Row],[Expected Return]]-Table135[[#This Row],[Tcosts]])*Table135[[#This Row],[Investment]]</f>
        <v>1775135.151837813</v>
      </c>
      <c r="Q44" s="13" t="s">
        <v>260</v>
      </c>
    </row>
    <row r="45" spans="1:17" ht="15.6" x14ac:dyDescent="0.3">
      <c r="A45" s="79" t="s">
        <v>257</v>
      </c>
      <c r="B45" s="74" t="s">
        <v>258</v>
      </c>
      <c r="C45" s="74">
        <v>232.53</v>
      </c>
      <c r="D45" s="86" t="s">
        <v>259</v>
      </c>
      <c r="E45" s="76">
        <v>3.8E-3</v>
      </c>
      <c r="F45" s="74">
        <v>1.05</v>
      </c>
      <c r="G45" s="78">
        <v>736290000</v>
      </c>
      <c r="H45" s="3" t="b">
        <f t="shared" si="1"/>
        <v>0</v>
      </c>
      <c r="I45" s="26">
        <f>Table135[[#This Row],[Tech]]*$T$7+Table135[[#This Row],[Beta]]*($T$6-$T$8)+$T$8</f>
        <v>0.10318000000000001</v>
      </c>
      <c r="J45" s="64">
        <v>14725800</v>
      </c>
      <c r="K45" s="61">
        <f>Table135[[#This Row],[Investment]]/Table135[[#This Row],[Dollar Volume]]</f>
        <v>0.02</v>
      </c>
      <c r="L45" s="34">
        <f>IFERROR(MAX($T$11+$T$12*LN(Table135[[#This Row],[Frac ADV]]),0),0)*0.0001+0.005/Table135[[#This Row],[Stock Price]]+Table135[[#This Row],[Expense Ratio]]</f>
        <v>1.5915953543719157E-2</v>
      </c>
      <c r="M45" s="68">
        <f>(Table135[[#This Row],[Expected Return]]-Table135[[#This Row],[Tcosts]])*Table135[[#This Row],[Investment]]</f>
        <v>1285032.8953059006</v>
      </c>
      <c r="Q45" s="16" t="s">
        <v>264</v>
      </c>
    </row>
    <row r="46" spans="1:17" ht="15.6" x14ac:dyDescent="0.3">
      <c r="A46" s="79" t="s">
        <v>571</v>
      </c>
      <c r="B46" s="74" t="s">
        <v>572</v>
      </c>
      <c r="C46" s="74">
        <v>49.94</v>
      </c>
      <c r="D46" s="86" t="s">
        <v>573</v>
      </c>
      <c r="E46" s="76">
        <v>2.0999999999999999E-3</v>
      </c>
      <c r="F46" s="74">
        <v>0.82</v>
      </c>
      <c r="G46" s="78">
        <v>722110000</v>
      </c>
      <c r="H46" s="3" t="b">
        <f t="shared" si="1"/>
        <v>0</v>
      </c>
      <c r="I46" s="26">
        <f>Table135[[#This Row],[Tech]]*$T$7+Table135[[#This Row],[Beta]]*($T$6-$T$8)+$T$8</f>
        <v>8.8551999999999992E-2</v>
      </c>
      <c r="J46" s="64">
        <v>14442200</v>
      </c>
      <c r="K46" s="61">
        <f>Table135[[#This Row],[Investment]]/Table135[[#This Row],[Dollar Volume]]</f>
        <v>0.02</v>
      </c>
      <c r="L46" s="34">
        <f>IFERROR(MAX($T$11+$T$12*LN(Table135[[#This Row],[Frac ADV]]),0),0)*0.0001+0.005/Table135[[#This Row],[Stock Price]]+Table135[[#This Row],[Expense Ratio]]</f>
        <v>1.4294571086077342E-2</v>
      </c>
      <c r="M46" s="68">
        <f>(Table135[[#This Row],[Expected Return]]-Table135[[#This Row],[Tcosts]])*Table135[[#This Row],[Investment]]</f>
        <v>1072440.6398606536</v>
      </c>
      <c r="Q46" s="13" t="s">
        <v>268</v>
      </c>
    </row>
    <row r="47" spans="1:17" ht="15.6" x14ac:dyDescent="0.3">
      <c r="A47" s="77" t="s">
        <v>194</v>
      </c>
      <c r="B47" s="73" t="s">
        <v>195</v>
      </c>
      <c r="C47" s="73">
        <v>115.5</v>
      </c>
      <c r="D47" s="85" t="s">
        <v>196</v>
      </c>
      <c r="E47" s="75">
        <v>5.9999999999999995E-4</v>
      </c>
      <c r="F47" s="73">
        <v>1.22</v>
      </c>
      <c r="G47" s="78">
        <v>712950000</v>
      </c>
      <c r="H47" s="3" t="b">
        <f t="shared" si="1"/>
        <v>0</v>
      </c>
      <c r="I47" s="26">
        <f>Table135[[#This Row],[Tech]]*$T$7+Table135[[#This Row],[Beta]]*($T$6-$T$8)+$T$8</f>
        <v>0.11399200000000001</v>
      </c>
      <c r="J47" s="64">
        <v>14259000</v>
      </c>
      <c r="K47" s="61">
        <f>Table135[[#This Row],[Investment]]/Table135[[#This Row],[Dollar Volume]]</f>
        <v>0.02</v>
      </c>
      <c r="L47" s="34">
        <f>IFERROR(MAX($T$11+$T$12*LN(Table135[[#This Row],[Frac ADV]]),0),0)*0.0001+0.005/Table135[[#This Row],[Stock Price]]+Table135[[#This Row],[Expense Ratio]]</f>
        <v>1.2737740985194378E-2</v>
      </c>
      <c r="M47" s="68">
        <f>(Table135[[#This Row],[Expected Return]]-Table135[[#This Row],[Tcosts]])*Table135[[#This Row],[Investment]]</f>
        <v>1443784.4792921136</v>
      </c>
      <c r="Q47" s="16" t="s">
        <v>272</v>
      </c>
    </row>
    <row r="48" spans="1:17" ht="15.6" x14ac:dyDescent="0.3">
      <c r="A48" s="77" t="s">
        <v>140</v>
      </c>
      <c r="B48" s="73" t="s">
        <v>141</v>
      </c>
      <c r="C48" s="73">
        <v>30.51</v>
      </c>
      <c r="D48" s="85" t="s">
        <v>142</v>
      </c>
      <c r="E48" s="75">
        <v>4.0000000000000002E-4</v>
      </c>
      <c r="F48" s="73">
        <v>1.24</v>
      </c>
      <c r="G48" s="78">
        <v>701150000</v>
      </c>
      <c r="H48" s="3" t="b">
        <f t="shared" si="1"/>
        <v>0</v>
      </c>
      <c r="I48" s="26">
        <f>Table135[[#This Row],[Tech]]*$T$7+Table135[[#This Row],[Beta]]*($T$6-$T$8)+$T$8</f>
        <v>0.11526400000000001</v>
      </c>
      <c r="J48" s="64">
        <v>14023192.444162</v>
      </c>
      <c r="K48" s="61">
        <f>Table135[[#This Row],[Investment]]/Table135[[#This Row],[Dollar Volume]]</f>
        <v>2.0000274469317549E-2</v>
      </c>
      <c r="L48" s="34">
        <f>IFERROR(MAX($T$11+$T$12*LN(Table135[[#This Row],[Frac ADV]]),0),0)*0.0001+0.005/Table135[[#This Row],[Stock Price]]+Table135[[#This Row],[Expense Ratio]]</f>
        <v>1.2658398856654512E-2</v>
      </c>
      <c r="M48" s="68">
        <f>(Table135[[#This Row],[Expected Return]]-Table135[[#This Row],[Tcosts]])*Table135[[#This Row],[Investment]]</f>
        <v>1438858.0906820623</v>
      </c>
      <c r="Q48" s="13" t="s">
        <v>276</v>
      </c>
    </row>
    <row r="49" spans="1:17" ht="15.6" x14ac:dyDescent="0.3">
      <c r="A49" s="79" t="s">
        <v>229</v>
      </c>
      <c r="B49" s="74" t="s">
        <v>230</v>
      </c>
      <c r="C49" s="74">
        <v>684.33</v>
      </c>
      <c r="D49" s="86" t="s">
        <v>231</v>
      </c>
      <c r="E49" s="76">
        <v>2.9999999999999997E-4</v>
      </c>
      <c r="F49" s="74">
        <v>1</v>
      </c>
      <c r="G49" s="78">
        <v>696250000</v>
      </c>
      <c r="H49" s="3" t="b">
        <f t="shared" si="1"/>
        <v>0</v>
      </c>
      <c r="I49" s="26">
        <f>Table135[[#This Row],[Tech]]*$T$7+Table135[[#This Row],[Beta]]*($T$6-$T$8)+$T$8</f>
        <v>0.1</v>
      </c>
      <c r="J49" s="64">
        <v>13925000</v>
      </c>
      <c r="K49" s="61">
        <f>Table135[[#This Row],[Investment]]/Table135[[#This Row],[Dollar Volume]]</f>
        <v>0.02</v>
      </c>
      <c r="L49" s="34">
        <f>IFERROR(MAX($T$11+$T$12*LN(Table135[[#This Row],[Frac ADV]]),0),0)*0.0001+0.005/Table135[[#This Row],[Stock Price]]+Table135[[#This Row],[Expense Ratio]]</f>
        <v>1.2401757358399301E-2</v>
      </c>
      <c r="M49" s="68">
        <f>(Table135[[#This Row],[Expected Return]]-Table135[[#This Row],[Tcosts]])*Table135[[#This Row],[Investment]]</f>
        <v>1219805.52878429</v>
      </c>
      <c r="Q49" s="16" t="s">
        <v>280</v>
      </c>
    </row>
    <row r="50" spans="1:17" ht="15.6" x14ac:dyDescent="0.3">
      <c r="A50" s="77" t="s">
        <v>296</v>
      </c>
      <c r="B50" s="73" t="s">
        <v>297</v>
      </c>
      <c r="C50" s="73">
        <v>331.12</v>
      </c>
      <c r="D50" s="85" t="s">
        <v>298</v>
      </c>
      <c r="E50" s="75">
        <v>2.3999999999999998E-3</v>
      </c>
      <c r="F50" s="73">
        <v>1.07</v>
      </c>
      <c r="G50" s="78">
        <v>618730000</v>
      </c>
      <c r="H50" s="3" t="b">
        <f t="shared" si="1"/>
        <v>0</v>
      </c>
      <c r="I50" s="26">
        <f>Table135[[#This Row],[Tech]]*$T$7+Table135[[#This Row],[Beta]]*($T$6-$T$8)+$T$8</f>
        <v>0.104452</v>
      </c>
      <c r="J50" s="64">
        <v>12374600</v>
      </c>
      <c r="K50" s="61">
        <f>Table135[[#This Row],[Investment]]/Table135[[#This Row],[Dollar Volume]]</f>
        <v>0.02</v>
      </c>
      <c r="L50" s="34">
        <f>IFERROR(MAX($T$11+$T$12*LN(Table135[[#This Row],[Frac ADV]]),0),0)*0.0001+0.005/Table135[[#This Row],[Stock Price]]+Table135[[#This Row],[Expense Ratio]]</f>
        <v>1.4509551207669013E-2</v>
      </c>
      <c r="M50" s="68">
        <f>(Table135[[#This Row],[Expected Return]]-Table135[[#This Row],[Tcosts]])*Table135[[#This Row],[Investment]]</f>
        <v>1113001.8268255789</v>
      </c>
      <c r="Q50" s="13" t="s">
        <v>284</v>
      </c>
    </row>
    <row r="51" spans="1:17" ht="15.6" x14ac:dyDescent="0.3">
      <c r="A51" s="77" t="s">
        <v>83</v>
      </c>
      <c r="B51" s="73" t="s">
        <v>84</v>
      </c>
      <c r="C51" s="73">
        <v>63.1</v>
      </c>
      <c r="D51" s="85" t="s">
        <v>85</v>
      </c>
      <c r="E51" s="75">
        <v>7.4999999999999997E-3</v>
      </c>
      <c r="F51" s="73">
        <v>1.6633</v>
      </c>
      <c r="G51" s="78">
        <v>582850000</v>
      </c>
      <c r="H51" s="3" t="b">
        <f t="shared" si="1"/>
        <v>1</v>
      </c>
      <c r="I51" s="26">
        <f>Table135[[#This Row],[Tech]]*$T$7+Table135[[#This Row],[Beta]]*($T$6-$T$8)+$T$8</f>
        <v>0.24218588000000002</v>
      </c>
      <c r="J51" s="64">
        <v>11657000</v>
      </c>
      <c r="K51" s="61">
        <f>Table135[[#This Row],[Investment]]/Table135[[#This Row],[Dollar Volume]]</f>
        <v>0.02</v>
      </c>
      <c r="L51" s="34">
        <f>IFERROR(MAX($T$11+$T$12*LN(Table135[[#This Row],[Frac ADV]]),0),0)*0.0001+0.005/Table135[[#This Row],[Stock Price]]+Table135[[#This Row],[Expense Ratio]]</f>
        <v>1.9673690244598471E-2</v>
      </c>
      <c r="M51" s="68">
        <f>(Table135[[#This Row],[Expected Return]]-Table135[[#This Row],[Tcosts]])*Table135[[#This Row],[Investment]]</f>
        <v>2593824.5959787159</v>
      </c>
      <c r="Q51" s="16" t="s">
        <v>288</v>
      </c>
    </row>
    <row r="52" spans="1:17" ht="15.6" x14ac:dyDescent="0.3">
      <c r="A52" s="79" t="s">
        <v>265</v>
      </c>
      <c r="B52" s="74" t="s">
        <v>266</v>
      </c>
      <c r="C52" s="74">
        <v>116.13</v>
      </c>
      <c r="D52" s="86" t="s">
        <v>267</v>
      </c>
      <c r="E52" s="76">
        <v>8.0000000000000004E-4</v>
      </c>
      <c r="F52" s="74">
        <v>1.08</v>
      </c>
      <c r="G52" s="78">
        <v>575520000</v>
      </c>
      <c r="H52" s="3" t="b">
        <f t="shared" si="1"/>
        <v>0</v>
      </c>
      <c r="I52" s="26">
        <f>Table135[[#This Row],[Tech]]*$T$7+Table135[[#This Row],[Beta]]*($T$6-$T$8)+$T$8</f>
        <v>0.10508800000000001</v>
      </c>
      <c r="J52" s="64">
        <v>11510400</v>
      </c>
      <c r="K52" s="61">
        <f>Table135[[#This Row],[Investment]]/Table135[[#This Row],[Dollar Volume]]</f>
        <v>0.02</v>
      </c>
      <c r="L52" s="34">
        <f>IFERROR(MAX($T$11+$T$12*LN(Table135[[#This Row],[Frac ADV]]),0),0)*0.0001+0.005/Table135[[#This Row],[Stock Price]]+Table135[[#This Row],[Expense Ratio]]</f>
        <v>1.2937506138666585E-2</v>
      </c>
      <c r="M52" s="68">
        <f>(Table135[[#This Row],[Expected Return]]-Table135[[#This Row],[Tcosts]])*Table135[[#This Row],[Investment]]</f>
        <v>1060689.0445414924</v>
      </c>
      <c r="Q52" s="13" t="s">
        <v>292</v>
      </c>
    </row>
    <row r="53" spans="1:17" ht="15.6" x14ac:dyDescent="0.3">
      <c r="A53" s="79" t="s">
        <v>372</v>
      </c>
      <c r="B53" s="74" t="s">
        <v>373</v>
      </c>
      <c r="C53" s="74">
        <v>54.63</v>
      </c>
      <c r="D53" s="86" t="s">
        <v>374</v>
      </c>
      <c r="E53" s="76">
        <v>4.7000000000000002E-3</v>
      </c>
      <c r="F53" s="74">
        <v>1</v>
      </c>
      <c r="G53" s="78">
        <v>556260000</v>
      </c>
      <c r="H53" s="3" t="b">
        <f t="shared" si="1"/>
        <v>0</v>
      </c>
      <c r="I53" s="26">
        <f>Table135[[#This Row],[Tech]]*$T$7+Table135[[#This Row],[Beta]]*($T$6-$T$8)+$T$8</f>
        <v>0.1</v>
      </c>
      <c r="J53" s="64">
        <v>11125200</v>
      </c>
      <c r="K53" s="61">
        <f>Table135[[#This Row],[Investment]]/Table135[[#This Row],[Dollar Volume]]</f>
        <v>0.02</v>
      </c>
      <c r="L53" s="34">
        <f>IFERROR(MAX($T$11+$T$12*LN(Table135[[#This Row],[Frac ADV]]),0),0)*0.0001+0.005/Table135[[#This Row],[Stock Price]]+Table135[[#This Row],[Expense Ratio]]</f>
        <v>1.6885975745126007E-2</v>
      </c>
      <c r="M53" s="68">
        <f>(Table135[[#This Row],[Expected Return]]-Table135[[#This Row],[Tcosts]])*Table135[[#This Row],[Investment]]</f>
        <v>924660.14264032408</v>
      </c>
      <c r="Q53" s="16" t="s">
        <v>181</v>
      </c>
    </row>
    <row r="54" spans="1:17" ht="15.6" x14ac:dyDescent="0.3">
      <c r="A54" s="79" t="s">
        <v>182</v>
      </c>
      <c r="B54" s="74" t="s">
        <v>183</v>
      </c>
      <c r="C54" s="74">
        <v>335.05</v>
      </c>
      <c r="D54" s="86" t="s">
        <v>184</v>
      </c>
      <c r="E54" s="76">
        <v>2E-3</v>
      </c>
      <c r="F54" s="74">
        <v>1.08</v>
      </c>
      <c r="G54" s="78">
        <v>516090000</v>
      </c>
      <c r="H54" s="3" t="b">
        <f t="shared" si="1"/>
        <v>0</v>
      </c>
      <c r="I54" s="26">
        <f>Table135[[#This Row],[Tech]]*$T$7+Table135[[#This Row],[Beta]]*($T$6-$T$8)+$T$8</f>
        <v>0.10508800000000001</v>
      </c>
      <c r="J54" s="64">
        <v>10321800</v>
      </c>
      <c r="K54" s="61">
        <f>Table135[[#This Row],[Investment]]/Table135[[#This Row],[Dollar Volume]]</f>
        <v>0.02</v>
      </c>
      <c r="L54" s="34">
        <f>IFERROR(MAX($T$11+$T$12*LN(Table135[[#This Row],[Frac ADV]]),0),0)*0.0001+0.005/Table135[[#This Row],[Stock Price]]+Table135[[#This Row],[Expense Ratio]]</f>
        <v>1.410937408770347E-2</v>
      </c>
      <c r="M54" s="68">
        <f>(Table135[[#This Row],[Expected Return]]-Table135[[#This Row],[Tcosts]])*Table135[[#This Row],[Investment]]</f>
        <v>939063.18094154249</v>
      </c>
      <c r="Q54" s="13" t="s">
        <v>299</v>
      </c>
    </row>
    <row r="55" spans="1:17" ht="15.6" x14ac:dyDescent="0.3">
      <c r="A55" s="79" t="s">
        <v>107</v>
      </c>
      <c r="B55" s="74" t="s">
        <v>108</v>
      </c>
      <c r="C55" s="74">
        <v>190.79</v>
      </c>
      <c r="D55" s="86" t="s">
        <v>109</v>
      </c>
      <c r="E55" s="76">
        <v>3.8E-3</v>
      </c>
      <c r="F55" s="74">
        <v>1.43</v>
      </c>
      <c r="G55" s="78">
        <v>480430000</v>
      </c>
      <c r="H55" s="3" t="b">
        <f t="shared" si="1"/>
        <v>1</v>
      </c>
      <c r="I55" s="26">
        <f>Table135[[#This Row],[Tech]]*$T$7+Table135[[#This Row],[Beta]]*($T$6-$T$8)+$T$8</f>
        <v>0.22734799999999999</v>
      </c>
      <c r="J55" s="64">
        <v>9608600</v>
      </c>
      <c r="K55" s="61">
        <f>Table135[[#This Row],[Investment]]/Table135[[#This Row],[Dollar Volume]]</f>
        <v>0.02</v>
      </c>
      <c r="L55" s="34">
        <f>IFERROR(MAX($T$11+$T$12*LN(Table135[[#This Row],[Frac ADV]]),0),0)*0.0001+0.005/Table135[[#This Row],[Stock Price]]+Table135[[#This Row],[Expense Ratio]]</f>
        <v>1.5920657766161372E-2</v>
      </c>
      <c r="M55" s="68">
        <f>(Table135[[#This Row],[Expected Return]]-Table135[[#This Row],[Tcosts]])*Table135[[#This Row],[Investment]]</f>
        <v>2031520.760588062</v>
      </c>
      <c r="Q55" s="16" t="s">
        <v>303</v>
      </c>
    </row>
    <row r="56" spans="1:17" ht="15.6" x14ac:dyDescent="0.3">
      <c r="A56" s="77" t="s">
        <v>384</v>
      </c>
      <c r="B56" s="73" t="s">
        <v>385</v>
      </c>
      <c r="C56" s="73">
        <v>40.65</v>
      </c>
      <c r="D56" s="85" t="s">
        <v>386</v>
      </c>
      <c r="E56" s="75">
        <v>1.6999999999999999E-3</v>
      </c>
      <c r="F56" s="73">
        <v>0.95</v>
      </c>
      <c r="G56" s="78">
        <v>469470000</v>
      </c>
      <c r="H56" s="3" t="b">
        <f t="shared" si="1"/>
        <v>0</v>
      </c>
      <c r="I56" s="26">
        <f>Table135[[#This Row],[Tech]]*$T$7+Table135[[#This Row],[Beta]]*($T$6-$T$8)+$T$8</f>
        <v>9.6820000000000003E-2</v>
      </c>
      <c r="J56" s="64">
        <v>9389400</v>
      </c>
      <c r="K56" s="61">
        <f>Table135[[#This Row],[Investment]]/Table135[[#This Row],[Dollar Volume]]</f>
        <v>0.02</v>
      </c>
      <c r="L56" s="34">
        <f>IFERROR(MAX($T$11+$T$12*LN(Table135[[#This Row],[Frac ADV]]),0),0)*0.0001+0.005/Table135[[#This Row],[Stock Price]]+Table135[[#This Row],[Expense Ratio]]</f>
        <v>1.3917452171916636E-2</v>
      </c>
      <c r="M56" s="68">
        <f>(Table135[[#This Row],[Expected Return]]-Table135[[#This Row],[Tcosts]])*Table135[[#This Row],[Investment]]</f>
        <v>778405.18257700605</v>
      </c>
      <c r="Q56" s="13" t="s">
        <v>307</v>
      </c>
    </row>
    <row r="57" spans="1:17" ht="15.6" x14ac:dyDescent="0.3">
      <c r="A57" s="79" t="s">
        <v>460</v>
      </c>
      <c r="B57" s="74" t="s">
        <v>461</v>
      </c>
      <c r="C57" s="74">
        <v>228.98</v>
      </c>
      <c r="D57" s="86" t="s">
        <v>462</v>
      </c>
      <c r="E57" s="76">
        <v>5.0000000000000001E-4</v>
      </c>
      <c r="F57" s="74">
        <v>0.84</v>
      </c>
      <c r="G57" s="78">
        <v>456530000</v>
      </c>
      <c r="H57" s="3" t="b">
        <f t="shared" si="1"/>
        <v>0</v>
      </c>
      <c r="I57" s="26">
        <f>Table135[[#This Row],[Tech]]*$T$7+Table135[[#This Row],[Beta]]*($T$6-$T$8)+$T$8</f>
        <v>8.9824000000000001E-2</v>
      </c>
      <c r="J57" s="64">
        <v>9130600</v>
      </c>
      <c r="K57" s="61">
        <f>Table135[[#This Row],[Investment]]/Table135[[#This Row],[Dollar Volume]]</f>
        <v>0.02</v>
      </c>
      <c r="L57" s="34">
        <f>IFERROR(MAX($T$11+$T$12*LN(Table135[[#This Row],[Frac ADV]]),0),0)*0.0001+0.005/Table135[[#This Row],[Stock Price]]+Table135[[#This Row],[Expense Ratio]]</f>
        <v>1.2616286910111166E-2</v>
      </c>
      <c r="M57" s="68">
        <f>(Table135[[#This Row],[Expected Return]]-Table135[[#This Row],[Tcosts]])*Table135[[#This Row],[Investment]]</f>
        <v>704952.745138539</v>
      </c>
      <c r="Q57" s="16" t="s">
        <v>311</v>
      </c>
    </row>
    <row r="58" spans="1:17" ht="15.6" x14ac:dyDescent="0.3">
      <c r="A58" s="79" t="s">
        <v>135</v>
      </c>
      <c r="B58" s="74" t="s">
        <v>136</v>
      </c>
      <c r="C58" s="74">
        <v>430.93</v>
      </c>
      <c r="D58" s="86" t="s">
        <v>137</v>
      </c>
      <c r="E58" s="76">
        <v>6.9999999999999999E-4</v>
      </c>
      <c r="F58" s="74">
        <v>1.21</v>
      </c>
      <c r="G58" s="78">
        <v>434610000</v>
      </c>
      <c r="H58" s="3" t="b">
        <f t="shared" si="1"/>
        <v>0</v>
      </c>
      <c r="I58" s="26">
        <f>Table135[[#This Row],[Tech]]*$T$7+Table135[[#This Row],[Beta]]*($T$6-$T$8)+$T$8</f>
        <v>0.113356</v>
      </c>
      <c r="J58" s="64">
        <v>8692200</v>
      </c>
      <c r="K58" s="61">
        <f>Table135[[#This Row],[Investment]]/Table135[[#This Row],[Dollar Volume]]</f>
        <v>0.02</v>
      </c>
      <c r="L58" s="34">
        <f>IFERROR(MAX($T$11+$T$12*LN(Table135[[#This Row],[Frac ADV]]),0),0)*0.0001+0.005/Table135[[#This Row],[Stock Price]]+Table135[[#This Row],[Expense Ratio]]</f>
        <v>1.2806053754426091E-2</v>
      </c>
      <c r="M58" s="68">
        <f>(Table135[[#This Row],[Expected Return]]-Table135[[#This Row],[Tcosts]])*Table135[[#This Row],[Investment]]</f>
        <v>874000.24275577755</v>
      </c>
      <c r="Q58" s="13" t="s">
        <v>315</v>
      </c>
    </row>
    <row r="59" spans="1:17" ht="15.6" x14ac:dyDescent="0.3">
      <c r="A59" s="77" t="s">
        <v>165</v>
      </c>
      <c r="B59" s="73" t="s">
        <v>166</v>
      </c>
      <c r="C59" s="73">
        <v>42.54</v>
      </c>
      <c r="D59" s="85" t="s">
        <v>167</v>
      </c>
      <c r="E59" s="75">
        <v>3.8999999999999998E-3</v>
      </c>
      <c r="F59" s="73">
        <v>1.22</v>
      </c>
      <c r="G59" s="78">
        <v>416430000</v>
      </c>
      <c r="H59" s="3" t="b">
        <f t="shared" si="1"/>
        <v>0</v>
      </c>
      <c r="I59" s="26">
        <f>Table135[[#This Row],[Tech]]*$T$7+Table135[[#This Row],[Beta]]*($T$6-$T$8)+$T$8</f>
        <v>0.11399200000000001</v>
      </c>
      <c r="J59" s="64">
        <v>8328600</v>
      </c>
      <c r="K59" s="61">
        <f>Table135[[#This Row],[Investment]]/Table135[[#This Row],[Dollar Volume]]</f>
        <v>0.02</v>
      </c>
      <c r="L59" s="34">
        <f>IFERROR(MAX($T$11+$T$12*LN(Table135[[#This Row],[Frac ADV]]),0),0)*0.0001+0.005/Table135[[#This Row],[Stock Price]]+Table135[[#This Row],[Expense Ratio]]</f>
        <v>1.6111987378199587E-2</v>
      </c>
      <c r="M59" s="68">
        <f>(Table135[[#This Row],[Expected Return]]-Table135[[#This Row],[Tcosts]])*Table135[[#This Row],[Investment]]</f>
        <v>815203.473121927</v>
      </c>
      <c r="Q59" s="16" t="s">
        <v>319</v>
      </c>
    </row>
    <row r="60" spans="1:17" ht="15.6" x14ac:dyDescent="0.3">
      <c r="A60" s="79" t="s">
        <v>304</v>
      </c>
      <c r="B60" s="74" t="s">
        <v>305</v>
      </c>
      <c r="C60" s="74">
        <v>200.79</v>
      </c>
      <c r="D60" s="86" t="s">
        <v>306</v>
      </c>
      <c r="E60" s="76">
        <v>2E-3</v>
      </c>
      <c r="F60" s="74">
        <v>0.78</v>
      </c>
      <c r="G60" s="78">
        <v>384710000</v>
      </c>
      <c r="H60" s="3" t="b">
        <f t="shared" si="1"/>
        <v>0</v>
      </c>
      <c r="I60" s="26">
        <f>Table135[[#This Row],[Tech]]*$T$7+Table135[[#This Row],[Beta]]*($T$6-$T$8)+$T$8</f>
        <v>8.6008000000000001E-2</v>
      </c>
      <c r="J60" s="64">
        <v>7694200</v>
      </c>
      <c r="K60" s="61">
        <f>Table135[[#This Row],[Investment]]/Table135[[#This Row],[Dollar Volume]]</f>
        <v>0.02</v>
      </c>
      <c r="L60" s="34">
        <f>IFERROR(MAX($T$11+$T$12*LN(Table135[[#This Row],[Frac ADV]]),0),0)*0.0001+0.005/Table135[[#This Row],[Stock Price]]+Table135[[#This Row],[Expense Ratio]]</f>
        <v>1.411935258043215E-2</v>
      </c>
      <c r="M60" s="68">
        <f>(Table135[[#This Row],[Expected Return]]-Table135[[#This Row],[Tcosts]])*Table135[[#This Row],[Investment]]</f>
        <v>553125.63097563898</v>
      </c>
      <c r="Q60" s="13" t="s">
        <v>323</v>
      </c>
    </row>
    <row r="61" spans="1:17" ht="15.6" x14ac:dyDescent="0.3">
      <c r="A61" s="77" t="s">
        <v>237</v>
      </c>
      <c r="B61" s="73" t="s">
        <v>238</v>
      </c>
      <c r="C61" s="73">
        <v>57.24</v>
      </c>
      <c r="D61" s="85" t="s">
        <v>239</v>
      </c>
      <c r="E61" s="75">
        <v>2E-3</v>
      </c>
      <c r="F61" s="73">
        <v>1.1100000000000001</v>
      </c>
      <c r="G61" s="78">
        <v>381360000</v>
      </c>
      <c r="H61" s="3" t="b">
        <f t="shared" si="1"/>
        <v>0</v>
      </c>
      <c r="I61" s="26">
        <f>Table135[[#This Row],[Tech]]*$T$7+Table135[[#This Row],[Beta]]*($T$6-$T$8)+$T$8</f>
        <v>0.10699600000000001</v>
      </c>
      <c r="J61" s="64">
        <v>7627200</v>
      </c>
      <c r="K61" s="61">
        <f>Table135[[#This Row],[Investment]]/Table135[[#This Row],[Dollar Volume]]</f>
        <v>0.02</v>
      </c>
      <c r="L61" s="34">
        <f>IFERROR(MAX($T$11+$T$12*LN(Table135[[#This Row],[Frac ADV]]),0),0)*0.0001+0.005/Table135[[#This Row],[Stock Price]]+Table135[[#This Row],[Expense Ratio]]</f>
        <v>1.4181802444350177E-2</v>
      </c>
      <c r="M61" s="68">
        <f>(Table135[[#This Row],[Expected Return]]-Table135[[#This Row],[Tcosts]])*Table135[[#This Row],[Investment]]</f>
        <v>707912.44759645243</v>
      </c>
      <c r="Q61" s="16" t="s">
        <v>327</v>
      </c>
    </row>
    <row r="62" spans="1:17" ht="15.6" x14ac:dyDescent="0.3">
      <c r="A62" s="77" t="s">
        <v>488</v>
      </c>
      <c r="B62" s="73" t="s">
        <v>489</v>
      </c>
      <c r="C62" s="73">
        <v>71.34</v>
      </c>
      <c r="D62" s="85" t="s">
        <v>490</v>
      </c>
      <c r="E62" s="75">
        <v>4.7999999999999996E-3</v>
      </c>
      <c r="F62" s="73">
        <v>0.92</v>
      </c>
      <c r="G62" s="78">
        <v>379340000</v>
      </c>
      <c r="H62" s="3" t="b">
        <f t="shared" si="1"/>
        <v>0</v>
      </c>
      <c r="I62" s="26">
        <f>Table135[[#This Row],[Tech]]*$T$7+Table135[[#This Row],[Beta]]*($T$6-$T$8)+$T$8</f>
        <v>9.491200000000001E-2</v>
      </c>
      <c r="J62" s="64">
        <v>7586800</v>
      </c>
      <c r="K62" s="61">
        <f>Table135[[#This Row],[Investment]]/Table135[[#This Row],[Dollar Volume]]</f>
        <v>0.02</v>
      </c>
      <c r="L62" s="34">
        <f>IFERROR(MAX($T$11+$T$12*LN(Table135[[#This Row],[Frac ADV]]),0),0)*0.0001+0.005/Table135[[#This Row],[Stock Price]]+Table135[[#This Row],[Expense Ratio]]</f>
        <v>1.6964537849669965E-2</v>
      </c>
      <c r="M62" s="68">
        <f>(Table135[[#This Row],[Expected Return]]-Table135[[#This Row],[Tcosts]])*Table135[[#This Row],[Investment]]</f>
        <v>591371.80584212404</v>
      </c>
      <c r="Q62" s="13" t="s">
        <v>331</v>
      </c>
    </row>
    <row r="63" spans="1:17" ht="15.6" x14ac:dyDescent="0.3">
      <c r="A63" s="79" t="s">
        <v>416</v>
      </c>
      <c r="B63" s="74" t="s">
        <v>417</v>
      </c>
      <c r="C63" s="74">
        <v>61.91</v>
      </c>
      <c r="D63" s="86" t="s">
        <v>418</v>
      </c>
      <c r="E63" s="76">
        <v>2.9999999999999997E-4</v>
      </c>
      <c r="F63" s="74">
        <v>0.87</v>
      </c>
      <c r="G63" s="78">
        <v>378650000</v>
      </c>
      <c r="H63" s="3" t="b">
        <f t="shared" si="1"/>
        <v>0</v>
      </c>
      <c r="I63" s="26">
        <f>Table135[[#This Row],[Tech]]*$T$7+Table135[[#This Row],[Beta]]*($T$6-$T$8)+$T$8</f>
        <v>9.1732000000000008E-2</v>
      </c>
      <c r="J63" s="64">
        <v>7573000</v>
      </c>
      <c r="K63" s="61">
        <f>Table135[[#This Row],[Investment]]/Table135[[#This Row],[Dollar Volume]]</f>
        <v>0.02</v>
      </c>
      <c r="L63" s="34">
        <f>IFERROR(MAX($T$11+$T$12*LN(Table135[[#This Row],[Frac ADV]]),0),0)*0.0001+0.005/Table135[[#This Row],[Stock Price]]+Table135[[#This Row],[Expense Ratio]]</f>
        <v>1.2475213338932279E-2</v>
      </c>
      <c r="M63" s="68">
        <f>(Table135[[#This Row],[Expected Return]]-Table135[[#This Row],[Tcosts]])*Table135[[#This Row],[Investment]]</f>
        <v>600211.64538426592</v>
      </c>
      <c r="Q63" s="16" t="s">
        <v>335</v>
      </c>
    </row>
    <row r="64" spans="1:17" ht="15.6" x14ac:dyDescent="0.3">
      <c r="A64" s="77" t="s">
        <v>145</v>
      </c>
      <c r="B64" s="73" t="s">
        <v>146</v>
      </c>
      <c r="C64" s="73">
        <v>262.27</v>
      </c>
      <c r="D64" s="85" t="s">
        <v>147</v>
      </c>
      <c r="E64" s="75">
        <v>2E-3</v>
      </c>
      <c r="F64" s="73">
        <v>1.2</v>
      </c>
      <c r="G64" s="78">
        <v>377500000</v>
      </c>
      <c r="H64" s="3" t="b">
        <f t="shared" si="1"/>
        <v>0</v>
      </c>
      <c r="I64" s="26">
        <f>Table135[[#This Row],[Tech]]*$T$7+Table135[[#This Row],[Beta]]*($T$6-$T$8)+$T$8</f>
        <v>0.11272</v>
      </c>
      <c r="J64" s="64">
        <v>7550000</v>
      </c>
      <c r="K64" s="61">
        <f>Table135[[#This Row],[Investment]]/Table135[[#This Row],[Dollar Volume]]</f>
        <v>0.02</v>
      </c>
      <c r="L64" s="34">
        <f>IFERROR(MAX($T$11+$T$12*LN(Table135[[#This Row],[Frac ADV]]),0),0)*0.0001+0.005/Table135[[#This Row],[Stock Price]]+Table135[[#This Row],[Expense Ratio]]</f>
        <v>1.4113515264930225E-2</v>
      </c>
      <c r="M64" s="68">
        <f>(Table135[[#This Row],[Expected Return]]-Table135[[#This Row],[Tcosts]])*Table135[[#This Row],[Investment]]</f>
        <v>744478.95974977687</v>
      </c>
      <c r="Q64" s="13" t="s">
        <v>339</v>
      </c>
    </row>
    <row r="65" spans="1:17" ht="15.6" x14ac:dyDescent="0.3">
      <c r="A65" s="77" t="s">
        <v>261</v>
      </c>
      <c r="B65" s="73" t="s">
        <v>262</v>
      </c>
      <c r="C65" s="73">
        <v>145.65</v>
      </c>
      <c r="D65" s="85" t="s">
        <v>263</v>
      </c>
      <c r="E65" s="75">
        <v>3.2000000000000002E-3</v>
      </c>
      <c r="F65" s="73">
        <v>0.89</v>
      </c>
      <c r="G65" s="78">
        <v>370860000</v>
      </c>
      <c r="H65" s="3" t="b">
        <f t="shared" si="1"/>
        <v>0</v>
      </c>
      <c r="I65" s="26">
        <f>Table135[[#This Row],[Tech]]*$T$7+Table135[[#This Row],[Beta]]*($T$6-$T$8)+$T$8</f>
        <v>9.3004000000000003E-2</v>
      </c>
      <c r="J65" s="64">
        <v>7417200</v>
      </c>
      <c r="K65" s="61">
        <f>Table135[[#This Row],[Investment]]/Table135[[#This Row],[Dollar Volume]]</f>
        <v>0.02</v>
      </c>
      <c r="L65" s="34">
        <f>IFERROR(MAX($T$11+$T$12*LN(Table135[[#This Row],[Frac ADV]]),0),0)*0.0001+0.005/Table135[[#This Row],[Stock Price]]+Table135[[#This Row],[Expense Ratio]]</f>
        <v>1.5328779812484494E-2</v>
      </c>
      <c r="M65" s="68">
        <f>(Table135[[#This Row],[Expected Return]]-Table135[[#This Row],[Tcosts]])*Table135[[#This Row],[Investment]]</f>
        <v>576132.64317484002</v>
      </c>
      <c r="Q65" s="16" t="s">
        <v>343</v>
      </c>
    </row>
    <row r="66" spans="1:17" ht="15.6" x14ac:dyDescent="0.3">
      <c r="A66" s="77" t="s">
        <v>225</v>
      </c>
      <c r="B66" s="73" t="s">
        <v>226</v>
      </c>
      <c r="C66" s="73">
        <v>74.23</v>
      </c>
      <c r="D66" s="85" t="s">
        <v>227</v>
      </c>
      <c r="E66" s="75">
        <v>8.9999999999999998E-4</v>
      </c>
      <c r="F66" s="73">
        <v>1.01</v>
      </c>
      <c r="G66" s="78">
        <v>355810000</v>
      </c>
      <c r="H66" s="3" t="b">
        <f t="shared" ref="H66:H97" si="2">OR(
  ISNUMBER(SEARCH("technology",B66)),
  ISNUMBER(SEARCH("tech",B66)),
  ISNUMBER(SEARCH("qqq",B66)),
  ISNUMBER(SEARCH("semiconductor",B66)),
  ISNUMBER(SEARCH("information technology",B66)),
  ISNUMBER(SEARCH("nasdaq",B66)),
  ISNUMBER(SEARCH("communication",B66))
)</f>
        <v>0</v>
      </c>
      <c r="I66" s="26">
        <f>Table135[[#This Row],[Tech]]*$T$7+Table135[[#This Row],[Beta]]*($T$6-$T$8)+$T$8</f>
        <v>0.100636</v>
      </c>
      <c r="J66" s="64">
        <v>7116200</v>
      </c>
      <c r="K66" s="61">
        <f>Table135[[#This Row],[Investment]]/Table135[[#This Row],[Dollar Volume]]</f>
        <v>0.02</v>
      </c>
      <c r="L66" s="34">
        <f>IFERROR(MAX($T$11+$T$12*LN(Table135[[#This Row],[Frac ADV]]),0),0)*0.0001+0.005/Table135[[#This Row],[Stock Price]]+Table135[[#This Row],[Expense Ratio]]</f>
        <v>1.3061809152870252E-2</v>
      </c>
      <c r="M66" s="68">
        <f>(Table135[[#This Row],[Expected Return]]-Table135[[#This Row],[Tcosts]])*Table135[[#This Row],[Investment]]</f>
        <v>623195.45690634474</v>
      </c>
      <c r="Q66" s="13" t="s">
        <v>347</v>
      </c>
    </row>
    <row r="67" spans="1:17" ht="15.6" x14ac:dyDescent="0.3">
      <c r="A67" s="79" t="s">
        <v>476</v>
      </c>
      <c r="B67" s="74" t="s">
        <v>477</v>
      </c>
      <c r="C67" s="74">
        <v>45.29</v>
      </c>
      <c r="D67" s="86" t="s">
        <v>478</v>
      </c>
      <c r="E67" s="76">
        <v>3.3E-3</v>
      </c>
      <c r="F67" s="74">
        <v>0.88</v>
      </c>
      <c r="G67" s="78">
        <v>345320000</v>
      </c>
      <c r="H67" s="3" t="b">
        <f t="shared" si="2"/>
        <v>0</v>
      </c>
      <c r="I67" s="26">
        <f>Table135[[#This Row],[Tech]]*$T$7+Table135[[#This Row],[Beta]]*($T$6-$T$8)+$T$8</f>
        <v>9.2368000000000006E-2</v>
      </c>
      <c r="J67" s="64">
        <v>6906400</v>
      </c>
      <c r="K67" s="61">
        <f>Table135[[#This Row],[Investment]]/Table135[[#This Row],[Dollar Volume]]</f>
        <v>0.02</v>
      </c>
      <c r="L67" s="34">
        <f>IFERROR(MAX($T$11+$T$12*LN(Table135[[#This Row],[Frac ADV]]),0),0)*0.0001+0.005/Table135[[#This Row],[Stock Price]]+Table135[[#This Row],[Expense Ratio]]</f>
        <v>1.5504850588625465E-2</v>
      </c>
      <c r="M67" s="68">
        <f>(Table135[[#This Row],[Expected Return]]-Table135[[#This Row],[Tcosts]])*Table135[[#This Row],[Investment]]</f>
        <v>530847.65509471705</v>
      </c>
      <c r="Q67" s="16" t="s">
        <v>351</v>
      </c>
    </row>
    <row r="68" spans="1:17" ht="15.6" x14ac:dyDescent="0.3">
      <c r="A68" s="77" t="s">
        <v>269</v>
      </c>
      <c r="B68" s="73" t="s">
        <v>270</v>
      </c>
      <c r="C68" s="73">
        <v>60.57</v>
      </c>
      <c r="D68" s="85" t="s">
        <v>271</v>
      </c>
      <c r="E68" s="75">
        <v>2.5999999999999999E-3</v>
      </c>
      <c r="F68" s="73">
        <v>1.03</v>
      </c>
      <c r="G68" s="78">
        <v>343900000</v>
      </c>
      <c r="H68" s="3" t="b">
        <f t="shared" si="2"/>
        <v>0</v>
      </c>
      <c r="I68" s="26">
        <f>Table135[[#This Row],[Tech]]*$T$7+Table135[[#This Row],[Beta]]*($T$6-$T$8)+$T$8</f>
        <v>0.10190800000000001</v>
      </c>
      <c r="J68" s="64">
        <v>6878000</v>
      </c>
      <c r="K68" s="61">
        <f>Table135[[#This Row],[Investment]]/Table135[[#This Row],[Dollar Volume]]</f>
        <v>0.02</v>
      </c>
      <c r="L68" s="34">
        <f>IFERROR(MAX($T$11+$T$12*LN(Table135[[#This Row],[Frac ADV]]),0),0)*0.0001+0.005/Table135[[#This Row],[Stock Price]]+Table135[[#This Row],[Expense Ratio]]</f>
        <v>1.4777000058628786E-2</v>
      </c>
      <c r="M68" s="68">
        <f>(Table135[[#This Row],[Expected Return]]-Table135[[#This Row],[Tcosts]])*Table135[[#This Row],[Investment]]</f>
        <v>599287.01759675134</v>
      </c>
      <c r="Q68" s="13" t="s">
        <v>355</v>
      </c>
    </row>
    <row r="69" spans="1:17" ht="15.6" x14ac:dyDescent="0.3">
      <c r="A69" s="79" t="s">
        <v>119</v>
      </c>
      <c r="B69" s="74" t="s">
        <v>120</v>
      </c>
      <c r="C69" s="74">
        <v>247.32</v>
      </c>
      <c r="D69" s="86" t="s">
        <v>121</v>
      </c>
      <c r="E69" s="76">
        <v>1.5E-3</v>
      </c>
      <c r="F69" s="74">
        <v>1.21</v>
      </c>
      <c r="G69" s="78">
        <v>341000000</v>
      </c>
      <c r="H69" s="3" t="b">
        <f t="shared" si="2"/>
        <v>1</v>
      </c>
      <c r="I69" s="26">
        <f>Table135[[#This Row],[Tech]]*$T$7+Table135[[#This Row],[Beta]]*($T$6-$T$8)+$T$8</f>
        <v>0.21335599999999999</v>
      </c>
      <c r="J69" s="64">
        <v>6820000</v>
      </c>
      <c r="K69" s="61">
        <f>Table135[[#This Row],[Investment]]/Table135[[#This Row],[Dollar Volume]]</f>
        <v>0.02</v>
      </c>
      <c r="L69" s="34">
        <f>IFERROR(MAX($T$11+$T$12*LN(Table135[[#This Row],[Frac ADV]]),0),0)*0.0001+0.005/Table135[[#This Row],[Stock Price]]+Table135[[#This Row],[Expense Ratio]]</f>
        <v>1.3614667665177826E-2</v>
      </c>
      <c r="M69" s="68">
        <f>(Table135[[#This Row],[Expected Return]]-Table135[[#This Row],[Tcosts]])*Table135[[#This Row],[Investment]]</f>
        <v>1362235.886523487</v>
      </c>
      <c r="Q69" s="16" t="s">
        <v>359</v>
      </c>
    </row>
    <row r="70" spans="1:17" ht="15.6" x14ac:dyDescent="0.3">
      <c r="A70" s="79" t="s">
        <v>440</v>
      </c>
      <c r="B70" s="74" t="s">
        <v>441</v>
      </c>
      <c r="C70" s="74">
        <v>644.5</v>
      </c>
      <c r="D70" s="86" t="s">
        <v>442</v>
      </c>
      <c r="E70" s="76">
        <v>2.3999999999999998E-3</v>
      </c>
      <c r="F70" s="74">
        <v>0.87</v>
      </c>
      <c r="G70" s="78">
        <v>323170000</v>
      </c>
      <c r="H70" s="3" t="b">
        <f t="shared" si="2"/>
        <v>0</v>
      </c>
      <c r="I70" s="26">
        <f>Table135[[#This Row],[Tech]]*$T$7+Table135[[#This Row],[Beta]]*($T$6-$T$8)+$T$8</f>
        <v>9.1732000000000008E-2</v>
      </c>
      <c r="J70" s="64">
        <v>6463400</v>
      </c>
      <c r="K70" s="61">
        <f>Table135[[#This Row],[Investment]]/Table135[[#This Row],[Dollar Volume]]</f>
        <v>0.02</v>
      </c>
      <c r="L70" s="34">
        <f>IFERROR(MAX($T$11+$T$12*LN(Table135[[#This Row],[Frac ADV]]),0),0)*0.0001+0.005/Table135[[#This Row],[Stock Price]]+Table135[[#This Row],[Expense Ratio]]</f>
        <v>1.4502208893805033E-2</v>
      </c>
      <c r="M70" s="68">
        <f>(Table135[[#This Row],[Expected Return]]-Table135[[#This Row],[Tcosts]])*Table135[[#This Row],[Investment]]</f>
        <v>499167.0318357806</v>
      </c>
      <c r="Q70" s="13" t="s">
        <v>363</v>
      </c>
    </row>
    <row r="71" spans="1:17" ht="15.6" x14ac:dyDescent="0.3">
      <c r="A71" s="77" t="s">
        <v>101</v>
      </c>
      <c r="B71" s="73" t="s">
        <v>102</v>
      </c>
      <c r="C71" s="73">
        <v>139.21</v>
      </c>
      <c r="D71" s="85" t="s">
        <v>103</v>
      </c>
      <c r="E71" s="75">
        <v>8.0000000000000004E-4</v>
      </c>
      <c r="F71" s="73">
        <v>1.41</v>
      </c>
      <c r="G71" s="78">
        <v>309820000</v>
      </c>
      <c r="H71" s="3" t="b">
        <f t="shared" si="2"/>
        <v>1</v>
      </c>
      <c r="I71" s="26">
        <f>Table135[[#This Row],[Tech]]*$T$7+Table135[[#This Row],[Beta]]*($T$6-$T$8)+$T$8</f>
        <v>0.226076</v>
      </c>
      <c r="J71" s="64">
        <v>6196400</v>
      </c>
      <c r="K71" s="61">
        <f>Table135[[#This Row],[Investment]]/Table135[[#This Row],[Dollar Volume]]</f>
        <v>0.02</v>
      </c>
      <c r="L71" s="34">
        <f>IFERROR(MAX($T$11+$T$12*LN(Table135[[#This Row],[Frac ADV]]),0),0)*0.0001+0.005/Table135[[#This Row],[Stock Price]]+Table135[[#This Row],[Expense Ratio]]</f>
        <v>1.2930367901892842E-2</v>
      </c>
      <c r="M71" s="68">
        <f>(Table135[[#This Row],[Expected Return]]-Table135[[#This Row],[Tcosts]])*Table135[[#This Row],[Investment]]</f>
        <v>1320735.5947327113</v>
      </c>
      <c r="Q71" s="16" t="s">
        <v>367</v>
      </c>
    </row>
    <row r="72" spans="1:17" ht="15.6" x14ac:dyDescent="0.3">
      <c r="A72" s="77" t="s">
        <v>253</v>
      </c>
      <c r="B72" s="73" t="s">
        <v>254</v>
      </c>
      <c r="C72" s="73">
        <v>26.85</v>
      </c>
      <c r="D72" s="85" t="s">
        <v>255</v>
      </c>
      <c r="E72" s="75">
        <v>2.9999999999999997E-4</v>
      </c>
      <c r="F72" s="73">
        <v>1.01</v>
      </c>
      <c r="G72" s="78">
        <v>301950000</v>
      </c>
      <c r="H72" s="3" t="b">
        <f t="shared" si="2"/>
        <v>0</v>
      </c>
      <c r="I72" s="26">
        <f>Table135[[#This Row],[Tech]]*$T$7+Table135[[#This Row],[Beta]]*($T$6-$T$8)+$T$8</f>
        <v>0.100636</v>
      </c>
      <c r="J72" s="64">
        <v>6039000</v>
      </c>
      <c r="K72" s="61">
        <f>Table135[[#This Row],[Investment]]/Table135[[#This Row],[Dollar Volume]]</f>
        <v>0.02</v>
      </c>
      <c r="L72" s="34">
        <f>IFERROR(MAX($T$11+$T$12*LN(Table135[[#This Row],[Frac ADV]]),0),0)*0.0001+0.005/Table135[[#This Row],[Stock Price]]+Table135[[#This Row],[Expense Ratio]]</f>
        <v>1.25806706811967E-2</v>
      </c>
      <c r="M72" s="68">
        <f>(Table135[[#This Row],[Expected Return]]-Table135[[#This Row],[Tcosts]])*Table135[[#This Row],[Investment]]</f>
        <v>531766.13375625317</v>
      </c>
      <c r="Q72" s="13" t="s">
        <v>371</v>
      </c>
    </row>
    <row r="73" spans="1:17" ht="15.6" x14ac:dyDescent="0.3">
      <c r="A73" s="79" t="s">
        <v>392</v>
      </c>
      <c r="B73" s="74" t="s">
        <v>393</v>
      </c>
      <c r="C73" s="74">
        <v>32.200000000000003</v>
      </c>
      <c r="D73" s="86" t="s">
        <v>394</v>
      </c>
      <c r="E73" s="76">
        <v>4.0000000000000002E-4</v>
      </c>
      <c r="F73" s="74">
        <v>0.92</v>
      </c>
      <c r="G73" s="78">
        <v>292390000</v>
      </c>
      <c r="H73" s="3" t="b">
        <f t="shared" si="2"/>
        <v>0</v>
      </c>
      <c r="I73" s="26">
        <f>Table135[[#This Row],[Tech]]*$T$7+Table135[[#This Row],[Beta]]*($T$6-$T$8)+$T$8</f>
        <v>9.491200000000001E-2</v>
      </c>
      <c r="J73" s="64">
        <v>5847800</v>
      </c>
      <c r="K73" s="61">
        <f>Table135[[#This Row],[Investment]]/Table135[[#This Row],[Dollar Volume]]</f>
        <v>0.02</v>
      </c>
      <c r="L73" s="34">
        <f>IFERROR(MAX($T$11+$T$12*LN(Table135[[#This Row],[Frac ADV]]),0),0)*0.0001+0.005/Table135[[#This Row],[Stock Price]]+Table135[[#This Row],[Expense Ratio]]</f>
        <v>1.2649730445009924E-2</v>
      </c>
      <c r="M73" s="68">
        <f>(Table135[[#This Row],[Expected Return]]-Table135[[#This Row],[Tcosts]])*Table135[[#This Row],[Investment]]</f>
        <v>481053.29990367097</v>
      </c>
      <c r="Q73" s="16" t="s">
        <v>375</v>
      </c>
    </row>
    <row r="74" spans="1:17" ht="15.6" x14ac:dyDescent="0.3">
      <c r="A74" s="79" t="s">
        <v>155</v>
      </c>
      <c r="B74" s="74" t="s">
        <v>156</v>
      </c>
      <c r="C74" s="74">
        <v>272.94</v>
      </c>
      <c r="D74" s="86" t="s">
        <v>157</v>
      </c>
      <c r="E74" s="76">
        <v>2.9999999999999997E-4</v>
      </c>
      <c r="F74" s="74">
        <v>0.94</v>
      </c>
      <c r="G74" s="78">
        <v>267780000</v>
      </c>
      <c r="H74" s="3" t="b">
        <f t="shared" si="2"/>
        <v>0</v>
      </c>
      <c r="I74" s="26">
        <f>Table135[[#This Row],[Tech]]*$T$7+Table135[[#This Row],[Beta]]*($T$6-$T$8)+$T$8</f>
        <v>9.6183999999999992E-2</v>
      </c>
      <c r="J74" s="64">
        <v>5355600</v>
      </c>
      <c r="K74" s="61">
        <f>Table135[[#This Row],[Investment]]/Table135[[#This Row],[Dollar Volume]]</f>
        <v>0.02</v>
      </c>
      <c r="L74" s="34">
        <f>IFERROR(MAX($T$11+$T$12*LN(Table135[[#This Row],[Frac ADV]]),0),0)*0.0001+0.005/Table135[[#This Row],[Stock Price]]+Table135[[#This Row],[Expense Ratio]]</f>
        <v>1.2412769986382976E-2</v>
      </c>
      <c r="M74" s="68">
        <f>(Table135[[#This Row],[Expected Return]]-Table135[[#This Row],[Tcosts]])*Table135[[#This Row],[Investment]]</f>
        <v>448645.19946092728</v>
      </c>
      <c r="Q74" s="13" t="s">
        <v>379</v>
      </c>
    </row>
    <row r="75" spans="1:17" ht="15.6" x14ac:dyDescent="0.3">
      <c r="A75" s="77" t="s">
        <v>551</v>
      </c>
      <c r="B75" s="73" t="s">
        <v>552</v>
      </c>
      <c r="C75" s="73">
        <v>92.51</v>
      </c>
      <c r="D75" s="85" t="s">
        <v>553</v>
      </c>
      <c r="E75" s="75">
        <v>2.8E-3</v>
      </c>
      <c r="F75" s="73">
        <v>0.77</v>
      </c>
      <c r="G75" s="78">
        <v>242840000</v>
      </c>
      <c r="H75" s="3" t="b">
        <f t="shared" si="2"/>
        <v>0</v>
      </c>
      <c r="I75" s="26">
        <f>Table135[[#This Row],[Tech]]*$T$7+Table135[[#This Row],[Beta]]*($T$6-$T$8)+$T$8</f>
        <v>8.5372000000000003E-2</v>
      </c>
      <c r="J75" s="64">
        <v>4856800</v>
      </c>
      <c r="K75" s="61">
        <f>Table135[[#This Row],[Investment]]/Table135[[#This Row],[Dollar Volume]]</f>
        <v>0.02</v>
      </c>
      <c r="L75" s="34">
        <f>IFERROR(MAX($T$11+$T$12*LN(Table135[[#This Row],[Frac ADV]]),0),0)*0.0001+0.005/Table135[[#This Row],[Stock Price]]+Table135[[#This Row],[Expense Ratio]]</f>
        <v>1.4948499152908551E-2</v>
      </c>
      <c r="M75" s="68">
        <f>(Table135[[#This Row],[Expected Return]]-Table135[[#This Row],[Tcosts]])*Table135[[#This Row],[Investment]]</f>
        <v>342032.85891415377</v>
      </c>
      <c r="Q75" s="16" t="s">
        <v>383</v>
      </c>
    </row>
    <row r="76" spans="1:17" ht="15.6" x14ac:dyDescent="0.3">
      <c r="A76" s="79" t="s">
        <v>198</v>
      </c>
      <c r="B76" s="74" t="s">
        <v>199</v>
      </c>
      <c r="C76" s="74">
        <v>30.31</v>
      </c>
      <c r="D76" s="86" t="s">
        <v>200</v>
      </c>
      <c r="E76" s="76">
        <v>4.0000000000000002E-4</v>
      </c>
      <c r="F76" s="74">
        <v>0.98</v>
      </c>
      <c r="G76" s="78">
        <v>236760000</v>
      </c>
      <c r="H76" s="3" t="b">
        <f t="shared" si="2"/>
        <v>0</v>
      </c>
      <c r="I76" s="26">
        <f>Table135[[#This Row],[Tech]]*$T$7+Table135[[#This Row],[Beta]]*($T$6-$T$8)+$T$8</f>
        <v>9.872800000000001E-2</v>
      </c>
      <c r="J76" s="64">
        <v>4735200</v>
      </c>
      <c r="K76" s="61">
        <f>Table135[[#This Row],[Investment]]/Table135[[#This Row],[Dollar Volume]]</f>
        <v>0.02</v>
      </c>
      <c r="L76" s="34">
        <f>IFERROR(MAX($T$11+$T$12*LN(Table135[[#This Row],[Frac ADV]]),0),0)*0.0001+0.005/Table135[[#This Row],[Stock Price]]+Table135[[#This Row],[Expense Ratio]]</f>
        <v>1.2659413000630828E-2</v>
      </c>
      <c r="M76" s="68">
        <f>(Table135[[#This Row],[Expected Return]]-Table135[[#This Row],[Tcosts]])*Table135[[#This Row],[Investment]]</f>
        <v>407551.97315941297</v>
      </c>
      <c r="Q76" s="13" t="s">
        <v>387</v>
      </c>
    </row>
    <row r="77" spans="1:17" ht="15.6" x14ac:dyDescent="0.3">
      <c r="A77" s="77" t="s">
        <v>95</v>
      </c>
      <c r="B77" s="73" t="s">
        <v>96</v>
      </c>
      <c r="C77" s="73">
        <v>729.64</v>
      </c>
      <c r="D77" s="85" t="s">
        <v>97</v>
      </c>
      <c r="E77" s="75">
        <v>8.9999999999999998E-4</v>
      </c>
      <c r="F77" s="73">
        <v>1.43</v>
      </c>
      <c r="G77" s="78">
        <v>236140000</v>
      </c>
      <c r="H77" s="3" t="b">
        <f t="shared" si="2"/>
        <v>1</v>
      </c>
      <c r="I77" s="26">
        <f>Table135[[#This Row],[Tech]]*$T$7+Table135[[#This Row],[Beta]]*($T$6-$T$8)+$T$8</f>
        <v>0.22734799999999999</v>
      </c>
      <c r="J77" s="64">
        <v>4722800</v>
      </c>
      <c r="K77" s="61">
        <f>Table135[[#This Row],[Investment]]/Table135[[#This Row],[Dollar Volume]]</f>
        <v>0.02</v>
      </c>
      <c r="L77" s="34">
        <f>IFERROR(MAX($T$11+$T$12*LN(Table135[[#This Row],[Frac ADV]]),0),0)*0.0001+0.005/Table135[[#This Row],[Stock Price]]+Table135[[#This Row],[Expense Ratio]]</f>
        <v>1.3001303636383804E-2</v>
      </c>
      <c r="M77" s="68">
        <f>(Table135[[#This Row],[Expected Return]]-Table135[[#This Row],[Tcosts]])*Table135[[#This Row],[Investment]]</f>
        <v>1012316.5775860866</v>
      </c>
      <c r="Q77" s="16" t="s">
        <v>391</v>
      </c>
    </row>
    <row r="78" spans="1:17" ht="15.6" x14ac:dyDescent="0.3">
      <c r="A78" s="77" t="s">
        <v>308</v>
      </c>
      <c r="B78" s="73" t="s">
        <v>309</v>
      </c>
      <c r="C78" s="73">
        <v>129.4</v>
      </c>
      <c r="D78" s="85" t="s">
        <v>310</v>
      </c>
      <c r="E78" s="75">
        <v>5.9999999999999995E-4</v>
      </c>
      <c r="F78" s="73">
        <v>0.92</v>
      </c>
      <c r="G78" s="78">
        <v>220460000</v>
      </c>
      <c r="H78" s="3" t="b">
        <f t="shared" si="2"/>
        <v>0</v>
      </c>
      <c r="I78" s="26">
        <f>Table135[[#This Row],[Tech]]*$T$7+Table135[[#This Row],[Beta]]*($T$6-$T$8)+$T$8</f>
        <v>9.491200000000001E-2</v>
      </c>
      <c r="J78" s="64">
        <v>4409200</v>
      </c>
      <c r="K78" s="61">
        <f>Table135[[#This Row],[Investment]]/Table135[[#This Row],[Dollar Volume]]</f>
        <v>0.02</v>
      </c>
      <c r="L78" s="34">
        <f>IFERROR(MAX($T$11+$T$12*LN(Table135[[#This Row],[Frac ADV]]),0),0)*0.0001+0.005/Table135[[#This Row],[Stock Price]]+Table135[[#This Row],[Expense Ratio]]</f>
        <v>1.273309081825673E-2</v>
      </c>
      <c r="M78" s="68">
        <f>(Table135[[#This Row],[Expected Return]]-Table135[[#This Row],[Tcosts]])*Table135[[#This Row],[Investment]]</f>
        <v>362343.24636414245</v>
      </c>
      <c r="Q78" s="13" t="s">
        <v>395</v>
      </c>
    </row>
    <row r="79" spans="1:17" ht="15.6" x14ac:dyDescent="0.3">
      <c r="A79" s="77" t="s">
        <v>412</v>
      </c>
      <c r="B79" s="73" t="s">
        <v>413</v>
      </c>
      <c r="C79" s="73">
        <v>200.74</v>
      </c>
      <c r="D79" s="85" t="s">
        <v>414</v>
      </c>
      <c r="E79" s="75">
        <v>1.5E-3</v>
      </c>
      <c r="F79" s="73">
        <v>0.92</v>
      </c>
      <c r="G79" s="78">
        <v>220290000</v>
      </c>
      <c r="H79" s="3" t="b">
        <f t="shared" si="2"/>
        <v>0</v>
      </c>
      <c r="I79" s="26">
        <f>Table135[[#This Row],[Tech]]*$T$7+Table135[[#This Row],[Beta]]*($T$6-$T$8)+$T$8</f>
        <v>9.491200000000001E-2</v>
      </c>
      <c r="J79" s="64">
        <v>4405800</v>
      </c>
      <c r="K79" s="61">
        <f>Table135[[#This Row],[Investment]]/Table135[[#This Row],[Dollar Volume]]</f>
        <v>0.02</v>
      </c>
      <c r="L79" s="34">
        <f>IFERROR(MAX($T$11+$T$12*LN(Table135[[#This Row],[Frac ADV]]),0),0)*0.0001+0.005/Table135[[#This Row],[Stock Price]]+Table135[[#This Row],[Expense Ratio]]</f>
        <v>1.3619358782892678E-2</v>
      </c>
      <c r="M79" s="68">
        <f>(Table135[[#This Row],[Expected Return]]-Table135[[#This Row],[Tcosts]])*Table135[[#This Row],[Investment]]</f>
        <v>358159.11867433146</v>
      </c>
      <c r="Q79" s="16" t="s">
        <v>399</v>
      </c>
    </row>
    <row r="80" spans="1:17" ht="15.6" x14ac:dyDescent="0.3">
      <c r="A80" s="79" t="s">
        <v>300</v>
      </c>
      <c r="B80" s="74" t="s">
        <v>301</v>
      </c>
      <c r="C80" s="74">
        <v>126.87</v>
      </c>
      <c r="D80" s="86" t="s">
        <v>302</v>
      </c>
      <c r="E80" s="76">
        <v>8.9999999999999998E-4</v>
      </c>
      <c r="F80" s="74">
        <v>0.97</v>
      </c>
      <c r="G80" s="78">
        <v>209970000</v>
      </c>
      <c r="H80" s="3" t="b">
        <f t="shared" si="2"/>
        <v>0</v>
      </c>
      <c r="I80" s="26">
        <f>Table135[[#This Row],[Tech]]*$T$7+Table135[[#This Row],[Beta]]*($T$6-$T$8)+$T$8</f>
        <v>9.8092000000000013E-2</v>
      </c>
      <c r="J80" s="64">
        <v>4199400</v>
      </c>
      <c r="K80" s="61">
        <f>Table135[[#This Row],[Investment]]/Table135[[#This Row],[Dollar Volume]]</f>
        <v>0.02</v>
      </c>
      <c r="L80" s="34">
        <f>IFERROR(MAX($T$11+$T$12*LN(Table135[[#This Row],[Frac ADV]]),0),0)*0.0001+0.005/Table135[[#This Row],[Stock Price]]+Table135[[#This Row],[Expense Ratio]]</f>
        <v>1.3033861362019413E-2</v>
      </c>
      <c r="M80" s="68">
        <f>(Table135[[#This Row],[Expected Return]]-Table135[[#This Row],[Tcosts]])*Table135[[#This Row],[Investment]]</f>
        <v>357193.14739633573</v>
      </c>
      <c r="Q80" s="13" t="s">
        <v>403</v>
      </c>
    </row>
    <row r="81" spans="1:17" ht="15.6" x14ac:dyDescent="0.3">
      <c r="A81" s="79" t="s">
        <v>444</v>
      </c>
      <c r="B81" s="74" t="s">
        <v>445</v>
      </c>
      <c r="C81" s="74">
        <v>494.67</v>
      </c>
      <c r="D81" s="86" t="s">
        <v>446</v>
      </c>
      <c r="E81" s="76">
        <v>1.6000000000000001E-3</v>
      </c>
      <c r="F81" s="74">
        <v>0.86</v>
      </c>
      <c r="G81" s="78">
        <v>199200000</v>
      </c>
      <c r="H81" s="3" t="b">
        <f t="shared" si="2"/>
        <v>0</v>
      </c>
      <c r="I81" s="26">
        <f>Table135[[#This Row],[Tech]]*$T$7+Table135[[#This Row],[Beta]]*($T$6-$T$8)+$T$8</f>
        <v>9.109600000000001E-2</v>
      </c>
      <c r="J81" s="64">
        <v>3984000</v>
      </c>
      <c r="K81" s="61">
        <f>Table135[[#This Row],[Investment]]/Table135[[#This Row],[Dollar Volume]]</f>
        <v>0.02</v>
      </c>
      <c r="L81" s="34">
        <f>IFERROR(MAX($T$11+$T$12*LN(Table135[[#This Row],[Frac ADV]]),0),0)*0.0001+0.005/Table135[[#This Row],[Stock Price]]+Table135[[#This Row],[Expense Ratio]]</f>
        <v>1.3704558690504413E-2</v>
      </c>
      <c r="M81" s="68">
        <f>(Table135[[#This Row],[Expected Return]]-Table135[[#This Row],[Tcosts]])*Table135[[#This Row],[Investment]]</f>
        <v>308327.50217703049</v>
      </c>
      <c r="Q81" s="16" t="s">
        <v>407</v>
      </c>
    </row>
    <row r="82" spans="1:17" ht="15.6" x14ac:dyDescent="0.3">
      <c r="A82" s="79" t="s">
        <v>218</v>
      </c>
      <c r="B82" s="74" t="s">
        <v>219</v>
      </c>
      <c r="C82" s="74">
        <v>118.54</v>
      </c>
      <c r="D82" s="86" t="s">
        <v>220</v>
      </c>
      <c r="E82" s="76">
        <v>8.9999999999999998E-4</v>
      </c>
      <c r="F82" s="74">
        <v>1.06</v>
      </c>
      <c r="G82" s="78">
        <v>195490000</v>
      </c>
      <c r="H82" s="3" t="b">
        <f t="shared" si="2"/>
        <v>0</v>
      </c>
      <c r="I82" s="26">
        <f>Table135[[#This Row],[Tech]]*$T$7+Table135[[#This Row],[Beta]]*($T$6-$T$8)+$T$8</f>
        <v>0.10381600000000001</v>
      </c>
      <c r="J82" s="64">
        <v>3909800</v>
      </c>
      <c r="K82" s="61">
        <f>Table135[[#This Row],[Investment]]/Table135[[#This Row],[Dollar Volume]]</f>
        <v>0.02</v>
      </c>
      <c r="L82" s="34">
        <f>IFERROR(MAX($T$11+$T$12*LN(Table135[[#This Row],[Frac ADV]]),0),0)*0.0001+0.005/Table135[[#This Row],[Stock Price]]+Table135[[#This Row],[Expense Ratio]]</f>
        <v>1.3036630796805634E-2</v>
      </c>
      <c r="M82" s="68">
        <f>(Table135[[#This Row],[Expected Return]]-Table135[[#This Row],[Tcosts]])*Table135[[#This Row],[Investment]]</f>
        <v>354929.17771064938</v>
      </c>
      <c r="Q82" s="13" t="s">
        <v>411</v>
      </c>
    </row>
    <row r="83" spans="1:17" ht="15.6" x14ac:dyDescent="0.3">
      <c r="A83" s="79" t="s">
        <v>492</v>
      </c>
      <c r="B83" s="74" t="s">
        <v>493</v>
      </c>
      <c r="C83" s="74">
        <v>197.17</v>
      </c>
      <c r="D83" s="86" t="s">
        <v>494</v>
      </c>
      <c r="E83" s="76">
        <v>2.3999999999999998E-3</v>
      </c>
      <c r="F83" s="74">
        <v>0.88</v>
      </c>
      <c r="G83" s="78">
        <v>192260000</v>
      </c>
      <c r="H83" s="3" t="b">
        <f t="shared" si="2"/>
        <v>0</v>
      </c>
      <c r="I83" s="26">
        <f>Table135[[#This Row],[Tech]]*$T$7+Table135[[#This Row],[Beta]]*($T$6-$T$8)+$T$8</f>
        <v>9.2368000000000006E-2</v>
      </c>
      <c r="J83" s="64">
        <v>3845200</v>
      </c>
      <c r="K83" s="61">
        <f>Table135[[#This Row],[Investment]]/Table135[[#This Row],[Dollar Volume]]</f>
        <v>0.02</v>
      </c>
      <c r="L83" s="34">
        <f>IFERROR(MAX($T$11+$T$12*LN(Table135[[#This Row],[Frac ADV]]),0),0)*0.0001+0.005/Table135[[#This Row],[Stock Price]]+Table135[[#This Row],[Expense Ratio]]</f>
        <v>1.4519809769312155E-2</v>
      </c>
      <c r="M83" s="68">
        <f>(Table135[[#This Row],[Expected Return]]-Table135[[#This Row],[Tcosts]])*Table135[[#This Row],[Investment]]</f>
        <v>299341.86107504094</v>
      </c>
      <c r="Q83" s="16" t="s">
        <v>415</v>
      </c>
    </row>
    <row r="84" spans="1:17" ht="15.6" x14ac:dyDescent="0.3">
      <c r="A84" s="79" t="s">
        <v>364</v>
      </c>
      <c r="B84" s="74" t="s">
        <v>365</v>
      </c>
      <c r="C84" s="74">
        <v>270</v>
      </c>
      <c r="D84" s="86" t="s">
        <v>366</v>
      </c>
      <c r="E84" s="76">
        <v>5.0000000000000001E-4</v>
      </c>
      <c r="F84" s="74">
        <v>1.03</v>
      </c>
      <c r="G84" s="78">
        <v>181700000</v>
      </c>
      <c r="H84" s="3" t="b">
        <f t="shared" si="2"/>
        <v>0</v>
      </c>
      <c r="I84" s="26">
        <f>Table135[[#This Row],[Tech]]*$T$7+Table135[[#This Row],[Beta]]*($T$6-$T$8)+$T$8</f>
        <v>0.10190800000000001</v>
      </c>
      <c r="J84" s="64">
        <v>3634000</v>
      </c>
      <c r="K84" s="61">
        <f>Table135[[#This Row],[Investment]]/Table135[[#This Row],[Dollar Volume]]</f>
        <v>0.02</v>
      </c>
      <c r="L84" s="34">
        <f>IFERROR(MAX($T$11+$T$12*LN(Table135[[#This Row],[Frac ADV]]),0),0)*0.0001+0.005/Table135[[#This Row],[Stock Price]]+Table135[[#This Row],[Expense Ratio]]</f>
        <v>1.2612969460422854E-2</v>
      </c>
      <c r="M84" s="68">
        <f>(Table135[[#This Row],[Expected Return]]-Table135[[#This Row],[Tcosts]])*Table135[[#This Row],[Investment]]</f>
        <v>324498.14098082337</v>
      </c>
      <c r="Q84" s="13" t="s">
        <v>419</v>
      </c>
    </row>
    <row r="85" spans="1:17" ht="15.6" x14ac:dyDescent="0.3">
      <c r="A85" s="77" t="s">
        <v>293</v>
      </c>
      <c r="B85" s="73" t="s">
        <v>294</v>
      </c>
      <c r="C85" s="73">
        <v>106.19</v>
      </c>
      <c r="D85" s="85" t="s">
        <v>295</v>
      </c>
      <c r="E85" s="75">
        <v>4.0000000000000002E-4</v>
      </c>
      <c r="F85" s="73">
        <v>0.77</v>
      </c>
      <c r="G85" s="78">
        <v>166560000</v>
      </c>
      <c r="H85" s="3" t="b">
        <f t="shared" si="2"/>
        <v>0</v>
      </c>
      <c r="I85" s="26">
        <f>Table135[[#This Row],[Tech]]*$T$7+Table135[[#This Row],[Beta]]*($T$6-$T$8)+$T$8</f>
        <v>8.5372000000000003E-2</v>
      </c>
      <c r="J85" s="64">
        <v>3331200</v>
      </c>
      <c r="K85" s="61">
        <f>Table135[[#This Row],[Investment]]/Table135[[#This Row],[Dollar Volume]]</f>
        <v>0.02</v>
      </c>
      <c r="L85" s="34">
        <f>IFERROR(MAX($T$11+$T$12*LN(Table135[[#This Row],[Frac ADV]]),0),0)*0.0001+0.005/Table135[[#This Row],[Stock Price]]+Table135[[#This Row],[Expense Ratio]]</f>
        <v>1.2541536354843405E-2</v>
      </c>
      <c r="M85" s="68">
        <f>(Table135[[#This Row],[Expected Return]]-Table135[[#This Row],[Tcosts]])*Table135[[#This Row],[Investment]]</f>
        <v>242612.84049474564</v>
      </c>
      <c r="Q85" s="16" t="s">
        <v>423</v>
      </c>
    </row>
    <row r="86" spans="1:17" ht="15.6" x14ac:dyDescent="0.3">
      <c r="A86" s="77" t="s">
        <v>332</v>
      </c>
      <c r="B86" s="73" t="s">
        <v>333</v>
      </c>
      <c r="C86" s="73">
        <v>104.9</v>
      </c>
      <c r="D86" s="85" t="s">
        <v>334</v>
      </c>
      <c r="E86" s="75">
        <v>5.9999999999999995E-4</v>
      </c>
      <c r="F86" s="73">
        <v>0.99</v>
      </c>
      <c r="G86" s="78">
        <v>160270000</v>
      </c>
      <c r="H86" s="3" t="b">
        <f t="shared" si="2"/>
        <v>0</v>
      </c>
      <c r="I86" s="26">
        <f>Table135[[#This Row],[Tech]]*$T$7+Table135[[#This Row],[Beta]]*($T$6-$T$8)+$T$8</f>
        <v>9.9364000000000008E-2</v>
      </c>
      <c r="J86" s="64">
        <v>3205400</v>
      </c>
      <c r="K86" s="61">
        <f>Table135[[#This Row],[Investment]]/Table135[[#This Row],[Dollar Volume]]</f>
        <v>0.02</v>
      </c>
      <c r="L86" s="34">
        <f>IFERROR(MAX($T$11+$T$12*LN(Table135[[#This Row],[Frac ADV]]),0),0)*0.0001+0.005/Table135[[#This Row],[Stock Price]]+Table135[[#This Row],[Expense Ratio]]</f>
        <v>1.2742115384230359E-2</v>
      </c>
      <c r="M86" s="68">
        <f>(Table135[[#This Row],[Expected Return]]-Table135[[#This Row],[Tcosts]])*Table135[[#This Row],[Investment]]</f>
        <v>277657.78894738806</v>
      </c>
      <c r="Q86" s="13" t="s">
        <v>427</v>
      </c>
    </row>
    <row r="87" spans="1:17" ht="15.6" x14ac:dyDescent="0.3">
      <c r="A87" s="79" t="s">
        <v>336</v>
      </c>
      <c r="B87" s="74" t="s">
        <v>337</v>
      </c>
      <c r="C87" s="74">
        <v>148.97999999999999</v>
      </c>
      <c r="D87" s="86" t="s">
        <v>338</v>
      </c>
      <c r="E87" s="76">
        <v>2.9999999999999997E-4</v>
      </c>
      <c r="F87" s="74">
        <v>1</v>
      </c>
      <c r="G87" s="78">
        <v>159840000</v>
      </c>
      <c r="H87" s="3" t="b">
        <f t="shared" si="2"/>
        <v>0</v>
      </c>
      <c r="I87" s="26">
        <f>Table135[[#This Row],[Tech]]*$T$7+Table135[[#This Row],[Beta]]*($T$6-$T$8)+$T$8</f>
        <v>0.1</v>
      </c>
      <c r="J87" s="64">
        <v>3196800</v>
      </c>
      <c r="K87" s="61">
        <f>Table135[[#This Row],[Investment]]/Table135[[#This Row],[Dollar Volume]]</f>
        <v>0.02</v>
      </c>
      <c r="L87" s="34">
        <f>IFERROR(MAX($T$11+$T$12*LN(Table135[[#This Row],[Frac ADV]]),0),0)*0.0001+0.005/Table135[[#This Row],[Stock Price]]+Table135[[#This Row],[Expense Ratio]]</f>
        <v>1.2428012493790495E-2</v>
      </c>
      <c r="M87" s="68">
        <f>(Table135[[#This Row],[Expected Return]]-Table135[[#This Row],[Tcosts]])*Table135[[#This Row],[Investment]]</f>
        <v>279950.12965985056</v>
      </c>
      <c r="Q87" s="16" t="s">
        <v>431</v>
      </c>
    </row>
    <row r="88" spans="1:17" ht="15.6" x14ac:dyDescent="0.3">
      <c r="A88" s="77" t="s">
        <v>344</v>
      </c>
      <c r="B88" s="73" t="s">
        <v>345</v>
      </c>
      <c r="C88" s="73">
        <v>104.53</v>
      </c>
      <c r="D88" s="85" t="s">
        <v>346</v>
      </c>
      <c r="E88" s="75">
        <v>4.7000000000000002E-3</v>
      </c>
      <c r="F88" s="73">
        <v>0.92</v>
      </c>
      <c r="G88" s="78">
        <v>131540000</v>
      </c>
      <c r="H88" s="3" t="b">
        <f t="shared" si="2"/>
        <v>0</v>
      </c>
      <c r="I88" s="26">
        <f>Table135[[#This Row],[Tech]]*$T$7+Table135[[#This Row],[Beta]]*($T$6-$T$8)+$T$8</f>
        <v>9.491200000000001E-2</v>
      </c>
      <c r="J88" s="64">
        <v>2630800</v>
      </c>
      <c r="K88" s="61">
        <f>Table135[[#This Row],[Investment]]/Table135[[#This Row],[Dollar Volume]]</f>
        <v>0.02</v>
      </c>
      <c r="L88" s="34">
        <f>IFERROR(MAX($T$11+$T$12*LN(Table135[[#This Row],[Frac ADV]]),0),0)*0.0001+0.005/Table135[[#This Row],[Stock Price]]+Table135[[#This Row],[Expense Ratio]]</f>
        <v>1.6842284099849423E-2</v>
      </c>
      <c r="M88" s="68">
        <f>(Table135[[#This Row],[Expected Return]]-Table135[[#This Row],[Tcosts]])*Table135[[#This Row],[Investment]]</f>
        <v>205385.80859011618</v>
      </c>
      <c r="Q88" s="13" t="s">
        <v>435</v>
      </c>
    </row>
    <row r="89" spans="1:17" ht="15.6" x14ac:dyDescent="0.3">
      <c r="A89" s="77" t="s">
        <v>312</v>
      </c>
      <c r="B89" s="73" t="s">
        <v>313</v>
      </c>
      <c r="C89" s="73">
        <v>113.39</v>
      </c>
      <c r="D89" s="85" t="s">
        <v>314</v>
      </c>
      <c r="E89" s="75">
        <v>2.5000000000000001E-3</v>
      </c>
      <c r="F89" s="73">
        <v>0.95</v>
      </c>
      <c r="G89" s="78">
        <v>123340000</v>
      </c>
      <c r="H89" s="3" t="b">
        <f t="shared" si="2"/>
        <v>0</v>
      </c>
      <c r="I89" s="26">
        <f>Table135[[#This Row],[Tech]]*$T$7+Table135[[#This Row],[Beta]]*($T$6-$T$8)+$T$8</f>
        <v>9.6820000000000003E-2</v>
      </c>
      <c r="J89" s="64">
        <v>2466800</v>
      </c>
      <c r="K89" s="61">
        <f>Table135[[#This Row],[Investment]]/Table135[[#This Row],[Dollar Volume]]</f>
        <v>0.02</v>
      </c>
      <c r="L89" s="34">
        <f>IFERROR(MAX($T$11+$T$12*LN(Table135[[#This Row],[Frac ADV]]),0),0)*0.0001+0.005/Table135[[#This Row],[Stock Price]]+Table135[[#This Row],[Expense Ratio]]</f>
        <v>1.4638546541163529E-2</v>
      </c>
      <c r="M89" s="68">
        <f>(Table135[[#This Row],[Expected Return]]-Table135[[#This Row],[Tcosts]])*Table135[[#This Row],[Investment]]</f>
        <v>202725.20939225779</v>
      </c>
      <c r="Q89" s="16" t="s">
        <v>439</v>
      </c>
    </row>
    <row r="90" spans="1:17" ht="15.6" x14ac:dyDescent="0.3">
      <c r="A90" s="77" t="s">
        <v>595</v>
      </c>
      <c r="B90" s="73" t="s">
        <v>596</v>
      </c>
      <c r="C90" s="73">
        <v>107.32</v>
      </c>
      <c r="D90" s="85" t="s">
        <v>597</v>
      </c>
      <c r="E90" s="75">
        <v>3.5999999999999999E-3</v>
      </c>
      <c r="F90" s="73">
        <v>0.74</v>
      </c>
      <c r="G90" s="78">
        <v>121420000</v>
      </c>
      <c r="H90" s="3" t="b">
        <f t="shared" si="2"/>
        <v>0</v>
      </c>
      <c r="I90" s="26">
        <f>Table135[[#This Row],[Tech]]*$T$7+Table135[[#This Row],[Beta]]*($T$6-$T$8)+$T$8</f>
        <v>8.346400000000001E-2</v>
      </c>
      <c r="J90" s="64">
        <v>2428400</v>
      </c>
      <c r="K90" s="61">
        <f>Table135[[#This Row],[Investment]]/Table135[[#This Row],[Dollar Volume]]</f>
        <v>0.02</v>
      </c>
      <c r="L90" s="34">
        <f>IFERROR(MAX($T$11+$T$12*LN(Table135[[#This Row],[Frac ADV]]),0),0)*0.0001+0.005/Table135[[#This Row],[Stock Price]]+Table135[[#This Row],[Expense Ratio]]</f>
        <v>1.574104058036874E-2</v>
      </c>
      <c r="M90" s="68">
        <f>(Table135[[#This Row],[Expected Return]]-Table135[[#This Row],[Tcosts]])*Table135[[#This Row],[Investment]]</f>
        <v>164458.43465463258</v>
      </c>
      <c r="Q90" s="13" t="s">
        <v>443</v>
      </c>
    </row>
    <row r="91" spans="1:17" ht="15.6" x14ac:dyDescent="0.3">
      <c r="A91" s="77" t="s">
        <v>320</v>
      </c>
      <c r="B91" s="73" t="s">
        <v>321</v>
      </c>
      <c r="C91" s="73">
        <v>387.63</v>
      </c>
      <c r="D91" s="85" t="s">
        <v>322</v>
      </c>
      <c r="E91" s="75">
        <v>2E-3</v>
      </c>
      <c r="F91" s="73">
        <v>0.99</v>
      </c>
      <c r="G91" s="78">
        <v>106960000</v>
      </c>
      <c r="H91" s="3" t="b">
        <f t="shared" si="2"/>
        <v>0</v>
      </c>
      <c r="I91" s="26">
        <f>Table135[[#This Row],[Tech]]*$T$7+Table135[[#This Row],[Beta]]*($T$6-$T$8)+$T$8</f>
        <v>9.9364000000000008E-2</v>
      </c>
      <c r="J91" s="64">
        <v>2139200</v>
      </c>
      <c r="K91" s="61">
        <f>Table135[[#This Row],[Investment]]/Table135[[#This Row],[Dollar Volume]]</f>
        <v>0.02</v>
      </c>
      <c r="L91" s="34">
        <f>IFERROR(MAX($T$11+$T$12*LN(Table135[[#This Row],[Frac ADV]]),0),0)*0.0001+0.005/Table135[[#This Row],[Stock Price]]+Table135[[#This Row],[Expense Ratio]]</f>
        <v>1.410734984033841E-2</v>
      </c>
      <c r="M91" s="68">
        <f>(Table135[[#This Row],[Expected Return]]-Table135[[#This Row],[Tcosts]])*Table135[[#This Row],[Investment]]</f>
        <v>182381.02602154808</v>
      </c>
      <c r="Q91" s="16" t="s">
        <v>447</v>
      </c>
    </row>
    <row r="92" spans="1:17" ht="15.6" x14ac:dyDescent="0.3">
      <c r="A92" s="79" t="s">
        <v>400</v>
      </c>
      <c r="B92" s="74" t="s">
        <v>401</v>
      </c>
      <c r="C92" s="74">
        <v>298.35000000000002</v>
      </c>
      <c r="D92" s="86" t="s">
        <v>402</v>
      </c>
      <c r="E92" s="76">
        <v>2.9999999999999997E-4</v>
      </c>
      <c r="F92" s="74">
        <v>0.83</v>
      </c>
      <c r="G92" s="78">
        <v>171250000</v>
      </c>
      <c r="H92" s="3" t="b">
        <f t="shared" si="2"/>
        <v>0</v>
      </c>
      <c r="I92" s="26">
        <f>Table135[[#This Row],[Tech]]*$T$7+Table135[[#This Row],[Beta]]*($T$6-$T$8)+$T$8</f>
        <v>8.9188000000000003E-2</v>
      </c>
      <c r="J92" s="64">
        <v>0</v>
      </c>
      <c r="K92" s="61">
        <f>Table135[[#This Row],[Investment]]/Table135[[#This Row],[Dollar Volume]]</f>
        <v>0</v>
      </c>
      <c r="L92" s="34">
        <f>IFERROR(MAX($T$11+$T$12*LN(Table135[[#This Row],[Frac ADV]]),0),0)*0.0001+0.005/Table135[[#This Row],[Stock Price]]+Table135[[#This Row],[Expense Ratio]]</f>
        <v>3.16758840288252E-4</v>
      </c>
      <c r="M92" s="68">
        <f>(Table135[[#This Row],[Expected Return]]-Table135[[#This Row],[Tcosts]])*Table135[[#This Row],[Investment]]</f>
        <v>0</v>
      </c>
      <c r="Q92" s="13" t="s">
        <v>451</v>
      </c>
    </row>
    <row r="93" spans="1:17" ht="15.6" x14ac:dyDescent="0.3">
      <c r="A93" s="77" t="s">
        <v>396</v>
      </c>
      <c r="B93" s="73" t="s">
        <v>397</v>
      </c>
      <c r="C93" s="73">
        <v>172.75</v>
      </c>
      <c r="D93" s="85" t="s">
        <v>398</v>
      </c>
      <c r="E93" s="75">
        <v>8.0000000000000004E-4</v>
      </c>
      <c r="F93" s="73">
        <v>0.92</v>
      </c>
      <c r="G93" s="78">
        <v>2910000000</v>
      </c>
      <c r="H93" s="3" t="b">
        <f t="shared" si="2"/>
        <v>0</v>
      </c>
      <c r="I93" s="26">
        <f>Table135[[#This Row],[Tech]]*$T$7+Table135[[#This Row],[Beta]]*($T$6-$T$8)+$T$8</f>
        <v>9.491200000000001E-2</v>
      </c>
      <c r="J93" s="64">
        <v>0</v>
      </c>
      <c r="K93" s="61">
        <f>Table135[[#This Row],[Investment]]/Table135[[#This Row],[Dollar Volume]]</f>
        <v>0</v>
      </c>
      <c r="L93" s="34">
        <f>IFERROR(MAX($T$11+$T$12*LN(Table135[[#This Row],[Frac ADV]]),0),0)*0.0001+0.005/Table135[[#This Row],[Stock Price]]+Table135[[#This Row],[Expense Ratio]]</f>
        <v>8.2894356005788717E-4</v>
      </c>
      <c r="M93" s="68">
        <f>(Table135[[#This Row],[Expected Return]]-Table135[[#This Row],[Tcosts]])*Table135[[#This Row],[Investment]]</f>
        <v>0</v>
      </c>
      <c r="Q93" s="16" t="s">
        <v>455</v>
      </c>
    </row>
    <row r="94" spans="1:17" ht="15.6" x14ac:dyDescent="0.3">
      <c r="A94" s="79" t="s">
        <v>432</v>
      </c>
      <c r="B94" s="74" t="s">
        <v>433</v>
      </c>
      <c r="C94" s="74">
        <v>145.96</v>
      </c>
      <c r="D94" s="86" t="s">
        <v>434</v>
      </c>
      <c r="E94" s="76">
        <v>5.9999999999999995E-4</v>
      </c>
      <c r="F94" s="74">
        <v>0.89</v>
      </c>
      <c r="G94" s="78">
        <v>173490000</v>
      </c>
      <c r="H94" s="3" t="b">
        <f t="shared" si="2"/>
        <v>0</v>
      </c>
      <c r="I94" s="26">
        <f>Table135[[#This Row],[Tech]]*$T$7+Table135[[#This Row],[Beta]]*($T$6-$T$8)+$T$8</f>
        <v>9.3004000000000003E-2</v>
      </c>
      <c r="J94" s="64">
        <v>0</v>
      </c>
      <c r="K94" s="61">
        <f>Table135[[#This Row],[Investment]]/Table135[[#This Row],[Dollar Volume]]</f>
        <v>0</v>
      </c>
      <c r="L94" s="34">
        <f>IFERROR(MAX($T$11+$T$12*LN(Table135[[#This Row],[Frac ADV]]),0),0)*0.0001+0.005/Table135[[#This Row],[Stock Price]]+Table135[[#This Row],[Expense Ratio]]</f>
        <v>6.3425596053713336E-4</v>
      </c>
      <c r="M94" s="68">
        <f>(Table135[[#This Row],[Expected Return]]-Table135[[#This Row],[Tcosts]])*Table135[[#This Row],[Investment]]</f>
        <v>0</v>
      </c>
      <c r="Q94" s="13" t="s">
        <v>459</v>
      </c>
    </row>
    <row r="95" spans="1:17" ht="15.6" x14ac:dyDescent="0.3">
      <c r="A95" s="79" t="s">
        <v>606</v>
      </c>
      <c r="B95" s="74" t="s">
        <v>607</v>
      </c>
      <c r="C95" s="74">
        <v>37.71</v>
      </c>
      <c r="D95" s="86" t="s">
        <v>608</v>
      </c>
      <c r="E95" s="76">
        <v>2.3E-3</v>
      </c>
      <c r="F95" s="74">
        <v>0.65</v>
      </c>
      <c r="G95" s="78">
        <v>85390000</v>
      </c>
      <c r="H95" s="3" t="b">
        <f t="shared" si="2"/>
        <v>0</v>
      </c>
      <c r="I95" s="26">
        <f>Table135[[#This Row],[Tech]]*$T$7+Table135[[#This Row],[Beta]]*($T$6-$T$8)+$T$8</f>
        <v>7.7740000000000004E-2</v>
      </c>
      <c r="J95" s="64">
        <v>0</v>
      </c>
      <c r="K95" s="61">
        <f>Table135[[#This Row],[Investment]]/Table135[[#This Row],[Dollar Volume]]</f>
        <v>0</v>
      </c>
      <c r="L95" s="34">
        <f>IFERROR(MAX($T$11+$T$12*LN(Table135[[#This Row],[Frac ADV]]),0),0)*0.0001+0.005/Table135[[#This Row],[Stock Price]]+Table135[[#This Row],[Expense Ratio]]</f>
        <v>2.4325908247149297E-3</v>
      </c>
      <c r="M95" s="68">
        <f>(Table135[[#This Row],[Expected Return]]-Table135[[#This Row],[Tcosts]])*Table135[[#This Row],[Investment]]</f>
        <v>0</v>
      </c>
      <c r="Q95" s="16" t="s">
        <v>463</v>
      </c>
    </row>
    <row r="96" spans="1:17" ht="15.6" x14ac:dyDescent="0.3">
      <c r="A96" s="79" t="s">
        <v>436</v>
      </c>
      <c r="B96" s="74" t="s">
        <v>437</v>
      </c>
      <c r="C96" s="74">
        <v>218.98</v>
      </c>
      <c r="D96" s="86" t="s">
        <v>438</v>
      </c>
      <c r="E96" s="76">
        <v>1.8E-3</v>
      </c>
      <c r="F96" s="74">
        <v>0.77</v>
      </c>
      <c r="G96" s="78">
        <v>1530000000</v>
      </c>
      <c r="H96" s="3" t="b">
        <f t="shared" si="2"/>
        <v>0</v>
      </c>
      <c r="I96" s="26">
        <f>Table135[[#This Row],[Tech]]*$T$7+Table135[[#This Row],[Beta]]*($T$6-$T$8)+$T$8</f>
        <v>8.5372000000000003E-2</v>
      </c>
      <c r="J96" s="64">
        <v>0</v>
      </c>
      <c r="K96" s="61">
        <f>Table135[[#This Row],[Investment]]/Table135[[#This Row],[Dollar Volume]]</f>
        <v>0</v>
      </c>
      <c r="L96" s="34">
        <f>IFERROR(MAX($T$11+$T$12*LN(Table135[[#This Row],[Frac ADV]]),0),0)*0.0001+0.005/Table135[[#This Row],[Stock Price]]+Table135[[#This Row],[Expense Ratio]]</f>
        <v>1.8228331354461593E-3</v>
      </c>
      <c r="M96" s="68">
        <f>(Table135[[#This Row],[Expected Return]]-Table135[[#This Row],[Tcosts]])*Table135[[#This Row],[Investment]]</f>
        <v>0</v>
      </c>
      <c r="Q96" s="13" t="s">
        <v>467</v>
      </c>
    </row>
    <row r="97" spans="1:17" ht="15.6" x14ac:dyDescent="0.3">
      <c r="A97" s="79" t="s">
        <v>452</v>
      </c>
      <c r="B97" s="74" t="s">
        <v>453</v>
      </c>
      <c r="C97" s="74">
        <v>130.80000000000001</v>
      </c>
      <c r="D97" s="86" t="s">
        <v>454</v>
      </c>
      <c r="E97" s="76">
        <v>5.8999999999999999E-3</v>
      </c>
      <c r="F97" s="74">
        <v>0.9</v>
      </c>
      <c r="G97" s="78">
        <v>334300000</v>
      </c>
      <c r="H97" s="3" t="b">
        <f t="shared" si="2"/>
        <v>0</v>
      </c>
      <c r="I97" s="26">
        <f>Table135[[#This Row],[Tech]]*$T$7+Table135[[#This Row],[Beta]]*($T$6-$T$8)+$T$8</f>
        <v>9.3640000000000001E-2</v>
      </c>
      <c r="J97" s="64">
        <v>0</v>
      </c>
      <c r="K97" s="61">
        <f>Table135[[#This Row],[Investment]]/Table135[[#This Row],[Dollar Volume]]</f>
        <v>0</v>
      </c>
      <c r="L97" s="34">
        <f>IFERROR(MAX($T$11+$T$12*LN(Table135[[#This Row],[Frac ADV]]),0),0)*0.0001+0.005/Table135[[#This Row],[Stock Price]]+Table135[[#This Row],[Expense Ratio]]</f>
        <v>5.9382262996941892E-3</v>
      </c>
      <c r="M97" s="68">
        <f>(Table135[[#This Row],[Expected Return]]-Table135[[#This Row],[Tcosts]])*Table135[[#This Row],[Investment]]</f>
        <v>0</v>
      </c>
      <c r="Q97" s="16" t="s">
        <v>471</v>
      </c>
    </row>
    <row r="98" spans="1:17" ht="15.6" x14ac:dyDescent="0.3">
      <c r="A98" s="77" t="s">
        <v>468</v>
      </c>
      <c r="B98" s="73" t="s">
        <v>469</v>
      </c>
      <c r="C98" s="73">
        <v>104.15</v>
      </c>
      <c r="D98" s="85" t="s">
        <v>470</v>
      </c>
      <c r="E98" s="75">
        <v>3.2000000000000002E-3</v>
      </c>
      <c r="F98" s="73">
        <v>0.73</v>
      </c>
      <c r="G98" s="78">
        <v>929280000</v>
      </c>
      <c r="H98" s="3" t="b">
        <f t="shared" ref="H98:H129" si="3">OR(
  ISNUMBER(SEARCH("technology",B98)),
  ISNUMBER(SEARCH("tech",B98)),
  ISNUMBER(SEARCH("qqq",B98)),
  ISNUMBER(SEARCH("semiconductor",B98)),
  ISNUMBER(SEARCH("information technology",B98)),
  ISNUMBER(SEARCH("nasdaq",B98)),
  ISNUMBER(SEARCH("communication",B98))
)</f>
        <v>0</v>
      </c>
      <c r="I98" s="26">
        <f>Table135[[#This Row],[Tech]]*$T$7+Table135[[#This Row],[Beta]]*($T$6-$T$8)+$T$8</f>
        <v>8.2828000000000013E-2</v>
      </c>
      <c r="J98" s="64">
        <v>0</v>
      </c>
      <c r="K98" s="61">
        <f>Table135[[#This Row],[Investment]]/Table135[[#This Row],[Dollar Volume]]</f>
        <v>0</v>
      </c>
      <c r="L98" s="34">
        <f>IFERROR(MAX($T$11+$T$12*LN(Table135[[#This Row],[Frac ADV]]),0),0)*0.0001+0.005/Table135[[#This Row],[Stock Price]]+Table135[[#This Row],[Expense Ratio]]</f>
        <v>3.2480076812289966E-3</v>
      </c>
      <c r="M98" s="68">
        <f>(Table135[[#This Row],[Expected Return]]-Table135[[#This Row],[Tcosts]])*Table135[[#This Row],[Investment]]</f>
        <v>0</v>
      </c>
      <c r="Q98" s="13" t="s">
        <v>475</v>
      </c>
    </row>
    <row r="99" spans="1:17" ht="15.6" x14ac:dyDescent="0.3">
      <c r="A99" s="79" t="s">
        <v>515</v>
      </c>
      <c r="B99" s="74" t="s">
        <v>516</v>
      </c>
      <c r="C99" s="74">
        <v>28.79</v>
      </c>
      <c r="D99" s="86" t="s">
        <v>517</v>
      </c>
      <c r="E99" s="76">
        <v>2.5000000000000001E-3</v>
      </c>
      <c r="F99" s="74">
        <v>0.82</v>
      </c>
      <c r="G99" s="78">
        <v>106450000</v>
      </c>
      <c r="H99" s="3" t="b">
        <f t="shared" si="3"/>
        <v>0</v>
      </c>
      <c r="I99" s="26">
        <f>Table135[[#This Row],[Tech]]*$T$7+Table135[[#This Row],[Beta]]*($T$6-$T$8)+$T$8</f>
        <v>8.8551999999999992E-2</v>
      </c>
      <c r="J99" s="64">
        <v>0</v>
      </c>
      <c r="K99" s="61">
        <f>Table135[[#This Row],[Investment]]/Table135[[#This Row],[Dollar Volume]]</f>
        <v>0</v>
      </c>
      <c r="L99" s="34">
        <f>IFERROR(MAX($T$11+$T$12*LN(Table135[[#This Row],[Frac ADV]]),0),0)*0.0001+0.005/Table135[[#This Row],[Stock Price]]+Table135[[#This Row],[Expense Ratio]]</f>
        <v>2.6736714136853077E-3</v>
      </c>
      <c r="M99" s="68">
        <f>(Table135[[#This Row],[Expected Return]]-Table135[[#This Row],[Tcosts]])*Table135[[#This Row],[Investment]]</f>
        <v>0</v>
      </c>
      <c r="Q99" s="16" t="s">
        <v>479</v>
      </c>
    </row>
    <row r="100" spans="1:17" ht="15.6" x14ac:dyDescent="0.3">
      <c r="A100" s="79" t="s">
        <v>523</v>
      </c>
      <c r="B100" s="74" t="s">
        <v>524</v>
      </c>
      <c r="C100" s="74">
        <v>58.66</v>
      </c>
      <c r="D100" s="86" t="s">
        <v>525</v>
      </c>
      <c r="E100" s="76">
        <v>4.0000000000000002E-4</v>
      </c>
      <c r="F100" s="74">
        <v>0.77</v>
      </c>
      <c r="G100" s="78">
        <v>458210000</v>
      </c>
      <c r="H100" s="3" t="b">
        <f t="shared" si="3"/>
        <v>0</v>
      </c>
      <c r="I100" s="26">
        <f>Table135[[#This Row],[Tech]]*$T$7+Table135[[#This Row],[Beta]]*($T$6-$T$8)+$T$8</f>
        <v>8.5372000000000003E-2</v>
      </c>
      <c r="J100" s="64">
        <v>0</v>
      </c>
      <c r="K100" s="61">
        <f>Table135[[#This Row],[Investment]]/Table135[[#This Row],[Dollar Volume]]</f>
        <v>0</v>
      </c>
      <c r="L100" s="34">
        <f>IFERROR(MAX($T$11+$T$12*LN(Table135[[#This Row],[Frac ADV]]),0),0)*0.0001+0.005/Table135[[#This Row],[Stock Price]]+Table135[[#This Row],[Expense Ratio]]</f>
        <v>4.8523695874531198E-4</v>
      </c>
      <c r="M100" s="68">
        <f>(Table135[[#This Row],[Expected Return]]-Table135[[#This Row],[Tcosts]])*Table135[[#This Row],[Investment]]</f>
        <v>0</v>
      </c>
      <c r="Q100" s="13" t="s">
        <v>483</v>
      </c>
    </row>
    <row r="101" spans="1:17" ht="15.6" x14ac:dyDescent="0.3">
      <c r="A101" s="77" t="s">
        <v>602</v>
      </c>
      <c r="B101" s="73" t="s">
        <v>603</v>
      </c>
      <c r="C101" s="73">
        <v>102.87</v>
      </c>
      <c r="D101" s="85" t="s">
        <v>604</v>
      </c>
      <c r="E101" s="75">
        <v>2E-3</v>
      </c>
      <c r="F101" s="73">
        <v>0.72</v>
      </c>
      <c r="G101" s="78">
        <v>754920000</v>
      </c>
      <c r="H101" s="3" t="b">
        <f t="shared" si="3"/>
        <v>0</v>
      </c>
      <c r="I101" s="26">
        <f>Table135[[#This Row],[Tech]]*$T$7+Table135[[#This Row],[Beta]]*($T$6-$T$8)+$T$8</f>
        <v>8.2192000000000001E-2</v>
      </c>
      <c r="J101" s="64">
        <v>0</v>
      </c>
      <c r="K101" s="61">
        <f>Table135[[#This Row],[Investment]]/Table135[[#This Row],[Dollar Volume]]</f>
        <v>0</v>
      </c>
      <c r="L101" s="34">
        <f>IFERROR(MAX($T$11+$T$12*LN(Table135[[#This Row],[Frac ADV]]),0),0)*0.0001+0.005/Table135[[#This Row],[Stock Price]]+Table135[[#This Row],[Expense Ratio]]</f>
        <v>2.048605035481676E-3</v>
      </c>
      <c r="M101" s="68">
        <f>(Table135[[#This Row],[Expected Return]]-Table135[[#This Row],[Tcosts]])*Table135[[#This Row],[Investment]]</f>
        <v>0</v>
      </c>
      <c r="Q101" s="16" t="s">
        <v>487</v>
      </c>
    </row>
    <row r="102" spans="1:17" ht="15.6" x14ac:dyDescent="0.3">
      <c r="A102" s="77" t="s">
        <v>368</v>
      </c>
      <c r="B102" s="73" t="s">
        <v>369</v>
      </c>
      <c r="C102" s="73">
        <v>90.28</v>
      </c>
      <c r="D102" s="85" t="s">
        <v>370</v>
      </c>
      <c r="E102" s="75">
        <v>2.3E-3</v>
      </c>
      <c r="F102" s="73">
        <v>0.68</v>
      </c>
      <c r="G102" s="78">
        <v>127800000</v>
      </c>
      <c r="H102" s="3" t="b">
        <f t="shared" si="3"/>
        <v>0</v>
      </c>
      <c r="I102" s="26">
        <f>Table135[[#This Row],[Tech]]*$T$7+Table135[[#This Row],[Beta]]*($T$6-$T$8)+$T$8</f>
        <v>7.964800000000001E-2</v>
      </c>
      <c r="J102" s="64">
        <v>0</v>
      </c>
      <c r="K102" s="61">
        <f>Table135[[#This Row],[Investment]]/Table135[[#This Row],[Dollar Volume]]</f>
        <v>0</v>
      </c>
      <c r="L102" s="34">
        <f>IFERROR(MAX($T$11+$T$12*LN(Table135[[#This Row],[Frac ADV]]),0),0)*0.0001+0.005/Table135[[#This Row],[Stock Price]]+Table135[[#This Row],[Expense Ratio]]</f>
        <v>2.3553832521045637E-3</v>
      </c>
      <c r="M102" s="68">
        <f>(Table135[[#This Row],[Expected Return]]-Table135[[#This Row],[Tcosts]])*Table135[[#This Row],[Investment]]</f>
        <v>0</v>
      </c>
      <c r="Q102" s="13" t="s">
        <v>491</v>
      </c>
    </row>
    <row r="103" spans="1:17" ht="15.6" x14ac:dyDescent="0.3">
      <c r="A103" s="79" t="s">
        <v>531</v>
      </c>
      <c r="B103" s="74" t="s">
        <v>532</v>
      </c>
      <c r="C103" s="74">
        <v>36.07</v>
      </c>
      <c r="D103" s="86" t="s">
        <v>533</v>
      </c>
      <c r="E103" s="76">
        <v>2.8999999999999998E-3</v>
      </c>
      <c r="F103" s="74">
        <v>0.66</v>
      </c>
      <c r="G103" s="78">
        <v>280020000</v>
      </c>
      <c r="H103" s="3" t="b">
        <f t="shared" si="3"/>
        <v>0</v>
      </c>
      <c r="I103" s="26">
        <f>Table135[[#This Row],[Tech]]*$T$7+Table135[[#This Row],[Beta]]*($T$6-$T$8)+$T$8</f>
        <v>7.8376000000000001E-2</v>
      </c>
      <c r="J103" s="64">
        <v>0</v>
      </c>
      <c r="K103" s="61">
        <f>Table135[[#This Row],[Investment]]/Table135[[#This Row],[Dollar Volume]]</f>
        <v>0</v>
      </c>
      <c r="L103" s="34">
        <f>IFERROR(MAX($T$11+$T$12*LN(Table135[[#This Row],[Frac ADV]]),0),0)*0.0001+0.005/Table135[[#This Row],[Stock Price]]+Table135[[#This Row],[Expense Ratio]]</f>
        <v>3.038619351261436E-3</v>
      </c>
      <c r="M103" s="68">
        <f>(Table135[[#This Row],[Expected Return]]-Table135[[#This Row],[Tcosts]])*Table135[[#This Row],[Investment]]</f>
        <v>0</v>
      </c>
      <c r="Q103" s="16" t="s">
        <v>495</v>
      </c>
    </row>
    <row r="104" spans="1:17" ht="15.6" x14ac:dyDescent="0.3">
      <c r="A104" s="77" t="s">
        <v>324</v>
      </c>
      <c r="B104" s="73" t="s">
        <v>325</v>
      </c>
      <c r="C104" s="73">
        <v>151.69999999999999</v>
      </c>
      <c r="D104" s="85" t="s">
        <v>326</v>
      </c>
      <c r="E104" s="75">
        <v>5.0000000000000001E-4</v>
      </c>
      <c r="F104" s="73">
        <v>0.69</v>
      </c>
      <c r="G104" s="78">
        <v>125040000</v>
      </c>
      <c r="H104" s="3" t="b">
        <f t="shared" si="3"/>
        <v>0</v>
      </c>
      <c r="I104" s="26">
        <f>Table135[[#This Row],[Tech]]*$T$7+Table135[[#This Row],[Beta]]*($T$6-$T$8)+$T$8</f>
        <v>8.0283999999999994E-2</v>
      </c>
      <c r="J104" s="64">
        <v>0</v>
      </c>
      <c r="K104" s="61">
        <f>Table135[[#This Row],[Investment]]/Table135[[#This Row],[Dollar Volume]]</f>
        <v>0</v>
      </c>
      <c r="L104" s="34">
        <f>IFERROR(MAX($T$11+$T$12*LN(Table135[[#This Row],[Frac ADV]]),0),0)*0.0001+0.005/Table135[[#This Row],[Stock Price]]+Table135[[#This Row],[Expense Ratio]]</f>
        <v>5.3295978905735001E-4</v>
      </c>
      <c r="M104" s="68">
        <f>(Table135[[#This Row],[Expected Return]]-Table135[[#This Row],[Tcosts]])*Table135[[#This Row],[Investment]]</f>
        <v>0</v>
      </c>
      <c r="Q104" s="13" t="s">
        <v>498</v>
      </c>
    </row>
    <row r="105" spans="1:17" ht="15.6" x14ac:dyDescent="0.3">
      <c r="A105" s="79" t="s">
        <v>543</v>
      </c>
      <c r="B105" s="74" t="s">
        <v>544</v>
      </c>
      <c r="C105" s="74">
        <v>89.17</v>
      </c>
      <c r="D105" s="86" t="s">
        <v>545</v>
      </c>
      <c r="E105" s="76">
        <v>4.0000000000000002E-4</v>
      </c>
      <c r="F105" s="74">
        <v>0.71</v>
      </c>
      <c r="G105" s="78">
        <v>224410000</v>
      </c>
      <c r="H105" s="3" t="b">
        <f t="shared" si="3"/>
        <v>0</v>
      </c>
      <c r="I105" s="26">
        <f>Table135[[#This Row],[Tech]]*$T$7+Table135[[#This Row],[Beta]]*($T$6-$T$8)+$T$8</f>
        <v>8.1556000000000003E-2</v>
      </c>
      <c r="J105" s="64">
        <v>0</v>
      </c>
      <c r="K105" s="61">
        <f>Table135[[#This Row],[Investment]]/Table135[[#This Row],[Dollar Volume]]</f>
        <v>0</v>
      </c>
      <c r="L105" s="34">
        <f>IFERROR(MAX($T$11+$T$12*LN(Table135[[#This Row],[Frac ADV]]),0),0)*0.0001+0.005/Table135[[#This Row],[Stock Price]]+Table135[[#This Row],[Expense Ratio]]</f>
        <v>4.5607267018055403E-4</v>
      </c>
      <c r="M105" s="68">
        <f>(Table135[[#This Row],[Expected Return]]-Table135[[#This Row],[Tcosts]])*Table135[[#This Row],[Investment]]</f>
        <v>0</v>
      </c>
      <c r="Q105" s="16" t="s">
        <v>502</v>
      </c>
    </row>
    <row r="106" spans="1:17" ht="15.6" x14ac:dyDescent="0.3">
      <c r="A106" s="77" t="s">
        <v>507</v>
      </c>
      <c r="B106" s="73" t="s">
        <v>508</v>
      </c>
      <c r="C106" s="73">
        <v>222.21</v>
      </c>
      <c r="D106" s="85" t="s">
        <v>509</v>
      </c>
      <c r="E106" s="75">
        <v>1.8E-3</v>
      </c>
      <c r="F106" s="73">
        <v>0.75</v>
      </c>
      <c r="G106" s="78">
        <v>153360000</v>
      </c>
      <c r="H106" s="3" t="b">
        <f t="shared" si="3"/>
        <v>0</v>
      </c>
      <c r="I106" s="26">
        <f>Table135[[#This Row],[Tech]]*$T$7+Table135[[#This Row],[Beta]]*($T$6-$T$8)+$T$8</f>
        <v>8.4100000000000008E-2</v>
      </c>
      <c r="J106" s="64">
        <v>0</v>
      </c>
      <c r="K106" s="61">
        <f>Table135[[#This Row],[Investment]]/Table135[[#This Row],[Dollar Volume]]</f>
        <v>0</v>
      </c>
      <c r="L106" s="34">
        <f>IFERROR(MAX($T$11+$T$12*LN(Table135[[#This Row],[Frac ADV]]),0),0)*0.0001+0.005/Table135[[#This Row],[Stock Price]]+Table135[[#This Row],[Expense Ratio]]</f>
        <v>1.8225012375680662E-3</v>
      </c>
      <c r="M106" s="68">
        <f>(Table135[[#This Row],[Expected Return]]-Table135[[#This Row],[Tcosts]])*Table135[[#This Row],[Investment]]</f>
        <v>0</v>
      </c>
      <c r="Q106" s="13" t="s">
        <v>506</v>
      </c>
    </row>
    <row r="107" spans="1:17" ht="15.6" x14ac:dyDescent="0.3">
      <c r="A107" s="79" t="s">
        <v>233</v>
      </c>
      <c r="B107" s="74" t="s">
        <v>234</v>
      </c>
      <c r="C107" s="74">
        <v>226.52</v>
      </c>
      <c r="D107" s="86" t="s">
        <v>235</v>
      </c>
      <c r="E107" s="76">
        <v>4.0000000000000002E-4</v>
      </c>
      <c r="F107" s="74">
        <v>0.78</v>
      </c>
      <c r="G107" s="78">
        <v>511880000</v>
      </c>
      <c r="H107" s="3" t="b">
        <f t="shared" si="3"/>
        <v>0</v>
      </c>
      <c r="I107" s="26">
        <f>Table135[[#This Row],[Tech]]*$T$7+Table135[[#This Row],[Beta]]*($T$6-$T$8)+$T$8</f>
        <v>8.6008000000000001E-2</v>
      </c>
      <c r="J107" s="64">
        <v>0</v>
      </c>
      <c r="K107" s="61">
        <f>Table135[[#This Row],[Investment]]/Table135[[#This Row],[Dollar Volume]]</f>
        <v>0</v>
      </c>
      <c r="L107" s="34">
        <f>IFERROR(MAX($T$11+$T$12*LN(Table135[[#This Row],[Frac ADV]]),0),0)*0.0001+0.005/Table135[[#This Row],[Stock Price]]+Table135[[#This Row],[Expense Ratio]]</f>
        <v>4.2207310612749429E-4</v>
      </c>
      <c r="M107" s="68">
        <f>(Table135[[#This Row],[Expected Return]]-Table135[[#This Row],[Tcosts]])*Table135[[#This Row],[Investment]]</f>
        <v>0</v>
      </c>
      <c r="Q107" s="16" t="s">
        <v>510</v>
      </c>
    </row>
    <row r="108" spans="1:17" ht="15.6" x14ac:dyDescent="0.3">
      <c r="A108" s="77" t="s">
        <v>587</v>
      </c>
      <c r="B108" s="73" t="s">
        <v>588</v>
      </c>
      <c r="C108" s="73">
        <v>83.77</v>
      </c>
      <c r="D108" s="85" t="s">
        <v>589</v>
      </c>
      <c r="E108" s="75">
        <v>2.5000000000000001E-3</v>
      </c>
      <c r="F108" s="73">
        <v>0.73</v>
      </c>
      <c r="G108" s="78">
        <v>98130000</v>
      </c>
      <c r="H108" s="3" t="b">
        <f t="shared" si="3"/>
        <v>0</v>
      </c>
      <c r="I108" s="26">
        <f>Table135[[#This Row],[Tech]]*$T$7+Table135[[#This Row],[Beta]]*($T$6-$T$8)+$T$8</f>
        <v>8.2828000000000013E-2</v>
      </c>
      <c r="J108" s="64">
        <v>0</v>
      </c>
      <c r="K108" s="61">
        <f>Table135[[#This Row],[Investment]]/Table135[[#This Row],[Dollar Volume]]</f>
        <v>0</v>
      </c>
      <c r="L108" s="34">
        <f>IFERROR(MAX($T$11+$T$12*LN(Table135[[#This Row],[Frac ADV]]),0),0)*0.0001+0.005/Table135[[#This Row],[Stock Price]]+Table135[[#This Row],[Expense Ratio]]</f>
        <v>2.5596872388683302E-3</v>
      </c>
      <c r="M108" s="68">
        <f>(Table135[[#This Row],[Expected Return]]-Table135[[#This Row],[Tcosts]])*Table135[[#This Row],[Investment]]</f>
        <v>0</v>
      </c>
      <c r="Q108" s="13" t="s">
        <v>514</v>
      </c>
    </row>
    <row r="109" spans="1:17" ht="15.6" x14ac:dyDescent="0.3">
      <c r="A109" s="79" t="s">
        <v>464</v>
      </c>
      <c r="B109" s="74" t="s">
        <v>465</v>
      </c>
      <c r="C109" s="74">
        <v>97.2</v>
      </c>
      <c r="D109" s="86" t="s">
        <v>466</v>
      </c>
      <c r="E109" s="76">
        <v>6.9999999999999999E-4</v>
      </c>
      <c r="F109" s="74">
        <v>0.73</v>
      </c>
      <c r="G109" s="78">
        <v>1900000000</v>
      </c>
      <c r="H109" s="3" t="b">
        <f t="shared" si="3"/>
        <v>0</v>
      </c>
      <c r="I109" s="26">
        <f>Table135[[#This Row],[Tech]]*$T$7+Table135[[#This Row],[Beta]]*($T$6-$T$8)+$T$8</f>
        <v>8.2828000000000013E-2</v>
      </c>
      <c r="J109" s="64">
        <v>0</v>
      </c>
      <c r="K109" s="61">
        <f>Table135[[#This Row],[Investment]]/Table135[[#This Row],[Dollar Volume]]</f>
        <v>0</v>
      </c>
      <c r="L109" s="34">
        <f>IFERROR(MAX($T$11+$T$12*LN(Table135[[#This Row],[Frac ADV]]),0),0)*0.0001+0.005/Table135[[#This Row],[Stock Price]]+Table135[[#This Row],[Expense Ratio]]</f>
        <v>7.5144032921810701E-4</v>
      </c>
      <c r="M109" s="68">
        <f>(Table135[[#This Row],[Expected Return]]-Table135[[#This Row],[Tcosts]])*Table135[[#This Row],[Investment]]</f>
        <v>0</v>
      </c>
      <c r="Q109" s="16" t="s">
        <v>518</v>
      </c>
    </row>
    <row r="110" spans="1:17" ht="15.6" x14ac:dyDescent="0.3">
      <c r="A110" s="77" t="s">
        <v>527</v>
      </c>
      <c r="B110" s="73" t="s">
        <v>528</v>
      </c>
      <c r="C110" s="73">
        <v>150.43</v>
      </c>
      <c r="D110" s="85" t="s">
        <v>529</v>
      </c>
      <c r="E110" s="75">
        <v>2.3E-3</v>
      </c>
      <c r="F110" s="73">
        <v>0.77</v>
      </c>
      <c r="G110" s="78">
        <v>126450000</v>
      </c>
      <c r="H110" s="3" t="b">
        <f t="shared" si="3"/>
        <v>0</v>
      </c>
      <c r="I110" s="26">
        <f>Table135[[#This Row],[Tech]]*$T$7+Table135[[#This Row],[Beta]]*($T$6-$T$8)+$T$8</f>
        <v>8.5372000000000003E-2</v>
      </c>
      <c r="J110" s="64">
        <v>0</v>
      </c>
      <c r="K110" s="61">
        <f>Table135[[#This Row],[Investment]]/Table135[[#This Row],[Dollar Volume]]</f>
        <v>0</v>
      </c>
      <c r="L110" s="34">
        <f>IFERROR(MAX($T$11+$T$12*LN(Table135[[#This Row],[Frac ADV]]),0),0)*0.0001+0.005/Table135[[#This Row],[Stock Price]]+Table135[[#This Row],[Expense Ratio]]</f>
        <v>2.3332380509206939E-3</v>
      </c>
      <c r="M110" s="68">
        <f>(Table135[[#This Row],[Expected Return]]-Table135[[#This Row],[Tcosts]])*Table135[[#This Row],[Investment]]</f>
        <v>0</v>
      </c>
      <c r="Q110" s="13" t="s">
        <v>522</v>
      </c>
    </row>
    <row r="111" spans="1:17" ht="15.6" x14ac:dyDescent="0.3">
      <c r="A111" s="79" t="s">
        <v>583</v>
      </c>
      <c r="B111" s="74" t="s">
        <v>584</v>
      </c>
      <c r="C111" s="74">
        <v>85.95</v>
      </c>
      <c r="D111" s="86" t="s">
        <v>585</v>
      </c>
      <c r="E111" s="76">
        <v>3.3E-3</v>
      </c>
      <c r="F111" s="74">
        <v>0.69</v>
      </c>
      <c r="G111" s="78">
        <v>140740000</v>
      </c>
      <c r="H111" s="3" t="b">
        <f t="shared" si="3"/>
        <v>0</v>
      </c>
      <c r="I111" s="26">
        <f>Table135[[#This Row],[Tech]]*$T$7+Table135[[#This Row],[Beta]]*($T$6-$T$8)+$T$8</f>
        <v>8.0283999999999994E-2</v>
      </c>
      <c r="J111" s="64">
        <v>0</v>
      </c>
      <c r="K111" s="61">
        <f>Table135[[#This Row],[Investment]]/Table135[[#This Row],[Dollar Volume]]</f>
        <v>0</v>
      </c>
      <c r="L111" s="34">
        <f>IFERROR(MAX($T$11+$T$12*LN(Table135[[#This Row],[Frac ADV]]),0),0)*0.0001+0.005/Table135[[#This Row],[Stock Price]]+Table135[[#This Row],[Expense Ratio]]</f>
        <v>3.3581733566026761E-3</v>
      </c>
      <c r="M111" s="68">
        <f>(Table135[[#This Row],[Expected Return]]-Table135[[#This Row],[Tcosts]])*Table135[[#This Row],[Investment]]</f>
        <v>0</v>
      </c>
      <c r="Q111" s="16" t="s">
        <v>526</v>
      </c>
    </row>
    <row r="112" spans="1:17" ht="15.6" x14ac:dyDescent="0.3">
      <c r="A112" s="77" t="s">
        <v>424</v>
      </c>
      <c r="B112" s="73" t="s">
        <v>425</v>
      </c>
      <c r="C112" s="73">
        <v>31.85</v>
      </c>
      <c r="D112" s="85" t="s">
        <v>426</v>
      </c>
      <c r="E112" s="75">
        <v>4.0000000000000002E-4</v>
      </c>
      <c r="F112" s="73">
        <v>0.72</v>
      </c>
      <c r="G112" s="78">
        <v>3310000000</v>
      </c>
      <c r="H112" s="3" t="b">
        <f t="shared" si="3"/>
        <v>0</v>
      </c>
      <c r="I112" s="26">
        <f>Table135[[#This Row],[Tech]]*$T$7+Table135[[#This Row],[Beta]]*($T$6-$T$8)+$T$8</f>
        <v>8.2192000000000001E-2</v>
      </c>
      <c r="J112" s="64">
        <v>0</v>
      </c>
      <c r="K112" s="61">
        <f>Table135[[#This Row],[Investment]]/Table135[[#This Row],[Dollar Volume]]</f>
        <v>0</v>
      </c>
      <c r="L112" s="34">
        <f>IFERROR(MAX($T$11+$T$12*LN(Table135[[#This Row],[Frac ADV]]),0),0)*0.0001+0.005/Table135[[#This Row],[Stock Price]]+Table135[[#This Row],[Expense Ratio]]</f>
        <v>5.5698587127158555E-4</v>
      </c>
      <c r="M112" s="68">
        <f>(Table135[[#This Row],[Expected Return]]-Table135[[#This Row],[Tcosts]])*Table135[[#This Row],[Investment]]</f>
        <v>0</v>
      </c>
      <c r="Q112" s="13" t="s">
        <v>530</v>
      </c>
    </row>
    <row r="113" spans="1:17" ht="15.6" x14ac:dyDescent="0.3">
      <c r="A113" s="79" t="s">
        <v>661</v>
      </c>
      <c r="B113" s="74" t="s">
        <v>662</v>
      </c>
      <c r="C113" s="74">
        <v>60.86</v>
      </c>
      <c r="D113" s="86" t="s">
        <v>663</v>
      </c>
      <c r="E113" s="76">
        <v>7.1999999999999998E-3</v>
      </c>
      <c r="F113" s="74">
        <v>0.71</v>
      </c>
      <c r="G113" s="78">
        <v>2060000000</v>
      </c>
      <c r="H113" s="3" t="b">
        <f t="shared" si="3"/>
        <v>0</v>
      </c>
      <c r="I113" s="26">
        <f>Table135[[#This Row],[Tech]]*$T$7+Table135[[#This Row],[Beta]]*($T$6-$T$8)+$T$8</f>
        <v>8.1556000000000003E-2</v>
      </c>
      <c r="J113" s="64">
        <v>0</v>
      </c>
      <c r="K113" s="61">
        <f>Table135[[#This Row],[Investment]]/Table135[[#This Row],[Dollar Volume]]</f>
        <v>0</v>
      </c>
      <c r="L113" s="34">
        <f>IFERROR(MAX($T$11+$T$12*LN(Table135[[#This Row],[Frac ADV]]),0),0)*0.0001+0.005/Table135[[#This Row],[Stock Price]]+Table135[[#This Row],[Expense Ratio]]</f>
        <v>7.2821557673348669E-3</v>
      </c>
      <c r="M113" s="68">
        <f>(Table135[[#This Row],[Expected Return]]-Table135[[#This Row],[Tcosts]])*Table135[[#This Row],[Investment]]</f>
        <v>0</v>
      </c>
      <c r="Q113" s="16" t="s">
        <v>534</v>
      </c>
    </row>
    <row r="114" spans="1:17" ht="15.6" x14ac:dyDescent="0.3">
      <c r="A114" s="77" t="s">
        <v>480</v>
      </c>
      <c r="B114" s="73" t="s">
        <v>481</v>
      </c>
      <c r="C114" s="73">
        <v>154.59</v>
      </c>
      <c r="D114" s="85" t="s">
        <v>482</v>
      </c>
      <c r="E114" s="75">
        <v>4.0000000000000002E-4</v>
      </c>
      <c r="F114" s="73">
        <v>0.74</v>
      </c>
      <c r="G114" s="78">
        <v>70210000</v>
      </c>
      <c r="H114" s="3" t="b">
        <f t="shared" si="3"/>
        <v>0</v>
      </c>
      <c r="I114" s="26">
        <f>Table135[[#This Row],[Tech]]*$T$7+Table135[[#This Row],[Beta]]*($T$6-$T$8)+$T$8</f>
        <v>8.346400000000001E-2</v>
      </c>
      <c r="J114" s="64">
        <v>0</v>
      </c>
      <c r="K114" s="61">
        <f>Table135[[#This Row],[Investment]]/Table135[[#This Row],[Dollar Volume]]</f>
        <v>0</v>
      </c>
      <c r="L114" s="34">
        <f>IFERROR(MAX($T$11+$T$12*LN(Table135[[#This Row],[Frac ADV]]),0),0)*0.0001+0.005/Table135[[#This Row],[Stock Price]]+Table135[[#This Row],[Expense Ratio]]</f>
        <v>4.3234361860404946E-4</v>
      </c>
      <c r="M114" s="68">
        <f>(Table135[[#This Row],[Expected Return]]-Table135[[#This Row],[Tcosts]])*Table135[[#This Row],[Investment]]</f>
        <v>0</v>
      </c>
      <c r="Q114" s="13" t="s">
        <v>538</v>
      </c>
    </row>
    <row r="115" spans="1:17" ht="15.6" x14ac:dyDescent="0.3">
      <c r="A115" s="79" t="s">
        <v>567</v>
      </c>
      <c r="B115" s="74" t="s">
        <v>568</v>
      </c>
      <c r="C115" s="74">
        <v>41.46</v>
      </c>
      <c r="D115" s="86" t="s">
        <v>569</v>
      </c>
      <c r="E115" s="76">
        <v>1.8E-3</v>
      </c>
      <c r="F115" s="74">
        <v>0.68</v>
      </c>
      <c r="G115" s="78">
        <v>86740000</v>
      </c>
      <c r="H115" s="3" t="b">
        <f t="shared" si="3"/>
        <v>0</v>
      </c>
      <c r="I115" s="26">
        <f>Table135[[#This Row],[Tech]]*$T$7+Table135[[#This Row],[Beta]]*($T$6-$T$8)+$T$8</f>
        <v>7.964800000000001E-2</v>
      </c>
      <c r="J115" s="64">
        <v>0</v>
      </c>
      <c r="K115" s="61">
        <f>Table135[[#This Row],[Investment]]/Table135[[#This Row],[Dollar Volume]]</f>
        <v>0</v>
      </c>
      <c r="L115" s="34">
        <f>IFERROR(MAX($T$11+$T$12*LN(Table135[[#This Row],[Frac ADV]]),0),0)*0.0001+0.005/Table135[[#This Row],[Stock Price]]+Table135[[#This Row],[Expense Ratio]]</f>
        <v>1.9205981669078629E-3</v>
      </c>
      <c r="M115" s="68">
        <f>(Table135[[#This Row],[Expected Return]]-Table135[[#This Row],[Tcosts]])*Table135[[#This Row],[Investment]]</f>
        <v>0</v>
      </c>
      <c r="Q115" s="16" t="s">
        <v>542</v>
      </c>
    </row>
    <row r="116" spans="1:17" ht="15.6" x14ac:dyDescent="0.3">
      <c r="A116" s="79" t="s">
        <v>638</v>
      </c>
      <c r="B116" s="74" t="s">
        <v>639</v>
      </c>
      <c r="C116" s="74">
        <v>55.21</v>
      </c>
      <c r="D116" s="86" t="s">
        <v>640</v>
      </c>
      <c r="E116" s="76">
        <v>2.7000000000000001E-3</v>
      </c>
      <c r="F116" s="74">
        <v>0.67</v>
      </c>
      <c r="G116" s="78">
        <v>45870000</v>
      </c>
      <c r="H116" s="3" t="b">
        <f t="shared" si="3"/>
        <v>0</v>
      </c>
      <c r="I116" s="26">
        <f>Table135[[#This Row],[Tech]]*$T$7+Table135[[#This Row],[Beta]]*($T$6-$T$8)+$T$8</f>
        <v>7.9011999999999999E-2</v>
      </c>
      <c r="J116" s="64">
        <v>0</v>
      </c>
      <c r="K116" s="61">
        <f>Table135[[#This Row],[Investment]]/Table135[[#This Row],[Dollar Volume]]</f>
        <v>0</v>
      </c>
      <c r="L116" s="34">
        <f>IFERROR(MAX($T$11+$T$12*LN(Table135[[#This Row],[Frac ADV]]),0),0)*0.0001+0.005/Table135[[#This Row],[Stock Price]]+Table135[[#This Row],[Expense Ratio]]</f>
        <v>2.7905633037493211E-3</v>
      </c>
      <c r="M116" s="68">
        <f>(Table135[[#This Row],[Expected Return]]-Table135[[#This Row],[Tcosts]])*Table135[[#This Row],[Investment]]</f>
        <v>0</v>
      </c>
      <c r="Q116" s="13" t="s">
        <v>546</v>
      </c>
    </row>
    <row r="117" spans="1:17" ht="15.6" x14ac:dyDescent="0.3">
      <c r="A117" s="79" t="s">
        <v>614</v>
      </c>
      <c r="B117" s="74" t="s">
        <v>615</v>
      </c>
      <c r="C117" s="74">
        <v>51.15</v>
      </c>
      <c r="D117" s="86" t="s">
        <v>616</v>
      </c>
      <c r="E117" s="76">
        <v>2.5000000000000001E-3</v>
      </c>
      <c r="F117" s="74">
        <v>0.67</v>
      </c>
      <c r="G117" s="78">
        <v>264190000</v>
      </c>
      <c r="H117" s="3" t="b">
        <f t="shared" si="3"/>
        <v>0</v>
      </c>
      <c r="I117" s="26">
        <f>Table135[[#This Row],[Tech]]*$T$7+Table135[[#This Row],[Beta]]*($T$6-$T$8)+$T$8</f>
        <v>7.9011999999999999E-2</v>
      </c>
      <c r="J117" s="64">
        <v>0</v>
      </c>
      <c r="K117" s="61">
        <f>Table135[[#This Row],[Investment]]/Table135[[#This Row],[Dollar Volume]]</f>
        <v>0</v>
      </c>
      <c r="L117" s="34">
        <f>IFERROR(MAX($T$11+$T$12*LN(Table135[[#This Row],[Frac ADV]]),0),0)*0.0001+0.005/Table135[[#This Row],[Stock Price]]+Table135[[#This Row],[Expense Ratio]]</f>
        <v>2.5977517106549365E-3</v>
      </c>
      <c r="M117" s="68">
        <f>(Table135[[#This Row],[Expected Return]]-Table135[[#This Row],[Tcosts]])*Table135[[#This Row],[Investment]]</f>
        <v>0</v>
      </c>
      <c r="Q117" s="16" t="s">
        <v>550</v>
      </c>
    </row>
    <row r="118" spans="1:17" ht="15.6" x14ac:dyDescent="0.3">
      <c r="A118" s="79" t="s">
        <v>503</v>
      </c>
      <c r="B118" s="74" t="s">
        <v>504</v>
      </c>
      <c r="C118" s="74">
        <v>97.52</v>
      </c>
      <c r="D118" s="86" t="s">
        <v>505</v>
      </c>
      <c r="E118" s="76">
        <v>5.9999999999999995E-4</v>
      </c>
      <c r="F118" s="74">
        <v>0.76</v>
      </c>
      <c r="G118" s="78">
        <v>62990000</v>
      </c>
      <c r="H118" s="3" t="b">
        <f t="shared" si="3"/>
        <v>0</v>
      </c>
      <c r="I118" s="26">
        <f>Table135[[#This Row],[Tech]]*$T$7+Table135[[#This Row],[Beta]]*($T$6-$T$8)+$T$8</f>
        <v>8.4736000000000006E-2</v>
      </c>
      <c r="J118" s="64">
        <v>0</v>
      </c>
      <c r="K118" s="61">
        <f>Table135[[#This Row],[Investment]]/Table135[[#This Row],[Dollar Volume]]</f>
        <v>0</v>
      </c>
      <c r="L118" s="34">
        <f>IFERROR(MAX($T$11+$T$12*LN(Table135[[#This Row],[Frac ADV]]),0),0)*0.0001+0.005/Table135[[#This Row],[Stock Price]]+Table135[[#This Row],[Expense Ratio]]</f>
        <v>6.5127153404429851E-4</v>
      </c>
      <c r="M118" s="68">
        <f>(Table135[[#This Row],[Expected Return]]-Table135[[#This Row],[Tcosts]])*Table135[[#This Row],[Investment]]</f>
        <v>0</v>
      </c>
      <c r="Q118" s="13" t="s">
        <v>554</v>
      </c>
    </row>
    <row r="119" spans="1:17" ht="15.6" x14ac:dyDescent="0.3">
      <c r="A119" s="77" t="s">
        <v>352</v>
      </c>
      <c r="B119" s="73" t="s">
        <v>353</v>
      </c>
      <c r="C119" s="73">
        <v>190.07</v>
      </c>
      <c r="D119" s="85" t="s">
        <v>354</v>
      </c>
      <c r="E119" s="75">
        <v>5.0000000000000001E-4</v>
      </c>
      <c r="F119" s="73">
        <v>0.69</v>
      </c>
      <c r="G119" s="78">
        <v>103250000</v>
      </c>
      <c r="H119" s="3" t="b">
        <f t="shared" si="3"/>
        <v>0</v>
      </c>
      <c r="I119" s="26">
        <f>Table135[[#This Row],[Tech]]*$T$7+Table135[[#This Row],[Beta]]*($T$6-$T$8)+$T$8</f>
        <v>8.0283999999999994E-2</v>
      </c>
      <c r="J119" s="64">
        <v>0</v>
      </c>
      <c r="K119" s="61">
        <f>Table135[[#This Row],[Investment]]/Table135[[#This Row],[Dollar Volume]]</f>
        <v>0</v>
      </c>
      <c r="L119" s="34">
        <f>IFERROR(MAX($T$11+$T$12*LN(Table135[[#This Row],[Frac ADV]]),0),0)*0.0001+0.005/Table135[[#This Row],[Stock Price]]+Table135[[#This Row],[Expense Ratio]]</f>
        <v>5.2630609775345923E-4</v>
      </c>
      <c r="M119" s="68">
        <f>(Table135[[#This Row],[Expected Return]]-Table135[[#This Row],[Tcosts]])*Table135[[#This Row],[Investment]]</f>
        <v>0</v>
      </c>
      <c r="Q119" s="16" t="s">
        <v>558</v>
      </c>
    </row>
    <row r="120" spans="1:17" ht="15.6" x14ac:dyDescent="0.3">
      <c r="A120" s="79" t="s">
        <v>289</v>
      </c>
      <c r="B120" s="74" t="s">
        <v>290</v>
      </c>
      <c r="C120" s="74">
        <v>82.13</v>
      </c>
      <c r="D120" s="86" t="s">
        <v>291</v>
      </c>
      <c r="E120" s="76">
        <v>5.0000000000000001E-4</v>
      </c>
      <c r="F120" s="74">
        <v>0.7</v>
      </c>
      <c r="G120" s="78">
        <v>125690000</v>
      </c>
      <c r="H120" s="3" t="b">
        <f t="shared" si="3"/>
        <v>0</v>
      </c>
      <c r="I120" s="26">
        <f>Table135[[#This Row],[Tech]]*$T$7+Table135[[#This Row],[Beta]]*($T$6-$T$8)+$T$8</f>
        <v>8.0919999999999992E-2</v>
      </c>
      <c r="J120" s="64">
        <v>0</v>
      </c>
      <c r="K120" s="61">
        <f>Table135[[#This Row],[Investment]]/Table135[[#This Row],[Dollar Volume]]</f>
        <v>0</v>
      </c>
      <c r="L120" s="34">
        <f>IFERROR(MAX($T$11+$T$12*LN(Table135[[#This Row],[Frac ADV]]),0),0)*0.0001+0.005/Table135[[#This Row],[Stock Price]]+Table135[[#This Row],[Expense Ratio]]</f>
        <v>5.6087909411907952E-4</v>
      </c>
      <c r="M120" s="68">
        <f>(Table135[[#This Row],[Expected Return]]-Table135[[#This Row],[Tcosts]])*Table135[[#This Row],[Investment]]</f>
        <v>0</v>
      </c>
      <c r="Q120" s="13" t="s">
        <v>562</v>
      </c>
    </row>
    <row r="121" spans="1:17" ht="15.6" x14ac:dyDescent="0.3">
      <c r="A121" s="79" t="s">
        <v>535</v>
      </c>
      <c r="B121" s="74" t="s">
        <v>536</v>
      </c>
      <c r="C121" s="74">
        <v>35.200000000000003</v>
      </c>
      <c r="D121" s="86" t="s">
        <v>537</v>
      </c>
      <c r="E121" s="76">
        <v>6.9999999999999999E-4</v>
      </c>
      <c r="F121" s="74">
        <v>0.67</v>
      </c>
      <c r="G121" s="78">
        <v>327520000</v>
      </c>
      <c r="H121" s="3" t="b">
        <f t="shared" si="3"/>
        <v>0</v>
      </c>
      <c r="I121" s="26">
        <f>Table135[[#This Row],[Tech]]*$T$7+Table135[[#This Row],[Beta]]*($T$6-$T$8)+$T$8</f>
        <v>7.9011999999999999E-2</v>
      </c>
      <c r="J121" s="64">
        <v>0</v>
      </c>
      <c r="K121" s="61">
        <f>Table135[[#This Row],[Investment]]/Table135[[#This Row],[Dollar Volume]]</f>
        <v>0</v>
      </c>
      <c r="L121" s="34">
        <f>IFERROR(MAX($T$11+$T$12*LN(Table135[[#This Row],[Frac ADV]]),0),0)*0.0001+0.005/Table135[[#This Row],[Stock Price]]+Table135[[#This Row],[Expense Ratio]]</f>
        <v>8.4204545454545448E-4</v>
      </c>
      <c r="M121" s="68">
        <f>(Table135[[#This Row],[Expected Return]]-Table135[[#This Row],[Tcosts]])*Table135[[#This Row],[Investment]]</f>
        <v>0</v>
      </c>
      <c r="Q121" s="16" t="s">
        <v>566</v>
      </c>
    </row>
    <row r="122" spans="1:17" ht="15.6" x14ac:dyDescent="0.3">
      <c r="A122" s="79" t="s">
        <v>511</v>
      </c>
      <c r="B122" s="74" t="s">
        <v>512</v>
      </c>
      <c r="C122" s="74">
        <v>80.260000000000005</v>
      </c>
      <c r="D122" s="86" t="s">
        <v>513</v>
      </c>
      <c r="E122" s="76">
        <v>4.0000000000000002E-4</v>
      </c>
      <c r="F122" s="74">
        <v>0.69</v>
      </c>
      <c r="G122" s="78">
        <v>253220000</v>
      </c>
      <c r="H122" s="3" t="b">
        <f t="shared" si="3"/>
        <v>0</v>
      </c>
      <c r="I122" s="26">
        <f>Table135[[#This Row],[Tech]]*$T$7+Table135[[#This Row],[Beta]]*($T$6-$T$8)+$T$8</f>
        <v>8.0283999999999994E-2</v>
      </c>
      <c r="J122" s="64">
        <v>0</v>
      </c>
      <c r="K122" s="61">
        <f>Table135[[#This Row],[Investment]]/Table135[[#This Row],[Dollar Volume]]</f>
        <v>0</v>
      </c>
      <c r="L122" s="34">
        <f>IFERROR(MAX($T$11+$T$12*LN(Table135[[#This Row],[Frac ADV]]),0),0)*0.0001+0.005/Table135[[#This Row],[Stock Price]]+Table135[[#This Row],[Expense Ratio]]</f>
        <v>4.6229753301769251E-4</v>
      </c>
      <c r="M122" s="68">
        <f>(Table135[[#This Row],[Expected Return]]-Table135[[#This Row],[Tcosts]])*Table135[[#This Row],[Investment]]</f>
        <v>0</v>
      </c>
      <c r="Q122" s="13" t="s">
        <v>570</v>
      </c>
    </row>
    <row r="123" spans="1:17" ht="15.6" x14ac:dyDescent="0.3">
      <c r="A123" s="77" t="s">
        <v>484</v>
      </c>
      <c r="B123" s="73" t="s">
        <v>485</v>
      </c>
      <c r="C123" s="73">
        <v>26.4</v>
      </c>
      <c r="D123" s="85" t="s">
        <v>486</v>
      </c>
      <c r="E123" s="75">
        <v>2.9999999999999997E-4</v>
      </c>
      <c r="F123" s="73">
        <v>0.72</v>
      </c>
      <c r="G123" s="78">
        <v>135250000</v>
      </c>
      <c r="H123" s="3" t="b">
        <f t="shared" si="3"/>
        <v>0</v>
      </c>
      <c r="I123" s="26">
        <f>Table135[[#This Row],[Tech]]*$T$7+Table135[[#This Row],[Beta]]*($T$6-$T$8)+$T$8</f>
        <v>8.2192000000000001E-2</v>
      </c>
      <c r="J123" s="64">
        <v>0</v>
      </c>
      <c r="K123" s="61">
        <f>Table135[[#This Row],[Investment]]/Table135[[#This Row],[Dollar Volume]]</f>
        <v>0</v>
      </c>
      <c r="L123" s="34">
        <f>IFERROR(MAX($T$11+$T$12*LN(Table135[[#This Row],[Frac ADV]]),0),0)*0.0001+0.005/Table135[[#This Row],[Stock Price]]+Table135[[#This Row],[Expense Ratio]]</f>
        <v>4.8939393939393945E-4</v>
      </c>
      <c r="M123" s="68">
        <f>(Table135[[#This Row],[Expected Return]]-Table135[[#This Row],[Tcosts]])*Table135[[#This Row],[Investment]]</f>
        <v>0</v>
      </c>
      <c r="Q123" s="16" t="s">
        <v>574</v>
      </c>
    </row>
    <row r="124" spans="1:17" ht="15.6" x14ac:dyDescent="0.3">
      <c r="A124" s="79" t="s">
        <v>496</v>
      </c>
      <c r="B124" s="74" t="s">
        <v>497</v>
      </c>
      <c r="C124" s="74">
        <v>56.91</v>
      </c>
      <c r="D124" s="86" t="s">
        <v>430</v>
      </c>
      <c r="E124" s="76">
        <v>2.5000000000000001E-3</v>
      </c>
      <c r="F124" s="74">
        <v>0.57999999999999996</v>
      </c>
      <c r="G124" s="78">
        <v>161370000</v>
      </c>
      <c r="H124" s="3" t="b">
        <f t="shared" si="3"/>
        <v>0</v>
      </c>
      <c r="I124" s="26">
        <f>Table135[[#This Row],[Tech]]*$T$7+Table135[[#This Row],[Beta]]*($T$6-$T$8)+$T$8</f>
        <v>7.3287999999999992E-2</v>
      </c>
      <c r="J124" s="64">
        <v>0</v>
      </c>
      <c r="K124" s="61">
        <f>Table135[[#This Row],[Investment]]/Table135[[#This Row],[Dollar Volume]]</f>
        <v>0</v>
      </c>
      <c r="L124" s="34">
        <f>IFERROR(MAX($T$11+$T$12*LN(Table135[[#This Row],[Frac ADV]]),0),0)*0.0001+0.005/Table135[[#This Row],[Stock Price]]+Table135[[#This Row],[Expense Ratio]]</f>
        <v>2.5878580214373573E-3</v>
      </c>
      <c r="M124" s="68">
        <f>(Table135[[#This Row],[Expected Return]]-Table135[[#This Row],[Tcosts]])*Table135[[#This Row],[Investment]]</f>
        <v>0</v>
      </c>
      <c r="Q124" s="13" t="s">
        <v>578</v>
      </c>
    </row>
    <row r="125" spans="1:17" ht="15.6" x14ac:dyDescent="0.3">
      <c r="A125" s="79" t="s">
        <v>555</v>
      </c>
      <c r="B125" s="74" t="s">
        <v>556</v>
      </c>
      <c r="C125" s="74">
        <v>48.65</v>
      </c>
      <c r="D125" s="86" t="s">
        <v>557</v>
      </c>
      <c r="E125" s="76">
        <v>2.9999999999999997E-4</v>
      </c>
      <c r="F125" s="74">
        <v>0.69</v>
      </c>
      <c r="G125" s="78">
        <v>132770000</v>
      </c>
      <c r="H125" s="3" t="b">
        <f t="shared" si="3"/>
        <v>0</v>
      </c>
      <c r="I125" s="26">
        <f>Table135[[#This Row],[Tech]]*$T$7+Table135[[#This Row],[Beta]]*($T$6-$T$8)+$T$8</f>
        <v>8.0283999999999994E-2</v>
      </c>
      <c r="J125" s="64">
        <v>0</v>
      </c>
      <c r="K125" s="61">
        <f>Table135[[#This Row],[Investment]]/Table135[[#This Row],[Dollar Volume]]</f>
        <v>0</v>
      </c>
      <c r="L125" s="34">
        <f>IFERROR(MAX($T$11+$T$12*LN(Table135[[#This Row],[Frac ADV]]),0),0)*0.0001+0.005/Table135[[#This Row],[Stock Price]]+Table135[[#This Row],[Expense Ratio]]</f>
        <v>4.0277492291880779E-4</v>
      </c>
      <c r="M125" s="68">
        <f>(Table135[[#This Row],[Expected Return]]-Table135[[#This Row],[Tcosts]])*Table135[[#This Row],[Investment]]</f>
        <v>0</v>
      </c>
      <c r="Q125" s="16" t="s">
        <v>582</v>
      </c>
    </row>
    <row r="126" spans="1:17" ht="15.6" x14ac:dyDescent="0.3">
      <c r="A126" s="79" t="s">
        <v>539</v>
      </c>
      <c r="B126" s="74" t="s">
        <v>540</v>
      </c>
      <c r="C126" s="74">
        <v>68.5</v>
      </c>
      <c r="D126" s="86" t="s">
        <v>541</v>
      </c>
      <c r="E126" s="76">
        <v>2.9999999999999997E-4</v>
      </c>
      <c r="F126" s="74">
        <v>0.71</v>
      </c>
      <c r="G126" s="78">
        <v>134650000</v>
      </c>
      <c r="H126" s="3" t="b">
        <f t="shared" si="3"/>
        <v>0</v>
      </c>
      <c r="I126" s="26">
        <f>Table135[[#This Row],[Tech]]*$T$7+Table135[[#This Row],[Beta]]*($T$6-$T$8)+$T$8</f>
        <v>8.1556000000000003E-2</v>
      </c>
      <c r="J126" s="64">
        <v>0</v>
      </c>
      <c r="K126" s="61">
        <f>Table135[[#This Row],[Investment]]/Table135[[#This Row],[Dollar Volume]]</f>
        <v>0</v>
      </c>
      <c r="L126" s="34">
        <f>IFERROR(MAX($T$11+$T$12*LN(Table135[[#This Row],[Frac ADV]]),0),0)*0.0001+0.005/Table135[[#This Row],[Stock Price]]+Table135[[#This Row],[Expense Ratio]]</f>
        <v>3.7299270072992699E-4</v>
      </c>
      <c r="M126" s="68">
        <f>(Table135[[#This Row],[Expected Return]]-Table135[[#This Row],[Tcosts]])*Table135[[#This Row],[Investment]]</f>
        <v>0</v>
      </c>
      <c r="Q126" s="13" t="s">
        <v>586</v>
      </c>
    </row>
    <row r="127" spans="1:17" ht="15.6" x14ac:dyDescent="0.3">
      <c r="A127" s="79" t="s">
        <v>634</v>
      </c>
      <c r="B127" s="74" t="s">
        <v>635</v>
      </c>
      <c r="C127" s="74">
        <v>48.43</v>
      </c>
      <c r="D127" s="86" t="s">
        <v>636</v>
      </c>
      <c r="E127" s="76">
        <v>3.0000000000000001E-3</v>
      </c>
      <c r="F127" s="74">
        <v>0.67</v>
      </c>
      <c r="G127" s="78">
        <v>97020000</v>
      </c>
      <c r="H127" s="3" t="b">
        <f t="shared" si="3"/>
        <v>0</v>
      </c>
      <c r="I127" s="26">
        <f>Table135[[#This Row],[Tech]]*$T$7+Table135[[#This Row],[Beta]]*($T$6-$T$8)+$T$8</f>
        <v>7.9011999999999999E-2</v>
      </c>
      <c r="J127" s="64">
        <v>0</v>
      </c>
      <c r="K127" s="61">
        <f>Table135[[#This Row],[Investment]]/Table135[[#This Row],[Dollar Volume]]</f>
        <v>0</v>
      </c>
      <c r="L127" s="34">
        <f>IFERROR(MAX($T$11+$T$12*LN(Table135[[#This Row],[Frac ADV]]),0),0)*0.0001+0.005/Table135[[#This Row],[Stock Price]]+Table135[[#This Row],[Expense Ratio]]</f>
        <v>3.1032417922775141E-3</v>
      </c>
      <c r="M127" s="68">
        <f>(Table135[[#This Row],[Expected Return]]-Table135[[#This Row],[Tcosts]])*Table135[[#This Row],[Investment]]</f>
        <v>0</v>
      </c>
      <c r="Q127" s="16" t="s">
        <v>590</v>
      </c>
    </row>
    <row r="128" spans="1:17" ht="15.6" x14ac:dyDescent="0.3">
      <c r="A128" s="79" t="s">
        <v>499</v>
      </c>
      <c r="B128" s="74" t="s">
        <v>500</v>
      </c>
      <c r="C128" s="74">
        <v>204.61</v>
      </c>
      <c r="D128" s="86" t="s">
        <v>501</v>
      </c>
      <c r="E128" s="76">
        <v>2.9999999999999997E-4</v>
      </c>
      <c r="F128" s="74">
        <v>0.69</v>
      </c>
      <c r="G128" s="78">
        <v>55380000</v>
      </c>
      <c r="H128" s="3" t="b">
        <f t="shared" si="3"/>
        <v>0</v>
      </c>
      <c r="I128" s="26">
        <f>Table135[[#This Row],[Tech]]*$T$7+Table135[[#This Row],[Beta]]*($T$6-$T$8)+$T$8</f>
        <v>8.0283999999999994E-2</v>
      </c>
      <c r="J128" s="64">
        <v>0</v>
      </c>
      <c r="K128" s="61">
        <f>Table135[[#This Row],[Investment]]/Table135[[#This Row],[Dollar Volume]]</f>
        <v>0</v>
      </c>
      <c r="L128" s="34">
        <f>IFERROR(MAX($T$11+$T$12*LN(Table135[[#This Row],[Frac ADV]]),0),0)*0.0001+0.005/Table135[[#This Row],[Stock Price]]+Table135[[#This Row],[Expense Ratio]]</f>
        <v>3.2443673329749276E-4</v>
      </c>
      <c r="M128" s="68">
        <f>(Table135[[#This Row],[Expected Return]]-Table135[[#This Row],[Tcosts]])*Table135[[#This Row],[Investment]]</f>
        <v>0</v>
      </c>
      <c r="Q128" s="13" t="s">
        <v>594</v>
      </c>
    </row>
    <row r="129" spans="1:17" ht="15.6" x14ac:dyDescent="0.3">
      <c r="A129" s="77" t="s">
        <v>408</v>
      </c>
      <c r="B129" s="73" t="s">
        <v>409</v>
      </c>
      <c r="C129" s="73">
        <v>156.38999999999999</v>
      </c>
      <c r="D129" s="85" t="s">
        <v>410</v>
      </c>
      <c r="E129" s="75">
        <v>5.9999999999999995E-4</v>
      </c>
      <c r="F129" s="73">
        <v>0.68</v>
      </c>
      <c r="G129" s="78">
        <v>90940000</v>
      </c>
      <c r="H129" s="3" t="b">
        <f t="shared" si="3"/>
        <v>0</v>
      </c>
      <c r="I129" s="26">
        <f>Table135[[#This Row],[Tech]]*$T$7+Table135[[#This Row],[Beta]]*($T$6-$T$8)+$T$8</f>
        <v>7.964800000000001E-2</v>
      </c>
      <c r="J129" s="64">
        <v>0</v>
      </c>
      <c r="K129" s="61">
        <f>Table135[[#This Row],[Investment]]/Table135[[#This Row],[Dollar Volume]]</f>
        <v>0</v>
      </c>
      <c r="L129" s="34">
        <f>IFERROR(MAX($T$11+$T$12*LN(Table135[[#This Row],[Frac ADV]]),0),0)*0.0001+0.005/Table135[[#This Row],[Stock Price]]+Table135[[#This Row],[Expense Ratio]]</f>
        <v>6.319713536671142E-4</v>
      </c>
      <c r="M129" s="68">
        <f>(Table135[[#This Row],[Expected Return]]-Table135[[#This Row],[Tcosts]])*Table135[[#This Row],[Investment]]</f>
        <v>0</v>
      </c>
      <c r="Q129" s="16" t="s">
        <v>598</v>
      </c>
    </row>
    <row r="130" spans="1:17" ht="15.6" x14ac:dyDescent="0.3">
      <c r="A130" s="79" t="s">
        <v>579</v>
      </c>
      <c r="B130" s="74" t="s">
        <v>580</v>
      </c>
      <c r="C130" s="74">
        <v>88.75</v>
      </c>
      <c r="D130" s="86" t="s">
        <v>581</v>
      </c>
      <c r="E130" s="76">
        <v>5.9999999999999995E-4</v>
      </c>
      <c r="F130" s="74">
        <v>0.68</v>
      </c>
      <c r="G130" s="78">
        <v>956440000</v>
      </c>
      <c r="H130" s="3" t="b">
        <f t="shared" ref="H130:H161" si="4">OR(
  ISNUMBER(SEARCH("technology",B130)),
  ISNUMBER(SEARCH("tech",B130)),
  ISNUMBER(SEARCH("qqq",B130)),
  ISNUMBER(SEARCH("semiconductor",B130)),
  ISNUMBER(SEARCH("information technology",B130)),
  ISNUMBER(SEARCH("nasdaq",B130)),
  ISNUMBER(SEARCH("communication",B130))
)</f>
        <v>0</v>
      </c>
      <c r="I130" s="26">
        <f>Table135[[#This Row],[Tech]]*$T$7+Table135[[#This Row],[Beta]]*($T$6-$T$8)+$T$8</f>
        <v>7.964800000000001E-2</v>
      </c>
      <c r="J130" s="64">
        <v>0</v>
      </c>
      <c r="K130" s="61">
        <f>Table135[[#This Row],[Investment]]/Table135[[#This Row],[Dollar Volume]]</f>
        <v>0</v>
      </c>
      <c r="L130" s="34">
        <f>IFERROR(MAX($T$11+$T$12*LN(Table135[[#This Row],[Frac ADV]]),0),0)*0.0001+0.005/Table135[[#This Row],[Stock Price]]+Table135[[#This Row],[Expense Ratio]]</f>
        <v>6.5633802816901401E-4</v>
      </c>
      <c r="M130" s="68">
        <f>(Table135[[#This Row],[Expected Return]]-Table135[[#This Row],[Tcosts]])*Table135[[#This Row],[Investment]]</f>
        <v>0</v>
      </c>
      <c r="Q130" s="13" t="s">
        <v>601</v>
      </c>
    </row>
    <row r="131" spans="1:17" ht="15.6" x14ac:dyDescent="0.3">
      <c r="A131" s="79" t="s">
        <v>448</v>
      </c>
      <c r="B131" s="74" t="s">
        <v>449</v>
      </c>
      <c r="C131" s="74">
        <v>85.05</v>
      </c>
      <c r="D131" s="86" t="s">
        <v>450</v>
      </c>
      <c r="E131" s="76">
        <v>4.0000000000000001E-3</v>
      </c>
      <c r="F131" s="74">
        <v>0.71</v>
      </c>
      <c r="G131" s="78">
        <v>392540000</v>
      </c>
      <c r="H131" s="3" t="b">
        <f t="shared" si="4"/>
        <v>0</v>
      </c>
      <c r="I131" s="26">
        <f>Table135[[#This Row],[Tech]]*$T$7+Table135[[#This Row],[Beta]]*($T$6-$T$8)+$T$8</f>
        <v>8.1556000000000003E-2</v>
      </c>
      <c r="J131" s="64">
        <v>0</v>
      </c>
      <c r="K131" s="61">
        <f>Table135[[#This Row],[Investment]]/Table135[[#This Row],[Dollar Volume]]</f>
        <v>0</v>
      </c>
      <c r="L131" s="34">
        <f>IFERROR(MAX($T$11+$T$12*LN(Table135[[#This Row],[Frac ADV]]),0),0)*0.0001+0.005/Table135[[#This Row],[Stock Price]]+Table135[[#This Row],[Expense Ratio]]</f>
        <v>4.0587889476778371E-3</v>
      </c>
      <c r="M131" s="68">
        <f>(Table135[[#This Row],[Expected Return]]-Table135[[#This Row],[Tcosts]])*Table135[[#This Row],[Investment]]</f>
        <v>0</v>
      </c>
      <c r="Q131" s="16" t="s">
        <v>605</v>
      </c>
    </row>
    <row r="132" spans="1:17" ht="15.6" x14ac:dyDescent="0.3">
      <c r="A132" s="79" t="s">
        <v>650</v>
      </c>
      <c r="B132" s="74" t="s">
        <v>651</v>
      </c>
      <c r="C132" s="74">
        <v>78.88</v>
      </c>
      <c r="D132" s="86" t="s">
        <v>652</v>
      </c>
      <c r="E132" s="76">
        <v>3.3E-3</v>
      </c>
      <c r="F132" s="74">
        <v>0.61</v>
      </c>
      <c r="G132" s="78">
        <v>174030000</v>
      </c>
      <c r="H132" s="3" t="b">
        <f t="shared" si="4"/>
        <v>0</v>
      </c>
      <c r="I132" s="26">
        <f>Table135[[#This Row],[Tech]]*$T$7+Table135[[#This Row],[Beta]]*($T$6-$T$8)+$T$8</f>
        <v>7.5196000000000013E-2</v>
      </c>
      <c r="J132" s="64">
        <v>0</v>
      </c>
      <c r="K132" s="61">
        <f>Table135[[#This Row],[Investment]]/Table135[[#This Row],[Dollar Volume]]</f>
        <v>0</v>
      </c>
      <c r="L132" s="34">
        <f>IFERROR(MAX($T$11+$T$12*LN(Table135[[#This Row],[Frac ADV]]),0),0)*0.0001+0.005/Table135[[#This Row],[Stock Price]]+Table135[[#This Row],[Expense Ratio]]</f>
        <v>3.3633874239350913E-3</v>
      </c>
      <c r="M132" s="68">
        <f>(Table135[[#This Row],[Expected Return]]-Table135[[#This Row],[Tcosts]])*Table135[[#This Row],[Investment]]</f>
        <v>0</v>
      </c>
      <c r="Q132" s="13" t="s">
        <v>609</v>
      </c>
    </row>
    <row r="133" spans="1:17" ht="15.6" x14ac:dyDescent="0.3">
      <c r="A133" s="79" t="s">
        <v>559</v>
      </c>
      <c r="B133" s="74" t="s">
        <v>560</v>
      </c>
      <c r="C133" s="74">
        <v>57.76</v>
      </c>
      <c r="D133" s="86" t="s">
        <v>561</v>
      </c>
      <c r="E133" s="76">
        <v>5.9999999999999995E-4</v>
      </c>
      <c r="F133" s="74">
        <v>0.66</v>
      </c>
      <c r="G133" s="78">
        <v>229180000</v>
      </c>
      <c r="H133" s="3" t="b">
        <f t="shared" si="4"/>
        <v>0</v>
      </c>
      <c r="I133" s="26">
        <f>Table135[[#This Row],[Tech]]*$T$7+Table135[[#This Row],[Beta]]*($T$6-$T$8)+$T$8</f>
        <v>7.8376000000000001E-2</v>
      </c>
      <c r="J133" s="64">
        <v>0</v>
      </c>
      <c r="K133" s="61">
        <f>Table135[[#This Row],[Investment]]/Table135[[#This Row],[Dollar Volume]]</f>
        <v>0</v>
      </c>
      <c r="L133" s="34">
        <f>IFERROR(MAX($T$11+$T$12*LN(Table135[[#This Row],[Frac ADV]]),0),0)*0.0001+0.005/Table135[[#This Row],[Stock Price]]+Table135[[#This Row],[Expense Ratio]]</f>
        <v>6.8656509695290858E-4</v>
      </c>
      <c r="M133" s="68">
        <f>(Table135[[#This Row],[Expected Return]]-Table135[[#This Row],[Tcosts]])*Table135[[#This Row],[Investment]]</f>
        <v>0</v>
      </c>
      <c r="Q133" s="16" t="s">
        <v>613</v>
      </c>
    </row>
    <row r="134" spans="1:17" ht="15.6" x14ac:dyDescent="0.3">
      <c r="A134" s="79" t="s">
        <v>456</v>
      </c>
      <c r="B134" s="74" t="s">
        <v>457</v>
      </c>
      <c r="C134" s="74">
        <v>67.73</v>
      </c>
      <c r="D134" s="86" t="s">
        <v>458</v>
      </c>
      <c r="E134" s="76">
        <v>5.0000000000000001E-3</v>
      </c>
      <c r="F134" s="74">
        <v>0.66</v>
      </c>
      <c r="G134" s="78">
        <v>91260000</v>
      </c>
      <c r="H134" s="3" t="b">
        <f t="shared" si="4"/>
        <v>0</v>
      </c>
      <c r="I134" s="26">
        <f>Table135[[#This Row],[Tech]]*$T$7+Table135[[#This Row],[Beta]]*($T$6-$T$8)+$T$8</f>
        <v>7.8376000000000001E-2</v>
      </c>
      <c r="J134" s="64">
        <v>0</v>
      </c>
      <c r="K134" s="61">
        <f>Table135[[#This Row],[Investment]]/Table135[[#This Row],[Dollar Volume]]</f>
        <v>0</v>
      </c>
      <c r="L134" s="34">
        <f>IFERROR(MAX($T$11+$T$12*LN(Table135[[#This Row],[Frac ADV]]),0),0)*0.0001+0.005/Table135[[#This Row],[Stock Price]]+Table135[[#This Row],[Expense Ratio]]</f>
        <v>5.0738225306363504E-3</v>
      </c>
      <c r="M134" s="68">
        <f>(Table135[[#This Row],[Expected Return]]-Table135[[#This Row],[Tcosts]])*Table135[[#This Row],[Investment]]</f>
        <v>0</v>
      </c>
      <c r="Q134" s="13" t="s">
        <v>617</v>
      </c>
    </row>
    <row r="135" spans="1:17" ht="15.6" x14ac:dyDescent="0.3">
      <c r="A135" s="77" t="s">
        <v>630</v>
      </c>
      <c r="B135" s="73" t="s">
        <v>631</v>
      </c>
      <c r="C135" s="73">
        <v>156.34</v>
      </c>
      <c r="D135" s="85" t="s">
        <v>632</v>
      </c>
      <c r="E135" s="75">
        <v>3.8E-3</v>
      </c>
      <c r="F135" s="73">
        <v>0.61</v>
      </c>
      <c r="G135" s="78">
        <v>96950000</v>
      </c>
      <c r="H135" s="3" t="b">
        <f t="shared" si="4"/>
        <v>0</v>
      </c>
      <c r="I135" s="26">
        <f>Table135[[#This Row],[Tech]]*$T$7+Table135[[#This Row],[Beta]]*($T$6-$T$8)+$T$8</f>
        <v>7.5196000000000013E-2</v>
      </c>
      <c r="J135" s="64">
        <v>0</v>
      </c>
      <c r="K135" s="61">
        <f>Table135[[#This Row],[Investment]]/Table135[[#This Row],[Dollar Volume]]</f>
        <v>0</v>
      </c>
      <c r="L135" s="34">
        <f>IFERROR(MAX($T$11+$T$12*LN(Table135[[#This Row],[Frac ADV]]),0),0)*0.0001+0.005/Table135[[#This Row],[Stock Price]]+Table135[[#This Row],[Expense Ratio]]</f>
        <v>3.83198157861072E-3</v>
      </c>
      <c r="M135" s="68">
        <f>(Table135[[#This Row],[Expected Return]]-Table135[[#This Row],[Tcosts]])*Table135[[#This Row],[Investment]]</f>
        <v>0</v>
      </c>
      <c r="Q135" s="16" t="s">
        <v>621</v>
      </c>
    </row>
    <row r="136" spans="1:17" ht="15.6" x14ac:dyDescent="0.3">
      <c r="A136" s="77" t="s">
        <v>575</v>
      </c>
      <c r="B136" s="73" t="s">
        <v>576</v>
      </c>
      <c r="C136" s="73">
        <v>50.29</v>
      </c>
      <c r="D136" s="85" t="s">
        <v>577</v>
      </c>
      <c r="E136" s="75">
        <v>6.9999999999999999E-4</v>
      </c>
      <c r="F136" s="73">
        <v>0.64</v>
      </c>
      <c r="G136" s="78">
        <v>54550000</v>
      </c>
      <c r="H136" s="3" t="b">
        <f t="shared" si="4"/>
        <v>0</v>
      </c>
      <c r="I136" s="26">
        <f>Table135[[#This Row],[Tech]]*$T$7+Table135[[#This Row],[Beta]]*($T$6-$T$8)+$T$8</f>
        <v>7.7104000000000006E-2</v>
      </c>
      <c r="J136" s="64">
        <v>0</v>
      </c>
      <c r="K136" s="61">
        <f>Table135[[#This Row],[Investment]]/Table135[[#This Row],[Dollar Volume]]</f>
        <v>0</v>
      </c>
      <c r="L136" s="34">
        <f>IFERROR(MAX($T$11+$T$12*LN(Table135[[#This Row],[Frac ADV]]),0),0)*0.0001+0.005/Table135[[#This Row],[Stock Price]]+Table135[[#This Row],[Expense Ratio]]</f>
        <v>7.9942334460131239E-4</v>
      </c>
      <c r="M136" s="68">
        <f>(Table135[[#This Row],[Expected Return]]-Table135[[#This Row],[Tcosts]])*Table135[[#This Row],[Investment]]</f>
        <v>0</v>
      </c>
      <c r="Q136" s="13" t="s">
        <v>625</v>
      </c>
    </row>
    <row r="137" spans="1:17" ht="15.6" x14ac:dyDescent="0.3">
      <c r="A137" s="79" t="s">
        <v>622</v>
      </c>
      <c r="B137" s="74" t="s">
        <v>623</v>
      </c>
      <c r="C137" s="74">
        <v>37.049999999999997</v>
      </c>
      <c r="D137" s="86" t="s">
        <v>624</v>
      </c>
      <c r="E137" s="76">
        <v>2.5000000000000001E-3</v>
      </c>
      <c r="F137" s="74">
        <v>0.59</v>
      </c>
      <c r="G137" s="78">
        <v>3810000000</v>
      </c>
      <c r="H137" s="3" t="b">
        <f t="shared" si="4"/>
        <v>0</v>
      </c>
      <c r="I137" s="26">
        <f>Table135[[#This Row],[Tech]]*$T$7+Table135[[#This Row],[Beta]]*($T$6-$T$8)+$T$8</f>
        <v>7.3924000000000004E-2</v>
      </c>
      <c r="J137" s="64">
        <v>0</v>
      </c>
      <c r="K137" s="61">
        <f>Table135[[#This Row],[Investment]]/Table135[[#This Row],[Dollar Volume]]</f>
        <v>0</v>
      </c>
      <c r="L137" s="34">
        <f>IFERROR(MAX($T$11+$T$12*LN(Table135[[#This Row],[Frac ADV]]),0),0)*0.0001+0.005/Table135[[#This Row],[Stock Price]]+Table135[[#This Row],[Expense Ratio]]</f>
        <v>2.6349527665317138E-3</v>
      </c>
      <c r="M137" s="68">
        <f>(Table135[[#This Row],[Expected Return]]-Table135[[#This Row],[Tcosts]])*Table135[[#This Row],[Investment]]</f>
        <v>0</v>
      </c>
      <c r="Q137" s="16" t="s">
        <v>629</v>
      </c>
    </row>
    <row r="138" spans="1:17" ht="15.6" x14ac:dyDescent="0.3">
      <c r="A138" s="79" t="s">
        <v>642</v>
      </c>
      <c r="B138" s="74" t="s">
        <v>643</v>
      </c>
      <c r="C138" s="74">
        <v>59.01</v>
      </c>
      <c r="D138" s="86" t="s">
        <v>644</v>
      </c>
      <c r="E138" s="76">
        <v>3.5000000000000001E-3</v>
      </c>
      <c r="F138" s="74">
        <v>0.61</v>
      </c>
      <c r="G138" s="78">
        <v>96500000</v>
      </c>
      <c r="H138" s="3" t="b">
        <f t="shared" si="4"/>
        <v>0</v>
      </c>
      <c r="I138" s="26">
        <f>Table135[[#This Row],[Tech]]*$T$7+Table135[[#This Row],[Beta]]*($T$6-$T$8)+$T$8</f>
        <v>7.5196000000000013E-2</v>
      </c>
      <c r="J138" s="64">
        <v>0</v>
      </c>
      <c r="K138" s="61">
        <f>Table135[[#This Row],[Investment]]/Table135[[#This Row],[Dollar Volume]]</f>
        <v>0</v>
      </c>
      <c r="L138" s="34">
        <f>IFERROR(MAX($T$11+$T$12*LN(Table135[[#This Row],[Frac ADV]]),0),0)*0.0001+0.005/Table135[[#This Row],[Stock Price]]+Table135[[#This Row],[Expense Ratio]]</f>
        <v>3.5847314014573802E-3</v>
      </c>
      <c r="M138" s="68">
        <f>(Table135[[#This Row],[Expected Return]]-Table135[[#This Row],[Tcosts]])*Table135[[#This Row],[Investment]]</f>
        <v>0</v>
      </c>
      <c r="Q138" s="13" t="s">
        <v>633</v>
      </c>
    </row>
    <row r="139" spans="1:17" ht="15.6" x14ac:dyDescent="0.3">
      <c r="A139" s="79" t="s">
        <v>618</v>
      </c>
      <c r="B139" s="74" t="s">
        <v>619</v>
      </c>
      <c r="C139" s="74">
        <v>53.98</v>
      </c>
      <c r="D139" s="86" t="s">
        <v>620</v>
      </c>
      <c r="E139" s="76">
        <v>8.0000000000000004E-4</v>
      </c>
      <c r="F139" s="74">
        <v>0.63</v>
      </c>
      <c r="G139" s="78">
        <v>93410000</v>
      </c>
      <c r="H139" s="3" t="b">
        <f t="shared" si="4"/>
        <v>0</v>
      </c>
      <c r="I139" s="26">
        <f>Table135[[#This Row],[Tech]]*$T$7+Table135[[#This Row],[Beta]]*($T$6-$T$8)+$T$8</f>
        <v>7.6468000000000008E-2</v>
      </c>
      <c r="J139" s="64">
        <v>0</v>
      </c>
      <c r="K139" s="61">
        <f>Table135[[#This Row],[Investment]]/Table135[[#This Row],[Dollar Volume]]</f>
        <v>0</v>
      </c>
      <c r="L139" s="34">
        <f>IFERROR(MAX($T$11+$T$12*LN(Table135[[#This Row],[Frac ADV]]),0),0)*0.0001+0.005/Table135[[#This Row],[Stock Price]]+Table135[[#This Row],[Expense Ratio]]</f>
        <v>8.9262689885142655E-4</v>
      </c>
      <c r="M139" s="68">
        <f>(Table135[[#This Row],[Expected Return]]-Table135[[#This Row],[Tcosts]])*Table135[[#This Row],[Investment]]</f>
        <v>0</v>
      </c>
      <c r="Q139" s="16" t="s">
        <v>637</v>
      </c>
    </row>
    <row r="140" spans="1:17" ht="15.6" x14ac:dyDescent="0.3">
      <c r="A140" s="77" t="s">
        <v>646</v>
      </c>
      <c r="B140" s="73" t="s">
        <v>647</v>
      </c>
      <c r="C140" s="73">
        <v>287.81</v>
      </c>
      <c r="D140" s="85" t="s">
        <v>648</v>
      </c>
      <c r="E140" s="75">
        <v>8.9999999999999998E-4</v>
      </c>
      <c r="F140" s="73">
        <v>0.53</v>
      </c>
      <c r="G140" s="78">
        <v>437940000</v>
      </c>
      <c r="H140" s="3" t="b">
        <f t="shared" si="4"/>
        <v>0</v>
      </c>
      <c r="I140" s="26">
        <f>Table135[[#This Row],[Tech]]*$T$7+Table135[[#This Row],[Beta]]*($T$6-$T$8)+$T$8</f>
        <v>7.0108000000000004E-2</v>
      </c>
      <c r="J140" s="64">
        <v>0</v>
      </c>
      <c r="K140" s="61">
        <f>Table135[[#This Row],[Investment]]/Table135[[#This Row],[Dollar Volume]]</f>
        <v>0</v>
      </c>
      <c r="L140" s="34">
        <f>IFERROR(MAX($T$11+$T$12*LN(Table135[[#This Row],[Frac ADV]]),0),0)*0.0001+0.005/Table135[[#This Row],[Stock Price]]+Table135[[#This Row],[Expense Ratio]]</f>
        <v>9.1737257218303734E-4</v>
      </c>
      <c r="M140" s="68">
        <f>(Table135[[#This Row],[Expected Return]]-Table135[[#This Row],[Tcosts]])*Table135[[#This Row],[Investment]]</f>
        <v>0</v>
      </c>
      <c r="Q140" s="13" t="s">
        <v>641</v>
      </c>
    </row>
    <row r="141" spans="1:17" ht="15.6" x14ac:dyDescent="0.3">
      <c r="A141" s="77" t="s">
        <v>610</v>
      </c>
      <c r="B141" s="73" t="s">
        <v>611</v>
      </c>
      <c r="C141" s="73">
        <v>138.38999999999999</v>
      </c>
      <c r="D141" s="85" t="s">
        <v>612</v>
      </c>
      <c r="E141" s="75">
        <v>8.0000000000000004E-4</v>
      </c>
      <c r="F141" s="73">
        <v>0.35</v>
      </c>
      <c r="G141" s="78">
        <v>3150000000</v>
      </c>
      <c r="H141" s="3" t="b">
        <f t="shared" si="4"/>
        <v>0</v>
      </c>
      <c r="I141" s="26">
        <f>Table135[[#This Row],[Tech]]*$T$7+Table135[[#This Row],[Beta]]*($T$6-$T$8)+$T$8</f>
        <v>5.8660000000000004E-2</v>
      </c>
      <c r="J141" s="64">
        <v>0</v>
      </c>
      <c r="K141" s="61">
        <f>Table135[[#This Row],[Investment]]/Table135[[#This Row],[Dollar Volume]]</f>
        <v>0</v>
      </c>
      <c r="L141" s="34">
        <f>IFERROR(MAX($T$11+$T$12*LN(Table135[[#This Row],[Frac ADV]]),0),0)*0.0001+0.005/Table135[[#This Row],[Stock Price]]+Table135[[#This Row],[Expense Ratio]]</f>
        <v>8.3612977816316207E-4</v>
      </c>
      <c r="M141" s="68">
        <f>(Table135[[#This Row],[Expected Return]]-Table135[[#This Row],[Tcosts]])*Table135[[#This Row],[Investment]]</f>
        <v>0</v>
      </c>
      <c r="Q141" s="16" t="s">
        <v>645</v>
      </c>
    </row>
    <row r="142" spans="1:17" ht="15.6" x14ac:dyDescent="0.3">
      <c r="A142" s="77" t="s">
        <v>654</v>
      </c>
      <c r="B142" s="73" t="s">
        <v>655</v>
      </c>
      <c r="C142" s="73">
        <v>113.28</v>
      </c>
      <c r="D142" s="85" t="s">
        <v>656</v>
      </c>
      <c r="E142" s="75">
        <v>3.5000000000000001E-3</v>
      </c>
      <c r="F142" s="73">
        <v>0.52</v>
      </c>
      <c r="G142" s="78">
        <v>273110000</v>
      </c>
      <c r="H142" s="3" t="b">
        <f t="shared" si="4"/>
        <v>0</v>
      </c>
      <c r="I142" s="26">
        <f>Table135[[#This Row],[Tech]]*$T$7+Table135[[#This Row],[Beta]]*($T$6-$T$8)+$T$8</f>
        <v>6.9472000000000006E-2</v>
      </c>
      <c r="J142" s="64">
        <v>0</v>
      </c>
      <c r="K142" s="61">
        <f>Table135[[#This Row],[Investment]]/Table135[[#This Row],[Dollar Volume]]</f>
        <v>0</v>
      </c>
      <c r="L142" s="34">
        <f>IFERROR(MAX($T$11+$T$12*LN(Table135[[#This Row],[Frac ADV]]),0),0)*0.0001+0.005/Table135[[#This Row],[Stock Price]]+Table135[[#This Row],[Expense Ratio]]</f>
        <v>3.5441384180790961E-3</v>
      </c>
      <c r="M142" s="68">
        <f>(Table135[[#This Row],[Expected Return]]-Table135[[#This Row],[Tcosts]])*Table135[[#This Row],[Investment]]</f>
        <v>0</v>
      </c>
      <c r="Q142" s="13" t="s">
        <v>649</v>
      </c>
    </row>
    <row r="143" spans="1:17" ht="15.6" x14ac:dyDescent="0.3">
      <c r="A143" s="79" t="s">
        <v>420</v>
      </c>
      <c r="B143" s="74" t="s">
        <v>421</v>
      </c>
      <c r="C143" s="74">
        <v>99.55</v>
      </c>
      <c r="D143" s="86" t="s">
        <v>422</v>
      </c>
      <c r="E143" s="76">
        <v>6.9999999999999999E-4</v>
      </c>
      <c r="F143" s="74">
        <v>0.56000000000000005</v>
      </c>
      <c r="G143" s="78">
        <v>251580000</v>
      </c>
      <c r="H143" s="3" t="b">
        <f t="shared" si="4"/>
        <v>0</v>
      </c>
      <c r="I143" s="26">
        <f>Table135[[#This Row],[Tech]]*$T$7+Table135[[#This Row],[Beta]]*($T$6-$T$8)+$T$8</f>
        <v>7.2016000000000011E-2</v>
      </c>
      <c r="J143" s="64">
        <v>0</v>
      </c>
      <c r="K143" s="61">
        <f>Table135[[#This Row],[Investment]]/Table135[[#This Row],[Dollar Volume]]</f>
        <v>0</v>
      </c>
      <c r="L143" s="34">
        <f>IFERROR(MAX($T$11+$T$12*LN(Table135[[#This Row],[Frac ADV]]),0),0)*0.0001+0.005/Table135[[#This Row],[Stock Price]]+Table135[[#This Row],[Expense Ratio]]</f>
        <v>7.5022601707684579E-4</v>
      </c>
      <c r="M143" s="68">
        <f>(Table135[[#This Row],[Expected Return]]-Table135[[#This Row],[Tcosts]])*Table135[[#This Row],[Investment]]</f>
        <v>0</v>
      </c>
      <c r="Q143" s="16" t="s">
        <v>653</v>
      </c>
    </row>
    <row r="144" spans="1:17" ht="15.6" x14ac:dyDescent="0.3">
      <c r="A144" s="77" t="s">
        <v>673</v>
      </c>
      <c r="B144" s="73" t="s">
        <v>674</v>
      </c>
      <c r="C144" s="73">
        <v>31.34</v>
      </c>
      <c r="D144" s="85" t="s">
        <v>675</v>
      </c>
      <c r="E144" s="75">
        <v>5.9999999999999995E-4</v>
      </c>
      <c r="F144" s="73">
        <v>0.55000000000000004</v>
      </c>
      <c r="G144" s="78">
        <v>87610000</v>
      </c>
      <c r="H144" s="3" t="b">
        <f t="shared" si="4"/>
        <v>0</v>
      </c>
      <c r="I144" s="26">
        <f>Table135[[#This Row],[Tech]]*$T$7+Table135[[#This Row],[Beta]]*($T$6-$T$8)+$T$8</f>
        <v>7.1379999999999999E-2</v>
      </c>
      <c r="J144" s="64">
        <v>0</v>
      </c>
      <c r="K144" s="61">
        <f>Table135[[#This Row],[Investment]]/Table135[[#This Row],[Dollar Volume]]</f>
        <v>0</v>
      </c>
      <c r="L144" s="34">
        <f>IFERROR(MAX($T$11+$T$12*LN(Table135[[#This Row],[Frac ADV]]),0),0)*0.0001+0.005/Table135[[#This Row],[Stock Price]]+Table135[[#This Row],[Expense Ratio]]</f>
        <v>7.5954052329291633E-4</v>
      </c>
      <c r="M144" s="68">
        <f>(Table135[[#This Row],[Expected Return]]-Table135[[#This Row],[Tcosts]])*Table135[[#This Row],[Investment]]</f>
        <v>0</v>
      </c>
      <c r="Q144" s="13" t="s">
        <v>657</v>
      </c>
    </row>
    <row r="145" spans="1:17" ht="15.6" x14ac:dyDescent="0.3">
      <c r="A145" s="79" t="s">
        <v>665</v>
      </c>
      <c r="B145" s="74" t="s">
        <v>666</v>
      </c>
      <c r="C145" s="74">
        <v>98.28</v>
      </c>
      <c r="D145" s="86" t="s">
        <v>667</v>
      </c>
      <c r="E145" s="76">
        <v>5.1000000000000004E-3</v>
      </c>
      <c r="F145" s="74">
        <v>0.53</v>
      </c>
      <c r="G145" s="78">
        <v>178060000</v>
      </c>
      <c r="H145" s="3" t="b">
        <f t="shared" si="4"/>
        <v>0</v>
      </c>
      <c r="I145" s="26">
        <f>Table135[[#This Row],[Tech]]*$T$7+Table135[[#This Row],[Beta]]*($T$6-$T$8)+$T$8</f>
        <v>7.0108000000000004E-2</v>
      </c>
      <c r="J145" s="64">
        <v>0</v>
      </c>
      <c r="K145" s="61">
        <f>Table135[[#This Row],[Investment]]/Table135[[#This Row],[Dollar Volume]]</f>
        <v>0</v>
      </c>
      <c r="L145" s="34">
        <f>IFERROR(MAX($T$11+$T$12*LN(Table135[[#This Row],[Frac ADV]]),0),0)*0.0001+0.005/Table135[[#This Row],[Stock Price]]+Table135[[#This Row],[Expense Ratio]]</f>
        <v>5.1508750508750516E-3</v>
      </c>
      <c r="M145" s="68">
        <f>(Table135[[#This Row],[Expected Return]]-Table135[[#This Row],[Tcosts]])*Table135[[#This Row],[Investment]]</f>
        <v>0</v>
      </c>
      <c r="Q145" s="16" t="s">
        <v>660</v>
      </c>
    </row>
    <row r="146" spans="1:17" ht="15.6" x14ac:dyDescent="0.3">
      <c r="A146" s="79" t="s">
        <v>681</v>
      </c>
      <c r="B146" s="74" t="s">
        <v>682</v>
      </c>
      <c r="C146" s="74">
        <v>95.19</v>
      </c>
      <c r="D146" s="86" t="s">
        <v>683</v>
      </c>
      <c r="E146" s="76">
        <v>1.5E-3</v>
      </c>
      <c r="F146" s="74">
        <v>0.49</v>
      </c>
      <c r="G146" s="78">
        <v>226700000</v>
      </c>
      <c r="H146" s="3" t="b">
        <f t="shared" si="4"/>
        <v>0</v>
      </c>
      <c r="I146" s="26">
        <f>Table135[[#This Row],[Tech]]*$T$7+Table135[[#This Row],[Beta]]*($T$6-$T$8)+$T$8</f>
        <v>6.7563999999999999E-2</v>
      </c>
      <c r="J146" s="64">
        <v>0</v>
      </c>
      <c r="K146" s="61">
        <f>Table135[[#This Row],[Investment]]/Table135[[#This Row],[Dollar Volume]]</f>
        <v>0</v>
      </c>
      <c r="L146" s="34">
        <f>IFERROR(MAX($T$11+$T$12*LN(Table135[[#This Row],[Frac ADV]]),0),0)*0.0001+0.005/Table135[[#This Row],[Stock Price]]+Table135[[#This Row],[Expense Ratio]]</f>
        <v>1.5525265258955773E-3</v>
      </c>
      <c r="M146" s="68">
        <f>(Table135[[#This Row],[Expected Return]]-Table135[[#This Row],[Tcosts]])*Table135[[#This Row],[Investment]]</f>
        <v>0</v>
      </c>
      <c r="Q146" s="13" t="s">
        <v>664</v>
      </c>
    </row>
    <row r="147" spans="1:17" ht="15.6" x14ac:dyDescent="0.3">
      <c r="A147" s="79" t="s">
        <v>626</v>
      </c>
      <c r="B147" s="74" t="s">
        <v>627</v>
      </c>
      <c r="C147" s="74">
        <v>50.27</v>
      </c>
      <c r="D147" s="86" t="s">
        <v>628</v>
      </c>
      <c r="E147" s="76">
        <v>8.5000000000000006E-3</v>
      </c>
      <c r="F147" s="74">
        <v>0.38</v>
      </c>
      <c r="G147" s="78">
        <v>126850000</v>
      </c>
      <c r="H147" s="3" t="b">
        <f t="shared" si="4"/>
        <v>0</v>
      </c>
      <c r="I147" s="26">
        <f>Table135[[#This Row],[Tech]]*$T$7+Table135[[#This Row],[Beta]]*($T$6-$T$8)+$T$8</f>
        <v>6.0568000000000004E-2</v>
      </c>
      <c r="J147" s="64">
        <v>0</v>
      </c>
      <c r="K147" s="61">
        <f>Table135[[#This Row],[Investment]]/Table135[[#This Row],[Dollar Volume]]</f>
        <v>0</v>
      </c>
      <c r="L147" s="34">
        <f>IFERROR(MAX($T$11+$T$12*LN(Table135[[#This Row],[Frac ADV]]),0),0)*0.0001+0.005/Table135[[#This Row],[Stock Price]]+Table135[[#This Row],[Expense Ratio]]</f>
        <v>8.5994629003381742E-3</v>
      </c>
      <c r="M147" s="68">
        <f>(Table135[[#This Row],[Expected Return]]-Table135[[#This Row],[Tcosts]])*Table135[[#This Row],[Investment]]</f>
        <v>0</v>
      </c>
      <c r="Q147" s="16" t="s">
        <v>668</v>
      </c>
    </row>
    <row r="148" spans="1:17" ht="15.6" x14ac:dyDescent="0.3">
      <c r="A148" s="77" t="s">
        <v>563</v>
      </c>
      <c r="B148" s="73" t="s">
        <v>564</v>
      </c>
      <c r="C148" s="73">
        <v>156</v>
      </c>
      <c r="D148" s="85" t="s">
        <v>565</v>
      </c>
      <c r="E148" s="75">
        <v>8.0000000000000004E-4</v>
      </c>
      <c r="F148" s="73">
        <v>0.47</v>
      </c>
      <c r="G148" s="78">
        <v>61790000</v>
      </c>
      <c r="H148" s="3" t="b">
        <f t="shared" si="4"/>
        <v>0</v>
      </c>
      <c r="I148" s="26">
        <f>Table135[[#This Row],[Tech]]*$T$7+Table135[[#This Row],[Beta]]*($T$6-$T$8)+$T$8</f>
        <v>6.6292000000000004E-2</v>
      </c>
      <c r="J148" s="64">
        <v>0</v>
      </c>
      <c r="K148" s="61">
        <f>Table135[[#This Row],[Investment]]/Table135[[#This Row],[Dollar Volume]]</f>
        <v>0</v>
      </c>
      <c r="L148" s="34">
        <f>IFERROR(MAX($T$11+$T$12*LN(Table135[[#This Row],[Frac ADV]]),0),0)*0.0001+0.005/Table135[[#This Row],[Stock Price]]+Table135[[#This Row],[Expense Ratio]]</f>
        <v>8.3205128205128206E-4</v>
      </c>
      <c r="M148" s="68">
        <f>(Table135[[#This Row],[Expected Return]]-Table135[[#This Row],[Tcosts]])*Table135[[#This Row],[Investment]]</f>
        <v>0</v>
      </c>
      <c r="Q148" s="13" t="s">
        <v>672</v>
      </c>
    </row>
    <row r="149" spans="1:17" ht="15.6" x14ac:dyDescent="0.3">
      <c r="A149" s="77" t="s">
        <v>677</v>
      </c>
      <c r="B149" s="73" t="s">
        <v>678</v>
      </c>
      <c r="C149" s="73">
        <v>154.11000000000001</v>
      </c>
      <c r="D149" s="85" t="s">
        <v>679</v>
      </c>
      <c r="E149" s="75">
        <v>3.5000000000000001E-3</v>
      </c>
      <c r="F149" s="73">
        <v>0.48</v>
      </c>
      <c r="G149" s="78">
        <v>722670000</v>
      </c>
      <c r="H149" s="3" t="b">
        <f t="shared" si="4"/>
        <v>0</v>
      </c>
      <c r="I149" s="26">
        <f>Table135[[#This Row],[Tech]]*$T$7+Table135[[#This Row],[Beta]]*($T$6-$T$8)+$T$8</f>
        <v>6.6928000000000001E-2</v>
      </c>
      <c r="J149" s="64">
        <v>0</v>
      </c>
      <c r="K149" s="61">
        <f>Table135[[#This Row],[Investment]]/Table135[[#This Row],[Dollar Volume]]</f>
        <v>0</v>
      </c>
      <c r="L149" s="34">
        <f>IFERROR(MAX($T$11+$T$12*LN(Table135[[#This Row],[Frac ADV]]),0),0)*0.0001+0.005/Table135[[#This Row],[Stock Price]]+Table135[[#This Row],[Expense Ratio]]</f>
        <v>3.5324443579261566E-3</v>
      </c>
      <c r="M149" s="68">
        <f>(Table135[[#This Row],[Expected Return]]-Table135[[#This Row],[Tcosts]])*Table135[[#This Row],[Investment]]</f>
        <v>0</v>
      </c>
      <c r="Q149" s="16" t="s">
        <v>676</v>
      </c>
    </row>
    <row r="150" spans="1:17" ht="15.6" x14ac:dyDescent="0.3">
      <c r="A150" s="77" t="s">
        <v>669</v>
      </c>
      <c r="B150" s="73" t="s">
        <v>670</v>
      </c>
      <c r="C150" s="73">
        <v>93.25</v>
      </c>
      <c r="D150" s="85" t="s">
        <v>671</v>
      </c>
      <c r="E150" s="75">
        <v>1.2999999999999999E-3</v>
      </c>
      <c r="F150" s="73">
        <v>0.42</v>
      </c>
      <c r="G150" s="78">
        <v>102790000</v>
      </c>
      <c r="H150" s="3" t="b">
        <f t="shared" si="4"/>
        <v>0</v>
      </c>
      <c r="I150" s="26">
        <f>Table135[[#This Row],[Tech]]*$T$7+Table135[[#This Row],[Beta]]*($T$6-$T$8)+$T$8</f>
        <v>6.3112000000000001E-2</v>
      </c>
      <c r="J150" s="64">
        <v>0</v>
      </c>
      <c r="K150" s="61">
        <f>Table135[[#This Row],[Investment]]/Table135[[#This Row],[Dollar Volume]]</f>
        <v>0</v>
      </c>
      <c r="L150" s="34">
        <f>IFERROR(MAX($T$11+$T$12*LN(Table135[[#This Row],[Frac ADV]]),0),0)*0.0001+0.005/Table135[[#This Row],[Stock Price]]+Table135[[#This Row],[Expense Ratio]]</f>
        <v>1.3536193029490616E-3</v>
      </c>
      <c r="M150" s="68">
        <f>(Table135[[#This Row],[Expected Return]]-Table135[[#This Row],[Tcosts]])*Table135[[#This Row],[Investment]]</f>
        <v>0</v>
      </c>
      <c r="Q150" s="13" t="s">
        <v>680</v>
      </c>
    </row>
    <row r="151" spans="1:17" ht="15.6" x14ac:dyDescent="0.3">
      <c r="A151" s="79" t="s">
        <v>658</v>
      </c>
      <c r="B151" s="74" t="s">
        <v>659</v>
      </c>
      <c r="C151" s="74">
        <v>45.25</v>
      </c>
      <c r="D151" s="86" t="s">
        <v>354</v>
      </c>
      <c r="E151" s="76">
        <v>8.0000000000000004E-4</v>
      </c>
      <c r="F151" s="74">
        <v>0.32</v>
      </c>
      <c r="G151" s="78">
        <v>72150000</v>
      </c>
      <c r="H151" s="3" t="b">
        <f t="shared" si="4"/>
        <v>0</v>
      </c>
      <c r="I151" s="26">
        <f>Table135[[#This Row],[Tech]]*$T$7+Table135[[#This Row],[Beta]]*($T$6-$T$8)+$T$8</f>
        <v>5.6752000000000004E-2</v>
      </c>
      <c r="J151" s="64">
        <v>0</v>
      </c>
      <c r="K151" s="61">
        <f>Table135[[#This Row],[Investment]]/Table135[[#This Row],[Dollar Volume]]</f>
        <v>0</v>
      </c>
      <c r="L151" s="34">
        <f>IFERROR(MAX($T$11+$T$12*LN(Table135[[#This Row],[Frac ADV]]),0),0)*0.0001+0.005/Table135[[#This Row],[Stock Price]]+Table135[[#This Row],[Expense Ratio]]</f>
        <v>9.104972375690608E-4</v>
      </c>
      <c r="M151" s="68">
        <f>(Table135[[#This Row],[Expected Return]]-Table135[[#This Row],[Tcosts]])*Table135[[#This Row],[Investment]]</f>
        <v>0</v>
      </c>
      <c r="Q151" s="16" t="s">
        <v>684</v>
      </c>
    </row>
    <row r="152" spans="1:17" ht="15.6" x14ac:dyDescent="0.3">
      <c r="A152" s="77" t="s">
        <v>709</v>
      </c>
      <c r="B152" s="73" t="s">
        <v>710</v>
      </c>
      <c r="C152" s="73">
        <v>31.48</v>
      </c>
      <c r="D152" s="85" t="s">
        <v>711</v>
      </c>
      <c r="E152" s="75">
        <v>4.4999999999999997E-3</v>
      </c>
      <c r="F152" s="73">
        <v>0.33</v>
      </c>
      <c r="G152" s="78">
        <v>157240000</v>
      </c>
      <c r="H152" s="3" t="b">
        <f t="shared" si="4"/>
        <v>0</v>
      </c>
      <c r="I152" s="26">
        <f>Table135[[#This Row],[Tech]]*$T$7+Table135[[#This Row],[Beta]]*($T$6-$T$8)+$T$8</f>
        <v>5.7388000000000008E-2</v>
      </c>
      <c r="J152" s="64">
        <v>0</v>
      </c>
      <c r="K152" s="61">
        <f>Table135[[#This Row],[Investment]]/Table135[[#This Row],[Dollar Volume]]</f>
        <v>0</v>
      </c>
      <c r="L152" s="34">
        <f>IFERROR(MAX($T$11+$T$12*LN(Table135[[#This Row],[Frac ADV]]),0),0)*0.0001+0.005/Table135[[#This Row],[Stock Price]]+Table135[[#This Row],[Expense Ratio]]</f>
        <v>4.6588310038119434E-3</v>
      </c>
      <c r="M152" s="68">
        <f>(Table135[[#This Row],[Expected Return]]-Table135[[#This Row],[Tcosts]])*Table135[[#This Row],[Investment]]</f>
        <v>0</v>
      </c>
      <c r="Q152" s="13" t="s">
        <v>688</v>
      </c>
    </row>
    <row r="153" spans="1:17" ht="15.6" x14ac:dyDescent="0.3">
      <c r="A153" s="79" t="s">
        <v>685</v>
      </c>
      <c r="B153" s="74" t="s">
        <v>686</v>
      </c>
      <c r="C153" s="74">
        <v>89.21</v>
      </c>
      <c r="D153" s="86" t="s">
        <v>687</v>
      </c>
      <c r="E153" s="76">
        <v>8.0000000000000004E-4</v>
      </c>
      <c r="F153" s="74">
        <v>0.21</v>
      </c>
      <c r="G153" s="78">
        <v>113530000</v>
      </c>
      <c r="H153" s="3" t="b">
        <f t="shared" si="4"/>
        <v>0</v>
      </c>
      <c r="I153" s="26">
        <f>Table135[[#This Row],[Tech]]*$T$7+Table135[[#This Row],[Beta]]*($T$6-$T$8)+$T$8</f>
        <v>4.9756000000000002E-2</v>
      </c>
      <c r="J153" s="64">
        <v>0</v>
      </c>
      <c r="K153" s="61">
        <f>Table135[[#This Row],[Investment]]/Table135[[#This Row],[Dollar Volume]]</f>
        <v>0</v>
      </c>
      <c r="L153" s="34">
        <f>IFERROR(MAX($T$11+$T$12*LN(Table135[[#This Row],[Frac ADV]]),0),0)*0.0001+0.005/Table135[[#This Row],[Stock Price]]+Table135[[#This Row],[Expense Ratio]]</f>
        <v>8.5604752830400186E-4</v>
      </c>
      <c r="M153" s="68">
        <f>(Table135[[#This Row],[Expected Return]]-Table135[[#This Row],[Tcosts]])*Table135[[#This Row],[Investment]]</f>
        <v>0</v>
      </c>
      <c r="Q153" s="16" t="s">
        <v>692</v>
      </c>
    </row>
    <row r="154" spans="1:17" ht="15.6" x14ac:dyDescent="0.3">
      <c r="A154" s="79" t="s">
        <v>689</v>
      </c>
      <c r="B154" s="74" t="s">
        <v>690</v>
      </c>
      <c r="C154" s="74">
        <v>80.790000000000006</v>
      </c>
      <c r="D154" s="86" t="s">
        <v>691</v>
      </c>
      <c r="E154" s="76">
        <v>4.8999999999999998E-3</v>
      </c>
      <c r="F154" s="74">
        <v>0.2</v>
      </c>
      <c r="G154" s="78">
        <v>112700000</v>
      </c>
      <c r="H154" s="3" t="b">
        <f t="shared" si="4"/>
        <v>0</v>
      </c>
      <c r="I154" s="26">
        <f>Table135[[#This Row],[Tech]]*$T$7+Table135[[#This Row],[Beta]]*($T$6-$T$8)+$T$8</f>
        <v>4.9120000000000004E-2</v>
      </c>
      <c r="J154" s="64">
        <v>0</v>
      </c>
      <c r="K154" s="61">
        <f>Table135[[#This Row],[Investment]]/Table135[[#This Row],[Dollar Volume]]</f>
        <v>0</v>
      </c>
      <c r="L154" s="34">
        <f>IFERROR(MAX($T$11+$T$12*LN(Table135[[#This Row],[Frac ADV]]),0),0)*0.0001+0.005/Table135[[#This Row],[Stock Price]]+Table135[[#This Row],[Expense Ratio]]</f>
        <v>4.9618888476296568E-3</v>
      </c>
      <c r="M154" s="68">
        <f>(Table135[[#This Row],[Expected Return]]-Table135[[#This Row],[Tcosts]])*Table135[[#This Row],[Investment]]</f>
        <v>0</v>
      </c>
      <c r="Q154" s="13" t="s">
        <v>696</v>
      </c>
    </row>
    <row r="155" spans="1:17" ht="15.6" x14ac:dyDescent="0.3">
      <c r="A155" s="77" t="s">
        <v>693</v>
      </c>
      <c r="B155" s="73" t="s">
        <v>694</v>
      </c>
      <c r="C155" s="73">
        <v>37.450000000000003</v>
      </c>
      <c r="D155" s="85" t="s">
        <v>695</v>
      </c>
      <c r="E155" s="75">
        <v>8.0000000000000004E-4</v>
      </c>
      <c r="F155" s="73">
        <v>0.21</v>
      </c>
      <c r="G155" s="78">
        <v>76130000</v>
      </c>
      <c r="H155" s="3" t="b">
        <f t="shared" si="4"/>
        <v>0</v>
      </c>
      <c r="I155" s="26">
        <f>Table135[[#This Row],[Tech]]*$T$7+Table135[[#This Row],[Beta]]*($T$6-$T$8)+$T$8</f>
        <v>4.9756000000000002E-2</v>
      </c>
      <c r="J155" s="64">
        <v>0</v>
      </c>
      <c r="K155" s="61">
        <f>Table135[[#This Row],[Investment]]/Table135[[#This Row],[Dollar Volume]]</f>
        <v>0</v>
      </c>
      <c r="L155" s="34">
        <f>IFERROR(MAX($T$11+$T$12*LN(Table135[[#This Row],[Frac ADV]]),0),0)*0.0001+0.005/Table135[[#This Row],[Stock Price]]+Table135[[#This Row],[Expense Ratio]]</f>
        <v>9.3351134846461951E-4</v>
      </c>
      <c r="M155" s="68">
        <f>(Table135[[#This Row],[Expected Return]]-Table135[[#This Row],[Tcosts]])*Table135[[#This Row],[Investment]]</f>
        <v>0</v>
      </c>
      <c r="Q155" s="16" t="s">
        <v>700</v>
      </c>
    </row>
    <row r="156" spans="1:17" ht="15.6" x14ac:dyDescent="0.3">
      <c r="A156" s="79" t="s">
        <v>697</v>
      </c>
      <c r="B156" s="74" t="s">
        <v>698</v>
      </c>
      <c r="C156" s="74">
        <v>50.71</v>
      </c>
      <c r="D156" s="86" t="s">
        <v>699</v>
      </c>
      <c r="E156" s="76">
        <v>2E-3</v>
      </c>
      <c r="F156" s="74">
        <v>0.05</v>
      </c>
      <c r="G156" s="78">
        <v>117390000</v>
      </c>
      <c r="H156" s="3" t="b">
        <f t="shared" si="4"/>
        <v>0</v>
      </c>
      <c r="I156" s="26">
        <f>Table135[[#This Row],[Tech]]*$T$7+Table135[[#This Row],[Beta]]*($T$6-$T$8)+$T$8</f>
        <v>3.9580000000000004E-2</v>
      </c>
      <c r="J156" s="64">
        <v>0</v>
      </c>
      <c r="K156" s="61">
        <f>Table135[[#This Row],[Investment]]/Table135[[#This Row],[Dollar Volume]]</f>
        <v>0</v>
      </c>
      <c r="L156" s="34">
        <f>IFERROR(MAX($T$11+$T$12*LN(Table135[[#This Row],[Frac ADV]]),0),0)*0.0001+0.005/Table135[[#This Row],[Stock Price]]+Table135[[#This Row],[Expense Ratio]]</f>
        <v>2.0985998816801421E-3</v>
      </c>
      <c r="M156" s="68">
        <f>(Table135[[#This Row],[Expected Return]]-Table135[[#This Row],[Tcosts]])*Table135[[#This Row],[Investment]]</f>
        <v>0</v>
      </c>
      <c r="Q156" s="13" t="s">
        <v>704</v>
      </c>
    </row>
    <row r="157" spans="1:17" ht="15.6" x14ac:dyDescent="0.3">
      <c r="A157" s="79" t="s">
        <v>739</v>
      </c>
      <c r="B157" s="74" t="s">
        <v>740</v>
      </c>
      <c r="C157" s="74">
        <v>50.47</v>
      </c>
      <c r="D157" s="86" t="s">
        <v>741</v>
      </c>
      <c r="E157" s="76">
        <v>6.9999999999999999E-4</v>
      </c>
      <c r="F157" s="74">
        <v>-0.01</v>
      </c>
      <c r="G157" s="78">
        <v>202270000</v>
      </c>
      <c r="H157" s="3" t="b">
        <f t="shared" si="4"/>
        <v>0</v>
      </c>
      <c r="I157" s="26">
        <f>Table135[[#This Row],[Tech]]*$T$7+Table135[[#This Row],[Beta]]*($T$6-$T$8)+$T$8</f>
        <v>3.5764000000000004E-2</v>
      </c>
      <c r="J157" s="64">
        <v>0</v>
      </c>
      <c r="K157" s="61">
        <f>Table135[[#This Row],[Investment]]/Table135[[#This Row],[Dollar Volume]]</f>
        <v>0</v>
      </c>
      <c r="L157" s="34">
        <f>IFERROR(MAX($T$11+$T$12*LN(Table135[[#This Row],[Frac ADV]]),0),0)*0.0001+0.005/Table135[[#This Row],[Stock Price]]+Table135[[#This Row],[Expense Ratio]]</f>
        <v>7.9906875371507831E-4</v>
      </c>
      <c r="M157" s="68">
        <f>(Table135[[#This Row],[Expected Return]]-Table135[[#This Row],[Tcosts]])*Table135[[#This Row],[Investment]]</f>
        <v>0</v>
      </c>
      <c r="Q157" s="16" t="s">
        <v>708</v>
      </c>
    </row>
    <row r="158" spans="1:17" ht="15.6" x14ac:dyDescent="0.3">
      <c r="A158" s="79" t="s">
        <v>705</v>
      </c>
      <c r="B158" s="74" t="s">
        <v>706</v>
      </c>
      <c r="C158" s="74">
        <v>97.25</v>
      </c>
      <c r="D158" s="86" t="s">
        <v>707</v>
      </c>
      <c r="E158" s="76">
        <v>3.8999999999999998E-3</v>
      </c>
      <c r="F158" s="74">
        <v>0.14000000000000001</v>
      </c>
      <c r="G158" s="78">
        <v>150780000</v>
      </c>
      <c r="H158" s="3" t="b">
        <f t="shared" si="4"/>
        <v>0</v>
      </c>
      <c r="I158" s="26">
        <f>Table135[[#This Row],[Tech]]*$T$7+Table135[[#This Row],[Beta]]*($T$6-$T$8)+$T$8</f>
        <v>4.5304000000000004E-2</v>
      </c>
      <c r="J158" s="64">
        <v>0</v>
      </c>
      <c r="K158" s="61">
        <f>Table135[[#This Row],[Investment]]/Table135[[#This Row],[Dollar Volume]]</f>
        <v>0</v>
      </c>
      <c r="L158" s="34">
        <f>IFERROR(MAX($T$11+$T$12*LN(Table135[[#This Row],[Frac ADV]]),0),0)*0.0001+0.005/Table135[[#This Row],[Stock Price]]+Table135[[#This Row],[Expense Ratio]]</f>
        <v>3.9514138817480721E-3</v>
      </c>
      <c r="M158" s="68">
        <f>(Table135[[#This Row],[Expected Return]]-Table135[[#This Row],[Tcosts]])*Table135[[#This Row],[Investment]]</f>
        <v>0</v>
      </c>
      <c r="Q158" s="13" t="s">
        <v>712</v>
      </c>
    </row>
    <row r="159" spans="1:17" ht="15.6" x14ac:dyDescent="0.3">
      <c r="A159" s="77" t="s">
        <v>783</v>
      </c>
      <c r="B159" s="73" t="s">
        <v>784</v>
      </c>
      <c r="C159" s="73">
        <v>54.2</v>
      </c>
      <c r="D159" s="85" t="s">
        <v>785</v>
      </c>
      <c r="E159" s="75">
        <v>4.0000000000000002E-4</v>
      </c>
      <c r="F159" s="73">
        <v>-0.01</v>
      </c>
      <c r="G159" s="78">
        <v>34700000</v>
      </c>
      <c r="H159" s="3" t="b">
        <f t="shared" si="4"/>
        <v>0</v>
      </c>
      <c r="I159" s="26">
        <f>Table135[[#This Row],[Tech]]*$T$7+Table135[[#This Row],[Beta]]*($T$6-$T$8)+$T$8</f>
        <v>3.5764000000000004E-2</v>
      </c>
      <c r="J159" s="64">
        <v>0</v>
      </c>
      <c r="K159" s="61">
        <f>Table135[[#This Row],[Investment]]/Table135[[#This Row],[Dollar Volume]]</f>
        <v>0</v>
      </c>
      <c r="L159" s="34">
        <f>IFERROR(MAX($T$11+$T$12*LN(Table135[[#This Row],[Frac ADV]]),0),0)*0.0001+0.005/Table135[[#This Row],[Stock Price]]+Table135[[#This Row],[Expense Ratio]]</f>
        <v>4.9225092250922511E-4</v>
      </c>
      <c r="M159" s="68">
        <f>(Table135[[#This Row],[Expected Return]]-Table135[[#This Row],[Tcosts]])*Table135[[#This Row],[Investment]]</f>
        <v>0</v>
      </c>
      <c r="Q159" s="16" t="s">
        <v>716</v>
      </c>
    </row>
    <row r="160" spans="1:17" ht="15.6" x14ac:dyDescent="0.3">
      <c r="A160" s="77" t="s">
        <v>736</v>
      </c>
      <c r="B160" s="73" t="s">
        <v>737</v>
      </c>
      <c r="C160" s="73">
        <v>50.68</v>
      </c>
      <c r="D160" s="85" t="s">
        <v>738</v>
      </c>
      <c r="E160" s="75">
        <v>1.8E-3</v>
      </c>
      <c r="F160" s="73">
        <v>0.01</v>
      </c>
      <c r="G160" s="78">
        <v>61090000</v>
      </c>
      <c r="H160" s="3" t="b">
        <f t="shared" si="4"/>
        <v>0</v>
      </c>
      <c r="I160" s="26">
        <f>Table135[[#This Row],[Tech]]*$T$7+Table135[[#This Row],[Beta]]*($T$6-$T$8)+$T$8</f>
        <v>3.7035999999999999E-2</v>
      </c>
      <c r="J160" s="64">
        <v>0</v>
      </c>
      <c r="K160" s="61">
        <f>Table135[[#This Row],[Investment]]/Table135[[#This Row],[Dollar Volume]]</f>
        <v>0</v>
      </c>
      <c r="L160" s="34">
        <f>IFERROR(MAX($T$11+$T$12*LN(Table135[[#This Row],[Frac ADV]]),0),0)*0.0001+0.005/Table135[[#This Row],[Stock Price]]+Table135[[#This Row],[Expense Ratio]]</f>
        <v>1.8986582478295185E-3</v>
      </c>
      <c r="M160" s="68">
        <f>(Table135[[#This Row],[Expected Return]]-Table135[[#This Row],[Tcosts]])*Table135[[#This Row],[Investment]]</f>
        <v>0</v>
      </c>
      <c r="Q160" s="13" t="s">
        <v>720</v>
      </c>
    </row>
    <row r="161" spans="1:17" ht="15.6" x14ac:dyDescent="0.3">
      <c r="A161" s="77" t="s">
        <v>815</v>
      </c>
      <c r="B161" s="73" t="s">
        <v>816</v>
      </c>
      <c r="C161" s="73">
        <v>49.68</v>
      </c>
      <c r="D161" s="85" t="s">
        <v>817</v>
      </c>
      <c r="E161" s="75">
        <v>1.5E-3</v>
      </c>
      <c r="F161" s="73">
        <v>0.02</v>
      </c>
      <c r="G161" s="78">
        <v>130580000</v>
      </c>
      <c r="H161" s="3" t="b">
        <f t="shared" si="4"/>
        <v>0</v>
      </c>
      <c r="I161" s="26">
        <f>Table135[[#This Row],[Tech]]*$T$7+Table135[[#This Row],[Beta]]*($T$6-$T$8)+$T$8</f>
        <v>3.7672000000000004E-2</v>
      </c>
      <c r="J161" s="64">
        <v>0</v>
      </c>
      <c r="K161" s="61">
        <f>Table135[[#This Row],[Investment]]/Table135[[#This Row],[Dollar Volume]]</f>
        <v>0</v>
      </c>
      <c r="L161" s="34">
        <f>IFERROR(MAX($T$11+$T$12*LN(Table135[[#This Row],[Frac ADV]]),0),0)*0.0001+0.005/Table135[[#This Row],[Stock Price]]+Table135[[#This Row],[Expense Ratio]]</f>
        <v>1.6006441223832529E-3</v>
      </c>
      <c r="M161" s="68">
        <f>(Table135[[#This Row],[Expected Return]]-Table135[[#This Row],[Tcosts]])*Table135[[#This Row],[Investment]]</f>
        <v>0</v>
      </c>
      <c r="Q161" s="16" t="s">
        <v>723</v>
      </c>
    </row>
    <row r="162" spans="1:17" ht="15.6" x14ac:dyDescent="0.3">
      <c r="A162" s="79" t="s">
        <v>771</v>
      </c>
      <c r="B162" s="74" t="s">
        <v>772</v>
      </c>
      <c r="C162" s="74">
        <v>24.39</v>
      </c>
      <c r="D162" s="86" t="s">
        <v>773</v>
      </c>
      <c r="E162" s="76">
        <v>2.9999999999999997E-4</v>
      </c>
      <c r="F162" s="74">
        <v>-0.02</v>
      </c>
      <c r="G162" s="78">
        <v>462550000</v>
      </c>
      <c r="H162" s="3" t="b">
        <f t="shared" ref="H162:H193" si="5">OR(
  ISNUMBER(SEARCH("technology",B162)),
  ISNUMBER(SEARCH("tech",B162)),
  ISNUMBER(SEARCH("qqq",B162)),
  ISNUMBER(SEARCH("semiconductor",B162)),
  ISNUMBER(SEARCH("information technology",B162)),
  ISNUMBER(SEARCH("nasdaq",B162)),
  ISNUMBER(SEARCH("communication",B162))
)</f>
        <v>0</v>
      </c>
      <c r="I162" s="26">
        <f>Table135[[#This Row],[Tech]]*$T$7+Table135[[#This Row],[Beta]]*($T$6-$T$8)+$T$8</f>
        <v>3.5128E-2</v>
      </c>
      <c r="J162" s="64">
        <v>0</v>
      </c>
      <c r="K162" s="61">
        <f>Table135[[#This Row],[Investment]]/Table135[[#This Row],[Dollar Volume]]</f>
        <v>0</v>
      </c>
      <c r="L162" s="34">
        <f>IFERROR(MAX($T$11+$T$12*LN(Table135[[#This Row],[Frac ADV]]),0),0)*0.0001+0.005/Table135[[#This Row],[Stock Price]]+Table135[[#This Row],[Expense Ratio]]</f>
        <v>5.0500205002050017E-4</v>
      </c>
      <c r="M162" s="68">
        <f>(Table135[[#This Row],[Expected Return]]-Table135[[#This Row],[Tcosts]])*Table135[[#This Row],[Investment]]</f>
        <v>0</v>
      </c>
      <c r="Q162" s="13" t="s">
        <v>727</v>
      </c>
    </row>
    <row r="163" spans="1:17" ht="15.6" x14ac:dyDescent="0.3">
      <c r="A163" s="77" t="s">
        <v>866</v>
      </c>
      <c r="B163" s="73" t="s">
        <v>867</v>
      </c>
      <c r="C163" s="73">
        <v>74.66</v>
      </c>
      <c r="D163" s="85" t="s">
        <v>868</v>
      </c>
      <c r="E163" s="75">
        <v>2.9999999999999997E-4</v>
      </c>
      <c r="F163" s="73">
        <v>-0.05</v>
      </c>
      <c r="G163" s="78">
        <v>80470000</v>
      </c>
      <c r="H163" s="3" t="b">
        <f t="shared" si="5"/>
        <v>0</v>
      </c>
      <c r="I163" s="26">
        <f>Table135[[#This Row],[Tech]]*$T$7+Table135[[#This Row],[Beta]]*($T$6-$T$8)+$T$8</f>
        <v>3.322E-2</v>
      </c>
      <c r="J163" s="64">
        <v>0</v>
      </c>
      <c r="K163" s="61">
        <f>Table135[[#This Row],[Investment]]/Table135[[#This Row],[Dollar Volume]]</f>
        <v>0</v>
      </c>
      <c r="L163" s="34">
        <f>IFERROR(MAX($T$11+$T$12*LN(Table135[[#This Row],[Frac ADV]]),0),0)*0.0001+0.005/Table135[[#This Row],[Stock Price]]+Table135[[#This Row],[Expense Ratio]]</f>
        <v>3.6697026520225018E-4</v>
      </c>
      <c r="M163" s="68">
        <f>(Table135[[#This Row],[Expected Return]]-Table135[[#This Row],[Tcosts]])*Table135[[#This Row],[Investment]]</f>
        <v>0</v>
      </c>
      <c r="Q163" s="16" t="s">
        <v>731</v>
      </c>
    </row>
    <row r="164" spans="1:17" ht="15.6" x14ac:dyDescent="0.3">
      <c r="A164" s="77" t="s">
        <v>811</v>
      </c>
      <c r="B164" s="73" t="s">
        <v>812</v>
      </c>
      <c r="C164" s="73">
        <v>46.89</v>
      </c>
      <c r="D164" s="85" t="s">
        <v>813</v>
      </c>
      <c r="E164" s="75">
        <v>5.9999999999999995E-4</v>
      </c>
      <c r="F164" s="73">
        <v>-0.04</v>
      </c>
      <c r="G164" s="78">
        <v>90770000</v>
      </c>
      <c r="H164" s="3" t="b">
        <f t="shared" si="5"/>
        <v>0</v>
      </c>
      <c r="I164" s="26">
        <f>Table135[[#This Row],[Tech]]*$T$7+Table135[[#This Row],[Beta]]*($T$6-$T$8)+$T$8</f>
        <v>3.3856000000000004E-2</v>
      </c>
      <c r="J164" s="64">
        <v>0</v>
      </c>
      <c r="K164" s="61">
        <f>Table135[[#This Row],[Investment]]/Table135[[#This Row],[Dollar Volume]]</f>
        <v>0</v>
      </c>
      <c r="L164" s="34">
        <f>IFERROR(MAX($T$11+$T$12*LN(Table135[[#This Row],[Frac ADV]]),0),0)*0.0001+0.005/Table135[[#This Row],[Stock Price]]+Table135[[#This Row],[Expense Ratio]]</f>
        <v>7.0663254425250581E-4</v>
      </c>
      <c r="M164" s="68">
        <f>(Table135[[#This Row],[Expected Return]]-Table135[[#This Row],[Tcosts]])*Table135[[#This Row],[Investment]]</f>
        <v>0</v>
      </c>
      <c r="Q164" s="13" t="s">
        <v>735</v>
      </c>
    </row>
    <row r="165" spans="1:17" ht="15.6" x14ac:dyDescent="0.3">
      <c r="A165" s="79" t="s">
        <v>835</v>
      </c>
      <c r="B165" s="74" t="s">
        <v>836</v>
      </c>
      <c r="C165" s="74">
        <v>26.82</v>
      </c>
      <c r="D165" s="86" t="s">
        <v>837</v>
      </c>
      <c r="E165" s="76">
        <v>2.9999999999999997E-4</v>
      </c>
      <c r="F165" s="74">
        <v>-0.05</v>
      </c>
      <c r="G165" s="78">
        <v>113530000</v>
      </c>
      <c r="H165" s="3" t="b">
        <f t="shared" si="5"/>
        <v>0</v>
      </c>
      <c r="I165" s="26">
        <f>Table135[[#This Row],[Tech]]*$T$7+Table135[[#This Row],[Beta]]*($T$6-$T$8)+$T$8</f>
        <v>3.322E-2</v>
      </c>
      <c r="J165" s="64">
        <v>0</v>
      </c>
      <c r="K165" s="61">
        <f>Table135[[#This Row],[Investment]]/Table135[[#This Row],[Dollar Volume]]</f>
        <v>0</v>
      </c>
      <c r="L165" s="34">
        <f>IFERROR(MAX($T$11+$T$12*LN(Table135[[#This Row],[Frac ADV]]),0),0)*0.0001+0.005/Table135[[#This Row],[Stock Price]]+Table135[[#This Row],[Expense Ratio]]</f>
        <v>4.8642803877703205E-4</v>
      </c>
      <c r="M165" s="68">
        <f>(Table135[[#This Row],[Expected Return]]-Table135[[#This Row],[Tcosts]])*Table135[[#This Row],[Investment]]</f>
        <v>0</v>
      </c>
      <c r="Q165" s="16" t="s">
        <v>692</v>
      </c>
    </row>
    <row r="166" spans="1:17" ht="15.6" x14ac:dyDescent="0.3">
      <c r="A166" s="79" t="s">
        <v>795</v>
      </c>
      <c r="B166" s="74" t="s">
        <v>796</v>
      </c>
      <c r="C166" s="74">
        <v>82.93</v>
      </c>
      <c r="D166" s="86" t="s">
        <v>797</v>
      </c>
      <c r="E166" s="76">
        <v>1.5E-3</v>
      </c>
      <c r="F166" s="74">
        <v>-0.02</v>
      </c>
      <c r="G166" s="78">
        <v>111170000</v>
      </c>
      <c r="H166" s="3" t="b">
        <f t="shared" si="5"/>
        <v>0</v>
      </c>
      <c r="I166" s="26">
        <f>Table135[[#This Row],[Tech]]*$T$7+Table135[[#This Row],[Beta]]*($T$6-$T$8)+$T$8</f>
        <v>3.5128E-2</v>
      </c>
      <c r="J166" s="64">
        <v>0</v>
      </c>
      <c r="K166" s="61">
        <f>Table135[[#This Row],[Investment]]/Table135[[#This Row],[Dollar Volume]]</f>
        <v>0</v>
      </c>
      <c r="L166" s="34">
        <f>IFERROR(MAX($T$11+$T$12*LN(Table135[[#This Row],[Frac ADV]]),0),0)*0.0001+0.005/Table135[[#This Row],[Stock Price]]+Table135[[#This Row],[Expense Ratio]]</f>
        <v>1.5602918123718799E-3</v>
      </c>
      <c r="M166" s="68">
        <f>(Table135[[#This Row],[Expected Return]]-Table135[[#This Row],[Tcosts]])*Table135[[#This Row],[Investment]]</f>
        <v>0</v>
      </c>
      <c r="Q166" s="13" t="s">
        <v>742</v>
      </c>
    </row>
    <row r="167" spans="1:17" ht="15.6" x14ac:dyDescent="0.3">
      <c r="A167" s="79" t="s">
        <v>732</v>
      </c>
      <c r="B167" s="74" t="s">
        <v>733</v>
      </c>
      <c r="C167" s="74">
        <v>79.97</v>
      </c>
      <c r="D167" s="86" t="s">
        <v>734</v>
      </c>
      <c r="E167" s="76">
        <v>2.9999999999999997E-4</v>
      </c>
      <c r="F167" s="74">
        <v>-0.01</v>
      </c>
      <c r="G167" s="78">
        <v>267070000</v>
      </c>
      <c r="H167" s="3" t="b">
        <f t="shared" si="5"/>
        <v>0</v>
      </c>
      <c r="I167" s="26">
        <f>Table135[[#This Row],[Tech]]*$T$7+Table135[[#This Row],[Beta]]*($T$6-$T$8)+$T$8</f>
        <v>3.5764000000000004E-2</v>
      </c>
      <c r="J167" s="64">
        <v>0</v>
      </c>
      <c r="K167" s="61">
        <f>Table135[[#This Row],[Investment]]/Table135[[#This Row],[Dollar Volume]]</f>
        <v>0</v>
      </c>
      <c r="L167" s="34">
        <f>IFERROR(MAX($T$11+$T$12*LN(Table135[[#This Row],[Frac ADV]]),0),0)*0.0001+0.005/Table135[[#This Row],[Stock Price]]+Table135[[#This Row],[Expense Ratio]]</f>
        <v>3.6252344629235963E-4</v>
      </c>
      <c r="M167" s="68">
        <f>(Table135[[#This Row],[Expected Return]]-Table135[[#This Row],[Tcosts]])*Table135[[#This Row],[Investment]]</f>
        <v>0</v>
      </c>
      <c r="Q167" s="16" t="s">
        <v>746</v>
      </c>
    </row>
    <row r="168" spans="1:17" ht="15.6" x14ac:dyDescent="0.3">
      <c r="A168" s="77" t="s">
        <v>819</v>
      </c>
      <c r="B168" s="73" t="s">
        <v>820</v>
      </c>
      <c r="C168" s="73">
        <v>84.22</v>
      </c>
      <c r="D168" s="85" t="s">
        <v>821</v>
      </c>
      <c r="E168" s="75">
        <v>2.9999999999999997E-4</v>
      </c>
      <c r="F168" s="73">
        <v>-0.01</v>
      </c>
      <c r="G168" s="78">
        <v>117950000</v>
      </c>
      <c r="H168" s="3" t="b">
        <f t="shared" si="5"/>
        <v>0</v>
      </c>
      <c r="I168" s="26">
        <f>Table135[[#This Row],[Tech]]*$T$7+Table135[[#This Row],[Beta]]*($T$6-$T$8)+$T$8</f>
        <v>3.5764000000000004E-2</v>
      </c>
      <c r="J168" s="64">
        <v>0</v>
      </c>
      <c r="K168" s="61">
        <f>Table135[[#This Row],[Investment]]/Table135[[#This Row],[Dollar Volume]]</f>
        <v>0</v>
      </c>
      <c r="L168" s="34">
        <f>IFERROR(MAX($T$11+$T$12*LN(Table135[[#This Row],[Frac ADV]]),0),0)*0.0001+0.005/Table135[[#This Row],[Stock Price]]+Table135[[#This Row],[Expense Ratio]]</f>
        <v>3.5936832106388028E-4</v>
      </c>
      <c r="M168" s="68">
        <f>(Table135[[#This Row],[Expected Return]]-Table135[[#This Row],[Tcosts]])*Table135[[#This Row],[Investment]]</f>
        <v>0</v>
      </c>
      <c r="Q168" s="13" t="s">
        <v>750</v>
      </c>
    </row>
    <row r="169" spans="1:17" ht="15.6" x14ac:dyDescent="0.3">
      <c r="A169" s="77" t="s">
        <v>763</v>
      </c>
      <c r="B169" s="73" t="s">
        <v>764</v>
      </c>
      <c r="C169" s="73">
        <v>58.82</v>
      </c>
      <c r="D169" s="85" t="s">
        <v>765</v>
      </c>
      <c r="E169" s="75">
        <v>2.9999999999999997E-4</v>
      </c>
      <c r="F169" s="73">
        <v>-0.02</v>
      </c>
      <c r="G169" s="78">
        <v>25390000</v>
      </c>
      <c r="H169" s="3" t="b">
        <f t="shared" si="5"/>
        <v>0</v>
      </c>
      <c r="I169" s="26">
        <f>Table135[[#This Row],[Tech]]*$T$7+Table135[[#This Row],[Beta]]*($T$6-$T$8)+$T$8</f>
        <v>3.5128E-2</v>
      </c>
      <c r="J169" s="64">
        <v>0</v>
      </c>
      <c r="K169" s="61">
        <f>Table135[[#This Row],[Investment]]/Table135[[#This Row],[Dollar Volume]]</f>
        <v>0</v>
      </c>
      <c r="L169" s="34">
        <f>IFERROR(MAX($T$11+$T$12*LN(Table135[[#This Row],[Frac ADV]]),0),0)*0.0001+0.005/Table135[[#This Row],[Stock Price]]+Table135[[#This Row],[Expense Ratio]]</f>
        <v>3.8500510030601832E-4</v>
      </c>
      <c r="M169" s="68">
        <f>(Table135[[#This Row],[Expected Return]]-Table135[[#This Row],[Tcosts]])*Table135[[#This Row],[Investment]]</f>
        <v>0</v>
      </c>
      <c r="Q169" s="16" t="s">
        <v>754</v>
      </c>
    </row>
    <row r="170" spans="1:17" ht="15.6" x14ac:dyDescent="0.3">
      <c r="A170" s="77" t="s">
        <v>803</v>
      </c>
      <c r="B170" s="73" t="s">
        <v>804</v>
      </c>
      <c r="C170" s="73">
        <v>49.74</v>
      </c>
      <c r="D170" s="85" t="s">
        <v>805</v>
      </c>
      <c r="E170" s="75">
        <v>2.9999999999999997E-4</v>
      </c>
      <c r="F170" s="73">
        <v>-0.04</v>
      </c>
      <c r="G170" s="78">
        <v>125670000</v>
      </c>
      <c r="H170" s="3" t="b">
        <f t="shared" si="5"/>
        <v>0</v>
      </c>
      <c r="I170" s="26">
        <f>Table135[[#This Row],[Tech]]*$T$7+Table135[[#This Row],[Beta]]*($T$6-$T$8)+$T$8</f>
        <v>3.3856000000000004E-2</v>
      </c>
      <c r="J170" s="64">
        <v>0</v>
      </c>
      <c r="K170" s="61">
        <f>Table135[[#This Row],[Investment]]/Table135[[#This Row],[Dollar Volume]]</f>
        <v>0</v>
      </c>
      <c r="L170" s="34">
        <f>IFERROR(MAX($T$11+$T$12*LN(Table135[[#This Row],[Frac ADV]]),0),0)*0.0001+0.005/Table135[[#This Row],[Stock Price]]+Table135[[#This Row],[Expense Ratio]]</f>
        <v>4.0052271813429834E-4</v>
      </c>
      <c r="M170" s="68">
        <f>(Table135[[#This Row],[Expected Return]]-Table135[[#This Row],[Tcosts]])*Table135[[#This Row],[Investment]]</f>
        <v>0</v>
      </c>
      <c r="Q170" s="13" t="s">
        <v>758</v>
      </c>
    </row>
    <row r="171" spans="1:17" ht="15.6" x14ac:dyDescent="0.3">
      <c r="A171" s="77" t="s">
        <v>874</v>
      </c>
      <c r="B171" s="73" t="s">
        <v>875</v>
      </c>
      <c r="C171" s="73">
        <v>50.77</v>
      </c>
      <c r="D171" s="85" t="s">
        <v>726</v>
      </c>
      <c r="E171" s="75">
        <v>2.9999999999999997E-4</v>
      </c>
      <c r="F171" s="73">
        <v>-0.05</v>
      </c>
      <c r="G171" s="78">
        <v>177210000</v>
      </c>
      <c r="H171" s="3" t="b">
        <f t="shared" si="5"/>
        <v>0</v>
      </c>
      <c r="I171" s="26">
        <f>Table135[[#This Row],[Tech]]*$T$7+Table135[[#This Row],[Beta]]*($T$6-$T$8)+$T$8</f>
        <v>3.322E-2</v>
      </c>
      <c r="J171" s="64">
        <v>0</v>
      </c>
      <c r="K171" s="61">
        <f>Table135[[#This Row],[Investment]]/Table135[[#This Row],[Dollar Volume]]</f>
        <v>0</v>
      </c>
      <c r="L171" s="34">
        <f>IFERROR(MAX($T$11+$T$12*LN(Table135[[#This Row],[Frac ADV]]),0),0)*0.0001+0.005/Table135[[#This Row],[Stock Price]]+Table135[[#This Row],[Expense Ratio]]</f>
        <v>3.9848335631278314E-4</v>
      </c>
      <c r="M171" s="68">
        <f>(Table135[[#This Row],[Expected Return]]-Table135[[#This Row],[Tcosts]])*Table135[[#This Row],[Investment]]</f>
        <v>0</v>
      </c>
      <c r="Q171" s="16" t="s">
        <v>762</v>
      </c>
    </row>
    <row r="172" spans="1:17" ht="15.6" x14ac:dyDescent="0.3">
      <c r="A172" s="79" t="s">
        <v>842</v>
      </c>
      <c r="B172" s="74" t="s">
        <v>843</v>
      </c>
      <c r="C172" s="74">
        <v>60.21</v>
      </c>
      <c r="D172" s="86" t="s">
        <v>844</v>
      </c>
      <c r="E172" s="76">
        <v>2.9999999999999997E-4</v>
      </c>
      <c r="F172" s="74">
        <v>-0.09</v>
      </c>
      <c r="G172" s="78">
        <v>176940000</v>
      </c>
      <c r="H172" s="3" t="b">
        <f t="shared" si="5"/>
        <v>0</v>
      </c>
      <c r="I172" s="26">
        <f>Table135[[#This Row],[Tech]]*$T$7+Table135[[#This Row],[Beta]]*($T$6-$T$8)+$T$8</f>
        <v>3.0676000000000002E-2</v>
      </c>
      <c r="J172" s="64">
        <v>0</v>
      </c>
      <c r="K172" s="61">
        <f>Table135[[#This Row],[Investment]]/Table135[[#This Row],[Dollar Volume]]</f>
        <v>0</v>
      </c>
      <c r="L172" s="34">
        <f>IFERROR(MAX($T$11+$T$12*LN(Table135[[#This Row],[Frac ADV]]),0),0)*0.0001+0.005/Table135[[#This Row],[Stock Price]]+Table135[[#This Row],[Expense Ratio]]</f>
        <v>3.8304268393954491E-4</v>
      </c>
      <c r="M172" s="68">
        <f>(Table135[[#This Row],[Expected Return]]-Table135[[#This Row],[Tcosts]])*Table135[[#This Row],[Investment]]</f>
        <v>0</v>
      </c>
      <c r="Q172" s="13" t="s">
        <v>766</v>
      </c>
    </row>
    <row r="173" spans="1:17" ht="15.6" x14ac:dyDescent="0.3">
      <c r="A173" s="77" t="s">
        <v>713</v>
      </c>
      <c r="B173" s="73" t="s">
        <v>714</v>
      </c>
      <c r="C173" s="73">
        <v>100.48</v>
      </c>
      <c r="D173" s="85" t="s">
        <v>715</v>
      </c>
      <c r="E173" s="75">
        <v>8.9999999999999998E-4</v>
      </c>
      <c r="F173" s="73">
        <v>0.01</v>
      </c>
      <c r="G173" s="78">
        <v>203900000</v>
      </c>
      <c r="H173" s="3" t="b">
        <f t="shared" si="5"/>
        <v>0</v>
      </c>
      <c r="I173" s="26">
        <f>Table135[[#This Row],[Tech]]*$T$7+Table135[[#This Row],[Beta]]*($T$6-$T$8)+$T$8</f>
        <v>3.7035999999999999E-2</v>
      </c>
      <c r="J173" s="64">
        <v>0</v>
      </c>
      <c r="K173" s="61">
        <f>Table135[[#This Row],[Investment]]/Table135[[#This Row],[Dollar Volume]]</f>
        <v>0</v>
      </c>
      <c r="L173" s="34">
        <f>IFERROR(MAX($T$11+$T$12*LN(Table135[[#This Row],[Frac ADV]]),0),0)*0.0001+0.005/Table135[[#This Row],[Stock Price]]+Table135[[#This Row],[Expense Ratio]]</f>
        <v>9.4976114649681525E-4</v>
      </c>
      <c r="M173" s="68">
        <f>(Table135[[#This Row],[Expected Return]]-Table135[[#This Row],[Tcosts]])*Table135[[#This Row],[Investment]]</f>
        <v>0</v>
      </c>
      <c r="Q173" s="16" t="s">
        <v>770</v>
      </c>
    </row>
    <row r="174" spans="1:17" ht="15.6" x14ac:dyDescent="0.3">
      <c r="A174" s="77" t="s">
        <v>701</v>
      </c>
      <c r="B174" s="73" t="s">
        <v>702</v>
      </c>
      <c r="C174" s="73">
        <v>53.11</v>
      </c>
      <c r="D174" s="85" t="s">
        <v>703</v>
      </c>
      <c r="E174" s="75">
        <v>4.0000000000000001E-3</v>
      </c>
      <c r="F174" s="73">
        <v>7.0000000000000007E-2</v>
      </c>
      <c r="G174" s="78">
        <v>44860000</v>
      </c>
      <c r="H174" s="3" t="b">
        <f t="shared" si="5"/>
        <v>0</v>
      </c>
      <c r="I174" s="26">
        <f>Table135[[#This Row],[Tech]]*$T$7+Table135[[#This Row],[Beta]]*($T$6-$T$8)+$T$8</f>
        <v>4.0851999999999999E-2</v>
      </c>
      <c r="J174" s="64">
        <v>0</v>
      </c>
      <c r="K174" s="61">
        <f>Table135[[#This Row],[Investment]]/Table135[[#This Row],[Dollar Volume]]</f>
        <v>0</v>
      </c>
      <c r="L174" s="34">
        <f>IFERROR(MAX($T$11+$T$12*LN(Table135[[#This Row],[Frac ADV]]),0),0)*0.0001+0.005/Table135[[#This Row],[Stock Price]]+Table135[[#This Row],[Expense Ratio]]</f>
        <v>4.0941442289587652E-3</v>
      </c>
      <c r="M174" s="68">
        <f>(Table135[[#This Row],[Expected Return]]-Table135[[#This Row],[Tcosts]])*Table135[[#This Row],[Investment]]</f>
        <v>0</v>
      </c>
      <c r="Q174" s="13" t="s">
        <v>774</v>
      </c>
    </row>
    <row r="175" spans="1:17" ht="15.6" x14ac:dyDescent="0.3">
      <c r="A175" s="79" t="s">
        <v>724</v>
      </c>
      <c r="B175" s="74" t="s">
        <v>725</v>
      </c>
      <c r="C175" s="74">
        <v>91.47</v>
      </c>
      <c r="D175" s="86" t="s">
        <v>726</v>
      </c>
      <c r="E175" s="76">
        <v>1.4E-3</v>
      </c>
      <c r="F175" s="74">
        <v>0.01</v>
      </c>
      <c r="G175" s="78">
        <v>546640000</v>
      </c>
      <c r="H175" s="3" t="b">
        <f t="shared" si="5"/>
        <v>0</v>
      </c>
      <c r="I175" s="26">
        <f>Table135[[#This Row],[Tech]]*$T$7+Table135[[#This Row],[Beta]]*($T$6-$T$8)+$T$8</f>
        <v>3.7035999999999999E-2</v>
      </c>
      <c r="J175" s="64">
        <v>0</v>
      </c>
      <c r="K175" s="61">
        <f>Table135[[#This Row],[Investment]]/Table135[[#This Row],[Dollar Volume]]</f>
        <v>0</v>
      </c>
      <c r="L175" s="34">
        <f>IFERROR(MAX($T$11+$T$12*LN(Table135[[#This Row],[Frac ADV]]),0),0)*0.0001+0.005/Table135[[#This Row],[Stock Price]]+Table135[[#This Row],[Expense Ratio]]</f>
        <v>1.4546627309500384E-3</v>
      </c>
      <c r="M175" s="68">
        <f>(Table135[[#This Row],[Expected Return]]-Table135[[#This Row],[Tcosts]])*Table135[[#This Row],[Investment]]</f>
        <v>0</v>
      </c>
      <c r="Q175" s="16" t="s">
        <v>778</v>
      </c>
    </row>
    <row r="176" spans="1:17" ht="15.6" x14ac:dyDescent="0.3">
      <c r="A176" s="77" t="s">
        <v>767</v>
      </c>
      <c r="B176" s="73" t="s">
        <v>768</v>
      </c>
      <c r="C176" s="73">
        <v>110.22</v>
      </c>
      <c r="D176" s="85" t="s">
        <v>769</v>
      </c>
      <c r="E176" s="75">
        <v>1.5E-3</v>
      </c>
      <c r="F176" s="73">
        <v>0.01</v>
      </c>
      <c r="G176" s="78">
        <v>42740000</v>
      </c>
      <c r="H176" s="3" t="b">
        <f t="shared" si="5"/>
        <v>0</v>
      </c>
      <c r="I176" s="26">
        <f>Table135[[#This Row],[Tech]]*$T$7+Table135[[#This Row],[Beta]]*($T$6-$T$8)+$T$8</f>
        <v>3.7035999999999999E-2</v>
      </c>
      <c r="J176" s="64">
        <v>0</v>
      </c>
      <c r="K176" s="61">
        <f>Table135[[#This Row],[Investment]]/Table135[[#This Row],[Dollar Volume]]</f>
        <v>0</v>
      </c>
      <c r="L176" s="34">
        <f>IFERROR(MAX($T$11+$T$12*LN(Table135[[#This Row],[Frac ADV]]),0),0)*0.0001+0.005/Table135[[#This Row],[Stock Price]]+Table135[[#This Row],[Expense Ratio]]</f>
        <v>1.5453638178189078E-3</v>
      </c>
      <c r="M176" s="68">
        <f>(Table135[[#This Row],[Expected Return]]-Table135[[#This Row],[Tcosts]])*Table135[[#This Row],[Investment]]</f>
        <v>0</v>
      </c>
      <c r="Q176" s="13" t="s">
        <v>782</v>
      </c>
    </row>
    <row r="177" spans="1:17" ht="15.6" x14ac:dyDescent="0.3">
      <c r="A177" s="79" t="s">
        <v>743</v>
      </c>
      <c r="B177" s="74" t="s">
        <v>744</v>
      </c>
      <c r="C177" s="74">
        <v>48.8</v>
      </c>
      <c r="D177" s="86" t="s">
        <v>745</v>
      </c>
      <c r="E177" s="76">
        <v>6.9999999999999999E-4</v>
      </c>
      <c r="F177" s="74">
        <v>-0.01</v>
      </c>
      <c r="G177" s="78">
        <v>45530000</v>
      </c>
      <c r="H177" s="3" t="b">
        <f t="shared" si="5"/>
        <v>0</v>
      </c>
      <c r="I177" s="26">
        <f>Table135[[#This Row],[Tech]]*$T$7+Table135[[#This Row],[Beta]]*($T$6-$T$8)+$T$8</f>
        <v>3.5764000000000004E-2</v>
      </c>
      <c r="J177" s="64">
        <v>0</v>
      </c>
      <c r="K177" s="61">
        <f>Table135[[#This Row],[Investment]]/Table135[[#This Row],[Dollar Volume]]</f>
        <v>0</v>
      </c>
      <c r="L177" s="34">
        <f>IFERROR(MAX($T$11+$T$12*LN(Table135[[#This Row],[Frac ADV]]),0),0)*0.0001+0.005/Table135[[#This Row],[Stock Price]]+Table135[[#This Row],[Expense Ratio]]</f>
        <v>8.0245901639344264E-4</v>
      </c>
      <c r="M177" s="68">
        <f>(Table135[[#This Row],[Expected Return]]-Table135[[#This Row],[Tcosts]])*Table135[[#This Row],[Investment]]</f>
        <v>0</v>
      </c>
      <c r="Q177" s="16" t="s">
        <v>786</v>
      </c>
    </row>
    <row r="178" spans="1:17" ht="15.6" x14ac:dyDescent="0.3">
      <c r="A178" s="77" t="s">
        <v>791</v>
      </c>
      <c r="B178" s="73" t="s">
        <v>792</v>
      </c>
      <c r="C178" s="73">
        <v>100.51</v>
      </c>
      <c r="D178" s="85" t="s">
        <v>793</v>
      </c>
      <c r="E178" s="75">
        <v>3.5999999999999999E-3</v>
      </c>
      <c r="F178" s="73">
        <v>0.02</v>
      </c>
      <c r="G178" s="78">
        <v>99420000</v>
      </c>
      <c r="H178" s="3" t="b">
        <f t="shared" si="5"/>
        <v>0</v>
      </c>
      <c r="I178" s="26">
        <f>Table135[[#This Row],[Tech]]*$T$7+Table135[[#This Row],[Beta]]*($T$6-$T$8)+$T$8</f>
        <v>3.7672000000000004E-2</v>
      </c>
      <c r="J178" s="64">
        <v>0</v>
      </c>
      <c r="K178" s="61">
        <f>Table135[[#This Row],[Investment]]/Table135[[#This Row],[Dollar Volume]]</f>
        <v>0</v>
      </c>
      <c r="L178" s="34">
        <f>IFERROR(MAX($T$11+$T$12*LN(Table135[[#This Row],[Frac ADV]]),0),0)*0.0001+0.005/Table135[[#This Row],[Stock Price]]+Table135[[#This Row],[Expense Ratio]]</f>
        <v>3.6497462939011041E-3</v>
      </c>
      <c r="M178" s="68">
        <f>(Table135[[#This Row],[Expected Return]]-Table135[[#This Row],[Tcosts]])*Table135[[#This Row],[Investment]]</f>
        <v>0</v>
      </c>
      <c r="Q178" s="13" t="s">
        <v>790</v>
      </c>
    </row>
    <row r="179" spans="1:17" ht="15.6" x14ac:dyDescent="0.3">
      <c r="A179" s="77" t="s">
        <v>799</v>
      </c>
      <c r="B179" s="73" t="s">
        <v>800</v>
      </c>
      <c r="C179" s="73">
        <v>78.98</v>
      </c>
      <c r="D179" s="85" t="s">
        <v>801</v>
      </c>
      <c r="E179" s="75">
        <v>2.9999999999999997E-4</v>
      </c>
      <c r="F179" s="73">
        <v>-0.04</v>
      </c>
      <c r="G179" s="78">
        <v>35920000</v>
      </c>
      <c r="H179" s="3" t="b">
        <f t="shared" si="5"/>
        <v>0</v>
      </c>
      <c r="I179" s="26">
        <f>Table135[[#This Row],[Tech]]*$T$7+Table135[[#This Row],[Beta]]*($T$6-$T$8)+$T$8</f>
        <v>3.3856000000000004E-2</v>
      </c>
      <c r="J179" s="64">
        <v>0</v>
      </c>
      <c r="K179" s="61">
        <f>Table135[[#This Row],[Investment]]/Table135[[#This Row],[Dollar Volume]]</f>
        <v>0</v>
      </c>
      <c r="L179" s="34">
        <f>IFERROR(MAX($T$11+$T$12*LN(Table135[[#This Row],[Frac ADV]]),0),0)*0.0001+0.005/Table135[[#This Row],[Stock Price]]+Table135[[#This Row],[Expense Ratio]]</f>
        <v>3.6330716637123319E-4</v>
      </c>
      <c r="M179" s="68">
        <f>(Table135[[#This Row],[Expected Return]]-Table135[[#This Row],[Tcosts]])*Table135[[#This Row],[Investment]]</f>
        <v>0</v>
      </c>
      <c r="Q179" s="16" t="s">
        <v>794</v>
      </c>
    </row>
    <row r="180" spans="1:17" ht="15.6" x14ac:dyDescent="0.3">
      <c r="A180" s="79" t="s">
        <v>807</v>
      </c>
      <c r="B180" s="74" t="s">
        <v>808</v>
      </c>
      <c r="C180" s="74">
        <v>108.09</v>
      </c>
      <c r="D180" s="86" t="s">
        <v>809</v>
      </c>
      <c r="E180" s="76">
        <v>5.0000000000000001E-4</v>
      </c>
      <c r="F180" s="74">
        <v>-0.04</v>
      </c>
      <c r="G180" s="78">
        <v>5330000000</v>
      </c>
      <c r="H180" s="3" t="b">
        <f t="shared" si="5"/>
        <v>0</v>
      </c>
      <c r="I180" s="26">
        <f>Table135[[#This Row],[Tech]]*$T$7+Table135[[#This Row],[Beta]]*($T$6-$T$8)+$T$8</f>
        <v>3.3856000000000004E-2</v>
      </c>
      <c r="J180" s="64">
        <v>0</v>
      </c>
      <c r="K180" s="61">
        <f>Table135[[#This Row],[Investment]]/Table135[[#This Row],[Dollar Volume]]</f>
        <v>0</v>
      </c>
      <c r="L180" s="34">
        <f>IFERROR(MAX($T$11+$T$12*LN(Table135[[#This Row],[Frac ADV]]),0),0)*0.0001+0.005/Table135[[#This Row],[Stock Price]]+Table135[[#This Row],[Expense Ratio]]</f>
        <v>5.4625774817281892E-4</v>
      </c>
      <c r="M180" s="68">
        <f>(Table135[[#This Row],[Expected Return]]-Table135[[#This Row],[Tcosts]])*Table135[[#This Row],[Investment]]</f>
        <v>0</v>
      </c>
      <c r="Q180" s="13" t="s">
        <v>798</v>
      </c>
    </row>
    <row r="181" spans="1:17" ht="15.6" x14ac:dyDescent="0.3">
      <c r="A181" s="79" t="s">
        <v>862</v>
      </c>
      <c r="B181" s="74" t="s">
        <v>863</v>
      </c>
      <c r="C181" s="74">
        <v>23.19</v>
      </c>
      <c r="D181" s="86" t="s">
        <v>864</v>
      </c>
      <c r="E181" s="76">
        <v>5.0000000000000001E-4</v>
      </c>
      <c r="F181" s="74">
        <v>-0.08</v>
      </c>
      <c r="G181" s="78">
        <v>152890000</v>
      </c>
      <c r="H181" s="3" t="b">
        <f t="shared" si="5"/>
        <v>0</v>
      </c>
      <c r="I181" s="26">
        <f>Table135[[#This Row],[Tech]]*$T$7+Table135[[#This Row],[Beta]]*($T$6-$T$8)+$T$8</f>
        <v>3.1312E-2</v>
      </c>
      <c r="J181" s="64">
        <v>0</v>
      </c>
      <c r="K181" s="61">
        <f>Table135[[#This Row],[Investment]]/Table135[[#This Row],[Dollar Volume]]</f>
        <v>0</v>
      </c>
      <c r="L181" s="34">
        <f>IFERROR(MAX($T$11+$T$12*LN(Table135[[#This Row],[Frac ADV]]),0),0)*0.0001+0.005/Table135[[#This Row],[Stock Price]]+Table135[[#This Row],[Expense Ratio]]</f>
        <v>7.1561017680034497E-4</v>
      </c>
      <c r="M181" s="68">
        <f>(Table135[[#This Row],[Expected Return]]-Table135[[#This Row],[Tcosts]])*Table135[[#This Row],[Investment]]</f>
        <v>0</v>
      </c>
      <c r="Q181" s="16" t="s">
        <v>802</v>
      </c>
    </row>
    <row r="182" spans="1:17" ht="15.6" x14ac:dyDescent="0.3">
      <c r="A182" s="77" t="s">
        <v>759</v>
      </c>
      <c r="B182" s="73" t="s">
        <v>760</v>
      </c>
      <c r="C182" s="73">
        <v>46.44</v>
      </c>
      <c r="D182" s="85" t="s">
        <v>761</v>
      </c>
      <c r="E182" s="75">
        <v>3.5999999999999999E-3</v>
      </c>
      <c r="F182" s="73">
        <v>-0.06</v>
      </c>
      <c r="G182" s="78">
        <v>113370000</v>
      </c>
      <c r="H182" s="3" t="b">
        <f t="shared" si="5"/>
        <v>0</v>
      </c>
      <c r="I182" s="26">
        <f>Table135[[#This Row],[Tech]]*$T$7+Table135[[#This Row],[Beta]]*($T$6-$T$8)+$T$8</f>
        <v>3.2584000000000002E-2</v>
      </c>
      <c r="J182" s="64">
        <v>0</v>
      </c>
      <c r="K182" s="61">
        <f>Table135[[#This Row],[Investment]]/Table135[[#This Row],[Dollar Volume]]</f>
        <v>0</v>
      </c>
      <c r="L182" s="34">
        <f>IFERROR(MAX($T$11+$T$12*LN(Table135[[#This Row],[Frac ADV]]),0),0)*0.0001+0.005/Table135[[#This Row],[Stock Price]]+Table135[[#This Row],[Expense Ratio]]</f>
        <v>3.7076658053402239E-3</v>
      </c>
      <c r="M182" s="68">
        <f>(Table135[[#This Row],[Expected Return]]-Table135[[#This Row],[Tcosts]])*Table135[[#This Row],[Investment]]</f>
        <v>0</v>
      </c>
      <c r="Q182" s="13" t="s">
        <v>806</v>
      </c>
    </row>
    <row r="183" spans="1:17" ht="15.6" x14ac:dyDescent="0.3">
      <c r="A183" s="77" t="s">
        <v>751</v>
      </c>
      <c r="B183" s="73" t="s">
        <v>752</v>
      </c>
      <c r="C183" s="73">
        <v>451.39</v>
      </c>
      <c r="D183" s="85" t="s">
        <v>753</v>
      </c>
      <c r="E183" s="75">
        <v>4.0000000000000001E-3</v>
      </c>
      <c r="F183" s="73">
        <v>-0.05</v>
      </c>
      <c r="G183" s="78">
        <v>83690000</v>
      </c>
      <c r="H183" s="3" t="b">
        <f t="shared" si="5"/>
        <v>0</v>
      </c>
      <c r="I183" s="26">
        <f>Table135[[#This Row],[Tech]]*$T$7+Table135[[#This Row],[Beta]]*($T$6-$T$8)+$T$8</f>
        <v>3.322E-2</v>
      </c>
      <c r="J183" s="64">
        <v>0</v>
      </c>
      <c r="K183" s="61">
        <f>Table135[[#This Row],[Investment]]/Table135[[#This Row],[Dollar Volume]]</f>
        <v>0</v>
      </c>
      <c r="L183" s="34">
        <f>IFERROR(MAX($T$11+$T$12*LN(Table135[[#This Row],[Frac ADV]]),0),0)*0.0001+0.005/Table135[[#This Row],[Stock Price]]+Table135[[#This Row],[Expense Ratio]]</f>
        <v>4.0110768958107178E-3</v>
      </c>
      <c r="M183" s="68">
        <f>(Table135[[#This Row],[Expected Return]]-Table135[[#This Row],[Tcosts]])*Table135[[#This Row],[Investment]]</f>
        <v>0</v>
      </c>
      <c r="Q183" s="16" t="s">
        <v>810</v>
      </c>
    </row>
    <row r="184" spans="1:17" ht="15.6" x14ac:dyDescent="0.3">
      <c r="A184" s="77" t="s">
        <v>717</v>
      </c>
      <c r="B184" s="73" t="s">
        <v>718</v>
      </c>
      <c r="C184" s="73">
        <v>53.05</v>
      </c>
      <c r="D184" s="85" t="s">
        <v>719</v>
      </c>
      <c r="E184" s="75">
        <v>4.0000000000000002E-4</v>
      </c>
      <c r="F184" s="73">
        <v>0</v>
      </c>
      <c r="G184" s="78">
        <v>67300000</v>
      </c>
      <c r="H184" s="3" t="b">
        <f t="shared" si="5"/>
        <v>0</v>
      </c>
      <c r="I184" s="26">
        <f>Table135[[#This Row],[Tech]]*$T$7+Table135[[#This Row],[Beta]]*($T$6-$T$8)+$T$8</f>
        <v>3.6400000000000002E-2</v>
      </c>
      <c r="J184" s="64">
        <v>0</v>
      </c>
      <c r="K184" s="61">
        <f>Table135[[#This Row],[Investment]]/Table135[[#This Row],[Dollar Volume]]</f>
        <v>0</v>
      </c>
      <c r="L184" s="34">
        <f>IFERROR(MAX($T$11+$T$12*LN(Table135[[#This Row],[Frac ADV]]),0),0)*0.0001+0.005/Table135[[#This Row],[Stock Price]]+Table135[[#This Row],[Expense Ratio]]</f>
        <v>4.9425070688030159E-4</v>
      </c>
      <c r="M184" s="68">
        <f>(Table135[[#This Row],[Expected Return]]-Table135[[#This Row],[Tcosts]])*Table135[[#This Row],[Investment]]</f>
        <v>0</v>
      </c>
      <c r="Q184" s="13" t="s">
        <v>814</v>
      </c>
    </row>
    <row r="185" spans="1:17" ht="15.6" x14ac:dyDescent="0.3">
      <c r="A185" s="77" t="s">
        <v>846</v>
      </c>
      <c r="B185" s="73" t="s">
        <v>847</v>
      </c>
      <c r="C185" s="73">
        <v>25.19</v>
      </c>
      <c r="D185" s="85" t="s">
        <v>848</v>
      </c>
      <c r="E185" s="75">
        <v>2.9999999999999997E-4</v>
      </c>
      <c r="F185" s="73">
        <v>-0.09</v>
      </c>
      <c r="G185" s="78">
        <v>2160000000</v>
      </c>
      <c r="H185" s="3" t="b">
        <f t="shared" si="5"/>
        <v>0</v>
      </c>
      <c r="I185" s="26">
        <f>Table135[[#This Row],[Tech]]*$T$7+Table135[[#This Row],[Beta]]*($T$6-$T$8)+$T$8</f>
        <v>3.0676000000000002E-2</v>
      </c>
      <c r="J185" s="64">
        <v>0</v>
      </c>
      <c r="K185" s="61">
        <f>Table135[[#This Row],[Investment]]/Table135[[#This Row],[Dollar Volume]]</f>
        <v>0</v>
      </c>
      <c r="L185" s="34">
        <f>IFERROR(MAX($T$11+$T$12*LN(Table135[[#This Row],[Frac ADV]]),0),0)*0.0001+0.005/Table135[[#This Row],[Stock Price]]+Table135[[#This Row],[Expense Ratio]]</f>
        <v>4.9849146486701066E-4</v>
      </c>
      <c r="M185" s="68">
        <f>(Table135[[#This Row],[Expected Return]]-Table135[[#This Row],[Tcosts]])*Table135[[#This Row],[Investment]]</f>
        <v>0</v>
      </c>
      <c r="Q185" s="16" t="s">
        <v>818</v>
      </c>
    </row>
    <row r="186" spans="1:17" ht="15.6" x14ac:dyDescent="0.3">
      <c r="A186" s="77" t="s">
        <v>775</v>
      </c>
      <c r="B186" s="73" t="s">
        <v>776</v>
      </c>
      <c r="C186" s="73">
        <v>78.34</v>
      </c>
      <c r="D186" s="85" t="s">
        <v>777</v>
      </c>
      <c r="E186" s="75">
        <v>2.9999999999999997E-4</v>
      </c>
      <c r="F186" s="73">
        <v>-0.08</v>
      </c>
      <c r="G186" s="78">
        <v>110680000</v>
      </c>
      <c r="H186" s="3" t="b">
        <f t="shared" si="5"/>
        <v>0</v>
      </c>
      <c r="I186" s="26">
        <f>Table135[[#This Row],[Tech]]*$T$7+Table135[[#This Row],[Beta]]*($T$6-$T$8)+$T$8</f>
        <v>3.1312E-2</v>
      </c>
      <c r="J186" s="64">
        <v>0</v>
      </c>
      <c r="K186" s="61">
        <f>Table135[[#This Row],[Investment]]/Table135[[#This Row],[Dollar Volume]]</f>
        <v>0</v>
      </c>
      <c r="L186" s="34">
        <f>IFERROR(MAX($T$11+$T$12*LN(Table135[[#This Row],[Frac ADV]]),0),0)*0.0001+0.005/Table135[[#This Row],[Stock Price]]+Table135[[#This Row],[Expense Ratio]]</f>
        <v>3.6382435537401071E-4</v>
      </c>
      <c r="M186" s="68">
        <f>(Table135[[#This Row],[Expected Return]]-Table135[[#This Row],[Tcosts]])*Table135[[#This Row],[Investment]]</f>
        <v>0</v>
      </c>
      <c r="Q186" s="13" t="s">
        <v>822</v>
      </c>
    </row>
    <row r="187" spans="1:17" ht="15.6" x14ac:dyDescent="0.3">
      <c r="A187" s="77" t="s">
        <v>823</v>
      </c>
      <c r="B187" s="73" t="s">
        <v>824</v>
      </c>
      <c r="C187" s="73">
        <v>100.67</v>
      </c>
      <c r="D187" s="85" t="s">
        <v>825</v>
      </c>
      <c r="E187" s="75">
        <v>2.9999999999999997E-4</v>
      </c>
      <c r="F187" s="73">
        <v>-0.06</v>
      </c>
      <c r="G187" s="78">
        <v>103190000</v>
      </c>
      <c r="H187" s="3" t="b">
        <f t="shared" si="5"/>
        <v>0</v>
      </c>
      <c r="I187" s="26">
        <f>Table135[[#This Row],[Tech]]*$T$7+Table135[[#This Row],[Beta]]*($T$6-$T$8)+$T$8</f>
        <v>3.2584000000000002E-2</v>
      </c>
      <c r="J187" s="64">
        <v>0</v>
      </c>
      <c r="K187" s="61">
        <f>Table135[[#This Row],[Investment]]/Table135[[#This Row],[Dollar Volume]]</f>
        <v>0</v>
      </c>
      <c r="L187" s="34">
        <f>IFERROR(MAX($T$11+$T$12*LN(Table135[[#This Row],[Frac ADV]]),0),0)*0.0001+0.005/Table135[[#This Row],[Stock Price]]+Table135[[#This Row],[Expense Ratio]]</f>
        <v>3.4966722956193501E-4</v>
      </c>
      <c r="M187" s="68">
        <f>(Table135[[#This Row],[Expected Return]]-Table135[[#This Row],[Tcosts]])*Table135[[#This Row],[Investment]]</f>
        <v>0</v>
      </c>
      <c r="Q187" s="16" t="s">
        <v>826</v>
      </c>
    </row>
    <row r="188" spans="1:17" ht="15.6" x14ac:dyDescent="0.3">
      <c r="A188" s="79" t="s">
        <v>755</v>
      </c>
      <c r="B188" s="74" t="s">
        <v>756</v>
      </c>
      <c r="C188" s="74">
        <v>119.82</v>
      </c>
      <c r="D188" s="86" t="s">
        <v>757</v>
      </c>
      <c r="E188" s="76">
        <v>1.5E-3</v>
      </c>
      <c r="F188" s="74">
        <v>-0.09</v>
      </c>
      <c r="G188" s="78">
        <v>51210000</v>
      </c>
      <c r="H188" s="3" t="b">
        <f t="shared" si="5"/>
        <v>0</v>
      </c>
      <c r="I188" s="26">
        <f>Table135[[#This Row],[Tech]]*$T$7+Table135[[#This Row],[Beta]]*($T$6-$T$8)+$T$8</f>
        <v>3.0676000000000002E-2</v>
      </c>
      <c r="J188" s="64">
        <v>0</v>
      </c>
      <c r="K188" s="61">
        <f>Table135[[#This Row],[Investment]]/Table135[[#This Row],[Dollar Volume]]</f>
        <v>0</v>
      </c>
      <c r="L188" s="34">
        <f>IFERROR(MAX($T$11+$T$12*LN(Table135[[#This Row],[Frac ADV]]),0),0)*0.0001+0.005/Table135[[#This Row],[Stock Price]]+Table135[[#This Row],[Expense Ratio]]</f>
        <v>1.541729260557503E-3</v>
      </c>
      <c r="M188" s="68">
        <f>(Table135[[#This Row],[Expected Return]]-Table135[[#This Row],[Tcosts]])*Table135[[#This Row],[Investment]]</f>
        <v>0</v>
      </c>
      <c r="Q188" s="13" t="s">
        <v>830</v>
      </c>
    </row>
    <row r="189" spans="1:17" ht="15.6" x14ac:dyDescent="0.3">
      <c r="A189" s="77" t="s">
        <v>831</v>
      </c>
      <c r="B189" s="73" t="s">
        <v>832</v>
      </c>
      <c r="C189" s="73">
        <v>97.25</v>
      </c>
      <c r="D189" s="85" t="s">
        <v>833</v>
      </c>
      <c r="E189" s="75">
        <v>1E-3</v>
      </c>
      <c r="F189" s="73">
        <v>-0.05</v>
      </c>
      <c r="G189" s="78">
        <v>140630000</v>
      </c>
      <c r="H189" s="3" t="b">
        <f t="shared" si="5"/>
        <v>0</v>
      </c>
      <c r="I189" s="26">
        <f>Table135[[#This Row],[Tech]]*$T$7+Table135[[#This Row],[Beta]]*($T$6-$T$8)+$T$8</f>
        <v>3.322E-2</v>
      </c>
      <c r="J189" s="64">
        <v>0</v>
      </c>
      <c r="K189" s="61">
        <f>Table135[[#This Row],[Investment]]/Table135[[#This Row],[Dollar Volume]]</f>
        <v>0</v>
      </c>
      <c r="L189" s="34">
        <f>IFERROR(MAX($T$11+$T$12*LN(Table135[[#This Row],[Frac ADV]]),0),0)*0.0001+0.005/Table135[[#This Row],[Stock Price]]+Table135[[#This Row],[Expense Ratio]]</f>
        <v>1.0514138817480721E-3</v>
      </c>
      <c r="M189" s="68">
        <f>(Table135[[#This Row],[Expected Return]]-Table135[[#This Row],[Tcosts]])*Table135[[#This Row],[Investment]]</f>
        <v>0</v>
      </c>
      <c r="Q189" s="16" t="s">
        <v>834</v>
      </c>
    </row>
    <row r="190" spans="1:17" ht="15.6" x14ac:dyDescent="0.3">
      <c r="A190" s="79" t="s">
        <v>839</v>
      </c>
      <c r="B190" s="74" t="s">
        <v>840</v>
      </c>
      <c r="C190" s="74">
        <v>111.25</v>
      </c>
      <c r="D190" s="86" t="s">
        <v>730</v>
      </c>
      <c r="E190" s="76">
        <v>1.8E-3</v>
      </c>
      <c r="F190" s="74">
        <v>-0.04</v>
      </c>
      <c r="G190" s="78">
        <v>75700000</v>
      </c>
      <c r="H190" s="3" t="b">
        <f t="shared" si="5"/>
        <v>0</v>
      </c>
      <c r="I190" s="26">
        <f>Table135[[#This Row],[Tech]]*$T$7+Table135[[#This Row],[Beta]]*($T$6-$T$8)+$T$8</f>
        <v>3.3856000000000004E-2</v>
      </c>
      <c r="J190" s="64">
        <v>0</v>
      </c>
      <c r="K190" s="61">
        <f>Table135[[#This Row],[Investment]]/Table135[[#This Row],[Dollar Volume]]</f>
        <v>0</v>
      </c>
      <c r="L190" s="34">
        <f>IFERROR(MAX($T$11+$T$12*LN(Table135[[#This Row],[Frac ADV]]),0),0)*0.0001+0.005/Table135[[#This Row],[Stock Price]]+Table135[[#This Row],[Expense Ratio]]</f>
        <v>1.844943820224719E-3</v>
      </c>
      <c r="M190" s="68">
        <f>(Table135[[#This Row],[Expected Return]]-Table135[[#This Row],[Tcosts]])*Table135[[#This Row],[Investment]]</f>
        <v>0</v>
      </c>
      <c r="Q190" s="13" t="s">
        <v>838</v>
      </c>
    </row>
    <row r="191" spans="1:17" ht="15.6" x14ac:dyDescent="0.3">
      <c r="A191" s="77" t="s">
        <v>827</v>
      </c>
      <c r="B191" s="73" t="s">
        <v>828</v>
      </c>
      <c r="C191" s="73">
        <v>47.56</v>
      </c>
      <c r="D191" s="85" t="s">
        <v>829</v>
      </c>
      <c r="E191" s="75">
        <v>2.9999999999999997E-4</v>
      </c>
      <c r="F191" s="73">
        <v>-0.06</v>
      </c>
      <c r="G191" s="78">
        <v>42420000</v>
      </c>
      <c r="H191" s="3" t="b">
        <f t="shared" si="5"/>
        <v>0</v>
      </c>
      <c r="I191" s="26">
        <f>Table135[[#This Row],[Tech]]*$T$7+Table135[[#This Row],[Beta]]*($T$6-$T$8)+$T$8</f>
        <v>3.2584000000000002E-2</v>
      </c>
      <c r="J191" s="64">
        <v>0</v>
      </c>
      <c r="K191" s="61">
        <f>Table135[[#This Row],[Investment]]/Table135[[#This Row],[Dollar Volume]]</f>
        <v>0</v>
      </c>
      <c r="L191" s="34">
        <f>IFERROR(MAX($T$11+$T$12*LN(Table135[[#This Row],[Frac ADV]]),0),0)*0.0001+0.005/Table135[[#This Row],[Stock Price]]+Table135[[#This Row],[Expense Ratio]]</f>
        <v>4.0513036164844401E-4</v>
      </c>
      <c r="M191" s="68">
        <f>(Table135[[#This Row],[Expected Return]]-Table135[[#This Row],[Tcosts]])*Table135[[#This Row],[Investment]]</f>
        <v>0</v>
      </c>
      <c r="Q191" s="16" t="s">
        <v>841</v>
      </c>
    </row>
    <row r="192" spans="1:17" ht="15.6" x14ac:dyDescent="0.3">
      <c r="A192" s="77" t="s">
        <v>858</v>
      </c>
      <c r="B192" s="73" t="s">
        <v>859</v>
      </c>
      <c r="C192" s="73">
        <v>96.83</v>
      </c>
      <c r="D192" s="85" t="s">
        <v>860</v>
      </c>
      <c r="E192" s="75">
        <v>1.5E-3</v>
      </c>
      <c r="F192" s="73">
        <v>-0.12</v>
      </c>
      <c r="G192" s="78">
        <v>146800000</v>
      </c>
      <c r="H192" s="3" t="b">
        <f t="shared" si="5"/>
        <v>0</v>
      </c>
      <c r="I192" s="26">
        <f>Table135[[#This Row],[Tech]]*$T$7+Table135[[#This Row],[Beta]]*($T$6-$T$8)+$T$8</f>
        <v>2.8768000000000002E-2</v>
      </c>
      <c r="J192" s="64">
        <v>0</v>
      </c>
      <c r="K192" s="61">
        <f>Table135[[#This Row],[Investment]]/Table135[[#This Row],[Dollar Volume]]</f>
        <v>0</v>
      </c>
      <c r="L192" s="34">
        <f>IFERROR(MAX($T$11+$T$12*LN(Table135[[#This Row],[Frac ADV]]),0),0)*0.0001+0.005/Table135[[#This Row],[Stock Price]]+Table135[[#This Row],[Expense Ratio]]</f>
        <v>1.5516368893937829E-3</v>
      </c>
      <c r="M192" s="68">
        <f>(Table135[[#This Row],[Expected Return]]-Table135[[#This Row],[Tcosts]])*Table135[[#This Row],[Investment]]</f>
        <v>0</v>
      </c>
      <c r="Q192" s="13" t="s">
        <v>845</v>
      </c>
    </row>
    <row r="193" spans="1:17" ht="15.6" x14ac:dyDescent="0.3">
      <c r="A193" s="77" t="s">
        <v>728</v>
      </c>
      <c r="B193" s="73" t="s">
        <v>729</v>
      </c>
      <c r="C193" s="73">
        <v>102.99</v>
      </c>
      <c r="D193" s="85" t="s">
        <v>730</v>
      </c>
      <c r="E193" s="75">
        <v>2.9999999999999997E-4</v>
      </c>
      <c r="F193" s="73">
        <v>-0.01</v>
      </c>
      <c r="G193" s="78">
        <v>32800000</v>
      </c>
      <c r="H193" s="3" t="b">
        <f t="shared" si="5"/>
        <v>0</v>
      </c>
      <c r="I193" s="26">
        <f>Table135[[#This Row],[Tech]]*$T$7+Table135[[#This Row],[Beta]]*($T$6-$T$8)+$T$8</f>
        <v>3.5764000000000004E-2</v>
      </c>
      <c r="J193" s="64">
        <v>0</v>
      </c>
      <c r="K193" s="61">
        <f>Table135[[#This Row],[Investment]]/Table135[[#This Row],[Dollar Volume]]</f>
        <v>0</v>
      </c>
      <c r="L193" s="34">
        <f>IFERROR(MAX($T$11+$T$12*LN(Table135[[#This Row],[Frac ADV]]),0),0)*0.0001+0.005/Table135[[#This Row],[Stock Price]]+Table135[[#This Row],[Expense Ratio]]</f>
        <v>3.4854840275754927E-4</v>
      </c>
      <c r="M193" s="68">
        <f>(Table135[[#This Row],[Expected Return]]-Table135[[#This Row],[Tcosts]])*Table135[[#This Row],[Investment]]</f>
        <v>0</v>
      </c>
      <c r="Q193" s="16" t="s">
        <v>849</v>
      </c>
    </row>
    <row r="194" spans="1:17" ht="15.6" x14ac:dyDescent="0.3">
      <c r="A194" s="77" t="s">
        <v>854</v>
      </c>
      <c r="B194" s="73" t="s">
        <v>855</v>
      </c>
      <c r="C194" s="73">
        <v>103.39</v>
      </c>
      <c r="D194" s="85" t="s">
        <v>856</v>
      </c>
      <c r="E194" s="75">
        <v>1.5E-3</v>
      </c>
      <c r="F194" s="73">
        <v>-0.17</v>
      </c>
      <c r="G194" s="78">
        <v>32170000</v>
      </c>
      <c r="H194" s="3" t="b">
        <f t="shared" ref="H194:H201" si="6">OR(
  ISNUMBER(SEARCH("technology",B194)),
  ISNUMBER(SEARCH("tech",B194)),
  ISNUMBER(SEARCH("qqq",B194)),
  ISNUMBER(SEARCH("semiconductor",B194)),
  ISNUMBER(SEARCH("information technology",B194)),
  ISNUMBER(SEARCH("nasdaq",B194)),
  ISNUMBER(SEARCH("communication",B194))
)</f>
        <v>0</v>
      </c>
      <c r="I194" s="26">
        <f>Table135[[#This Row],[Tech]]*$T$7+Table135[[#This Row],[Beta]]*($T$6-$T$8)+$T$8</f>
        <v>2.5588E-2</v>
      </c>
      <c r="J194" s="64">
        <v>0</v>
      </c>
      <c r="K194" s="61">
        <f>Table135[[#This Row],[Investment]]/Table135[[#This Row],[Dollar Volume]]</f>
        <v>0</v>
      </c>
      <c r="L194" s="34">
        <f>IFERROR(MAX($T$11+$T$12*LN(Table135[[#This Row],[Frac ADV]]),0),0)*0.0001+0.005/Table135[[#This Row],[Stock Price]]+Table135[[#This Row],[Expense Ratio]]</f>
        <v>1.5483605764580713E-3</v>
      </c>
      <c r="M194" s="68">
        <f>(Table135[[#This Row],[Expected Return]]-Table135[[#This Row],[Tcosts]])*Table135[[#This Row],[Investment]]</f>
        <v>0</v>
      </c>
      <c r="Q194" s="13" t="s">
        <v>853</v>
      </c>
    </row>
    <row r="195" spans="1:17" ht="15.6" x14ac:dyDescent="0.3">
      <c r="A195" s="77" t="s">
        <v>850</v>
      </c>
      <c r="B195" s="73" t="s">
        <v>851</v>
      </c>
      <c r="C195" s="73">
        <v>89.23</v>
      </c>
      <c r="D195" s="85" t="s">
        <v>852</v>
      </c>
      <c r="E195" s="75">
        <v>1.5E-3</v>
      </c>
      <c r="F195" s="73">
        <v>-0.18</v>
      </c>
      <c r="G195" s="78">
        <v>66080000</v>
      </c>
      <c r="H195" s="3" t="b">
        <f t="shared" si="6"/>
        <v>0</v>
      </c>
      <c r="I195" s="26">
        <f>Table135[[#This Row],[Tech]]*$T$7+Table135[[#This Row],[Beta]]*($T$6-$T$8)+$T$8</f>
        <v>2.4952000000000002E-2</v>
      </c>
      <c r="J195" s="64">
        <v>0</v>
      </c>
      <c r="K195" s="61">
        <f>Table135[[#This Row],[Investment]]/Table135[[#This Row],[Dollar Volume]]</f>
        <v>0</v>
      </c>
      <c r="L195" s="33">
        <f>IFERROR(MAX($T$11+$T$12*LN(Table135[[#This Row],[Frac ADV]]),0),0)*0.0001+0.005/Table135[[#This Row],[Stock Price]]+Table135[[#This Row],[Expense Ratio]]</f>
        <v>1.5560349658186709E-3</v>
      </c>
      <c r="M195" s="68">
        <f>(Table135[[#This Row],[Expected Return]]-Table135[[#This Row],[Tcosts]])*Table135[[#This Row],[Investment]]</f>
        <v>0</v>
      </c>
      <c r="Q195" s="16" t="s">
        <v>857</v>
      </c>
    </row>
    <row r="196" spans="1:17" ht="15.6" x14ac:dyDescent="0.3">
      <c r="A196" s="77" t="s">
        <v>779</v>
      </c>
      <c r="B196" s="73" t="s">
        <v>780</v>
      </c>
      <c r="C196" s="73">
        <v>26.87</v>
      </c>
      <c r="D196" s="85" t="s">
        <v>781</v>
      </c>
      <c r="E196" s="75">
        <v>6.4000000000000003E-3</v>
      </c>
      <c r="F196" s="73">
        <v>0.03</v>
      </c>
      <c r="G196" s="78">
        <v>24040000</v>
      </c>
      <c r="H196" s="3" t="b">
        <f t="shared" si="6"/>
        <v>0</v>
      </c>
      <c r="I196" s="26">
        <f>Table135[[#This Row],[Tech]]*$T$7+Table135[[#This Row],[Beta]]*($T$6-$T$8)+$T$8</f>
        <v>3.8308000000000002E-2</v>
      </c>
      <c r="J196" s="64">
        <v>0</v>
      </c>
      <c r="K196" s="61">
        <f>Table135[[#This Row],[Investment]]/Table135[[#This Row],[Dollar Volume]]</f>
        <v>0</v>
      </c>
      <c r="L196" s="34">
        <f>IFERROR(MAX($T$11+$T$12*LN(Table135[[#This Row],[Frac ADV]]),0),0)*0.0001+0.005/Table135[[#This Row],[Stock Price]]+Table135[[#This Row],[Expense Ratio]]</f>
        <v>6.5860811313732791E-3</v>
      </c>
      <c r="M196" s="68">
        <f>(Table135[[#This Row],[Expected Return]]-Table135[[#This Row],[Tcosts]])*Table135[[#This Row],[Investment]]</f>
        <v>0</v>
      </c>
      <c r="Q196" s="13" t="s">
        <v>861</v>
      </c>
    </row>
    <row r="197" spans="1:17" ht="15.6" x14ac:dyDescent="0.3">
      <c r="A197" s="77" t="s">
        <v>747</v>
      </c>
      <c r="B197" s="73" t="s">
        <v>748</v>
      </c>
      <c r="C197" s="73">
        <v>111.22</v>
      </c>
      <c r="D197" s="85" t="s">
        <v>749</v>
      </c>
      <c r="E197" s="75">
        <v>1.4E-3</v>
      </c>
      <c r="F197" s="73">
        <v>0</v>
      </c>
      <c r="G197" s="78">
        <v>84260000</v>
      </c>
      <c r="H197" s="3" t="b">
        <f t="shared" si="6"/>
        <v>0</v>
      </c>
      <c r="I197" s="26">
        <f>Table135[[#This Row],[Tech]]*$T$7+Table135[[#This Row],[Beta]]*($T$6-$T$8)+$T$8</f>
        <v>3.6400000000000002E-2</v>
      </c>
      <c r="J197" s="64">
        <v>0</v>
      </c>
      <c r="K197" s="61">
        <f>Table135[[#This Row],[Investment]]/Table135[[#This Row],[Dollar Volume]]</f>
        <v>0</v>
      </c>
      <c r="L197" s="34">
        <f>IFERROR(MAX($T$11+$T$12*LN(Table135[[#This Row],[Frac ADV]]),0),0)*0.0001+0.005/Table135[[#This Row],[Stock Price]]+Table135[[#This Row],[Expense Ratio]]</f>
        <v>1.4449559431756879E-3</v>
      </c>
      <c r="M197" s="68">
        <f>(Table135[[#This Row],[Expected Return]]-Table135[[#This Row],[Tcosts]])*Table135[[#This Row],[Investment]]</f>
        <v>0</v>
      </c>
      <c r="Q197" s="16" t="s">
        <v>865</v>
      </c>
    </row>
    <row r="198" spans="1:17" ht="15.6" x14ac:dyDescent="0.3">
      <c r="A198" s="77" t="s">
        <v>877</v>
      </c>
      <c r="B198" s="73" t="s">
        <v>878</v>
      </c>
      <c r="C198" s="73">
        <v>96.14</v>
      </c>
      <c r="D198" s="85" t="s">
        <v>844</v>
      </c>
      <c r="E198" s="75">
        <v>4.0000000000000002E-4</v>
      </c>
      <c r="F198" s="73">
        <v>-0.05</v>
      </c>
      <c r="G198" s="78">
        <v>301030000</v>
      </c>
      <c r="H198" s="3" t="b">
        <f t="shared" si="6"/>
        <v>0</v>
      </c>
      <c r="I198" s="26">
        <f>Table135[[#This Row],[Tech]]*$T$7+Table135[[#This Row],[Beta]]*($T$6-$T$8)+$T$8</f>
        <v>3.322E-2</v>
      </c>
      <c r="J198" s="64">
        <v>0</v>
      </c>
      <c r="K198" s="61">
        <f>Table135[[#This Row],[Investment]]/Table135[[#This Row],[Dollar Volume]]</f>
        <v>0</v>
      </c>
      <c r="L198" s="34">
        <f>IFERROR(MAX($T$11+$T$12*LN(Table135[[#This Row],[Frac ADV]]),0),0)*0.0001+0.005/Table135[[#This Row],[Stock Price]]+Table135[[#This Row],[Expense Ratio]]</f>
        <v>4.5200748907842732E-4</v>
      </c>
      <c r="M198" s="68">
        <f>(Table135[[#This Row],[Expected Return]]-Table135[[#This Row],[Tcosts]])*Table135[[#This Row],[Investment]]</f>
        <v>0</v>
      </c>
      <c r="Q198" s="13" t="s">
        <v>869</v>
      </c>
    </row>
    <row r="199" spans="1:17" ht="15.6" x14ac:dyDescent="0.3">
      <c r="A199" s="77" t="s">
        <v>787</v>
      </c>
      <c r="B199" s="73" t="s">
        <v>788</v>
      </c>
      <c r="C199" s="73">
        <v>50.41</v>
      </c>
      <c r="D199" s="85" t="s">
        <v>789</v>
      </c>
      <c r="E199" s="75">
        <v>1.5E-3</v>
      </c>
      <c r="F199" s="73">
        <v>-0.01</v>
      </c>
      <c r="G199" s="78">
        <v>98510000</v>
      </c>
      <c r="H199" s="3" t="b">
        <f t="shared" si="6"/>
        <v>0</v>
      </c>
      <c r="I199" s="26">
        <f>Table135[[#This Row],[Tech]]*$T$7+Table135[[#This Row],[Beta]]*($T$6-$T$8)+$T$8</f>
        <v>3.5764000000000004E-2</v>
      </c>
      <c r="J199" s="64">
        <v>0</v>
      </c>
      <c r="K199" s="61">
        <f>Table135[[#This Row],[Investment]]/Table135[[#This Row],[Dollar Volume]]</f>
        <v>0</v>
      </c>
      <c r="L199" s="34">
        <f>IFERROR(MAX($T$11+$T$12*LN(Table135[[#This Row],[Frac ADV]]),0),0)*0.0001+0.005/Table135[[#This Row],[Stock Price]]+Table135[[#This Row],[Expense Ratio]]</f>
        <v>1.5991866693116446E-3</v>
      </c>
      <c r="M199" s="68">
        <f>(Table135[[#This Row],[Expected Return]]-Table135[[#This Row],[Tcosts]])*Table135[[#This Row],[Investment]]</f>
        <v>0</v>
      </c>
      <c r="Q199" s="16" t="s">
        <v>873</v>
      </c>
    </row>
    <row r="200" spans="1:17" ht="15.6" x14ac:dyDescent="0.3">
      <c r="A200" s="79" t="s">
        <v>721</v>
      </c>
      <c r="B200" s="74" t="s">
        <v>722</v>
      </c>
      <c r="C200" s="74">
        <v>52.14</v>
      </c>
      <c r="D200" s="86" t="s">
        <v>703</v>
      </c>
      <c r="E200" s="76">
        <v>4.0000000000000002E-4</v>
      </c>
      <c r="F200" s="74">
        <v>0</v>
      </c>
      <c r="G200" s="78">
        <v>64050000</v>
      </c>
      <c r="H200" s="3" t="b">
        <f t="shared" si="6"/>
        <v>0</v>
      </c>
      <c r="I200" s="26">
        <f>Table135[[#This Row],[Tech]]*$T$7+Table135[[#This Row],[Beta]]*($T$6-$T$8)+$T$8</f>
        <v>3.6400000000000002E-2</v>
      </c>
      <c r="J200" s="64">
        <v>0</v>
      </c>
      <c r="K200" s="61">
        <f>Table135[[#This Row],[Investment]]/Table135[[#This Row],[Dollar Volume]]</f>
        <v>0</v>
      </c>
      <c r="L200" s="34">
        <f>IFERROR(MAX($T$11+$T$12*LN(Table135[[#This Row],[Frac ADV]]),0),0)*0.0001+0.005/Table135[[#This Row],[Stock Price]]+Table135[[#This Row],[Expense Ratio]]</f>
        <v>4.9589566551591874E-4</v>
      </c>
      <c r="M200" s="68">
        <f>(Table135[[#This Row],[Expected Return]]-Table135[[#This Row],[Tcosts]])*Table135[[#This Row],[Investment]]</f>
        <v>0</v>
      </c>
      <c r="Q200" s="13" t="s">
        <v>876</v>
      </c>
    </row>
    <row r="201" spans="1:17" ht="15.6" x14ac:dyDescent="0.3">
      <c r="A201" s="80" t="s">
        <v>870</v>
      </c>
      <c r="B201" s="81" t="s">
        <v>871</v>
      </c>
      <c r="C201" s="81">
        <v>92.48</v>
      </c>
      <c r="D201" s="87" t="s">
        <v>872</v>
      </c>
      <c r="E201" s="82">
        <v>2.5000000000000001E-3</v>
      </c>
      <c r="F201" s="81">
        <v>-0.05</v>
      </c>
      <c r="G201" s="83">
        <v>24620000</v>
      </c>
      <c r="H201" s="5" t="b">
        <f t="shared" si="6"/>
        <v>0</v>
      </c>
      <c r="I201" s="36">
        <f>Table135[[#This Row],[Tech]]*$T$7+Table135[[#This Row],[Beta]]*($T$6-$T$8)+$T$8</f>
        <v>3.322E-2</v>
      </c>
      <c r="J201" s="89">
        <v>0</v>
      </c>
      <c r="K201" s="62">
        <f>Table135[[#This Row],[Investment]]/Table135[[#This Row],[Dollar Volume]]</f>
        <v>0</v>
      </c>
      <c r="L201" s="37">
        <f>IFERROR(MAX($T$11+$T$12*LN(Table135[[#This Row],[Frac ADV]]),0),0)*0.0001+0.005/Table135[[#This Row],[Stock Price]]+Table135[[#This Row],[Expense Ratio]]</f>
        <v>2.5540657439446367E-3</v>
      </c>
      <c r="M201" s="69">
        <f>(Table135[[#This Row],[Expected Return]]-Table135[[#This Row],[Tcosts]])*Table135[[#This Row],[Investment]]</f>
        <v>0</v>
      </c>
      <c r="Q201" s="38" t="s">
        <v>879</v>
      </c>
    </row>
  </sheetData>
  <hyperlinks>
    <hyperlink ref="A5" r:id="rId1" xr:uid="{0AD35B34-8179-4CFE-AF47-6366A51AB2D5}"/>
    <hyperlink ref="A6" r:id="rId2" xr:uid="{A4C65710-7CFF-48D9-B496-0EF68A2B94CE}"/>
    <hyperlink ref="A2" r:id="rId3" xr:uid="{55CF1018-4591-43D6-9CB4-3844430291AB}"/>
    <hyperlink ref="A18" r:id="rId4" xr:uid="{8B48541D-4D58-4682-82B8-6E4C15FC70D8}"/>
    <hyperlink ref="A3" r:id="rId5" xr:uid="{19C12C9C-E689-415C-84D3-CE223C3454E0}"/>
    <hyperlink ref="A30" r:id="rId6" xr:uid="{CE37507A-94A4-4ABC-9A48-8B6569C80BF1}"/>
    <hyperlink ref="A38" r:id="rId7" xr:uid="{FEC0DDDF-61AB-414E-9944-D5EA80C3053C}"/>
    <hyperlink ref="A24" r:id="rId8" xr:uid="{4719B15C-59AE-46B0-A804-9A0DA630DE6C}"/>
    <hyperlink ref="A4" r:id="rId9" xr:uid="{7FB6D7EB-98B1-4462-B522-8C212AA865EE}"/>
    <hyperlink ref="A33" r:id="rId10" xr:uid="{0196158E-F9C9-445F-AA0E-0566CCC57673}"/>
    <hyperlink ref="A45" r:id="rId11" xr:uid="{0B06BBF3-FCA2-4FC1-A507-E5A6F4AE3A34}"/>
    <hyperlink ref="A26" r:id="rId12" xr:uid="{BAEDBAA7-09BD-4B08-BB8B-8C0CDBE134BF}"/>
    <hyperlink ref="A36" r:id="rId13" xr:uid="{0909FB97-43B2-4DD6-8F23-ED0780AE25D3}"/>
    <hyperlink ref="A39" r:id="rId14" xr:uid="{FD964986-30CA-4350-8957-739A7D5FB5AC}"/>
    <hyperlink ref="A41" r:id="rId15" xr:uid="{4F81D03E-AECD-4662-A927-F4AF770ED08A}"/>
    <hyperlink ref="A51" r:id="rId16" xr:uid="{27980F14-4B1F-4984-ACED-B519E79E1397}"/>
    <hyperlink ref="A56" r:id="rId17" xr:uid="{B1D1A873-465B-460A-8718-54604DFE5373}"/>
    <hyperlink ref="A23" r:id="rId18" xr:uid="{FAFCE8DE-BC7D-4000-832B-39A9A2BF748B}"/>
    <hyperlink ref="A37" r:id="rId19" xr:uid="{61DF4648-5310-42FD-BEA7-9C98EA24CE0D}"/>
    <hyperlink ref="A57" r:id="rId20" xr:uid="{45794B03-159F-4DEC-AAFD-B4BD7138823F}"/>
    <hyperlink ref="A34" r:id="rId21" xr:uid="{722D2388-86A0-4E0F-B121-2FC7EB10AAD9}"/>
    <hyperlink ref="A71" r:id="rId22" xr:uid="{58E4F213-7346-416A-9363-F98190AF5DF5}"/>
    <hyperlink ref="A7" r:id="rId23" xr:uid="{7FD8CC6F-BD4B-4DD3-AB7B-08368F453BCB}"/>
    <hyperlink ref="A9" r:id="rId24" xr:uid="{411092CD-7D58-485C-BCD9-212989B2B2DD}"/>
    <hyperlink ref="A46" r:id="rId25" xr:uid="{D8052A3B-6AAC-4FC8-8FBC-E02E921E1F7C}"/>
    <hyperlink ref="A31" r:id="rId26" xr:uid="{03D06689-BD6F-468F-ACAB-AFD0AEA1B32A}"/>
    <hyperlink ref="A21" r:id="rId27" xr:uid="{3CF917E2-B603-4912-8B59-836B20333B2C}"/>
    <hyperlink ref="A13" r:id="rId28" xr:uid="{30405AB3-4F9A-46F2-BAF0-5947F1FD3EB6}"/>
    <hyperlink ref="A12" r:id="rId29" xr:uid="{E68472F9-BBCD-4D87-9E9A-9F13118A3B4B}"/>
    <hyperlink ref="A77" r:id="rId30" xr:uid="{495DED10-960A-473A-A89D-5127FE31124A}"/>
    <hyperlink ref="A69" r:id="rId31" xr:uid="{6D3D952D-EC52-444A-A252-4EC45F2E5210}"/>
    <hyperlink ref="A58" r:id="rId32" xr:uid="{F747D042-1A89-44D8-9F56-96BFEECC414F}"/>
    <hyperlink ref="A27" r:id="rId33" xr:uid="{ADE97B86-CFEC-4FF0-A3C7-EEF3F587C5EC}"/>
    <hyperlink ref="A25" r:id="rId34" xr:uid="{F267169B-8D6A-4518-AF61-3F4A5E06B651}"/>
    <hyperlink ref="A44" r:id="rId35" xr:uid="{3E29B2B7-EFA8-43F4-B57A-716593C9504F}"/>
    <hyperlink ref="A55" r:id="rId36" xr:uid="{EA18E428-4776-443A-9C06-1C2AE7FC4DAF}"/>
    <hyperlink ref="A48" r:id="rId37" xr:uid="{BAB5E7F1-D472-42CA-B489-012FA7072625}"/>
    <hyperlink ref="A42" r:id="rId38" xr:uid="{321F0E51-40C1-4A76-8CB6-026FD782DC2D}"/>
    <hyperlink ref="A43" r:id="rId39" xr:uid="{52233D5E-B559-451A-8582-DB48B5FE0EFE}"/>
    <hyperlink ref="A62" r:id="rId40" xr:uid="{FE3A1315-C3FC-4751-A67F-140AE25D8949}"/>
    <hyperlink ref="A61" r:id="rId41" xr:uid="{B800F5A0-5A97-4F32-8C14-8DB86D22707D}"/>
    <hyperlink ref="A87" r:id="rId42" xr:uid="{DEAE91A7-8312-43DB-87A7-CD67F5A7EB7F}"/>
    <hyperlink ref="A10" r:id="rId43" xr:uid="{E66C0A1E-AF36-49D5-B655-C8BDC643574C}"/>
    <hyperlink ref="A19" r:id="rId44" xr:uid="{3488D866-91AA-411A-A420-A4D4EDA36C64}"/>
    <hyperlink ref="A50" r:id="rId45" xr:uid="{32AA80B7-2519-4958-B3CE-BB802F88152D}"/>
    <hyperlink ref="A83" r:id="rId46" xr:uid="{F51ACBB9-3D3F-4421-88A4-B8CFBA0FA8DD}"/>
    <hyperlink ref="A54" r:id="rId47" xr:uid="{B962E5D3-E35C-4655-89A0-F4CA6977BF75}"/>
    <hyperlink ref="A74" r:id="rId48" xr:uid="{8BFE8D04-B1B0-4704-9065-7EED671A5EDF}"/>
    <hyperlink ref="A80" r:id="rId49" xr:uid="{859D0A26-E79A-4222-9320-689C636F5D4C}"/>
    <hyperlink ref="A47" r:id="rId50" xr:uid="{CCC6ECE8-58FF-4E84-8324-3319AB580344}"/>
    <hyperlink ref="A32" r:id="rId51" xr:uid="{ACB1823A-7D1C-46F2-A0AE-E05E4BD6BDCB}"/>
    <hyperlink ref="A11" r:id="rId52" xr:uid="{B8BAF5B5-7444-45DF-ABC4-5613C9E21E3E}"/>
    <hyperlink ref="A20" r:id="rId53" xr:uid="{3D9AD559-FD03-4957-974A-EBA5E335D2CC}"/>
    <hyperlink ref="A40" r:id="rId54" xr:uid="{274DFFB8-7431-4797-A216-1587C55BAE6D}"/>
    <hyperlink ref="A8" r:id="rId55" xr:uid="{0E0E3F37-C4B0-41FA-9579-98ED215220C8}"/>
    <hyperlink ref="A59" r:id="rId56" xr:uid="{4DC45D22-64A5-40DA-964D-51EE852867BD}"/>
    <hyperlink ref="A82" r:id="rId57" xr:uid="{93DDAA55-E7E8-44FD-83E5-E4B36430B8C5}"/>
    <hyperlink ref="A52" r:id="rId58" xr:uid="{CC1FBD57-5206-4AF2-9089-08D7E46E917D}"/>
    <hyperlink ref="A53" r:id="rId59" xr:uid="{6F5DA9EA-1702-4AF3-BD24-27EE6423FC66}"/>
    <hyperlink ref="A68" r:id="rId60" xr:uid="{013E82FB-1316-488E-8486-B2230E423BED}"/>
    <hyperlink ref="A89" r:id="rId61" xr:uid="{8F0C4D1E-FC2F-4038-B2D6-BC5A03669786}"/>
    <hyperlink ref="A16" r:id="rId62" xr:uid="{1482A699-6835-4080-9AB9-BBFCAD7B0B6F}"/>
    <hyperlink ref="A29" r:id="rId63" xr:uid="{1723E528-48C5-43DB-B56F-3611AF6F9537}"/>
    <hyperlink ref="A60" r:id="rId64" xr:uid="{D68FDE23-9587-4C44-AB71-3E6890879823}"/>
    <hyperlink ref="A76" r:id="rId65" xr:uid="{16D8AC8D-CB95-4AC5-B969-AEF8C8E13520}"/>
    <hyperlink ref="A84" r:id="rId66" xr:uid="{9E8DE17E-061E-42A9-A2E4-1AC21CA14FB4}"/>
    <hyperlink ref="A66" r:id="rId67" xr:uid="{B6813D17-BC04-47F6-A89E-B7ED1C6FAF45}"/>
    <hyperlink ref="A85" r:id="rId68" xr:uid="{95210BCA-5626-49F1-B869-3571F2C49660}"/>
    <hyperlink ref="A64" r:id="rId69" xr:uid="{F3D75382-94D2-47B0-8E60-EA23CE0008DE}"/>
    <hyperlink ref="A75" r:id="rId70" xr:uid="{AD59075A-DB7C-4F98-ACF2-85B5BC17E398}"/>
    <hyperlink ref="A67" r:id="rId71" xr:uid="{8EDEBF35-F016-486B-A036-83BBE381E181}"/>
    <hyperlink ref="A28" r:id="rId72" xr:uid="{1F903043-B367-4C3F-8222-0389694E96BF}"/>
    <hyperlink ref="A49" r:id="rId73" xr:uid="{0CBF65BF-FE85-48B7-95C6-FF1BD44DC48E}"/>
    <hyperlink ref="A86" r:id="rId74" xr:uid="{68D2F035-6668-42D7-A332-13501F912F54}"/>
    <hyperlink ref="A91" r:id="rId75" xr:uid="{2D61311A-774B-4749-BB67-09A8EF113CFB}"/>
    <hyperlink ref="A90" r:id="rId76" xr:uid="{E02999F7-DA4F-4322-BD56-8573D8FC49C7}"/>
    <hyperlink ref="A63" r:id="rId77" xr:uid="{FA131F67-BAC4-45EF-8D96-3946EB4B769C}"/>
    <hyperlink ref="A81" r:id="rId78" xr:uid="{5E9C76FE-A540-4C4B-BA15-B2584772DC6D}"/>
    <hyperlink ref="A72" r:id="rId79" xr:uid="{7D830522-BF27-44C9-95F8-E40C4046090F}"/>
    <hyperlink ref="A17" r:id="rId80" xr:uid="{43D4B1BA-A331-40AD-AD0A-E6AF849C6260}"/>
    <hyperlink ref="A35" r:id="rId81" xr:uid="{3E592627-F198-474A-A96D-58C20B500C7F}"/>
    <hyperlink ref="A65" r:id="rId82" xr:uid="{86B57223-EE0C-4C51-9B2D-9770C5F2C351}"/>
    <hyperlink ref="A70" r:id="rId83" xr:uid="{0916820A-ECE5-4748-8842-7E4B87270FAA}"/>
    <hyperlink ref="A78" r:id="rId84" xr:uid="{681C06FF-295F-4D37-B80D-8F9F17042252}"/>
    <hyperlink ref="A15" r:id="rId85" xr:uid="{2FB392D6-0B27-42E1-9FC9-A025E8A1C68E}"/>
    <hyperlink ref="A73" r:id="rId86" xr:uid="{6FC62046-41D4-42E5-9B55-3A0948C77019}"/>
    <hyperlink ref="A22" r:id="rId87" xr:uid="{E1AB5DDF-F4E7-4E59-B5FB-9BB280266A02}"/>
    <hyperlink ref="A79" r:id="rId88" xr:uid="{783F23DD-AEA0-48C3-AFCC-62089B7F7E2E}"/>
    <hyperlink ref="A14" r:id="rId89" xr:uid="{2E0B0FBA-AA99-4135-BD75-E163C65AE907}"/>
    <hyperlink ref="A88" r:id="rId90" xr:uid="{F58D43DA-B417-4ECE-A2E5-424C54BFEA10}"/>
    <hyperlink ref="A92" r:id="rId91" xr:uid="{1E2F02DA-D877-45F6-8A58-496AE5F6DA3C}"/>
    <hyperlink ref="A93" r:id="rId92" xr:uid="{BB6B537B-1DAA-4FC3-B41F-0981CB2C306C}"/>
    <hyperlink ref="A94" r:id="rId93" xr:uid="{BE8AD5FD-18A2-45F3-BCAB-21B54FD21509}"/>
    <hyperlink ref="A95" r:id="rId94" xr:uid="{43B949C1-EBF4-45B7-B960-4CBA27E78500}"/>
    <hyperlink ref="A96" r:id="rId95" xr:uid="{710CFAAF-8EF5-472E-83AF-8BC91F4C6051}"/>
    <hyperlink ref="A97" r:id="rId96" xr:uid="{645CA1BE-CF66-445C-B237-A94E58062D59}"/>
    <hyperlink ref="A98" r:id="rId97" xr:uid="{FE50B9AB-C046-472C-A852-2DE0B6A5125A}"/>
    <hyperlink ref="A99" r:id="rId98" xr:uid="{3BEEE4F0-F52F-4D2C-A94D-B0A40FE94287}"/>
    <hyperlink ref="A100" r:id="rId99" xr:uid="{96072BB1-CF7B-4011-ADD9-5AFC73E81014}"/>
    <hyperlink ref="A101" r:id="rId100" xr:uid="{A8EC3720-244F-4342-B3B3-3875B04E91DF}"/>
    <hyperlink ref="A102" r:id="rId101" xr:uid="{EE39792A-EE28-4C87-A765-6563D56F1424}"/>
    <hyperlink ref="A103" r:id="rId102" xr:uid="{81A8ECEF-B2F8-4463-93BA-7C3EF6BD159C}"/>
    <hyperlink ref="A104" r:id="rId103" xr:uid="{B09063C5-662D-4CFD-A3EB-5A27AB7CC450}"/>
    <hyperlink ref="A105" r:id="rId104" xr:uid="{813C7CBA-ECF8-414A-B418-A3080AD157E7}"/>
    <hyperlink ref="A106" r:id="rId105" xr:uid="{6BF0637A-8322-4560-9344-7B1294526F02}"/>
    <hyperlink ref="A107" r:id="rId106" xr:uid="{CA591287-1B82-4829-81A9-3A30D2DF7167}"/>
    <hyperlink ref="A108" r:id="rId107" xr:uid="{AE004058-0C2A-4C38-AA7B-200B12FEF5D7}"/>
    <hyperlink ref="A109" r:id="rId108" xr:uid="{ECD3FEB3-F65F-4AEE-A24C-F188C9ED247B}"/>
    <hyperlink ref="A110" r:id="rId109" xr:uid="{618F3069-0CBE-4E46-83EA-5029818ABA6C}"/>
    <hyperlink ref="A111" r:id="rId110" xr:uid="{C9D7CB6C-A094-4E67-848D-B95844453617}"/>
    <hyperlink ref="A112" r:id="rId111" xr:uid="{A8B477E6-6B9C-4AED-B016-22C857C7AF73}"/>
    <hyperlink ref="A113" r:id="rId112" xr:uid="{8EE2C8C8-C6C9-4F83-B424-41481464676F}"/>
    <hyperlink ref="A114" r:id="rId113" xr:uid="{DF009236-7009-4FAE-90B9-60B0CD4124F0}"/>
    <hyperlink ref="A115" r:id="rId114" xr:uid="{85CC3D04-F21C-4086-A072-1B2ACE0E1262}"/>
    <hyperlink ref="A116" r:id="rId115" xr:uid="{563535F4-F979-4F38-9F57-858327498993}"/>
    <hyperlink ref="A117" r:id="rId116" xr:uid="{0AD5C257-D2DB-47A4-B546-78772D7B5978}"/>
    <hyperlink ref="A118" r:id="rId117" xr:uid="{ABCDA0B1-648F-44C1-AD55-10F36B197593}"/>
    <hyperlink ref="A119" r:id="rId118" xr:uid="{8E9F5773-6CA9-40B6-82B5-0A0D2BA1EE9E}"/>
    <hyperlink ref="A120" r:id="rId119" xr:uid="{805DBB82-7EFE-42D8-A429-396EE4E4CAD5}"/>
    <hyperlink ref="A121" r:id="rId120" xr:uid="{16D7D3BD-7DA7-40C5-AA3D-D6B67648A576}"/>
    <hyperlink ref="A122" r:id="rId121" xr:uid="{6247965D-D3E0-4EC5-8E03-A059C5393FAB}"/>
    <hyperlink ref="A123" r:id="rId122" xr:uid="{2093E66F-993F-4554-8339-1E87D2B032C9}"/>
    <hyperlink ref="A124" r:id="rId123" xr:uid="{291C1477-CFAD-4273-8583-CBB433B9D707}"/>
    <hyperlink ref="A125" r:id="rId124" xr:uid="{5DE28396-A98B-4FD9-A154-F8EB171E77C2}"/>
    <hyperlink ref="A126" r:id="rId125" xr:uid="{EF1B129D-52F2-4ED0-BD3C-B5D06BD1795A}"/>
    <hyperlink ref="A127" r:id="rId126" xr:uid="{F7B79135-01CE-46A9-A323-938D2F3E0008}"/>
    <hyperlink ref="A128" r:id="rId127" xr:uid="{085030CE-98EB-4FD4-A5DC-179B8A4EE029}"/>
    <hyperlink ref="A129" r:id="rId128" xr:uid="{84975902-E8C0-40D1-B25F-D11908B46213}"/>
    <hyperlink ref="A130" r:id="rId129" xr:uid="{82E59A79-8514-48DD-81DD-EBA68A123CCD}"/>
    <hyperlink ref="A131" r:id="rId130" xr:uid="{B40914B4-CB02-41F0-A7EB-51345E285899}"/>
    <hyperlink ref="A132" r:id="rId131" xr:uid="{EAB0E465-5973-4BA9-BE7A-C2B016E23C6D}"/>
    <hyperlink ref="A133" r:id="rId132" xr:uid="{BF5EE5CE-4220-40A5-A674-0E7D69421B7A}"/>
    <hyperlink ref="A134" r:id="rId133" xr:uid="{2B29A1F9-1FBC-4A07-B272-6D80552362FB}"/>
    <hyperlink ref="A135" r:id="rId134" xr:uid="{C8CEEB9C-3EF7-423C-ADB9-4B6B4BD1D196}"/>
    <hyperlink ref="A136" r:id="rId135" xr:uid="{D0A9976C-BDE3-40C7-A132-560AC2881DAF}"/>
    <hyperlink ref="A137" r:id="rId136" xr:uid="{3C0DDA10-14BD-4D5A-A30F-508FB66F006A}"/>
    <hyperlink ref="A138" r:id="rId137" xr:uid="{14C604D0-7CA0-49FC-B671-51F3A846808F}"/>
    <hyperlink ref="A139" r:id="rId138" xr:uid="{FADDAAF7-9086-4BC1-B4F7-88DBF19F6893}"/>
    <hyperlink ref="A140" r:id="rId139" xr:uid="{85DB8CEA-E6A4-4A5E-8792-F02B238E1FF1}"/>
    <hyperlink ref="A141" r:id="rId140" xr:uid="{DB02FE53-83FF-46E1-B6D0-38549D728406}"/>
    <hyperlink ref="A142" r:id="rId141" xr:uid="{EB8960AD-53FE-4DAB-A22D-330FD6C4699E}"/>
    <hyperlink ref="A143" r:id="rId142" xr:uid="{FA309D5D-3081-426D-9B7F-593117AB9C69}"/>
    <hyperlink ref="A144" r:id="rId143" xr:uid="{8F6496BF-7FBD-4433-988D-1EAF3D079521}"/>
    <hyperlink ref="A145" r:id="rId144" xr:uid="{1549AEBA-4A9B-49B2-8673-D19DAC42BB16}"/>
    <hyperlink ref="A146" r:id="rId145" xr:uid="{AC983259-B4B1-47F1-A148-43FCE4E61639}"/>
    <hyperlink ref="A147" r:id="rId146" xr:uid="{1B1DC78E-127C-4AB3-850C-21214746EE78}"/>
    <hyperlink ref="A148" r:id="rId147" xr:uid="{8049313A-761D-4F43-9D46-1034DFE120F8}"/>
    <hyperlink ref="A149" r:id="rId148" xr:uid="{196A7E4C-A420-41E4-A131-A76DE4489BF0}"/>
    <hyperlink ref="A150" r:id="rId149" xr:uid="{BC4334CF-82AC-410B-9268-D7CEA07087A0}"/>
    <hyperlink ref="A151" r:id="rId150" xr:uid="{BA93056C-F772-42C6-9357-E8ECB17E4B25}"/>
    <hyperlink ref="A152" r:id="rId151" xr:uid="{653293D4-45FF-40EB-87A7-6D5FDD5F8AE5}"/>
    <hyperlink ref="A153" r:id="rId152" xr:uid="{960D8FB8-13ED-406F-BD84-FDDE4C3D851D}"/>
    <hyperlink ref="A154" r:id="rId153" xr:uid="{52DFBA6E-2022-4024-BFFE-CFC88E6E0613}"/>
    <hyperlink ref="A155" r:id="rId154" xr:uid="{0F40B9A3-1D60-4DAF-A31E-B765F2A1800B}"/>
    <hyperlink ref="A156" r:id="rId155" xr:uid="{C3429237-7E90-4E91-A82A-4DC6B2788358}"/>
    <hyperlink ref="A157" r:id="rId156" xr:uid="{7CF8AA81-6DB8-4A2B-BE2C-06917EC394C7}"/>
    <hyperlink ref="A158" r:id="rId157" xr:uid="{F15ED651-4B49-4050-993F-A6ADFEFD2292}"/>
    <hyperlink ref="A159" r:id="rId158" xr:uid="{585BE9F4-639F-424C-A6E4-98F293C87BEB}"/>
    <hyperlink ref="A160" r:id="rId159" xr:uid="{C0470BD1-50C7-4AEF-8179-08D93A547078}"/>
    <hyperlink ref="A161" r:id="rId160" xr:uid="{1246D0D9-8BBD-41F9-8D8F-1F322F6C8D8C}"/>
    <hyperlink ref="A162" r:id="rId161" xr:uid="{2A9A8159-1B87-4C31-8BBF-1982EF9A1B5B}"/>
    <hyperlink ref="A163" r:id="rId162" xr:uid="{9E173A53-9E17-41A3-9E28-CA72570BA66C}"/>
    <hyperlink ref="A164" r:id="rId163" xr:uid="{05C16B4D-8C8E-4444-ACD1-863EC0AA1FD2}"/>
    <hyperlink ref="A165" r:id="rId164" xr:uid="{747652E9-E9B4-4966-BDBA-6D345E5BAC2D}"/>
    <hyperlink ref="A166" r:id="rId165" xr:uid="{10421D64-89EF-4124-9701-B54D15B4ED9D}"/>
    <hyperlink ref="A167" r:id="rId166" xr:uid="{2A7DDEBF-0F9B-47E4-B0DE-B96D795B91C9}"/>
    <hyperlink ref="A168" r:id="rId167" xr:uid="{87D5AE48-9C11-49C5-8F3D-E45B6DC385F0}"/>
    <hyperlink ref="A169" r:id="rId168" xr:uid="{B580EE77-EF9F-4783-989C-9FA4488AA79D}"/>
    <hyperlink ref="A170" r:id="rId169" xr:uid="{01C9BBF1-B60C-4EFF-B628-11E581AAA8D4}"/>
    <hyperlink ref="A171" r:id="rId170" xr:uid="{EF214961-8606-44CF-970C-7BA66FDC441A}"/>
    <hyperlink ref="A172" r:id="rId171" xr:uid="{993A492A-8773-4E73-B64A-F93B4765B097}"/>
    <hyperlink ref="A173" r:id="rId172" xr:uid="{09DEEFB4-EB21-4489-8A9F-7A94547C8F32}"/>
    <hyperlink ref="A174" r:id="rId173" xr:uid="{B9FA995B-963A-4DFC-A81C-A566B58EA394}"/>
    <hyperlink ref="A175" r:id="rId174" xr:uid="{127D07D0-C4C1-40EE-B79C-B8506BBB5DBF}"/>
    <hyperlink ref="A176" r:id="rId175" xr:uid="{A65C3184-A8AF-426E-B7C5-58D561CE36A7}"/>
    <hyperlink ref="A177" r:id="rId176" xr:uid="{72A9A144-2928-47BD-B54E-24F7F6D2255F}"/>
    <hyperlink ref="A178" r:id="rId177" xr:uid="{C5F39950-584B-4A3F-BF30-AD00505C7DBC}"/>
    <hyperlink ref="A179" r:id="rId178" xr:uid="{50541FC7-5861-4D01-A2B7-EAF1A07E87B1}"/>
    <hyperlink ref="A180" r:id="rId179" xr:uid="{282CA3E5-E8E1-42D9-BBF8-5F9911986316}"/>
    <hyperlink ref="A181" r:id="rId180" xr:uid="{2E3CD31D-4D42-4BE8-BAF6-9A15FB113762}"/>
    <hyperlink ref="A182" r:id="rId181" xr:uid="{9F4DCB83-BE42-4723-A5CB-541BA329B21E}"/>
    <hyperlink ref="A183" r:id="rId182" xr:uid="{60C37BA1-6243-4797-916A-239FCF882748}"/>
    <hyperlink ref="A184" r:id="rId183" xr:uid="{41BD513B-5050-4CCC-AE03-D4C8B1BF1508}"/>
    <hyperlink ref="A185" r:id="rId184" xr:uid="{748E55B8-1BA9-4BF2-925F-0DC1BC4FB191}"/>
    <hyperlink ref="A186" r:id="rId185" xr:uid="{9E13206B-092B-4B72-9A72-9CBF9CD92A37}"/>
    <hyperlink ref="A187" r:id="rId186" xr:uid="{A2C0EAC6-87E5-41AA-9AC5-C79BE5200067}"/>
    <hyperlink ref="A188" r:id="rId187" xr:uid="{772AB91E-C2A7-4B4F-ABC1-F8307B03A77A}"/>
    <hyperlink ref="A189" r:id="rId188" xr:uid="{0DCCD70C-6661-49CB-B54D-0913A4F3EB33}"/>
    <hyperlink ref="A190" r:id="rId189" xr:uid="{6180FA07-8002-45E9-964E-CE47E3490E72}"/>
    <hyperlink ref="A191" r:id="rId190" xr:uid="{AE2ED916-FA53-4A1D-B554-0BBDC9AFA9C5}"/>
    <hyperlink ref="A192" r:id="rId191" xr:uid="{B92B8452-4C95-4AB4-BE27-8968B425A931}"/>
    <hyperlink ref="A193" r:id="rId192" xr:uid="{32832E4A-ED58-432E-BCA6-6CBCD05CE847}"/>
    <hyperlink ref="A194" r:id="rId193" xr:uid="{79B6056D-172B-48D0-94DF-92FC1ADC3BB7}"/>
    <hyperlink ref="A195" r:id="rId194" xr:uid="{9AAF68C8-C400-48C7-8363-33D9B01AA2AC}"/>
    <hyperlink ref="A196" r:id="rId195" xr:uid="{BE168371-53B9-430F-8731-A3BEA4F4CCC8}"/>
    <hyperlink ref="A197" r:id="rId196" xr:uid="{5E33BD17-F224-47F1-999E-EC3E1F038A34}"/>
    <hyperlink ref="A198" r:id="rId197" xr:uid="{7ABC69B3-54C7-47E6-9E11-8A282938AB6C}"/>
    <hyperlink ref="A199" r:id="rId198" xr:uid="{8A2CD1B1-C20C-4944-8E8E-86B1BB52D182}"/>
    <hyperlink ref="A200" r:id="rId199" xr:uid="{F4DF7B6E-0D5B-4697-8210-6DF646804E79}"/>
    <hyperlink ref="A201" r:id="rId200" xr:uid="{D26A9EC0-3474-4283-8B80-01E93B670471}"/>
  </hyperlinks>
  <pageMargins left="0.7" right="0.7" top="0.75" bottom="0.75" header="0.3" footer="0.3"/>
  <drawing r:id="rId201"/>
  <legacyDrawing r:id="rId202"/>
  <tableParts count="1">
    <tablePart r:id="rId20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8FC29-1F55-4815-9E65-321E2E3DB619}">
  <dimension ref="A1:V201"/>
  <sheetViews>
    <sheetView topLeftCell="B1" zoomScale="96" zoomScaleNormal="100" workbookViewId="0">
      <selection activeCell="S22" sqref="S22"/>
    </sheetView>
  </sheetViews>
  <sheetFormatPr defaultColWidth="8.88671875" defaultRowHeight="15" customHeight="1" x14ac:dyDescent="0.3"/>
  <cols>
    <col min="1" max="1" width="11.6640625" customWidth="1"/>
    <col min="2" max="2" width="60.44140625" bestFit="1" customWidth="1"/>
    <col min="3" max="3" width="14.44140625" customWidth="1"/>
    <col min="4" max="4" width="16.44140625" style="88" customWidth="1"/>
    <col min="5" max="5" width="15.44140625" customWidth="1"/>
    <col min="6" max="6" width="12.44140625" customWidth="1"/>
    <col min="7" max="7" width="17" customWidth="1"/>
    <col min="8" max="8" width="9.6640625" customWidth="1"/>
    <col min="9" max="9" width="18.6640625" bestFit="1" customWidth="1"/>
    <col min="10" max="10" width="28.109375" style="71" bestFit="1" customWidth="1"/>
    <col min="11" max="11" width="12.44140625" style="63" bestFit="1" customWidth="1"/>
    <col min="12" max="12" width="26.88671875" bestFit="1" customWidth="1"/>
    <col min="13" max="13" width="25.33203125" style="41" customWidth="1"/>
    <col min="17" max="17" width="14.6640625" customWidth="1"/>
    <col min="19" max="19" width="34.44140625" bestFit="1" customWidth="1"/>
    <col min="20" max="20" width="25.33203125" customWidth="1"/>
    <col min="21" max="21" width="34.109375" bestFit="1" customWidth="1"/>
    <col min="22" max="22" width="12.88671875" customWidth="1"/>
  </cols>
  <sheetData>
    <row r="1" spans="1:22" ht="15" customHeight="1" x14ac:dyDescent="0.3">
      <c r="A1" s="7" t="s">
        <v>52</v>
      </c>
      <c r="B1" s="8" t="s">
        <v>53</v>
      </c>
      <c r="C1" s="8" t="s">
        <v>54</v>
      </c>
      <c r="D1" s="84" t="s">
        <v>55</v>
      </c>
      <c r="E1" s="8" t="s">
        <v>56</v>
      </c>
      <c r="F1" s="8" t="s">
        <v>57</v>
      </c>
      <c r="G1" s="9" t="s">
        <v>58</v>
      </c>
      <c r="H1" s="9" t="s">
        <v>59</v>
      </c>
      <c r="I1" s="23" t="s">
        <v>60</v>
      </c>
      <c r="J1" s="70" t="s">
        <v>61</v>
      </c>
      <c r="K1" s="60" t="s">
        <v>62</v>
      </c>
      <c r="L1" s="23" t="s">
        <v>63</v>
      </c>
      <c r="M1" s="66" t="s">
        <v>64</v>
      </c>
      <c r="Q1" s="1" t="s">
        <v>65</v>
      </c>
      <c r="S1" t="s">
        <v>66</v>
      </c>
    </row>
    <row r="2" spans="1:22" ht="15" customHeight="1" x14ac:dyDescent="0.3">
      <c r="A2" s="79" t="s">
        <v>89</v>
      </c>
      <c r="B2" s="74" t="s">
        <v>90</v>
      </c>
      <c r="C2" s="74">
        <v>217.72</v>
      </c>
      <c r="D2" s="74" t="s">
        <v>91</v>
      </c>
      <c r="E2" s="76">
        <v>8.0000000000000004E-4</v>
      </c>
      <c r="F2" s="74">
        <v>1.43</v>
      </c>
      <c r="G2" s="78">
        <v>48350000000</v>
      </c>
      <c r="H2" s="25" t="b">
        <f t="shared" ref="H2:H33" si="0">OR(
  ISNUMBER(SEARCH("technology",B2)),
  ISNUMBER(SEARCH("tech",B2)),
  ISNUMBER(SEARCH("qqq",B2)),
  ISNUMBER(SEARCH("semiconductor",B2)),
  ISNUMBER(SEARCH("information technology",B2)),
  ISNUMBER(SEARCH("nasdaq",B2)),
  ISNUMBER(SEARCH("communication",B2))
)</f>
        <v>1</v>
      </c>
      <c r="I2" s="26">
        <f>Table1356[[#This Row],[Tech]]*$T$7+Table1356[[#This Row],[Beta]]*($T$6-$T$8)+$T$8</f>
        <v>0.22734799999999999</v>
      </c>
      <c r="J2" s="64">
        <v>967007624.186131</v>
      </c>
      <c r="K2" s="61">
        <f>Table1356[[#This Row],[Investment]]/Table1356[[#This Row],[Dollar Volume]]</f>
        <v>2.0000157687407052E-2</v>
      </c>
      <c r="L2" s="34">
        <f>IFERROR(MAX($T$11+$T$12*LN(Table1356[[#This Row],[Frac ADV]]),0),0)*0.0001+0.005/Table1356[[#This Row],[Stock Price]]+Table1356[[#This Row],[Expense Ratio]]</f>
        <v>1.2917454837520955E-2</v>
      </c>
      <c r="M2" s="67">
        <f>(Table1356[[#This Row],[Expected Return]]-Table1356[[#This Row],[Tcosts]])*Table1356[[#This Row],[Investment]]</f>
        <v>207355972.03050572</v>
      </c>
      <c r="Q2" s="13" t="s">
        <v>70</v>
      </c>
    </row>
    <row r="3" spans="1:22" ht="15" customHeight="1" x14ac:dyDescent="0.3">
      <c r="A3" s="79" t="s">
        <v>202</v>
      </c>
      <c r="B3" s="74" t="s">
        <v>203</v>
      </c>
      <c r="C3" s="74">
        <v>213.85</v>
      </c>
      <c r="D3" s="74" t="s">
        <v>204</v>
      </c>
      <c r="E3" s="76">
        <v>5.0000000000000001E-4</v>
      </c>
      <c r="F3" s="74">
        <v>1.07</v>
      </c>
      <c r="G3" s="78">
        <v>79900000000</v>
      </c>
      <c r="H3" s="3" t="b">
        <f t="shared" si="0"/>
        <v>0</v>
      </c>
      <c r="I3" s="26">
        <f>Table1356[[#This Row],[Tech]]*$T$7+Table1356[[#This Row],[Beta]]*($T$6-$T$8)+$T$8</f>
        <v>0.104452</v>
      </c>
      <c r="J3" s="64">
        <v>821120885.00578201</v>
      </c>
      <c r="K3" s="61">
        <f>Table1356[[#This Row],[Investment]]/Table1356[[#This Row],[Dollar Volume]]</f>
        <v>1.0276857133989762E-2</v>
      </c>
      <c r="L3" s="34">
        <f>IFERROR(MAX($T$11+$T$12*LN(Table1356[[#This Row],[Frac ADV]]),0),0)*0.0001+0.005/Table1356[[#This Row],[Stock Price]]+Table1356[[#This Row],[Expense Ratio]]</f>
        <v>9.3564214483598772E-3</v>
      </c>
      <c r="M3" s="68">
        <f>(Table1356[[#This Row],[Expected Return]]-Table1356[[#This Row],[Tcosts]])*Table1356[[#This Row],[Investment]]</f>
        <v>78084965.620459601</v>
      </c>
      <c r="Q3" s="16" t="s">
        <v>74</v>
      </c>
      <c r="S3" t="s">
        <v>75</v>
      </c>
    </row>
    <row r="4" spans="1:22" ht="15" customHeight="1" x14ac:dyDescent="0.3">
      <c r="A4" s="79" t="s">
        <v>356</v>
      </c>
      <c r="B4" s="74" t="s">
        <v>357</v>
      </c>
      <c r="C4" s="74">
        <v>115.66</v>
      </c>
      <c r="D4" s="74" t="s">
        <v>358</v>
      </c>
      <c r="E4" s="76">
        <v>1.5E-3</v>
      </c>
      <c r="F4" s="74">
        <v>0.98</v>
      </c>
      <c r="G4" s="78">
        <v>9210000000</v>
      </c>
      <c r="H4" s="3" t="b">
        <f t="shared" si="0"/>
        <v>0</v>
      </c>
      <c r="I4" s="26">
        <f>Table1356[[#This Row],[Tech]]*$T$7+Table1356[[#This Row],[Beta]]*($T$6-$T$8)+$T$8</f>
        <v>9.872800000000001E-2</v>
      </c>
      <c r="J4" s="64">
        <v>163603908.87146899</v>
      </c>
      <c r="K4" s="61">
        <f>Table1356[[#This Row],[Investment]]/Table1356[[#This Row],[Dollar Volume]]</f>
        <v>1.7763725176055265E-2</v>
      </c>
      <c r="L4" s="34">
        <f>IFERROR(MAX($T$11+$T$12*LN(Table1356[[#This Row],[Frac ADV]]),0),0)*0.0001+0.005/Table1356[[#This Row],[Stock Price]]+Table1356[[#This Row],[Expense Ratio]]</f>
        <v>1.3056882214602389E-2</v>
      </c>
      <c r="M4" s="68">
        <f>(Table1356[[#This Row],[Expected Return]]-Table1356[[#This Row],[Tcosts]])*Table1356[[#This Row],[Investment]]</f>
        <v>14016129.74707908</v>
      </c>
      <c r="Q4" s="13" t="s">
        <v>79</v>
      </c>
      <c r="S4" t="s">
        <v>80</v>
      </c>
      <c r="T4" t="s">
        <v>81</v>
      </c>
      <c r="U4" t="s">
        <v>82</v>
      </c>
    </row>
    <row r="5" spans="1:22" ht="15" customHeight="1" x14ac:dyDescent="0.3">
      <c r="A5" s="77" t="s">
        <v>150</v>
      </c>
      <c r="B5" s="73" t="s">
        <v>151</v>
      </c>
      <c r="C5" s="73">
        <v>448.96</v>
      </c>
      <c r="D5" s="73" t="s">
        <v>152</v>
      </c>
      <c r="E5" s="75">
        <v>1.8E-3</v>
      </c>
      <c r="F5" s="73">
        <v>1.22</v>
      </c>
      <c r="G5" s="78">
        <v>7750000000</v>
      </c>
      <c r="H5" s="3" t="b">
        <f t="shared" si="0"/>
        <v>0</v>
      </c>
      <c r="I5" s="26">
        <f>Table1356[[#This Row],[Tech]]*$T$7+Table1356[[#This Row],[Beta]]*($T$6-$T$8)+$T$8</f>
        <v>0.11399200000000001</v>
      </c>
      <c r="J5" s="64">
        <v>155000556.90235001</v>
      </c>
      <c r="K5" s="61">
        <f>Table1356[[#This Row],[Investment]]/Table1356[[#This Row],[Dollar Volume]]</f>
        <v>2.0000071858367743E-2</v>
      </c>
      <c r="L5" s="34">
        <f>IFERROR(MAX($T$11+$T$12*LN(Table1356[[#This Row],[Frac ADV]]),0),0)*0.0001+0.005/Table1356[[#This Row],[Stock Price]]+Table1356[[#This Row],[Expense Ratio]]</f>
        <v>1.390560539033363E-2</v>
      </c>
      <c r="M5" s="68">
        <f>(Table1356[[#This Row],[Expected Return]]-Table1356[[#This Row],[Tcosts]])*Table1356[[#This Row],[Investment]]</f>
        <v>15513446.902846651</v>
      </c>
      <c r="Q5" s="16" t="s">
        <v>86</v>
      </c>
      <c r="S5" t="s">
        <v>87</v>
      </c>
      <c r="T5" s="17">
        <v>1000000000</v>
      </c>
      <c r="U5" t="s">
        <v>88</v>
      </c>
    </row>
    <row r="6" spans="1:22" ht="15" customHeight="1" x14ac:dyDescent="0.3">
      <c r="A6" s="77" t="s">
        <v>113</v>
      </c>
      <c r="B6" s="73" t="s">
        <v>114</v>
      </c>
      <c r="C6" s="73">
        <v>600.64</v>
      </c>
      <c r="D6" s="73" t="s">
        <v>115</v>
      </c>
      <c r="E6" s="75">
        <v>2E-3</v>
      </c>
      <c r="F6" s="73">
        <v>1.22</v>
      </c>
      <c r="G6" s="78">
        <v>5570000000</v>
      </c>
      <c r="H6" s="3" t="b">
        <f t="shared" si="0"/>
        <v>1</v>
      </c>
      <c r="I6" s="26">
        <f>Table1356[[#This Row],[Tech]]*$T$7+Table1356[[#This Row],[Beta]]*($T$6-$T$8)+$T$8</f>
        <v>0.21399200000000002</v>
      </c>
      <c r="J6" s="64">
        <v>111402155.748474</v>
      </c>
      <c r="K6" s="61">
        <f>Table1356[[#This Row],[Investment]]/Table1356[[#This Row],[Dollar Volume]]</f>
        <v>2.0000387028451347E-2</v>
      </c>
      <c r="L6" s="34">
        <f>IFERROR(MAX($T$11+$T$12*LN(Table1356[[#This Row],[Frac ADV]]),0),0)*0.0001+0.005/Table1356[[#This Row],[Stock Price]]+Table1356[[#This Row],[Expense Ratio]]</f>
        <v>1.410287018214923E-2</v>
      </c>
      <c r="M6" s="68">
        <f>(Table1356[[#This Row],[Expected Return]]-Table1356[[#This Row],[Tcosts]])*Table1356[[#This Row],[Investment]]</f>
        <v>22268079.972395152</v>
      </c>
      <c r="Q6" s="13" t="s">
        <v>92</v>
      </c>
      <c r="S6" t="s">
        <v>93</v>
      </c>
      <c r="T6" s="18">
        <v>0.1</v>
      </c>
      <c r="U6" t="s">
        <v>94</v>
      </c>
    </row>
    <row r="7" spans="1:22" ht="15" customHeight="1" x14ac:dyDescent="0.3">
      <c r="A7" s="77" t="s">
        <v>76</v>
      </c>
      <c r="B7" s="73" t="s">
        <v>77</v>
      </c>
      <c r="C7" s="73">
        <v>351.5</v>
      </c>
      <c r="D7" s="73" t="s">
        <v>78</v>
      </c>
      <c r="E7" s="75">
        <v>3.3999999999999998E-3</v>
      </c>
      <c r="F7" s="73">
        <v>1.74</v>
      </c>
      <c r="G7" s="78">
        <v>5500000000</v>
      </c>
      <c r="H7" s="3" t="b">
        <f t="shared" si="0"/>
        <v>1</v>
      </c>
      <c r="I7" s="26">
        <f>Table1356[[#This Row],[Tech]]*$T$7+Table1356[[#This Row],[Beta]]*($T$6-$T$8)+$T$8</f>
        <v>0.24706400000000001</v>
      </c>
      <c r="J7" s="64">
        <v>110002783.531572</v>
      </c>
      <c r="K7" s="61">
        <f>Table1356[[#This Row],[Investment]]/Table1356[[#This Row],[Dollar Volume]]</f>
        <v>2.0000506096649454E-2</v>
      </c>
      <c r="L7" s="34">
        <f>IFERROR(MAX($T$11+$T$12*LN(Table1356[[#This Row],[Frac ADV]]),0),0)*0.0001+0.005/Table1356[[#This Row],[Stock Price]]+Table1356[[#This Row],[Expense Ratio]]</f>
        <v>1.5508799639674843E-2</v>
      </c>
      <c r="M7" s="68">
        <f>(Table1356[[#This Row],[Expected Return]]-Table1356[[#This Row],[Tcosts]])*Table1356[[#This Row],[Investment]]</f>
        <v>25471716.580846634</v>
      </c>
      <c r="Q7" s="16" t="s">
        <v>98</v>
      </c>
      <c r="S7" t="s">
        <v>99</v>
      </c>
      <c r="T7" s="18">
        <v>0.1</v>
      </c>
      <c r="U7" t="s">
        <v>100</v>
      </c>
    </row>
    <row r="8" spans="1:22" ht="15" customHeight="1" x14ac:dyDescent="0.3">
      <c r="A8" s="77" t="s">
        <v>186</v>
      </c>
      <c r="B8" s="73" t="s">
        <v>187</v>
      </c>
      <c r="C8" s="73">
        <v>460.15</v>
      </c>
      <c r="D8" s="73" t="s">
        <v>188</v>
      </c>
      <c r="E8" s="75">
        <v>2.9999999999999997E-4</v>
      </c>
      <c r="F8" s="73">
        <v>1.24</v>
      </c>
      <c r="G8" s="78">
        <v>4880000000</v>
      </c>
      <c r="H8" s="3" t="b">
        <f t="shared" si="0"/>
        <v>0</v>
      </c>
      <c r="I8" s="26">
        <f>Table1356[[#This Row],[Tech]]*$T$7+Table1356[[#This Row],[Beta]]*($T$6-$T$8)+$T$8</f>
        <v>0.11526400000000001</v>
      </c>
      <c r="J8" s="64">
        <v>97600726.213727996</v>
      </c>
      <c r="K8" s="61">
        <f>Table1356[[#This Row],[Investment]]/Table1356[[#This Row],[Dollar Volume]]</f>
        <v>2.0000148814288524E-2</v>
      </c>
      <c r="L8" s="34">
        <f>IFERROR(MAX($T$11+$T$12*LN(Table1356[[#This Row],[Frac ADV]]),0),0)*0.0001+0.005/Table1356[[#This Row],[Stock Price]]+Table1356[[#This Row],[Expense Ratio]]</f>
        <v>1.2405353409867103E-2</v>
      </c>
      <c r="M8" s="68">
        <f>(Table1356[[#This Row],[Expected Return]]-Table1356[[#This Row],[Tcosts]])*Table1356[[#This Row],[Investment]]</f>
        <v>10039078.604558168</v>
      </c>
      <c r="Q8" s="13" t="s">
        <v>104</v>
      </c>
      <c r="S8" t="s">
        <v>105</v>
      </c>
      <c r="T8" s="19">
        <v>3.6400000000000002E-2</v>
      </c>
      <c r="U8" t="s">
        <v>106</v>
      </c>
      <c r="V8" s="21">
        <v>46076</v>
      </c>
    </row>
    <row r="9" spans="1:22" ht="15" customHeight="1" x14ac:dyDescent="0.3">
      <c r="A9" s="77" t="s">
        <v>277</v>
      </c>
      <c r="B9" s="73" t="s">
        <v>278</v>
      </c>
      <c r="C9" s="73">
        <v>82.87</v>
      </c>
      <c r="D9" s="73" t="s">
        <v>279</v>
      </c>
      <c r="E9" s="75">
        <v>2.9999999999999997E-4</v>
      </c>
      <c r="F9" s="73">
        <v>0.99</v>
      </c>
      <c r="G9" s="78">
        <v>4470000000</v>
      </c>
      <c r="H9" s="3" t="b">
        <f t="shared" si="0"/>
        <v>0</v>
      </c>
      <c r="I9" s="26">
        <f>Table1356[[#This Row],[Tech]]*$T$7+Table1356[[#This Row],[Beta]]*($T$6-$T$8)+$T$8</f>
        <v>9.9364000000000008E-2</v>
      </c>
      <c r="J9" s="64">
        <v>76867092.698397994</v>
      </c>
      <c r="K9" s="61">
        <f>Table1356[[#This Row],[Investment]]/Table1356[[#This Row],[Dollar Volume]]</f>
        <v>1.7196217605905593E-2</v>
      </c>
      <c r="L9" s="34">
        <f>IFERROR(MAX($T$11+$T$12*LN(Table1356[[#This Row],[Frac ADV]]),0),0)*0.0001+0.005/Table1356[[#This Row],[Stock Price]]+Table1356[[#This Row],[Expense Ratio]]</f>
        <v>1.1714947619151362E-2</v>
      </c>
      <c r="M9" s="68">
        <f>(Table1356[[#This Row],[Expected Return]]-Table1356[[#This Row],[Tcosts]])*Table1356[[#This Row],[Investment]]</f>
        <v>6737327.8342854343</v>
      </c>
      <c r="Q9" s="16" t="s">
        <v>110</v>
      </c>
      <c r="S9" t="s">
        <v>111</v>
      </c>
      <c r="T9" s="19">
        <f>T8+2%</f>
        <v>5.6400000000000006E-2</v>
      </c>
      <c r="U9" t="s">
        <v>112</v>
      </c>
    </row>
    <row r="10" spans="1:22" ht="15" customHeight="1" x14ac:dyDescent="0.3">
      <c r="A10" s="79" t="s">
        <v>190</v>
      </c>
      <c r="B10" s="74" t="s">
        <v>191</v>
      </c>
      <c r="C10" s="74">
        <v>119.49</v>
      </c>
      <c r="D10" s="74" t="s">
        <v>192</v>
      </c>
      <c r="E10" s="76">
        <v>1.8E-3</v>
      </c>
      <c r="F10" s="74">
        <v>1.21</v>
      </c>
      <c r="G10" s="78">
        <v>3070000000</v>
      </c>
      <c r="H10" s="3" t="b">
        <f t="shared" si="0"/>
        <v>0</v>
      </c>
      <c r="I10" s="26">
        <f>Table1356[[#This Row],[Tech]]*$T$7+Table1356[[#This Row],[Beta]]*($T$6-$T$8)+$T$8</f>
        <v>0.113356</v>
      </c>
      <c r="J10" s="64">
        <v>61400504.947784998</v>
      </c>
      <c r="K10" s="61">
        <f>Table1356[[#This Row],[Investment]]/Table1356[[#This Row],[Dollar Volume]]</f>
        <v>2.0000164478105861E-2</v>
      </c>
      <c r="L10" s="34">
        <f>IFERROR(MAX($T$11+$T$12*LN(Table1356[[#This Row],[Frac ADV]]),0),0)*0.0001+0.005/Table1356[[#This Row],[Stock Price]]+Table1356[[#This Row],[Expense Ratio]]</f>
        <v>1.393633572993396E-2</v>
      </c>
      <c r="M10" s="68">
        <f>(Table1356[[#This Row],[Expected Return]]-Table1356[[#This Row],[Tcosts]])*Table1356[[#This Row],[Investment]]</f>
        <v>6104417.587921313</v>
      </c>
      <c r="Q10" s="13" t="s">
        <v>116</v>
      </c>
      <c r="S10" t="s">
        <v>117</v>
      </c>
      <c r="U10" s="22" t="s">
        <v>118</v>
      </c>
    </row>
    <row r="11" spans="1:22" ht="15" customHeight="1" x14ac:dyDescent="0.3">
      <c r="A11" s="77" t="s">
        <v>71</v>
      </c>
      <c r="B11" s="73" t="s">
        <v>72</v>
      </c>
      <c r="C11" s="73">
        <v>406.11</v>
      </c>
      <c r="D11" s="73" t="s">
        <v>73</v>
      </c>
      <c r="E11" s="75">
        <v>3.5000000000000001E-3</v>
      </c>
      <c r="F11" s="73">
        <v>1.71</v>
      </c>
      <c r="G11" s="78">
        <v>2350000000</v>
      </c>
      <c r="H11" s="3" t="b">
        <f t="shared" si="0"/>
        <v>1</v>
      </c>
      <c r="I11" s="26">
        <f>Table1356[[#This Row],[Tech]]*$T$7+Table1356[[#This Row],[Beta]]*($T$6-$T$8)+$T$8</f>
        <v>0.24515599999999999</v>
      </c>
      <c r="J11" s="64">
        <v>47002041.087416999</v>
      </c>
      <c r="K11" s="61">
        <f>Table1356[[#This Row],[Investment]]/Table1356[[#This Row],[Dollar Volume]]</f>
        <v>2.000086854783702E-2</v>
      </c>
      <c r="L11" s="34">
        <f>IFERROR(MAX($T$11+$T$12*LN(Table1356[[#This Row],[Frac ADV]]),0),0)*0.0001+0.005/Table1356[[#This Row],[Stock Price]]+Table1356[[#This Row],[Expense Ratio]]</f>
        <v>1.5606975588769103E-2</v>
      </c>
      <c r="M11" s="68">
        <f>(Table1356[[#This Row],[Expected Return]]-Table1356[[#This Row],[Tcosts]])*Table1356[[#This Row],[Investment]]</f>
        <v>10789272.676953161</v>
      </c>
      <c r="Q11" s="16" t="s">
        <v>122</v>
      </c>
      <c r="S11" t="s">
        <v>11</v>
      </c>
      <c r="T11" s="20">
        <v>312.56343894969302</v>
      </c>
    </row>
    <row r="12" spans="1:22" ht="15" customHeight="1" x14ac:dyDescent="0.3">
      <c r="A12" s="79" t="s">
        <v>591</v>
      </c>
      <c r="B12" s="74" t="s">
        <v>592</v>
      </c>
      <c r="C12" s="74">
        <v>73.28</v>
      </c>
      <c r="D12" s="74" t="s">
        <v>593</v>
      </c>
      <c r="E12" s="76">
        <v>8.0000000000000004E-4</v>
      </c>
      <c r="F12" s="74">
        <v>0.7</v>
      </c>
      <c r="G12" s="78">
        <v>12250000000</v>
      </c>
      <c r="H12" s="3" t="b">
        <f t="shared" si="0"/>
        <v>0</v>
      </c>
      <c r="I12" s="26">
        <f>Table1356[[#This Row],[Tech]]*$T$7+Table1356[[#This Row],[Beta]]*($T$6-$T$8)+$T$8</f>
        <v>8.0919999999999992E-2</v>
      </c>
      <c r="J12" s="64">
        <v>40125763.214977004</v>
      </c>
      <c r="K12" s="61">
        <f>Table1356[[#This Row],[Investment]]/Table1356[[#This Row],[Dollar Volume]]</f>
        <v>3.2755725073450614E-3</v>
      </c>
      <c r="L12" s="34">
        <f>IFERROR(MAX($T$11+$T$12*LN(Table1356[[#This Row],[Frac ADV]]),0),0)*0.0001+0.005/Table1356[[#This Row],[Stock Price]]+Table1356[[#This Row],[Expense Ratio]]</f>
        <v>4.10065481987838E-3</v>
      </c>
      <c r="M12" s="68">
        <f>(Table1356[[#This Row],[Expected Return]]-Table1356[[#This Row],[Tcosts]])*Table1356[[#This Row],[Investment]]</f>
        <v>3082434.8550271448</v>
      </c>
      <c r="Q12" s="13" t="s">
        <v>126</v>
      </c>
      <c r="S12" t="s">
        <v>12</v>
      </c>
      <c r="T12" s="20">
        <v>48.982055899151902</v>
      </c>
    </row>
    <row r="13" spans="1:22" ht="15" customHeight="1" x14ac:dyDescent="0.3">
      <c r="A13" s="77" t="s">
        <v>123</v>
      </c>
      <c r="B13" s="73" t="s">
        <v>124</v>
      </c>
      <c r="C13" s="73">
        <v>114.64</v>
      </c>
      <c r="D13" s="73" t="s">
        <v>125</v>
      </c>
      <c r="E13" s="75">
        <v>8.0000000000000004E-4</v>
      </c>
      <c r="F13" s="73">
        <v>0.94</v>
      </c>
      <c r="G13" s="78">
        <v>1870000000</v>
      </c>
      <c r="H13" s="3" t="b">
        <f t="shared" si="0"/>
        <v>1</v>
      </c>
      <c r="I13" s="26">
        <f>Table1356[[#This Row],[Tech]]*$T$7+Table1356[[#This Row],[Beta]]*($T$6-$T$8)+$T$8</f>
        <v>0.19618400000000003</v>
      </c>
      <c r="J13" s="64">
        <v>37401358.379914001</v>
      </c>
      <c r="K13" s="61">
        <f>Table1356[[#This Row],[Investment]]/Table1356[[#This Row],[Dollar Volume]]</f>
        <v>2.0000726406371124E-2</v>
      </c>
      <c r="L13" s="34">
        <f>IFERROR(MAX($T$11+$T$12*LN(Table1356[[#This Row],[Frac ADV]]),0),0)*0.0001+0.005/Table1356[[#This Row],[Stock Price]]+Table1356[[#This Row],[Expense Ratio]]</f>
        <v>1.2938243637199191E-2</v>
      </c>
      <c r="M13" s="68">
        <f>(Table1356[[#This Row],[Expected Return]]-Table1356[[#This Row],[Tcosts]])*Table1356[[#This Row],[Investment]]</f>
        <v>6853640.2053235201</v>
      </c>
      <c r="Q13" s="16" t="s">
        <v>130</v>
      </c>
    </row>
    <row r="14" spans="1:22" ht="15" customHeight="1" x14ac:dyDescent="0.3">
      <c r="A14" s="79" t="s">
        <v>257</v>
      </c>
      <c r="B14" s="74" t="s">
        <v>258</v>
      </c>
      <c r="C14" s="74">
        <v>232.53</v>
      </c>
      <c r="D14" s="74" t="s">
        <v>259</v>
      </c>
      <c r="E14" s="76">
        <v>3.8E-3</v>
      </c>
      <c r="F14" s="74">
        <v>1.05</v>
      </c>
      <c r="G14" s="78">
        <v>2300000000</v>
      </c>
      <c r="H14" s="3" t="b">
        <f t="shared" si="0"/>
        <v>0</v>
      </c>
      <c r="I14" s="26">
        <f>Table1356[[#This Row],[Tech]]*$T$7+Table1356[[#This Row],[Beta]]*($T$6-$T$8)+$T$8</f>
        <v>0.10318000000000001</v>
      </c>
      <c r="J14" s="64">
        <v>36099412.282895997</v>
      </c>
      <c r="K14" s="61">
        <f>Table1356[[#This Row],[Investment]]/Table1356[[#This Row],[Dollar Volume]]</f>
        <v>1.5695396644737389E-2</v>
      </c>
      <c r="L14" s="34">
        <f>IFERROR(MAX($T$11+$T$12*LN(Table1356[[#This Row],[Frac ADV]]),0),0)*0.0001+0.005/Table1356[[#This Row],[Stock Price]]+Table1356[[#This Row],[Expense Ratio]]</f>
        <v>1.4728800869059809E-2</v>
      </c>
      <c r="M14" s="68">
        <f>(Table1356[[#This Row],[Expected Return]]-Table1356[[#This Row],[Tcosts]])*Table1356[[#This Row],[Investment]]</f>
        <v>3193036.3043443421</v>
      </c>
      <c r="Q14" s="13" t="s">
        <v>134</v>
      </c>
      <c r="U14" t="s">
        <v>880</v>
      </c>
      <c r="V14" t="s">
        <v>881</v>
      </c>
    </row>
    <row r="15" spans="1:22" ht="15" customHeight="1" x14ac:dyDescent="0.3">
      <c r="A15" s="79" t="s">
        <v>214</v>
      </c>
      <c r="B15" s="74" t="s">
        <v>215</v>
      </c>
      <c r="C15" s="74">
        <v>132.91</v>
      </c>
      <c r="D15" s="74" t="s">
        <v>216</v>
      </c>
      <c r="E15" s="76">
        <v>2.3E-3</v>
      </c>
      <c r="F15" s="74">
        <v>1.1299999999999999</v>
      </c>
      <c r="G15" s="78">
        <v>1640000000</v>
      </c>
      <c r="H15" s="3" t="b">
        <f t="shared" si="0"/>
        <v>0</v>
      </c>
      <c r="I15" s="26">
        <f>Table1356[[#This Row],[Tech]]*$T$7+Table1356[[#This Row],[Beta]]*($T$6-$T$8)+$T$8</f>
        <v>0.108268</v>
      </c>
      <c r="J15" s="64">
        <v>32244795.619066</v>
      </c>
      <c r="K15" s="61">
        <f>Table1356[[#This Row],[Investment]]/Table1356[[#This Row],[Dollar Volume]]</f>
        <v>1.9661460743332925E-2</v>
      </c>
      <c r="L15" s="34">
        <f>IFERROR(MAX($T$11+$T$12*LN(Table1356[[#This Row],[Frac ADV]]),0),0)*0.0001+0.005/Table1356[[#This Row],[Stock Price]]+Table1356[[#This Row],[Expense Ratio]]</f>
        <v>1.4348448897065125E-2</v>
      </c>
      <c r="M15" s="68">
        <f>(Table1356[[#This Row],[Expected Return]]-Table1356[[#This Row],[Tcosts]])*Table1356[[#This Row],[Investment]]</f>
        <v>3028416.7299485598</v>
      </c>
      <c r="Q15" s="16" t="s">
        <v>138</v>
      </c>
      <c r="S15" t="s">
        <v>139</v>
      </c>
      <c r="T15" s="48">
        <f>SUM(Table1356[Exp Profit])</f>
        <v>439990496.91780412</v>
      </c>
    </row>
    <row r="16" spans="1:22" ht="15" customHeight="1" x14ac:dyDescent="0.3">
      <c r="A16" s="79" t="s">
        <v>222</v>
      </c>
      <c r="B16" s="74" t="s">
        <v>223</v>
      </c>
      <c r="C16" s="74">
        <v>250.2</v>
      </c>
      <c r="D16" s="74" t="s">
        <v>224</v>
      </c>
      <c r="E16" s="76">
        <v>1.5E-3</v>
      </c>
      <c r="F16" s="74">
        <v>1.17</v>
      </c>
      <c r="G16" s="78">
        <v>1360000000</v>
      </c>
      <c r="H16" s="3" t="b">
        <f t="shared" si="0"/>
        <v>0</v>
      </c>
      <c r="I16" s="26">
        <f>Table1356[[#This Row],[Tech]]*$T$7+Table1356[[#This Row],[Beta]]*($T$6-$T$8)+$T$8</f>
        <v>0.11081200000000001</v>
      </c>
      <c r="J16" s="64">
        <v>27200378.350136001</v>
      </c>
      <c r="K16" s="61">
        <f>Table1356[[#This Row],[Investment]]/Table1356[[#This Row],[Dollar Volume]]</f>
        <v>2.0000278198629411E-2</v>
      </c>
      <c r="L16" s="34">
        <f>IFERROR(MAX($T$11+$T$12*LN(Table1356[[#This Row],[Frac ADV]]),0),0)*0.0001+0.005/Table1356[[#This Row],[Stock Price]]+Table1356[[#This Row],[Expense Ratio]]</f>
        <v>1.3614503087924324E-2</v>
      </c>
      <c r="M16" s="68">
        <f>(Table1356[[#This Row],[Expected Return]]-Table1356[[#This Row],[Tcosts]])*Table1356[[#This Row],[Investment]]</f>
        <v>2643808.6906946343</v>
      </c>
      <c r="Q16" s="13" t="s">
        <v>143</v>
      </c>
      <c r="S16" t="s">
        <v>144</v>
      </c>
      <c r="T16" s="48">
        <f>SUM(Table1356[Investment])</f>
        <v>2999999999.9999986</v>
      </c>
      <c r="U16" s="40">
        <f>T5*3</f>
        <v>3000000000</v>
      </c>
      <c r="V16">
        <f>T18/T5</f>
        <v>0.32719049691780416</v>
      </c>
    </row>
    <row r="17" spans="1:20" ht="15" customHeight="1" x14ac:dyDescent="0.3">
      <c r="A17" s="79" t="s">
        <v>131</v>
      </c>
      <c r="B17" s="74" t="s">
        <v>132</v>
      </c>
      <c r="C17" s="74">
        <v>163.69</v>
      </c>
      <c r="D17" s="74" t="s">
        <v>133</v>
      </c>
      <c r="E17" s="76">
        <v>4.0000000000000002E-4</v>
      </c>
      <c r="F17" s="74">
        <v>1.19</v>
      </c>
      <c r="G17" s="78">
        <v>1020000000</v>
      </c>
      <c r="H17" s="3" t="b">
        <f t="shared" si="0"/>
        <v>0</v>
      </c>
      <c r="I17" s="26">
        <f>Table1356[[#This Row],[Tech]]*$T$7+Table1356[[#This Row],[Beta]]*($T$6-$T$8)+$T$8</f>
        <v>0.112084</v>
      </c>
      <c r="J17" s="64">
        <v>20400524.302850001</v>
      </c>
      <c r="K17" s="61">
        <f>Table1356[[#This Row],[Investment]]/Table1356[[#This Row],[Dollar Volume]]</f>
        <v>2.0000514022401963E-2</v>
      </c>
      <c r="L17" s="34">
        <f>IFERROR(MAX($T$11+$T$12*LN(Table1356[[#This Row],[Frac ADV]]),0),0)*0.0001+0.005/Table1356[[#This Row],[Stock Price]]+Table1356[[#This Row],[Expense Ratio]]</f>
        <v>1.2525122373061961E-2</v>
      </c>
      <c r="M17" s="68">
        <f>(Table1356[[#This Row],[Expected Return]]-Table1356[[#This Row],[Tcosts]])*Table1356[[#This Row],[Investment]]</f>
        <v>2031053.3025928189</v>
      </c>
      <c r="Q17" s="16" t="s">
        <v>148</v>
      </c>
      <c r="S17" t="s">
        <v>149</v>
      </c>
      <c r="T17" s="48">
        <f>MAX((T16-T5),0)*T9</f>
        <v>112799999.99999993</v>
      </c>
    </row>
    <row r="18" spans="1:20" ht="15" customHeight="1" x14ac:dyDescent="0.3">
      <c r="A18" s="79" t="s">
        <v>376</v>
      </c>
      <c r="B18" s="74" t="s">
        <v>377</v>
      </c>
      <c r="C18" s="74">
        <v>336.01</v>
      </c>
      <c r="D18" s="74" t="s">
        <v>378</v>
      </c>
      <c r="E18" s="76">
        <v>2.9999999999999997E-4</v>
      </c>
      <c r="F18" s="74">
        <v>1</v>
      </c>
      <c r="G18" s="78">
        <v>1290000000</v>
      </c>
      <c r="H18" s="3" t="b">
        <f t="shared" si="0"/>
        <v>0</v>
      </c>
      <c r="I18" s="26">
        <f>Table1356[[#This Row],[Tech]]*$T$7+Table1356[[#This Row],[Beta]]*($T$6-$T$8)+$T$8</f>
        <v>0.1</v>
      </c>
      <c r="J18" s="64">
        <v>18523272.6697</v>
      </c>
      <c r="K18" s="61">
        <f>Table1356[[#This Row],[Investment]]/Table1356[[#This Row],[Dollar Volume]]</f>
        <v>1.4359126100542637E-2</v>
      </c>
      <c r="L18" s="34">
        <f>IFERROR(MAX($T$11+$T$12*LN(Table1356[[#This Row],[Frac ADV]]),0),0)*0.0001+0.005/Table1356[[#This Row],[Stock Price]]+Table1356[[#This Row],[Expense Ratio]]</f>
        <v>1.0786327838396496E-2</v>
      </c>
      <c r="M18" s="68">
        <f>(Table1356[[#This Row],[Expected Return]]-Table1356[[#This Row],[Tcosts]])*Table1356[[#This Row],[Investment]]</f>
        <v>1652529.1753146059</v>
      </c>
      <c r="Q18" s="13" t="s">
        <v>153</v>
      </c>
      <c r="S18" t="s">
        <v>154</v>
      </c>
      <c r="T18" s="50">
        <f>T15-T17</f>
        <v>327190496.91780418</v>
      </c>
    </row>
    <row r="19" spans="1:20" ht="15" customHeight="1" thickBot="1" x14ac:dyDescent="0.35">
      <c r="A19" s="77" t="s">
        <v>206</v>
      </c>
      <c r="B19" s="73" t="s">
        <v>207</v>
      </c>
      <c r="C19" s="73">
        <v>26.29</v>
      </c>
      <c r="D19" s="73" t="s">
        <v>208</v>
      </c>
      <c r="E19" s="75">
        <v>2.9999999999999997E-4</v>
      </c>
      <c r="F19" s="73">
        <v>1</v>
      </c>
      <c r="G19" s="78">
        <v>1260000000</v>
      </c>
      <c r="H19" s="3" t="b">
        <f t="shared" si="0"/>
        <v>0</v>
      </c>
      <c r="I19" s="26">
        <f>Table1356[[#This Row],[Tech]]*$T$7+Table1356[[#This Row],[Beta]]*($T$6-$T$8)+$T$8</f>
        <v>0.1</v>
      </c>
      <c r="J19" s="64">
        <v>17526245.147411</v>
      </c>
      <c r="K19" s="61">
        <f>Table1356[[#This Row],[Investment]]/Table1356[[#This Row],[Dollar Volume]]</f>
        <v>1.3909718370961111E-2</v>
      </c>
      <c r="L19" s="34">
        <f>IFERROR(MAX($T$11+$T$12*LN(Table1356[[#This Row],[Frac ADV]]),0),0)*0.0001+0.005/Table1356[[#This Row],[Stock Price]]+Table1356[[#This Row],[Expense Ratio]]</f>
        <v>1.080588083447359E-2</v>
      </c>
      <c r="M19" s="68">
        <f>(Table1356[[#This Row],[Expected Return]]-Table1356[[#This Row],[Tcosts]])*Table1356[[#This Row],[Investment]]</f>
        <v>1563237.9982024059</v>
      </c>
      <c r="Q19" s="16" t="s">
        <v>158</v>
      </c>
      <c r="S19" t="s">
        <v>159</v>
      </c>
      <c r="T19" s="39">
        <f>COUNTIF(J2:J201,"&gt;0")</f>
        <v>49</v>
      </c>
    </row>
    <row r="20" spans="1:20" ht="15" customHeight="1" thickBot="1" x14ac:dyDescent="0.35">
      <c r="A20" s="77" t="s">
        <v>210</v>
      </c>
      <c r="B20" s="73" t="s">
        <v>211</v>
      </c>
      <c r="C20" s="73">
        <v>310.33</v>
      </c>
      <c r="D20" s="73" t="s">
        <v>212</v>
      </c>
      <c r="E20" s="75">
        <v>5.0000000000000001E-4</v>
      </c>
      <c r="F20" s="73">
        <v>1.06</v>
      </c>
      <c r="G20" s="78">
        <v>866990000</v>
      </c>
      <c r="H20" s="3" t="b">
        <f t="shared" si="0"/>
        <v>0</v>
      </c>
      <c r="I20" s="26">
        <f>Table1356[[#This Row],[Tech]]*$T$7+Table1356[[#This Row],[Beta]]*($T$6-$T$8)+$T$8</f>
        <v>0.10381600000000001</v>
      </c>
      <c r="J20" s="64">
        <v>15013843.260949999</v>
      </c>
      <c r="K20" s="61">
        <f>Table1356[[#This Row],[Investment]]/Table1356[[#This Row],[Dollar Volume]]</f>
        <v>1.7317204651668416E-2</v>
      </c>
      <c r="L20" s="34">
        <f>IFERROR(MAX($T$11+$T$12*LN(Table1356[[#This Row],[Frac ADV]]),0),0)*0.0001+0.005/Table1356[[#This Row],[Stock Price]]+Table1356[[#This Row],[Expense Ratio]]</f>
        <v>1.1905065564195662E-2</v>
      </c>
      <c r="M20" s="68">
        <f>(Table1356[[#This Row],[Expected Return]]-Table1356[[#This Row],[Tcosts]])*Table1356[[#This Row],[Investment]]</f>
        <v>1379936.3635866181</v>
      </c>
      <c r="Q20" s="13" t="s">
        <v>163</v>
      </c>
      <c r="S20" s="119" t="s">
        <v>164</v>
      </c>
      <c r="T20" s="40">
        <f>T18+T5</f>
        <v>1327190496.9178042</v>
      </c>
    </row>
    <row r="21" spans="1:20" ht="15" customHeight="1" thickBot="1" x14ac:dyDescent="0.35">
      <c r="A21" s="77" t="s">
        <v>83</v>
      </c>
      <c r="B21" s="73" t="s">
        <v>84</v>
      </c>
      <c r="C21" s="73">
        <v>63.1</v>
      </c>
      <c r="D21" s="73" t="s">
        <v>85</v>
      </c>
      <c r="E21" s="75">
        <v>7.4999999999999997E-3</v>
      </c>
      <c r="F21" s="73">
        <v>1.6633</v>
      </c>
      <c r="G21" s="78">
        <v>712950000</v>
      </c>
      <c r="H21" s="3" t="b">
        <f t="shared" si="0"/>
        <v>1</v>
      </c>
      <c r="I21" s="26">
        <f>Table1356[[#This Row],[Tech]]*$T$7+Table1356[[#This Row],[Beta]]*($T$6-$T$8)+$T$8</f>
        <v>0.24218588000000002</v>
      </c>
      <c r="J21" s="64">
        <v>14259039.086162001</v>
      </c>
      <c r="K21" s="61">
        <f>Table1356[[#This Row],[Investment]]/Table1356[[#This Row],[Dollar Volume]]</f>
        <v>2.0000054823146086E-2</v>
      </c>
      <c r="L21" s="34">
        <f>IFERROR(MAX($T$11+$T$12*LN(Table1356[[#This Row],[Frac ADV]]),0),0)*0.0001+0.005/Table1356[[#This Row],[Stock Price]]+Table1356[[#This Row],[Expense Ratio]]</f>
        <v>1.9673703671332102E-2</v>
      </c>
      <c r="M21" s="68">
        <f>(Table1356[[#This Row],[Expected Return]]-Table1356[[#This Row],[Tcosts]])*Table1356[[#This Row],[Investment]]</f>
        <v>3172809.8194174473</v>
      </c>
      <c r="Q21" s="16" t="s">
        <v>168</v>
      </c>
      <c r="S21" s="119" t="s">
        <v>169</v>
      </c>
      <c r="T21" s="121">
        <f>T18/T5</f>
        <v>0.32719049691780416</v>
      </c>
    </row>
    <row r="22" spans="1:20" ht="15" customHeight="1" thickBot="1" x14ac:dyDescent="0.35">
      <c r="A22" s="79" t="s">
        <v>160</v>
      </c>
      <c r="B22" s="74" t="s">
        <v>161</v>
      </c>
      <c r="C22" s="74">
        <v>118.27</v>
      </c>
      <c r="D22" s="74" t="s">
        <v>162</v>
      </c>
      <c r="E22" s="76">
        <v>1.2999999999999999E-3</v>
      </c>
      <c r="F22" s="74">
        <v>1.23</v>
      </c>
      <c r="G22" s="78">
        <v>701150000</v>
      </c>
      <c r="H22" s="3" t="b">
        <f t="shared" si="0"/>
        <v>0</v>
      </c>
      <c r="I22" s="26">
        <f>Table1356[[#This Row],[Tech]]*$T$7+Table1356[[#This Row],[Beta]]*($T$6-$T$8)+$T$8</f>
        <v>0.11462800000000001</v>
      </c>
      <c r="J22" s="64">
        <v>14023187.285657</v>
      </c>
      <c r="K22" s="61">
        <f>Table1356[[#This Row],[Investment]]/Table1356[[#This Row],[Dollar Volume]]</f>
        <v>2.0000267112111531E-2</v>
      </c>
      <c r="L22" s="34">
        <f>IFERROR(MAX($T$11+$T$12*LN(Table1356[[#This Row],[Frac ADV]]),0),0)*0.0001+0.005/Table1356[[#This Row],[Stock Price]]+Table1356[[#This Row],[Expense Ratio]]</f>
        <v>1.343679250776679E-2</v>
      </c>
      <c r="M22" s="68">
        <f>(Table1356[[#This Row],[Expected Return]]-Table1356[[#This Row],[Tcosts]])*Table1356[[#This Row],[Investment]]</f>
        <v>1419023.2543253643</v>
      </c>
      <c r="Q22" s="13" t="s">
        <v>173</v>
      </c>
    </row>
    <row r="23" spans="1:20" ht="15" customHeight="1" x14ac:dyDescent="0.3">
      <c r="A23" s="79" t="s">
        <v>281</v>
      </c>
      <c r="B23" s="74" t="s">
        <v>282</v>
      </c>
      <c r="C23" s="74">
        <v>373.29</v>
      </c>
      <c r="D23" s="74" t="s">
        <v>283</v>
      </c>
      <c r="E23" s="76">
        <v>1.5E-3</v>
      </c>
      <c r="F23" s="74">
        <v>1</v>
      </c>
      <c r="G23" s="78">
        <v>1120000000</v>
      </c>
      <c r="H23" s="3" t="b">
        <f t="shared" si="0"/>
        <v>0</v>
      </c>
      <c r="I23" s="26">
        <f>Table1356[[#This Row],[Tech]]*$T$7+Table1356[[#This Row],[Beta]]*($T$6-$T$8)+$T$8</f>
        <v>0.1</v>
      </c>
      <c r="J23" s="64">
        <v>12618828.396551</v>
      </c>
      <c r="K23" s="61">
        <f>Table1356[[#This Row],[Investment]]/Table1356[[#This Row],[Dollar Volume]]</f>
        <v>1.1266811068349107E-2</v>
      </c>
      <c r="L23" s="34">
        <f>IFERROR(MAX($T$11+$T$12*LN(Table1356[[#This Row],[Frac ADV]]),0),0)*0.0001+0.005/Table1356[[#This Row],[Stock Price]]+Table1356[[#This Row],[Expense Ratio]]</f>
        <v>1.0796907492383748E-2</v>
      </c>
      <c r="M23" s="68">
        <f>(Table1356[[#This Row],[Expected Return]]-Table1356[[#This Row],[Tcosts]])*Table1356[[#This Row],[Investment]]</f>
        <v>1125638.5167952736</v>
      </c>
      <c r="Q23" s="16" t="s">
        <v>177</v>
      </c>
    </row>
    <row r="24" spans="1:20" ht="15" customHeight="1" x14ac:dyDescent="0.3">
      <c r="A24" s="77" t="s">
        <v>245</v>
      </c>
      <c r="B24" s="73" t="s">
        <v>246</v>
      </c>
      <c r="C24" s="73">
        <v>681.27</v>
      </c>
      <c r="D24" s="73" t="s">
        <v>247</v>
      </c>
      <c r="E24" s="75">
        <v>8.9999999999999998E-4</v>
      </c>
      <c r="F24" s="73">
        <v>1</v>
      </c>
      <c r="G24" s="78">
        <v>978550000</v>
      </c>
      <c r="H24" s="3" t="b">
        <f t="shared" si="0"/>
        <v>0</v>
      </c>
      <c r="I24" s="26">
        <f>Table1356[[#This Row],[Tech]]*$T$7+Table1356[[#This Row],[Beta]]*($T$6-$T$8)+$T$8</f>
        <v>0.1</v>
      </c>
      <c r="J24" s="64">
        <v>11790743.454257</v>
      </c>
      <c r="K24" s="61">
        <f>Table1356[[#This Row],[Investment]]/Table1356[[#This Row],[Dollar Volume]]</f>
        <v>1.2049198767826888E-2</v>
      </c>
      <c r="L24" s="34">
        <f>IFERROR(MAX($T$11+$T$12*LN(Table1356[[#This Row],[Frac ADV]]),0),0)*0.0001+0.005/Table1356[[#This Row],[Stock Price]]+Table1356[[#This Row],[Expense Ratio]]</f>
        <v>1.0519702334965448E-2</v>
      </c>
      <c r="M24" s="68">
        <f>(Table1356[[#This Row],[Expected Return]]-Table1356[[#This Row],[Tcosts]])*Table1356[[#This Row],[Investment]]</f>
        <v>1055039.2339789742</v>
      </c>
      <c r="Q24" s="13" t="s">
        <v>181</v>
      </c>
    </row>
    <row r="25" spans="1:20" ht="15" customHeight="1" x14ac:dyDescent="0.3">
      <c r="A25" s="77" t="s">
        <v>285</v>
      </c>
      <c r="B25" s="73" t="s">
        <v>286</v>
      </c>
      <c r="C25" s="73">
        <v>80.16</v>
      </c>
      <c r="D25" s="73" t="s">
        <v>287</v>
      </c>
      <c r="E25" s="75">
        <v>2.0000000000000001E-4</v>
      </c>
      <c r="F25" s="73">
        <v>0.99</v>
      </c>
      <c r="G25" s="78">
        <v>892490000</v>
      </c>
      <c r="H25" s="3" t="b">
        <f t="shared" si="0"/>
        <v>0</v>
      </c>
      <c r="I25" s="26">
        <f>Table1356[[#This Row],[Tech]]*$T$7+Table1356[[#This Row],[Beta]]*($T$6-$T$8)+$T$8</f>
        <v>9.9364000000000008E-2</v>
      </c>
      <c r="J25" s="64">
        <v>10457720.703044999</v>
      </c>
      <c r="K25" s="61">
        <f>Table1356[[#This Row],[Investment]]/Table1356[[#This Row],[Dollar Volume]]</f>
        <v>1.1717465409186657E-2</v>
      </c>
      <c r="L25" s="34">
        <f>IFERROR(MAX($T$11+$T$12*LN(Table1356[[#This Row],[Frac ADV]]),0),0)*0.0001+0.005/Table1356[[#This Row],[Stock Price]]+Table1356[[#This Row],[Expense Ratio]]</f>
        <v>9.7379918793831215E-3</v>
      </c>
      <c r="M25" s="68">
        <f>(Table1356[[#This Row],[Expected Return]]-Table1356[[#This Row],[Tcosts]])*Table1356[[#This Row],[Investment]]</f>
        <v>937283.76065425447</v>
      </c>
      <c r="Q25" s="16" t="s">
        <v>185</v>
      </c>
    </row>
    <row r="26" spans="1:20" ht="15.6" x14ac:dyDescent="0.3">
      <c r="A26" s="77" t="s">
        <v>140</v>
      </c>
      <c r="B26" s="73" t="s">
        <v>141</v>
      </c>
      <c r="C26" s="73">
        <v>30.51</v>
      </c>
      <c r="D26" s="73" t="s">
        <v>142</v>
      </c>
      <c r="E26" s="75">
        <v>4.0000000000000002E-4</v>
      </c>
      <c r="F26" s="73">
        <v>1.24</v>
      </c>
      <c r="G26" s="78">
        <v>516090000</v>
      </c>
      <c r="H26" s="3" t="b">
        <f t="shared" si="0"/>
        <v>0</v>
      </c>
      <c r="I26" s="26">
        <f>Table1356[[#This Row],[Tech]]*$T$7+Table1356[[#This Row],[Beta]]*($T$6-$T$8)+$T$8</f>
        <v>0.11526400000000001</v>
      </c>
      <c r="J26" s="64">
        <v>10322015.480965</v>
      </c>
      <c r="K26" s="61">
        <f>Table1356[[#This Row],[Investment]]/Table1356[[#This Row],[Dollar Volume]]</f>
        <v>2.0000417525945086E-2</v>
      </c>
      <c r="L26" s="34">
        <f>IFERROR(MAX($T$11+$T$12*LN(Table1356[[#This Row],[Frac ADV]]),0),0)*0.0001+0.005/Table1356[[#This Row],[Stock Price]]+Table1356[[#This Row],[Expense Ratio]]</f>
        <v>1.2658433892087036E-2</v>
      </c>
      <c r="M26" s="68">
        <f>(Table1356[[#This Row],[Expected Return]]-Table1356[[#This Row],[Tcosts]])*Table1356[[#This Row],[Investment]]</f>
        <v>1059096.2417990554</v>
      </c>
      <c r="Q26" s="13" t="s">
        <v>189</v>
      </c>
    </row>
    <row r="27" spans="1:20" ht="15.6" x14ac:dyDescent="0.3">
      <c r="A27" s="77" t="s">
        <v>67</v>
      </c>
      <c r="B27" s="73" t="s">
        <v>68</v>
      </c>
      <c r="C27" s="73">
        <v>48.26</v>
      </c>
      <c r="D27" s="73" t="s">
        <v>69</v>
      </c>
      <c r="E27" s="75">
        <v>8.2000000000000007E-3</v>
      </c>
      <c r="F27" s="73">
        <v>3.58</v>
      </c>
      <c r="G27" s="78">
        <v>469470000</v>
      </c>
      <c r="H27" s="3" t="b">
        <f t="shared" si="0"/>
        <v>1</v>
      </c>
      <c r="I27" s="26">
        <f>Table1356[[#This Row],[Tech]]*$T$7+Table1356[[#This Row],[Beta]]*($T$6-$T$8)+$T$8</f>
        <v>0.36408800000000002</v>
      </c>
      <c r="J27" s="64">
        <v>9389473.4577789996</v>
      </c>
      <c r="K27" s="61">
        <f>Table1356[[#This Row],[Investment]]/Table1356[[#This Row],[Dollar Volume]]</f>
        <v>2.0000156469591239E-2</v>
      </c>
      <c r="L27" s="34">
        <f>IFERROR(MAX($T$11+$T$12*LN(Table1356[[#This Row],[Frac ADV]]),0),0)*0.0001+0.005/Table1356[[#This Row],[Stock Price]]+Table1356[[#This Row],[Expense Ratio]]</f>
        <v>2.0398094733134593E-2</v>
      </c>
      <c r="M27" s="68">
        <f>(Table1356[[#This Row],[Expected Return]]-Table1356[[#This Row],[Tcosts]])*Table1356[[#This Row],[Investment]]</f>
        <v>3227067.2432098119</v>
      </c>
      <c r="Q27" s="16" t="s">
        <v>193</v>
      </c>
    </row>
    <row r="28" spans="1:20" ht="15.6" x14ac:dyDescent="0.3">
      <c r="A28" s="77" t="s">
        <v>174</v>
      </c>
      <c r="B28" s="73" t="s">
        <v>175</v>
      </c>
      <c r="C28" s="73">
        <v>386.83</v>
      </c>
      <c r="D28" s="73" t="s">
        <v>176</v>
      </c>
      <c r="E28" s="75">
        <v>5.0000000000000001E-4</v>
      </c>
      <c r="F28" s="73">
        <v>1.27</v>
      </c>
      <c r="G28" s="78">
        <v>381360000</v>
      </c>
      <c r="H28" s="3" t="b">
        <f t="shared" si="0"/>
        <v>0</v>
      </c>
      <c r="I28" s="26">
        <f>Table1356[[#This Row],[Tech]]*$T$7+Table1356[[#This Row],[Beta]]*($T$6-$T$8)+$T$8</f>
        <v>0.11717200000000001</v>
      </c>
      <c r="J28" s="64">
        <v>7627396.1194099998</v>
      </c>
      <c r="K28" s="61">
        <f>Table1356[[#This Row],[Investment]]/Table1356[[#This Row],[Dollar Volume]]</f>
        <v>2.0000514263189637E-2</v>
      </c>
      <c r="L28" s="34">
        <f>IFERROR(MAX($T$11+$T$12*LN(Table1356[[#This Row],[Frac ADV]]),0),0)*0.0001+0.005/Table1356[[#This Row],[Stock Price]]+Table1356[[#This Row],[Expense Ratio]]</f>
        <v>1.2607502463168397E-2</v>
      </c>
      <c r="M28" s="68">
        <f>(Table1356[[#This Row],[Expected Return]]-Table1356[[#This Row],[Tcosts]])*Table1356[[#This Row],[Investment]]</f>
        <v>797554.84274048591</v>
      </c>
      <c r="Q28" s="13" t="s">
        <v>197</v>
      </c>
    </row>
    <row r="29" spans="1:20" ht="15.6" x14ac:dyDescent="0.3">
      <c r="A29" s="79" t="s">
        <v>316</v>
      </c>
      <c r="B29" s="74" t="s">
        <v>317</v>
      </c>
      <c r="C29" s="74">
        <v>131.08000000000001</v>
      </c>
      <c r="D29" s="74" t="s">
        <v>318</v>
      </c>
      <c r="E29" s="76">
        <v>8.9999999999999998E-4</v>
      </c>
      <c r="F29" s="74">
        <v>0.98</v>
      </c>
      <c r="G29" s="78">
        <v>862900000</v>
      </c>
      <c r="H29" s="3" t="b">
        <f t="shared" si="0"/>
        <v>0</v>
      </c>
      <c r="I29" s="26">
        <f>Table1356[[#This Row],[Tech]]*$T$7+Table1356[[#This Row],[Beta]]*($T$6-$T$8)+$T$8</f>
        <v>9.872800000000001E-2</v>
      </c>
      <c r="J29" s="64">
        <v>7419761.2985359998</v>
      </c>
      <c r="K29" s="61">
        <f>Table1356[[#This Row],[Investment]]/Table1356[[#This Row],[Dollar Volume]]</f>
        <v>8.5986340231034887E-3</v>
      </c>
      <c r="L29" s="34">
        <f>IFERROR(MAX($T$11+$T$12*LN(Table1356[[#This Row],[Frac ADV]]),0),0)*0.0001+0.005/Table1356[[#This Row],[Stock Price]]+Table1356[[#This Row],[Expense Ratio]]</f>
        <v>8.8978786044172729E-3</v>
      </c>
      <c r="M29" s="68">
        <f>(Table1356[[#This Row],[Expected Return]]-Table1356[[#This Row],[Tcosts]])*Table1356[[#This Row],[Investment]]</f>
        <v>666518.05817373539</v>
      </c>
      <c r="Q29" s="16" t="s">
        <v>201</v>
      </c>
    </row>
    <row r="30" spans="1:20" ht="15.6" x14ac:dyDescent="0.3">
      <c r="A30" s="79" t="s">
        <v>328</v>
      </c>
      <c r="B30" s="74" t="s">
        <v>329</v>
      </c>
      <c r="C30" s="74">
        <v>147.88999999999999</v>
      </c>
      <c r="D30" s="74" t="s">
        <v>330</v>
      </c>
      <c r="E30" s="76">
        <v>1.5E-3</v>
      </c>
      <c r="F30" s="74">
        <v>1</v>
      </c>
      <c r="G30" s="78">
        <v>736290000</v>
      </c>
      <c r="H30" s="3" t="b">
        <f t="shared" si="0"/>
        <v>0</v>
      </c>
      <c r="I30" s="26">
        <f>Table1356[[#This Row],[Tech]]*$T$7+Table1356[[#This Row],[Beta]]*($T$6-$T$8)+$T$8</f>
        <v>0.1</v>
      </c>
      <c r="J30" s="64">
        <v>6946015.5014699996</v>
      </c>
      <c r="K30" s="61">
        <f>Table1356[[#This Row],[Investment]]/Table1356[[#This Row],[Dollar Volume]]</f>
        <v>9.4338039379456458E-3</v>
      </c>
      <c r="L30" s="34">
        <f>IFERROR(MAX($T$11+$T$12*LN(Table1356[[#This Row],[Frac ADV]]),0),0)*0.0001+0.005/Table1356[[#This Row],[Stock Price]]+Table1356[[#This Row],[Expense Ratio]]</f>
        <v>9.9475871627837404E-3</v>
      </c>
      <c r="M30" s="68">
        <f>(Table1356[[#This Row],[Expected Return]]-Table1356[[#This Row],[Tcosts]])*Table1356[[#This Row],[Investment]]</f>
        <v>625505.45551208023</v>
      </c>
      <c r="Q30" s="13" t="s">
        <v>205</v>
      </c>
    </row>
    <row r="31" spans="1:20" ht="15.6" x14ac:dyDescent="0.3">
      <c r="A31" s="77" t="s">
        <v>249</v>
      </c>
      <c r="B31" s="73" t="s">
        <v>250</v>
      </c>
      <c r="C31" s="73">
        <v>313</v>
      </c>
      <c r="D31" s="73" t="s">
        <v>251</v>
      </c>
      <c r="E31" s="75">
        <v>2.9999999999999997E-4</v>
      </c>
      <c r="F31" s="73">
        <v>1.01</v>
      </c>
      <c r="G31" s="78">
        <v>434610000</v>
      </c>
      <c r="H31" s="3" t="b">
        <f t="shared" si="0"/>
        <v>0</v>
      </c>
      <c r="I31" s="26">
        <f>Table1356[[#This Row],[Tech]]*$T$7+Table1356[[#This Row],[Beta]]*($T$6-$T$8)+$T$8</f>
        <v>0.100636</v>
      </c>
      <c r="J31" s="64">
        <v>4811805.7429539999</v>
      </c>
      <c r="K31" s="61">
        <f>Table1356[[#This Row],[Investment]]/Table1356[[#This Row],[Dollar Volume]]</f>
        <v>1.1071548613593796E-2</v>
      </c>
      <c r="L31" s="34">
        <f>IFERROR(MAX($T$11+$T$12*LN(Table1356[[#This Row],[Frac ADV]]),0),0)*0.0001+0.005/Table1356[[#This Row],[Stock Price]]+Table1356[[#This Row],[Expense Ratio]]</f>
        <v>9.513853659166906E-3</v>
      </c>
      <c r="M31" s="68">
        <f>(Table1356[[#This Row],[Expected Return]]-Table1356[[#This Row],[Tcosts]])*Table1356[[#This Row],[Investment]]</f>
        <v>438462.0670731155</v>
      </c>
      <c r="Q31" s="16" t="s">
        <v>209</v>
      </c>
    </row>
    <row r="32" spans="1:20" ht="15.6" x14ac:dyDescent="0.3">
      <c r="A32" s="77" t="s">
        <v>127</v>
      </c>
      <c r="B32" s="73" t="s">
        <v>128</v>
      </c>
      <c r="C32" s="73">
        <v>57.44</v>
      </c>
      <c r="D32" s="73" t="s">
        <v>129</v>
      </c>
      <c r="E32" s="75">
        <v>3.5000000000000001E-3</v>
      </c>
      <c r="F32" s="73">
        <v>0.95</v>
      </c>
      <c r="G32" s="78">
        <v>236140000</v>
      </c>
      <c r="H32" s="3" t="b">
        <f t="shared" si="0"/>
        <v>1</v>
      </c>
      <c r="I32" s="26">
        <f>Table1356[[#This Row],[Tech]]*$T$7+Table1356[[#This Row],[Beta]]*($T$6-$T$8)+$T$8</f>
        <v>0.19681999999999999</v>
      </c>
      <c r="J32" s="64">
        <v>4722827.349866</v>
      </c>
      <c r="K32" s="61">
        <f>Table1356[[#This Row],[Investment]]/Table1356[[#This Row],[Dollar Volume]]</f>
        <v>2.0000115820555601E-2</v>
      </c>
      <c r="L32" s="34">
        <f>IFERROR(MAX($T$11+$T$12*LN(Table1356[[#This Row],[Frac ADV]]),0),0)*0.0001+0.005/Table1356[[#This Row],[Stock Price]]+Table1356[[#This Row],[Expense Ratio]]</f>
        <v>1.5681526661227293E-2</v>
      </c>
      <c r="M32" s="68">
        <f>(Table1356[[#This Row],[Expected Return]]-Table1356[[#This Row],[Tcosts]])*Table1356[[#This Row],[Investment]]</f>
        <v>855485.735997329</v>
      </c>
      <c r="Q32" s="13" t="s">
        <v>213</v>
      </c>
    </row>
    <row r="33" spans="1:17" ht="15.6" x14ac:dyDescent="0.3">
      <c r="A33" s="77" t="s">
        <v>241</v>
      </c>
      <c r="B33" s="73" t="s">
        <v>242</v>
      </c>
      <c r="C33" s="73">
        <v>626.49</v>
      </c>
      <c r="D33" s="73" t="s">
        <v>243</v>
      </c>
      <c r="E33" s="75">
        <v>2.9999999999999997E-4</v>
      </c>
      <c r="F33" s="73">
        <v>0.99</v>
      </c>
      <c r="G33" s="78">
        <v>456530000</v>
      </c>
      <c r="H33" s="3" t="b">
        <f t="shared" si="0"/>
        <v>0</v>
      </c>
      <c r="I33" s="26">
        <f>Table1356[[#This Row],[Tech]]*$T$7+Table1356[[#This Row],[Beta]]*($T$6-$T$8)+$T$8</f>
        <v>9.9364000000000008E-2</v>
      </c>
      <c r="J33" s="64">
        <v>4055740.5617340002</v>
      </c>
      <c r="K33" s="61">
        <f>Table1356[[#This Row],[Investment]]/Table1356[[#This Row],[Dollar Volume]]</f>
        <v>8.8838423799837904E-3</v>
      </c>
      <c r="L33" s="34">
        <f>IFERROR(MAX($T$11+$T$12*LN(Table1356[[#This Row],[Frac ADV]]),0),0)*0.0001+0.005/Table1356[[#This Row],[Stock Price]]+Table1356[[#This Row],[Expense Ratio]]</f>
        <v>8.4275473381789368E-3</v>
      </c>
      <c r="M33" s="68">
        <f>(Table1356[[#This Row],[Expected Return]]-Table1356[[#This Row],[Tcosts]])*Table1356[[#This Row],[Investment]]</f>
        <v>368814.65960075153</v>
      </c>
      <c r="Q33" s="16" t="s">
        <v>217</v>
      </c>
    </row>
    <row r="34" spans="1:17" ht="15.6" x14ac:dyDescent="0.3">
      <c r="A34" s="77" t="s">
        <v>194</v>
      </c>
      <c r="B34" s="73" t="s">
        <v>195</v>
      </c>
      <c r="C34" s="73">
        <v>115.5</v>
      </c>
      <c r="D34" s="73" t="s">
        <v>196</v>
      </c>
      <c r="E34" s="75">
        <v>5.9999999999999995E-4</v>
      </c>
      <c r="F34" s="73">
        <v>1.22</v>
      </c>
      <c r="G34" s="78">
        <v>192260000</v>
      </c>
      <c r="H34" s="3" t="b">
        <f t="shared" ref="H34:H65" si="1">OR(
  ISNUMBER(SEARCH("technology",B34)),
  ISNUMBER(SEARCH("tech",B34)),
  ISNUMBER(SEARCH("qqq",B34)),
  ISNUMBER(SEARCH("semiconductor",B34)),
  ISNUMBER(SEARCH("information technology",B34)),
  ISNUMBER(SEARCH("nasdaq",B34)),
  ISNUMBER(SEARCH("communication",B34))
)</f>
        <v>0</v>
      </c>
      <c r="I34" s="26">
        <f>Table1356[[#This Row],[Tech]]*$T$7+Table1356[[#This Row],[Beta]]*($T$6-$T$8)+$T$8</f>
        <v>0.11399200000000001</v>
      </c>
      <c r="J34" s="64">
        <v>3845338.7729810001</v>
      </c>
      <c r="K34" s="61">
        <f>Table1356[[#This Row],[Investment]]/Table1356[[#This Row],[Dollar Volume]]</f>
        <v>2.0000721798507232E-2</v>
      </c>
      <c r="L34" s="34">
        <f>IFERROR(MAX($T$11+$T$12*LN(Table1356[[#This Row],[Frac ADV]]),0),0)*0.0001+0.005/Table1356[[#This Row],[Stock Price]]+Table1356[[#This Row],[Expense Ratio]]</f>
        <v>1.2737917757878687E-2</v>
      </c>
      <c r="M34" s="68">
        <f>(Table1356[[#This Row],[Expected Return]]-Table1356[[#This Row],[Tcosts]])*Table1356[[#This Row],[Investment]]</f>
        <v>389356.24836823606</v>
      </c>
      <c r="Q34" s="13" t="s">
        <v>221</v>
      </c>
    </row>
    <row r="35" spans="1:17" ht="15.6" x14ac:dyDescent="0.3">
      <c r="A35" s="79" t="s">
        <v>380</v>
      </c>
      <c r="B35" s="74" t="s">
        <v>381</v>
      </c>
      <c r="C35" s="74">
        <v>259.54000000000002</v>
      </c>
      <c r="D35" s="74" t="s">
        <v>382</v>
      </c>
      <c r="E35" s="76">
        <v>1.9E-3</v>
      </c>
      <c r="F35" s="74">
        <v>0.98</v>
      </c>
      <c r="G35" s="78">
        <v>582850000</v>
      </c>
      <c r="H35" s="3" t="b">
        <f t="shared" si="1"/>
        <v>0</v>
      </c>
      <c r="I35" s="26">
        <f>Table1356[[#This Row],[Tech]]*$T$7+Table1356[[#This Row],[Beta]]*($T$6-$T$8)+$T$8</f>
        <v>9.872800000000001E-2</v>
      </c>
      <c r="J35" s="64">
        <v>3521289.6608190001</v>
      </c>
      <c r="K35" s="61">
        <f>Table1356[[#This Row],[Investment]]/Table1356[[#This Row],[Dollar Volume]]</f>
        <v>6.0415023776597757E-3</v>
      </c>
      <c r="L35" s="34">
        <f>IFERROR(MAX($T$11+$T$12*LN(Table1356[[#This Row],[Frac ADV]]),0),0)*0.0001+0.005/Table1356[[#This Row],[Stock Price]]+Table1356[[#This Row],[Expense Ratio]]</f>
        <v>8.1501740296110268E-3</v>
      </c>
      <c r="M35" s="68">
        <f>(Table1356[[#This Row],[Expected Return]]-Table1356[[#This Row],[Tcosts]])*Table1356[[#This Row],[Investment]]</f>
        <v>318950.76208899345</v>
      </c>
      <c r="Q35" s="16" t="s">
        <v>110</v>
      </c>
    </row>
    <row r="36" spans="1:17" ht="15.6" x14ac:dyDescent="0.3">
      <c r="A36" s="79" t="s">
        <v>178</v>
      </c>
      <c r="B36" s="74" t="s">
        <v>179</v>
      </c>
      <c r="C36" s="74">
        <v>103.45</v>
      </c>
      <c r="D36" s="74" t="s">
        <v>180</v>
      </c>
      <c r="E36" s="76">
        <v>4.0000000000000002E-4</v>
      </c>
      <c r="F36" s="74">
        <v>1.21</v>
      </c>
      <c r="G36" s="78">
        <v>159840000</v>
      </c>
      <c r="H36" s="3" t="b">
        <f t="shared" si="1"/>
        <v>0</v>
      </c>
      <c r="I36" s="26">
        <f>Table1356[[#This Row],[Tech]]*$T$7+Table1356[[#This Row],[Beta]]*($T$6-$T$8)+$T$8</f>
        <v>0.113356</v>
      </c>
      <c r="J36" s="64">
        <v>3196927.2956770002</v>
      </c>
      <c r="K36" s="61">
        <f>Table1356[[#This Row],[Investment]]/Table1356[[#This Row],[Dollar Volume]]</f>
        <v>2.0000796394375627E-2</v>
      </c>
      <c r="L36" s="34">
        <f>IFERROR(MAX($T$11+$T$12*LN(Table1356[[#This Row],[Frac ADV]]),0),0)*0.0001+0.005/Table1356[[#This Row],[Stock Price]]+Table1356[[#This Row],[Expense Ratio]]</f>
        <v>1.2542978510981441E-2</v>
      </c>
      <c r="M36" s="68">
        <f>(Table1356[[#This Row],[Expected Return]]-Table1356[[#This Row],[Tcosts]])*Table1356[[#This Row],[Investment]]</f>
        <v>322291.90015791537</v>
      </c>
      <c r="Q36" s="13" t="s">
        <v>228</v>
      </c>
    </row>
    <row r="37" spans="1:17" ht="15.6" x14ac:dyDescent="0.3">
      <c r="A37" s="79" t="s">
        <v>388</v>
      </c>
      <c r="B37" s="74" t="s">
        <v>389</v>
      </c>
      <c r="C37" s="74">
        <v>100.56</v>
      </c>
      <c r="D37" s="74" t="s">
        <v>390</v>
      </c>
      <c r="E37" s="76">
        <v>1.8E-3</v>
      </c>
      <c r="F37" s="74">
        <v>0.87</v>
      </c>
      <c r="G37" s="78">
        <v>1800000000</v>
      </c>
      <c r="H37" s="3" t="b">
        <f t="shared" si="1"/>
        <v>0</v>
      </c>
      <c r="I37" s="26">
        <f>Table1356[[#This Row],[Tech]]*$T$7+Table1356[[#This Row],[Beta]]*($T$6-$T$8)+$T$8</f>
        <v>9.1732000000000008E-2</v>
      </c>
      <c r="J37" s="64">
        <v>3078868.1185110002</v>
      </c>
      <c r="K37" s="61">
        <f>Table1356[[#This Row],[Investment]]/Table1356[[#This Row],[Dollar Volume]]</f>
        <v>1.7104822880616667E-3</v>
      </c>
      <c r="L37" s="34">
        <f>IFERROR(MAX($T$11+$T$12*LN(Table1356[[#This Row],[Frac ADV]]),0),0)*0.0001+0.005/Table1356[[#This Row],[Stock Price]]+Table1356[[#This Row],[Expense Ratio]]</f>
        <v>1.8996960535224642E-3</v>
      </c>
      <c r="M37" s="68">
        <f>(Table1356[[#This Row],[Expected Return]]-Table1356[[#This Row],[Tcosts]])*Table1356[[#This Row],[Investment]]</f>
        <v>276581.81663319957</v>
      </c>
      <c r="Q37" s="16" t="s">
        <v>232</v>
      </c>
    </row>
    <row r="38" spans="1:17" ht="15.6" x14ac:dyDescent="0.3">
      <c r="A38" s="79" t="s">
        <v>170</v>
      </c>
      <c r="B38" s="74" t="s">
        <v>171</v>
      </c>
      <c r="C38" s="74">
        <v>50.4</v>
      </c>
      <c r="D38" s="74" t="s">
        <v>172</v>
      </c>
      <c r="E38" s="76">
        <v>2.9999999999999997E-4</v>
      </c>
      <c r="F38" s="74">
        <v>0.92</v>
      </c>
      <c r="G38" s="78">
        <v>722110000</v>
      </c>
      <c r="H38" s="3" t="b">
        <f t="shared" si="1"/>
        <v>0</v>
      </c>
      <c r="I38" s="26">
        <f>Table1356[[#This Row],[Tech]]*$T$7+Table1356[[#This Row],[Beta]]*($T$6-$T$8)+$T$8</f>
        <v>9.491200000000001E-2</v>
      </c>
      <c r="J38" s="64">
        <v>2238751.3094489998</v>
      </c>
      <c r="K38" s="61">
        <f>Table1356[[#This Row],[Investment]]/Table1356[[#This Row],[Dollar Volume]]</f>
        <v>3.1002912429532892E-3</v>
      </c>
      <c r="L38" s="34">
        <f>IFERROR(MAX($T$11+$T$12*LN(Table1356[[#This Row],[Frac ADV]]),0),0)*0.0001+0.005/Table1356[[#This Row],[Stock Price]]+Table1356[[#This Row],[Expense Ratio]]</f>
        <v>3.3622450314123738E-3</v>
      </c>
      <c r="M38" s="68">
        <f>(Table1356[[#This Row],[Expected Return]]-Table1356[[#This Row],[Tcosts]])*Table1356[[#This Row],[Investment]]</f>
        <v>204957.13381566067</v>
      </c>
      <c r="Q38" s="13" t="s">
        <v>236</v>
      </c>
    </row>
    <row r="39" spans="1:17" ht="15.6" x14ac:dyDescent="0.3">
      <c r="A39" s="77" t="s">
        <v>296</v>
      </c>
      <c r="B39" s="73" t="s">
        <v>297</v>
      </c>
      <c r="C39" s="73">
        <v>331.12</v>
      </c>
      <c r="D39" s="73" t="s">
        <v>298</v>
      </c>
      <c r="E39" s="75">
        <v>2.3999999999999998E-3</v>
      </c>
      <c r="F39" s="73">
        <v>1.07</v>
      </c>
      <c r="G39" s="78">
        <v>209970000</v>
      </c>
      <c r="H39" s="3" t="b">
        <f t="shared" si="1"/>
        <v>0</v>
      </c>
      <c r="I39" s="26">
        <f>Table1356[[#This Row],[Tech]]*$T$7+Table1356[[#This Row],[Beta]]*($T$6-$T$8)+$T$8</f>
        <v>0.104452</v>
      </c>
      <c r="J39" s="64">
        <v>2053211.8384390001</v>
      </c>
      <c r="K39" s="61">
        <f>Table1356[[#This Row],[Investment]]/Table1356[[#This Row],[Dollar Volume]]</f>
        <v>9.7785961729723297E-3</v>
      </c>
      <c r="L39" s="34">
        <f>IFERROR(MAX($T$11+$T$12*LN(Table1356[[#This Row],[Frac ADV]]),0),0)*0.0001+0.005/Table1356[[#This Row],[Stock Price]]+Table1356[[#This Row],[Expense Ratio]]</f>
        <v>1.1004707105304498E-2</v>
      </c>
      <c r="M39" s="68">
        <f>(Table1356[[#This Row],[Expected Return]]-Table1356[[#This Row],[Tcosts]])*Table1356[[#This Row],[Investment]]</f>
        <v>191867.08804146547</v>
      </c>
      <c r="Q39" s="16" t="s">
        <v>240</v>
      </c>
    </row>
    <row r="40" spans="1:17" ht="15.6" x14ac:dyDescent="0.3">
      <c r="A40" s="79" t="s">
        <v>229</v>
      </c>
      <c r="B40" s="74" t="s">
        <v>230</v>
      </c>
      <c r="C40" s="74">
        <v>684.33</v>
      </c>
      <c r="D40" s="74" t="s">
        <v>231</v>
      </c>
      <c r="E40" s="76">
        <v>2.9999999999999997E-4</v>
      </c>
      <c r="F40" s="74">
        <v>1</v>
      </c>
      <c r="G40" s="78">
        <v>267780000</v>
      </c>
      <c r="H40" s="3" t="b">
        <f t="shared" si="1"/>
        <v>0</v>
      </c>
      <c r="I40" s="26">
        <f>Table1356[[#This Row],[Tech]]*$T$7+Table1356[[#This Row],[Beta]]*($T$6-$T$8)+$T$8</f>
        <v>0.1</v>
      </c>
      <c r="J40" s="64">
        <v>1846154.228259</v>
      </c>
      <c r="K40" s="61">
        <f>Table1356[[#This Row],[Investment]]/Table1356[[#This Row],[Dollar Volume]]</f>
        <v>6.894294675700202E-3</v>
      </c>
      <c r="L40" s="34">
        <f>IFERROR(MAX($T$11+$T$12*LN(Table1356[[#This Row],[Frac ADV]]),0),0)*0.0001+0.005/Table1356[[#This Row],[Stock Price]]+Table1356[[#This Row],[Expense Ratio]]</f>
        <v>7.1849819667922348E-3</v>
      </c>
      <c r="M40" s="68">
        <f>(Table1356[[#This Row],[Expected Return]]-Table1356[[#This Row],[Tcosts]])*Table1356[[#This Row],[Investment]]</f>
        <v>171350.83798794186</v>
      </c>
      <c r="Q40" s="13" t="s">
        <v>244</v>
      </c>
    </row>
    <row r="41" spans="1:17" ht="15.6" x14ac:dyDescent="0.3">
      <c r="A41" s="79" t="s">
        <v>404</v>
      </c>
      <c r="B41" s="74" t="s">
        <v>405</v>
      </c>
      <c r="C41" s="74">
        <v>70.540000000000006</v>
      </c>
      <c r="D41" s="74" t="s">
        <v>406</v>
      </c>
      <c r="E41" s="76">
        <v>5.0000000000000001E-4</v>
      </c>
      <c r="F41" s="74">
        <v>0.88</v>
      </c>
      <c r="G41" s="78">
        <v>968150000</v>
      </c>
      <c r="H41" s="3" t="b">
        <f t="shared" si="1"/>
        <v>0</v>
      </c>
      <c r="I41" s="26">
        <f>Table1356[[#This Row],[Tech]]*$T$7+Table1356[[#This Row],[Beta]]*($T$6-$T$8)+$T$8</f>
        <v>9.2368000000000006E-2</v>
      </c>
      <c r="J41" s="64">
        <v>1666242.8738839999</v>
      </c>
      <c r="K41" s="61">
        <f>Table1356[[#This Row],[Investment]]/Table1356[[#This Row],[Dollar Volume]]</f>
        <v>1.7210585899746938E-3</v>
      </c>
      <c r="L41" s="34">
        <f>IFERROR(MAX($T$11+$T$12*LN(Table1356[[#This Row],[Frac ADV]]),0),0)*0.0001+0.005/Table1356[[#This Row],[Stock Price]]+Table1356[[#This Row],[Expense Ratio]]</f>
        <v>6.5104973457680857E-4</v>
      </c>
      <c r="M41" s="68">
        <f>(Table1356[[#This Row],[Expected Return]]-Table1356[[#This Row],[Tcosts]])*Table1356[[#This Row],[Investment]]</f>
        <v>152822.71479413463</v>
      </c>
      <c r="Q41" s="16" t="s">
        <v>248</v>
      </c>
    </row>
    <row r="42" spans="1:17" ht="15.6" x14ac:dyDescent="0.3">
      <c r="A42" s="77" t="s">
        <v>472</v>
      </c>
      <c r="B42" s="73" t="s">
        <v>473</v>
      </c>
      <c r="C42" s="73">
        <v>93.37</v>
      </c>
      <c r="D42" s="73" t="s">
        <v>474</v>
      </c>
      <c r="E42" s="75">
        <v>4.8999999999999998E-3</v>
      </c>
      <c r="F42" s="73">
        <v>0.87</v>
      </c>
      <c r="G42" s="78">
        <v>1220000000</v>
      </c>
      <c r="H42" s="3" t="b">
        <f t="shared" si="1"/>
        <v>0</v>
      </c>
      <c r="I42" s="26">
        <f>Table1356[[#This Row],[Tech]]*$T$7+Table1356[[#This Row],[Beta]]*($T$6-$T$8)+$T$8</f>
        <v>9.1732000000000008E-2</v>
      </c>
      <c r="J42" s="64">
        <v>1322840.6647059999</v>
      </c>
      <c r="K42" s="61">
        <f>Table1356[[#This Row],[Investment]]/Table1356[[#This Row],[Dollar Volume]]</f>
        <v>1.0842956268081966E-3</v>
      </c>
      <c r="L42" s="34">
        <f>IFERROR(MAX($T$11+$T$12*LN(Table1356[[#This Row],[Frac ADV]]),0),0)*0.0001+0.005/Table1356[[#This Row],[Stock Price]]+Table1356[[#This Row],[Expense Ratio]]</f>
        <v>4.9535503909178538E-3</v>
      </c>
      <c r="M42" s="68">
        <f>(Table1356[[#This Row],[Expected Return]]-Table1356[[#This Row],[Tcosts]])*Table1356[[#This Row],[Investment]]</f>
        <v>114794.06196303436</v>
      </c>
      <c r="Q42" s="13" t="s">
        <v>252</v>
      </c>
    </row>
    <row r="43" spans="1:17" ht="15.6" x14ac:dyDescent="0.3">
      <c r="A43" s="77" t="s">
        <v>273</v>
      </c>
      <c r="B43" s="73" t="s">
        <v>274</v>
      </c>
      <c r="C43" s="73">
        <v>51.69</v>
      </c>
      <c r="D43" s="73" t="s">
        <v>275</v>
      </c>
      <c r="E43" s="75">
        <v>8.0000000000000004E-4</v>
      </c>
      <c r="F43" s="73">
        <v>0.94</v>
      </c>
      <c r="G43" s="78">
        <v>379340000</v>
      </c>
      <c r="H43" s="3" t="b">
        <f t="shared" si="1"/>
        <v>0</v>
      </c>
      <c r="I43" s="26">
        <f>Table1356[[#This Row],[Tech]]*$T$7+Table1356[[#This Row],[Beta]]*($T$6-$T$8)+$T$8</f>
        <v>9.6183999999999992E-2</v>
      </c>
      <c r="J43" s="64">
        <v>968810.162182</v>
      </c>
      <c r="K43" s="61">
        <f>Table1356[[#This Row],[Investment]]/Table1356[[#This Row],[Dollar Volume]]</f>
        <v>2.5539362107397058E-3</v>
      </c>
      <c r="L43" s="34">
        <f>IFERROR(MAX($T$11+$T$12*LN(Table1356[[#This Row],[Frac ADV]]),0),0)*0.0001+0.005/Table1356[[#This Row],[Stock Price]]+Table1356[[#This Row],[Expense Ratio]]</f>
        <v>2.9102017066889169E-3</v>
      </c>
      <c r="M43" s="68">
        <f>(Table1356[[#This Row],[Expected Return]]-Table1356[[#This Row],[Tcosts]])*Table1356[[#This Row],[Investment]]</f>
        <v>90364.603651873855</v>
      </c>
      <c r="Q43" s="16" t="s">
        <v>256</v>
      </c>
    </row>
    <row r="44" spans="1:17" ht="15.6" x14ac:dyDescent="0.3">
      <c r="A44" s="77" t="s">
        <v>428</v>
      </c>
      <c r="B44" s="73" t="s">
        <v>429</v>
      </c>
      <c r="C44" s="73">
        <v>74.87</v>
      </c>
      <c r="D44" s="73" t="s">
        <v>430</v>
      </c>
      <c r="E44" s="75">
        <v>2.7000000000000001E-3</v>
      </c>
      <c r="F44" s="73">
        <v>0.92</v>
      </c>
      <c r="G44" s="78">
        <v>341000000</v>
      </c>
      <c r="H44" s="3" t="b">
        <f t="shared" si="1"/>
        <v>0</v>
      </c>
      <c r="I44" s="26">
        <f>Table1356[[#This Row],[Tech]]*$T$7+Table1356[[#This Row],[Beta]]*($T$6-$T$8)+$T$8</f>
        <v>9.491200000000001E-2</v>
      </c>
      <c r="J44" s="64">
        <v>737759.80233700003</v>
      </c>
      <c r="K44" s="61">
        <f>Table1356[[#This Row],[Investment]]/Table1356[[#This Row],[Dollar Volume]]</f>
        <v>2.1635184819266862E-3</v>
      </c>
      <c r="L44" s="34">
        <f>IFERROR(MAX($T$11+$T$12*LN(Table1356[[#This Row],[Frac ADV]]),0),0)*0.0001+0.005/Table1356[[#This Row],[Stock Price]]+Table1356[[#This Row],[Expense Ratio]]</f>
        <v>3.9676415199482694E-3</v>
      </c>
      <c r="M44" s="68">
        <f>(Table1356[[#This Row],[Expected Return]]-Table1356[[#This Row],[Tcosts]])*Table1356[[#This Row],[Investment]]</f>
        <v>67095.091935908247</v>
      </c>
      <c r="Q44" s="13" t="s">
        <v>260</v>
      </c>
    </row>
    <row r="45" spans="1:17" ht="15.6" x14ac:dyDescent="0.3">
      <c r="A45" s="77" t="s">
        <v>519</v>
      </c>
      <c r="B45" s="73" t="s">
        <v>520</v>
      </c>
      <c r="C45" s="73">
        <v>76.209999999999994</v>
      </c>
      <c r="D45" s="73" t="s">
        <v>521</v>
      </c>
      <c r="E45" s="75">
        <v>1.9E-3</v>
      </c>
      <c r="F45" s="73">
        <v>0.83</v>
      </c>
      <c r="G45" s="78">
        <v>1070000000</v>
      </c>
      <c r="H45" s="3" t="b">
        <f t="shared" si="1"/>
        <v>0</v>
      </c>
      <c r="I45" s="26">
        <f>Table1356[[#This Row],[Tech]]*$T$7+Table1356[[#This Row],[Beta]]*($T$6-$T$8)+$T$8</f>
        <v>8.9188000000000003E-2</v>
      </c>
      <c r="J45" s="64">
        <v>602096.33148599998</v>
      </c>
      <c r="K45" s="61">
        <f>Table1356[[#This Row],[Investment]]/Table1356[[#This Row],[Dollar Volume]]</f>
        <v>5.6270685185607478E-4</v>
      </c>
      <c r="L45" s="34">
        <f>IFERROR(MAX($T$11+$T$12*LN(Table1356[[#This Row],[Frac ADV]]),0),0)*0.0001+0.005/Table1356[[#This Row],[Stock Price]]+Table1356[[#This Row],[Expense Ratio]]</f>
        <v>1.9656081879018501E-3</v>
      </c>
      <c r="M45" s="68">
        <f>(Table1356[[#This Row],[Expected Return]]-Table1356[[#This Row],[Tcosts]])*Table1356[[#This Row],[Investment]]</f>
        <v>52516.282133498818</v>
      </c>
      <c r="Q45" s="16" t="s">
        <v>264</v>
      </c>
    </row>
    <row r="46" spans="1:17" ht="15.6" x14ac:dyDescent="0.3">
      <c r="A46" s="79" t="s">
        <v>360</v>
      </c>
      <c r="B46" s="74" t="s">
        <v>361</v>
      </c>
      <c r="C46" s="73">
        <v>92.51</v>
      </c>
      <c r="D46" s="74" t="s">
        <v>362</v>
      </c>
      <c r="E46" s="76">
        <v>1.5E-3</v>
      </c>
      <c r="F46" s="74">
        <v>0.86</v>
      </c>
      <c r="G46" s="78">
        <v>480430000</v>
      </c>
      <c r="H46" s="3" t="b">
        <f t="shared" si="1"/>
        <v>0</v>
      </c>
      <c r="I46" s="26">
        <f>Table1356[[#This Row],[Tech]]*$T$7+Table1356[[#This Row],[Beta]]*($T$6-$T$8)+$T$8</f>
        <v>9.109600000000001E-2</v>
      </c>
      <c r="J46" s="64">
        <v>510313.46332400001</v>
      </c>
      <c r="K46" s="61">
        <f>Table1356[[#This Row],[Investment]]/Table1356[[#This Row],[Dollar Volume]]</f>
        <v>1.0622014930874424E-3</v>
      </c>
      <c r="L46" s="34">
        <f>IFERROR(MAX($T$11+$T$12*LN(Table1356[[#This Row],[Frac ADV]]),0),0)*0.0001+0.005/Table1356[[#This Row],[Stock Price]]+Table1356[[#This Row],[Expense Ratio]]</f>
        <v>1.5540482110042158E-3</v>
      </c>
      <c r="M46" s="68">
        <f>(Table1356[[#This Row],[Expected Return]]-Table1356[[#This Row],[Tcosts]])*Table1356[[#This Row],[Investment]]</f>
        <v>45694.463530233079</v>
      </c>
      <c r="Q46" s="13" t="s">
        <v>268</v>
      </c>
    </row>
    <row r="47" spans="1:17" ht="15.6" x14ac:dyDescent="0.3">
      <c r="A47" s="79" t="s">
        <v>599</v>
      </c>
      <c r="B47" s="74" t="s">
        <v>600</v>
      </c>
      <c r="C47" s="74">
        <v>63.52</v>
      </c>
      <c r="D47" s="74" t="s">
        <v>322</v>
      </c>
      <c r="E47" s="76">
        <v>4.8999999999999998E-3</v>
      </c>
      <c r="F47" s="74">
        <v>0.8</v>
      </c>
      <c r="G47" s="78">
        <v>1780000000</v>
      </c>
      <c r="H47" s="3" t="b">
        <f t="shared" si="1"/>
        <v>0</v>
      </c>
      <c r="I47" s="26">
        <f>Table1356[[#This Row],[Tech]]*$T$7+Table1356[[#This Row],[Beta]]*($T$6-$T$8)+$T$8</f>
        <v>8.728000000000001E-2</v>
      </c>
      <c r="J47" s="64">
        <v>393795.59552099998</v>
      </c>
      <c r="K47" s="61">
        <f>Table1356[[#This Row],[Investment]]/Table1356[[#This Row],[Dollar Volume]]</f>
        <v>2.2123348062977528E-4</v>
      </c>
      <c r="L47" s="34">
        <f>IFERROR(MAX($T$11+$T$12*LN(Table1356[[#This Row],[Frac ADV]]),0),0)*0.0001+0.005/Table1356[[#This Row],[Stock Price]]+Table1356[[#This Row],[Expense Ratio]]</f>
        <v>4.9787153652392944E-3</v>
      </c>
      <c r="M47" s="68">
        <f>(Table1356[[#This Row],[Expected Return]]-Table1356[[#This Row],[Tcosts]])*Table1356[[#This Row],[Investment]]</f>
        <v>32409.883394888922</v>
      </c>
      <c r="Q47" s="16" t="s">
        <v>272</v>
      </c>
    </row>
    <row r="48" spans="1:17" ht="15.6" x14ac:dyDescent="0.3">
      <c r="A48" s="77" t="s">
        <v>340</v>
      </c>
      <c r="B48" s="73" t="s">
        <v>341</v>
      </c>
      <c r="C48" s="73">
        <v>65.73</v>
      </c>
      <c r="D48" s="73" t="s">
        <v>342</v>
      </c>
      <c r="E48" s="75">
        <v>2.8E-3</v>
      </c>
      <c r="F48" s="73">
        <v>0.9</v>
      </c>
      <c r="G48" s="78">
        <v>309820000</v>
      </c>
      <c r="H48" s="3" t="b">
        <f t="shared" si="1"/>
        <v>0</v>
      </c>
      <c r="I48" s="26">
        <f>Table1356[[#This Row],[Tech]]*$T$7+Table1356[[#This Row],[Beta]]*($T$6-$T$8)+$T$8</f>
        <v>9.3640000000000001E-2</v>
      </c>
      <c r="J48" s="64">
        <v>28781.429103999999</v>
      </c>
      <c r="K48" s="61">
        <f>Table1356[[#This Row],[Investment]]/Table1356[[#This Row],[Dollar Volume]]</f>
        <v>9.2897260034858949E-5</v>
      </c>
      <c r="L48" s="34">
        <f>IFERROR(MAX($T$11+$T$12*LN(Table1356[[#This Row],[Frac ADV]]),0),0)*0.0001+0.005/Table1356[[#This Row],[Stock Price]]+Table1356[[#This Row],[Expense Ratio]]</f>
        <v>2.8760687661646129E-3</v>
      </c>
      <c r="M48" s="68">
        <f>(Table1356[[#This Row],[Expected Return]]-Table1356[[#This Row],[Tcosts]])*Table1356[[#This Row],[Investment]]</f>
        <v>2612.3156520069642</v>
      </c>
      <c r="Q48" s="13" t="s">
        <v>276</v>
      </c>
    </row>
    <row r="49" spans="1:17" ht="15.6" x14ac:dyDescent="0.3">
      <c r="A49" s="79" t="s">
        <v>348</v>
      </c>
      <c r="B49" s="74" t="s">
        <v>349</v>
      </c>
      <c r="C49" s="74">
        <v>92.24</v>
      </c>
      <c r="D49" s="74" t="s">
        <v>350</v>
      </c>
      <c r="E49" s="76">
        <v>6.9999999999999999E-4</v>
      </c>
      <c r="F49" s="74">
        <v>0.71</v>
      </c>
      <c r="G49" s="78">
        <v>2080000000</v>
      </c>
      <c r="H49" s="3" t="b">
        <f t="shared" si="1"/>
        <v>0</v>
      </c>
      <c r="I49" s="26">
        <f>Table1356[[#This Row],[Tech]]*$T$7+Table1356[[#This Row],[Beta]]*($T$6-$T$8)+$T$8</f>
        <v>8.1556000000000003E-2</v>
      </c>
      <c r="J49" s="64">
        <v>391.59392600000001</v>
      </c>
      <c r="K49" s="61">
        <f>Table1356[[#This Row],[Investment]]/Table1356[[#This Row],[Dollar Volume]]</f>
        <v>1.8826631057692307E-7</v>
      </c>
      <c r="L49" s="34">
        <f>IFERROR(MAX($T$11+$T$12*LN(Table1356[[#This Row],[Frac ADV]]),0),0)*0.0001+0.005/Table1356[[#This Row],[Stock Price]]+Table1356[[#This Row],[Expense Ratio]]</f>
        <v>7.5420641803989588E-4</v>
      </c>
      <c r="M49" s="68">
        <f>(Table1356[[#This Row],[Expected Return]]-Table1356[[#This Row],[Tcosts]])*Table1356[[#This Row],[Investment]]</f>
        <v>31.641491576601361</v>
      </c>
      <c r="Q49" s="16" t="s">
        <v>280</v>
      </c>
    </row>
    <row r="50" spans="1:17" ht="15.6" x14ac:dyDescent="0.3">
      <c r="A50" s="79" t="s">
        <v>547</v>
      </c>
      <c r="B50" s="74" t="s">
        <v>548</v>
      </c>
      <c r="C50" s="74">
        <v>74.650000000000006</v>
      </c>
      <c r="D50" s="74" t="s">
        <v>549</v>
      </c>
      <c r="E50" s="76">
        <v>8.9999999999999998E-4</v>
      </c>
      <c r="F50" s="74">
        <v>0.7</v>
      </c>
      <c r="G50" s="78">
        <v>1800000000</v>
      </c>
      <c r="H50" s="3" t="b">
        <f t="shared" si="1"/>
        <v>0</v>
      </c>
      <c r="I50" s="26">
        <f>Table1356[[#This Row],[Tech]]*$T$7+Table1356[[#This Row],[Beta]]*($T$6-$T$8)+$T$8</f>
        <v>8.0919999999999992E-2</v>
      </c>
      <c r="J50" s="64">
        <v>9.9999999999999995E-7</v>
      </c>
      <c r="K50" s="61">
        <f>Table1356[[#This Row],[Investment]]/Table1356[[#This Row],[Dollar Volume]]</f>
        <v>5.555555555555555E-16</v>
      </c>
      <c r="L50" s="34">
        <f>IFERROR(MAX($T$11+$T$12*LN(Table1356[[#This Row],[Frac ADV]]),0),0)*0.0001+0.005/Table1356[[#This Row],[Stock Price]]+Table1356[[#This Row],[Expense Ratio]]</f>
        <v>9.6697923643670461E-4</v>
      </c>
      <c r="M50" s="68">
        <f>(Table1356[[#This Row],[Expected Return]]-Table1356[[#This Row],[Tcosts]])*Table1356[[#This Row],[Investment]]</f>
        <v>7.9953020763563284E-8</v>
      </c>
      <c r="Q50" s="13" t="s">
        <v>284</v>
      </c>
    </row>
    <row r="51" spans="1:17" ht="15.6" x14ac:dyDescent="0.3">
      <c r="A51" s="79" t="s">
        <v>571</v>
      </c>
      <c r="B51" s="74" t="s">
        <v>572</v>
      </c>
      <c r="C51" s="74">
        <v>49.94</v>
      </c>
      <c r="D51" s="74" t="s">
        <v>573</v>
      </c>
      <c r="E51" s="76">
        <v>2.0999999999999999E-3</v>
      </c>
      <c r="F51" s="74">
        <v>0.82</v>
      </c>
      <c r="G51" s="78">
        <v>618730000</v>
      </c>
      <c r="H51" s="3" t="b">
        <f t="shared" si="1"/>
        <v>0</v>
      </c>
      <c r="I51" s="26">
        <f>Table1356[[#This Row],[Tech]]*$T$7+Table1356[[#This Row],[Beta]]*($T$6-$T$8)+$T$8</f>
        <v>8.8551999999999992E-2</v>
      </c>
      <c r="J51" s="64">
        <v>0</v>
      </c>
      <c r="K51" s="61">
        <f>Table1356[[#This Row],[Investment]]/Table1356[[#This Row],[Dollar Volume]]</f>
        <v>0</v>
      </c>
      <c r="L51" s="34">
        <f>IFERROR(MAX($T$11+$T$12*LN(Table1356[[#This Row],[Frac ADV]]),0),0)*0.0001+0.005/Table1356[[#This Row],[Stock Price]]+Table1356[[#This Row],[Expense Ratio]]</f>
        <v>2.2001201441730076E-3</v>
      </c>
      <c r="M51" s="68">
        <f>(Table1356[[#This Row],[Expected Return]]-Table1356[[#This Row],[Tcosts]])*Table1356[[#This Row],[Investment]]</f>
        <v>0</v>
      </c>
      <c r="Q51" s="16" t="s">
        <v>288</v>
      </c>
    </row>
    <row r="52" spans="1:17" ht="15.6" x14ac:dyDescent="0.3">
      <c r="A52" s="79" t="s">
        <v>265</v>
      </c>
      <c r="B52" s="74" t="s">
        <v>266</v>
      </c>
      <c r="C52" s="74">
        <v>116.13</v>
      </c>
      <c r="D52" s="86" t="s">
        <v>267</v>
      </c>
      <c r="E52" s="76">
        <v>8.0000000000000004E-4</v>
      </c>
      <c r="F52" s="74">
        <v>1.08</v>
      </c>
      <c r="G52" s="78">
        <v>575520000</v>
      </c>
      <c r="H52" s="3" t="b">
        <f t="shared" si="1"/>
        <v>0</v>
      </c>
      <c r="I52" s="26">
        <f>Table1356[[#This Row],[Tech]]*$T$7+Table1356[[#This Row],[Beta]]*($T$6-$T$8)+$T$8</f>
        <v>0.10508800000000001</v>
      </c>
      <c r="J52" s="64">
        <v>0</v>
      </c>
      <c r="K52" s="61">
        <f>Table1356[[#This Row],[Investment]]/Table1356[[#This Row],[Dollar Volume]]</f>
        <v>0</v>
      </c>
      <c r="L52" s="34">
        <f>IFERROR(MAX($T$11+$T$12*LN(Table1356[[#This Row],[Frac ADV]]),0),0)*0.0001+0.005/Table1356[[#This Row],[Stock Price]]+Table1356[[#This Row],[Expense Ratio]]</f>
        <v>8.4305519676224929E-4</v>
      </c>
      <c r="M52" s="68">
        <f>(Table1356[[#This Row],[Expected Return]]-Table1356[[#This Row],[Tcosts]])*Table1356[[#This Row],[Investment]]</f>
        <v>0</v>
      </c>
      <c r="Q52" s="13" t="s">
        <v>292</v>
      </c>
    </row>
    <row r="53" spans="1:17" ht="15.6" x14ac:dyDescent="0.3">
      <c r="A53" s="79" t="s">
        <v>372</v>
      </c>
      <c r="B53" s="74" t="s">
        <v>373</v>
      </c>
      <c r="C53" s="74">
        <v>54.63</v>
      </c>
      <c r="D53" s="86" t="s">
        <v>374</v>
      </c>
      <c r="E53" s="76">
        <v>4.7000000000000002E-3</v>
      </c>
      <c r="F53" s="74">
        <v>1</v>
      </c>
      <c r="G53" s="78">
        <v>556260000</v>
      </c>
      <c r="H53" s="3" t="b">
        <f t="shared" si="1"/>
        <v>0</v>
      </c>
      <c r="I53" s="26">
        <f>Table1356[[#This Row],[Tech]]*$T$7+Table1356[[#This Row],[Beta]]*($T$6-$T$8)+$T$8</f>
        <v>0.1</v>
      </c>
      <c r="J53" s="64">
        <v>0</v>
      </c>
      <c r="K53" s="61">
        <f>Table1356[[#This Row],[Investment]]/Table1356[[#This Row],[Dollar Volume]]</f>
        <v>0</v>
      </c>
      <c r="L53" s="34">
        <f>IFERROR(MAX($T$11+$T$12*LN(Table1356[[#This Row],[Frac ADV]]),0),0)*0.0001+0.005/Table1356[[#This Row],[Stock Price]]+Table1356[[#This Row],[Expense Ratio]]</f>
        <v>4.7915248032216733E-3</v>
      </c>
      <c r="M53" s="68">
        <f>(Table1356[[#This Row],[Expected Return]]-Table1356[[#This Row],[Tcosts]])*Table1356[[#This Row],[Investment]]</f>
        <v>0</v>
      </c>
      <c r="Q53" s="16" t="s">
        <v>181</v>
      </c>
    </row>
    <row r="54" spans="1:17" ht="15.6" x14ac:dyDescent="0.3">
      <c r="A54" s="79" t="s">
        <v>182</v>
      </c>
      <c r="B54" s="74" t="s">
        <v>183</v>
      </c>
      <c r="C54" s="74">
        <v>335.05</v>
      </c>
      <c r="D54" s="86" t="s">
        <v>184</v>
      </c>
      <c r="E54" s="76">
        <v>2E-3</v>
      </c>
      <c r="F54" s="74">
        <v>1.08</v>
      </c>
      <c r="G54" s="78">
        <v>516090000</v>
      </c>
      <c r="H54" s="3" t="b">
        <f t="shared" si="1"/>
        <v>0</v>
      </c>
      <c r="I54" s="26">
        <f>Table1356[[#This Row],[Tech]]*$T$7+Table1356[[#This Row],[Beta]]*($T$6-$T$8)+$T$8</f>
        <v>0.10508800000000001</v>
      </c>
      <c r="J54" s="64">
        <v>0</v>
      </c>
      <c r="K54" s="61">
        <f>Table1356[[#This Row],[Investment]]/Table1356[[#This Row],[Dollar Volume]]</f>
        <v>0</v>
      </c>
      <c r="L54" s="34">
        <f>IFERROR(MAX($T$11+$T$12*LN(Table1356[[#This Row],[Frac ADV]]),0),0)*0.0001+0.005/Table1356[[#This Row],[Stock Price]]+Table1356[[#This Row],[Expense Ratio]]</f>
        <v>2.0149231457991345E-3</v>
      </c>
      <c r="M54" s="68">
        <f>(Table1356[[#This Row],[Expected Return]]-Table1356[[#This Row],[Tcosts]])*Table1356[[#This Row],[Investment]]</f>
        <v>0</v>
      </c>
      <c r="Q54" s="13" t="s">
        <v>299</v>
      </c>
    </row>
    <row r="55" spans="1:17" ht="15.6" x14ac:dyDescent="0.3">
      <c r="A55" s="79" t="s">
        <v>107</v>
      </c>
      <c r="B55" s="74" t="s">
        <v>108</v>
      </c>
      <c r="C55" s="74">
        <v>190.79</v>
      </c>
      <c r="D55" s="86" t="s">
        <v>109</v>
      </c>
      <c r="E55" s="76">
        <v>3.8E-3</v>
      </c>
      <c r="F55" s="74">
        <v>1.43</v>
      </c>
      <c r="G55" s="78">
        <v>480430000</v>
      </c>
      <c r="H55" s="3" t="b">
        <f t="shared" si="1"/>
        <v>1</v>
      </c>
      <c r="I55" s="26">
        <f>Table1356[[#This Row],[Tech]]*$T$7+Table1356[[#This Row],[Beta]]*($T$6-$T$8)+$T$8</f>
        <v>0.22734799999999999</v>
      </c>
      <c r="J55" s="64">
        <v>0</v>
      </c>
      <c r="K55" s="61">
        <f>Table1356[[#This Row],[Investment]]/Table1356[[#This Row],[Dollar Volume]]</f>
        <v>0</v>
      </c>
      <c r="L55" s="34">
        <f>IFERROR(MAX($T$11+$T$12*LN(Table1356[[#This Row],[Frac ADV]]),0),0)*0.0001+0.005/Table1356[[#This Row],[Stock Price]]+Table1356[[#This Row],[Expense Ratio]]</f>
        <v>3.8262068242570367E-3</v>
      </c>
      <c r="M55" s="68">
        <f>(Table1356[[#This Row],[Expected Return]]-Table1356[[#This Row],[Tcosts]])*Table1356[[#This Row],[Investment]]</f>
        <v>0</v>
      </c>
      <c r="Q55" s="16" t="s">
        <v>303</v>
      </c>
    </row>
    <row r="56" spans="1:17" ht="15.6" x14ac:dyDescent="0.3">
      <c r="A56" s="77" t="s">
        <v>384</v>
      </c>
      <c r="B56" s="73" t="s">
        <v>385</v>
      </c>
      <c r="C56" s="73">
        <v>40.65</v>
      </c>
      <c r="D56" s="85" t="s">
        <v>386</v>
      </c>
      <c r="E56" s="75">
        <v>1.6999999999999999E-3</v>
      </c>
      <c r="F56" s="73">
        <v>0.95</v>
      </c>
      <c r="G56" s="78">
        <v>469470000</v>
      </c>
      <c r="H56" s="3" t="b">
        <f t="shared" si="1"/>
        <v>0</v>
      </c>
      <c r="I56" s="26">
        <f>Table1356[[#This Row],[Tech]]*$T$7+Table1356[[#This Row],[Beta]]*($T$6-$T$8)+$T$8</f>
        <v>9.6820000000000003E-2</v>
      </c>
      <c r="J56" s="64">
        <v>0</v>
      </c>
      <c r="K56" s="61">
        <f>Table1356[[#This Row],[Investment]]/Table1356[[#This Row],[Dollar Volume]]</f>
        <v>0</v>
      </c>
      <c r="L56" s="34">
        <f>IFERROR(MAX($T$11+$T$12*LN(Table1356[[#This Row],[Frac ADV]]),0),0)*0.0001+0.005/Table1356[[#This Row],[Stock Price]]+Table1356[[#This Row],[Expense Ratio]]</f>
        <v>1.8230012300123001E-3</v>
      </c>
      <c r="M56" s="68">
        <f>(Table1356[[#This Row],[Expected Return]]-Table1356[[#This Row],[Tcosts]])*Table1356[[#This Row],[Investment]]</f>
        <v>0</v>
      </c>
      <c r="Q56" s="13" t="s">
        <v>307</v>
      </c>
    </row>
    <row r="57" spans="1:17" ht="15.6" x14ac:dyDescent="0.3">
      <c r="A57" s="79" t="s">
        <v>460</v>
      </c>
      <c r="B57" s="74" t="s">
        <v>461</v>
      </c>
      <c r="C57" s="74">
        <v>228.98</v>
      </c>
      <c r="D57" s="86" t="s">
        <v>462</v>
      </c>
      <c r="E57" s="76">
        <v>5.0000000000000001E-4</v>
      </c>
      <c r="F57" s="74">
        <v>0.84</v>
      </c>
      <c r="G57" s="78">
        <v>456530000</v>
      </c>
      <c r="H57" s="3" t="b">
        <f t="shared" si="1"/>
        <v>0</v>
      </c>
      <c r="I57" s="26">
        <f>Table1356[[#This Row],[Tech]]*$T$7+Table1356[[#This Row],[Beta]]*($T$6-$T$8)+$T$8</f>
        <v>8.9824000000000001E-2</v>
      </c>
      <c r="J57" s="64">
        <v>0</v>
      </c>
      <c r="K57" s="61">
        <f>Table1356[[#This Row],[Investment]]/Table1356[[#This Row],[Dollar Volume]]</f>
        <v>0</v>
      </c>
      <c r="L57" s="34">
        <f>IFERROR(MAX($T$11+$T$12*LN(Table1356[[#This Row],[Frac ADV]]),0),0)*0.0001+0.005/Table1356[[#This Row],[Stock Price]]+Table1356[[#This Row],[Expense Ratio]]</f>
        <v>5.2183596820683026E-4</v>
      </c>
      <c r="M57" s="68">
        <f>(Table1356[[#This Row],[Expected Return]]-Table1356[[#This Row],[Tcosts]])*Table1356[[#This Row],[Investment]]</f>
        <v>0</v>
      </c>
      <c r="Q57" s="16" t="s">
        <v>311</v>
      </c>
    </row>
    <row r="58" spans="1:17" ht="15.6" x14ac:dyDescent="0.3">
      <c r="A58" s="79" t="s">
        <v>135</v>
      </c>
      <c r="B58" s="74" t="s">
        <v>136</v>
      </c>
      <c r="C58" s="74">
        <v>430.93</v>
      </c>
      <c r="D58" s="86" t="s">
        <v>137</v>
      </c>
      <c r="E58" s="76">
        <v>6.9999999999999999E-4</v>
      </c>
      <c r="F58" s="74">
        <v>1.21</v>
      </c>
      <c r="G58" s="78">
        <v>434610000</v>
      </c>
      <c r="H58" s="3" t="b">
        <f t="shared" si="1"/>
        <v>0</v>
      </c>
      <c r="I58" s="26">
        <f>Table1356[[#This Row],[Tech]]*$T$7+Table1356[[#This Row],[Beta]]*($T$6-$T$8)+$T$8</f>
        <v>0.113356</v>
      </c>
      <c r="J58" s="64">
        <v>0</v>
      </c>
      <c r="K58" s="61">
        <f>Table1356[[#This Row],[Investment]]/Table1356[[#This Row],[Dollar Volume]]</f>
        <v>0</v>
      </c>
      <c r="L58" s="34">
        <f>IFERROR(MAX($T$11+$T$12*LN(Table1356[[#This Row],[Frac ADV]]),0),0)*0.0001+0.005/Table1356[[#This Row],[Stock Price]]+Table1356[[#This Row],[Expense Ratio]]</f>
        <v>7.1160281252175526E-4</v>
      </c>
      <c r="M58" s="68">
        <f>(Table1356[[#This Row],[Expected Return]]-Table1356[[#This Row],[Tcosts]])*Table1356[[#This Row],[Investment]]</f>
        <v>0</v>
      </c>
      <c r="Q58" s="13" t="s">
        <v>315</v>
      </c>
    </row>
    <row r="59" spans="1:17" ht="15.6" x14ac:dyDescent="0.3">
      <c r="A59" s="77" t="s">
        <v>165</v>
      </c>
      <c r="B59" s="73" t="s">
        <v>166</v>
      </c>
      <c r="C59" s="73">
        <v>42.54</v>
      </c>
      <c r="D59" s="85" t="s">
        <v>167</v>
      </c>
      <c r="E59" s="75">
        <v>3.8999999999999998E-3</v>
      </c>
      <c r="F59" s="73">
        <v>1.22</v>
      </c>
      <c r="G59" s="78">
        <v>416430000</v>
      </c>
      <c r="H59" s="3" t="b">
        <f t="shared" si="1"/>
        <v>0</v>
      </c>
      <c r="I59" s="26">
        <f>Table1356[[#This Row],[Tech]]*$T$7+Table1356[[#This Row],[Beta]]*($T$6-$T$8)+$T$8</f>
        <v>0.11399200000000001</v>
      </c>
      <c r="J59" s="64">
        <v>0</v>
      </c>
      <c r="K59" s="61">
        <f>Table1356[[#This Row],[Investment]]/Table1356[[#This Row],[Dollar Volume]]</f>
        <v>0</v>
      </c>
      <c r="L59" s="34">
        <f>IFERROR(MAX($T$11+$T$12*LN(Table1356[[#This Row],[Frac ADV]]),0),0)*0.0001+0.005/Table1356[[#This Row],[Stock Price]]+Table1356[[#This Row],[Expense Ratio]]</f>
        <v>4.0175364362952512E-3</v>
      </c>
      <c r="M59" s="68">
        <f>(Table1356[[#This Row],[Expected Return]]-Table1356[[#This Row],[Tcosts]])*Table1356[[#This Row],[Investment]]</f>
        <v>0</v>
      </c>
      <c r="Q59" s="16" t="s">
        <v>319</v>
      </c>
    </row>
    <row r="60" spans="1:17" ht="15.6" x14ac:dyDescent="0.3">
      <c r="A60" s="79" t="s">
        <v>304</v>
      </c>
      <c r="B60" s="74" t="s">
        <v>305</v>
      </c>
      <c r="C60" s="74">
        <v>200.79</v>
      </c>
      <c r="D60" s="86" t="s">
        <v>306</v>
      </c>
      <c r="E60" s="76">
        <v>2E-3</v>
      </c>
      <c r="F60" s="74">
        <v>0.78</v>
      </c>
      <c r="G60" s="78">
        <v>384710000</v>
      </c>
      <c r="H60" s="3" t="b">
        <f t="shared" si="1"/>
        <v>0</v>
      </c>
      <c r="I60" s="26">
        <f>Table1356[[#This Row],[Tech]]*$T$7+Table1356[[#This Row],[Beta]]*($T$6-$T$8)+$T$8</f>
        <v>8.6008000000000001E-2</v>
      </c>
      <c r="J60" s="64">
        <v>0</v>
      </c>
      <c r="K60" s="61">
        <f>Table1356[[#This Row],[Investment]]/Table1356[[#This Row],[Dollar Volume]]</f>
        <v>0</v>
      </c>
      <c r="L60" s="34">
        <f>IFERROR(MAX($T$11+$T$12*LN(Table1356[[#This Row],[Frac ADV]]),0),0)*0.0001+0.005/Table1356[[#This Row],[Stock Price]]+Table1356[[#This Row],[Expense Ratio]]</f>
        <v>2.0249016385278152E-3</v>
      </c>
      <c r="M60" s="68">
        <f>(Table1356[[#This Row],[Expected Return]]-Table1356[[#This Row],[Tcosts]])*Table1356[[#This Row],[Investment]]</f>
        <v>0</v>
      </c>
      <c r="Q60" s="13" t="s">
        <v>323</v>
      </c>
    </row>
    <row r="61" spans="1:17" ht="15.6" x14ac:dyDescent="0.3">
      <c r="A61" s="77" t="s">
        <v>237</v>
      </c>
      <c r="B61" s="73" t="s">
        <v>238</v>
      </c>
      <c r="C61" s="73">
        <v>57.24</v>
      </c>
      <c r="D61" s="85" t="s">
        <v>239</v>
      </c>
      <c r="E61" s="75">
        <v>2E-3</v>
      </c>
      <c r="F61" s="73">
        <v>1.1100000000000001</v>
      </c>
      <c r="G61" s="78">
        <v>381360000</v>
      </c>
      <c r="H61" s="3" t="b">
        <f t="shared" si="1"/>
        <v>0</v>
      </c>
      <c r="I61" s="26">
        <f>Table1356[[#This Row],[Tech]]*$T$7+Table1356[[#This Row],[Beta]]*($T$6-$T$8)+$T$8</f>
        <v>0.10699600000000001</v>
      </c>
      <c r="J61" s="64">
        <v>0</v>
      </c>
      <c r="K61" s="61">
        <f>Table1356[[#This Row],[Investment]]/Table1356[[#This Row],[Dollar Volume]]</f>
        <v>0</v>
      </c>
      <c r="L61" s="34">
        <f>IFERROR(MAX($T$11+$T$12*LN(Table1356[[#This Row],[Frac ADV]]),0),0)*0.0001+0.005/Table1356[[#This Row],[Stock Price]]+Table1356[[#This Row],[Expense Ratio]]</f>
        <v>2.0873515024458422E-3</v>
      </c>
      <c r="M61" s="68">
        <f>(Table1356[[#This Row],[Expected Return]]-Table1356[[#This Row],[Tcosts]])*Table1356[[#This Row],[Investment]]</f>
        <v>0</v>
      </c>
      <c r="Q61" s="16" t="s">
        <v>327</v>
      </c>
    </row>
    <row r="62" spans="1:17" ht="15.6" x14ac:dyDescent="0.3">
      <c r="A62" s="77" t="s">
        <v>488</v>
      </c>
      <c r="B62" s="73" t="s">
        <v>489</v>
      </c>
      <c r="C62" s="73">
        <v>71.34</v>
      </c>
      <c r="D62" s="85" t="s">
        <v>490</v>
      </c>
      <c r="E62" s="75">
        <v>4.7999999999999996E-3</v>
      </c>
      <c r="F62" s="73">
        <v>0.92</v>
      </c>
      <c r="G62" s="78">
        <v>379340000</v>
      </c>
      <c r="H62" s="3" t="b">
        <f t="shared" si="1"/>
        <v>0</v>
      </c>
      <c r="I62" s="26">
        <f>Table1356[[#This Row],[Tech]]*$T$7+Table1356[[#This Row],[Beta]]*($T$6-$T$8)+$T$8</f>
        <v>9.491200000000001E-2</v>
      </c>
      <c r="J62" s="64">
        <v>0</v>
      </c>
      <c r="K62" s="61">
        <f>Table1356[[#This Row],[Investment]]/Table1356[[#This Row],[Dollar Volume]]</f>
        <v>0</v>
      </c>
      <c r="L62" s="34">
        <f>IFERROR(MAX($T$11+$T$12*LN(Table1356[[#This Row],[Frac ADV]]),0),0)*0.0001+0.005/Table1356[[#This Row],[Stock Price]]+Table1356[[#This Row],[Expense Ratio]]</f>
        <v>4.8700869077656292E-3</v>
      </c>
      <c r="M62" s="68">
        <f>(Table1356[[#This Row],[Expected Return]]-Table1356[[#This Row],[Tcosts]])*Table1356[[#This Row],[Investment]]</f>
        <v>0</v>
      </c>
      <c r="Q62" s="13" t="s">
        <v>331</v>
      </c>
    </row>
    <row r="63" spans="1:17" ht="15.6" x14ac:dyDescent="0.3">
      <c r="A63" s="79" t="s">
        <v>416</v>
      </c>
      <c r="B63" s="74" t="s">
        <v>417</v>
      </c>
      <c r="C63" s="74">
        <v>61.91</v>
      </c>
      <c r="D63" s="86" t="s">
        <v>418</v>
      </c>
      <c r="E63" s="76">
        <v>2.9999999999999997E-4</v>
      </c>
      <c r="F63" s="74">
        <v>0.87</v>
      </c>
      <c r="G63" s="78">
        <v>378650000</v>
      </c>
      <c r="H63" s="3" t="b">
        <f t="shared" si="1"/>
        <v>0</v>
      </c>
      <c r="I63" s="26">
        <f>Table1356[[#This Row],[Tech]]*$T$7+Table1356[[#This Row],[Beta]]*($T$6-$T$8)+$T$8</f>
        <v>9.1732000000000008E-2</v>
      </c>
      <c r="J63" s="64">
        <v>0</v>
      </c>
      <c r="K63" s="61">
        <f>Table1356[[#This Row],[Investment]]/Table1356[[#This Row],[Dollar Volume]]</f>
        <v>0</v>
      </c>
      <c r="L63" s="34">
        <f>IFERROR(MAX($T$11+$T$12*LN(Table1356[[#This Row],[Frac ADV]]),0),0)*0.0001+0.005/Table1356[[#This Row],[Stock Price]]+Table1356[[#This Row],[Expense Ratio]]</f>
        <v>3.8076239702794376E-4</v>
      </c>
      <c r="M63" s="68">
        <f>(Table1356[[#This Row],[Expected Return]]-Table1356[[#This Row],[Tcosts]])*Table1356[[#This Row],[Investment]]</f>
        <v>0</v>
      </c>
      <c r="Q63" s="16" t="s">
        <v>335</v>
      </c>
    </row>
    <row r="64" spans="1:17" ht="15.6" x14ac:dyDescent="0.3">
      <c r="A64" s="77" t="s">
        <v>145</v>
      </c>
      <c r="B64" s="73" t="s">
        <v>146</v>
      </c>
      <c r="C64" s="73">
        <v>262.27</v>
      </c>
      <c r="D64" s="85" t="s">
        <v>147</v>
      </c>
      <c r="E64" s="75">
        <v>2E-3</v>
      </c>
      <c r="F64" s="73">
        <v>1.2</v>
      </c>
      <c r="G64" s="78">
        <v>377500000</v>
      </c>
      <c r="H64" s="3" t="b">
        <f t="shared" si="1"/>
        <v>0</v>
      </c>
      <c r="I64" s="26">
        <f>Table1356[[#This Row],[Tech]]*$T$7+Table1356[[#This Row],[Beta]]*($T$6-$T$8)+$T$8</f>
        <v>0.11272</v>
      </c>
      <c r="J64" s="64">
        <v>0</v>
      </c>
      <c r="K64" s="61">
        <f>Table1356[[#This Row],[Investment]]/Table1356[[#This Row],[Dollar Volume]]</f>
        <v>0</v>
      </c>
      <c r="L64" s="34">
        <f>IFERROR(MAX($T$11+$T$12*LN(Table1356[[#This Row],[Frac ADV]]),0),0)*0.0001+0.005/Table1356[[#This Row],[Stock Price]]+Table1356[[#This Row],[Expense Ratio]]</f>
        <v>2.0190643230258896E-3</v>
      </c>
      <c r="M64" s="68">
        <f>(Table1356[[#This Row],[Expected Return]]-Table1356[[#This Row],[Tcosts]])*Table1356[[#This Row],[Investment]]</f>
        <v>0</v>
      </c>
      <c r="Q64" s="13" t="s">
        <v>339</v>
      </c>
    </row>
    <row r="65" spans="1:17" ht="15.6" x14ac:dyDescent="0.3">
      <c r="A65" s="77" t="s">
        <v>261</v>
      </c>
      <c r="B65" s="73" t="s">
        <v>262</v>
      </c>
      <c r="C65" s="73">
        <v>145.65</v>
      </c>
      <c r="D65" s="85" t="s">
        <v>263</v>
      </c>
      <c r="E65" s="75">
        <v>3.2000000000000002E-3</v>
      </c>
      <c r="F65" s="73">
        <v>0.89</v>
      </c>
      <c r="G65" s="78">
        <v>370860000</v>
      </c>
      <c r="H65" s="3" t="b">
        <f t="shared" si="1"/>
        <v>0</v>
      </c>
      <c r="I65" s="26">
        <f>Table1356[[#This Row],[Tech]]*$T$7+Table1356[[#This Row],[Beta]]*($T$6-$T$8)+$T$8</f>
        <v>9.3004000000000003E-2</v>
      </c>
      <c r="J65" s="64">
        <v>0</v>
      </c>
      <c r="K65" s="61">
        <f>Table1356[[#This Row],[Investment]]/Table1356[[#This Row],[Dollar Volume]]</f>
        <v>0</v>
      </c>
      <c r="L65" s="34">
        <f>IFERROR(MAX($T$11+$T$12*LN(Table1356[[#This Row],[Frac ADV]]),0),0)*0.0001+0.005/Table1356[[#This Row],[Stock Price]]+Table1356[[#This Row],[Expense Ratio]]</f>
        <v>3.2343288705801582E-3</v>
      </c>
      <c r="M65" s="68">
        <f>(Table1356[[#This Row],[Expected Return]]-Table1356[[#This Row],[Tcosts]])*Table1356[[#This Row],[Investment]]</f>
        <v>0</v>
      </c>
      <c r="Q65" s="16" t="s">
        <v>343</v>
      </c>
    </row>
    <row r="66" spans="1:17" ht="15.6" x14ac:dyDescent="0.3">
      <c r="A66" s="77" t="s">
        <v>225</v>
      </c>
      <c r="B66" s="73" t="s">
        <v>226</v>
      </c>
      <c r="C66" s="73">
        <v>74.23</v>
      </c>
      <c r="D66" s="85" t="s">
        <v>227</v>
      </c>
      <c r="E66" s="75">
        <v>8.9999999999999998E-4</v>
      </c>
      <c r="F66" s="73">
        <v>1.01</v>
      </c>
      <c r="G66" s="78">
        <v>355810000</v>
      </c>
      <c r="H66" s="3" t="b">
        <f t="shared" ref="H66:H97" si="2">OR(
  ISNUMBER(SEARCH("technology",B66)),
  ISNUMBER(SEARCH("tech",B66)),
  ISNUMBER(SEARCH("qqq",B66)),
  ISNUMBER(SEARCH("semiconductor",B66)),
  ISNUMBER(SEARCH("information technology",B66)),
  ISNUMBER(SEARCH("nasdaq",B66)),
  ISNUMBER(SEARCH("communication",B66))
)</f>
        <v>0</v>
      </c>
      <c r="I66" s="26">
        <f>Table1356[[#This Row],[Tech]]*$T$7+Table1356[[#This Row],[Beta]]*($T$6-$T$8)+$T$8</f>
        <v>0.100636</v>
      </c>
      <c r="J66" s="64">
        <v>0</v>
      </c>
      <c r="K66" s="61">
        <f>Table1356[[#This Row],[Investment]]/Table1356[[#This Row],[Dollar Volume]]</f>
        <v>0</v>
      </c>
      <c r="L66" s="34">
        <f>IFERROR(MAX($T$11+$T$12*LN(Table1356[[#This Row],[Frac ADV]]),0),0)*0.0001+0.005/Table1356[[#This Row],[Stock Price]]+Table1356[[#This Row],[Expense Ratio]]</f>
        <v>9.673582109659167E-4</v>
      </c>
      <c r="M66" s="68">
        <f>(Table1356[[#This Row],[Expected Return]]-Table1356[[#This Row],[Tcosts]])*Table1356[[#This Row],[Investment]]</f>
        <v>0</v>
      </c>
      <c r="Q66" s="13" t="s">
        <v>347</v>
      </c>
    </row>
    <row r="67" spans="1:17" ht="15.6" x14ac:dyDescent="0.3">
      <c r="A67" s="79" t="s">
        <v>476</v>
      </c>
      <c r="B67" s="74" t="s">
        <v>477</v>
      </c>
      <c r="C67" s="74">
        <v>45.29</v>
      </c>
      <c r="D67" s="86" t="s">
        <v>478</v>
      </c>
      <c r="E67" s="76">
        <v>3.3E-3</v>
      </c>
      <c r="F67" s="74">
        <v>0.88</v>
      </c>
      <c r="G67" s="78">
        <v>345320000</v>
      </c>
      <c r="H67" s="3" t="b">
        <f t="shared" si="2"/>
        <v>0</v>
      </c>
      <c r="I67" s="26">
        <f>Table1356[[#This Row],[Tech]]*$T$7+Table1356[[#This Row],[Beta]]*($T$6-$T$8)+$T$8</f>
        <v>9.2368000000000006E-2</v>
      </c>
      <c r="J67" s="64">
        <v>0</v>
      </c>
      <c r="K67" s="61">
        <f>Table1356[[#This Row],[Investment]]/Table1356[[#This Row],[Dollar Volume]]</f>
        <v>0</v>
      </c>
      <c r="L67" s="34">
        <f>IFERROR(MAX($T$11+$T$12*LN(Table1356[[#This Row],[Frac ADV]]),0),0)*0.0001+0.005/Table1356[[#This Row],[Stock Price]]+Table1356[[#This Row],[Expense Ratio]]</f>
        <v>3.4103996467211304E-3</v>
      </c>
      <c r="M67" s="68">
        <f>(Table1356[[#This Row],[Expected Return]]-Table1356[[#This Row],[Tcosts]])*Table1356[[#This Row],[Investment]]</f>
        <v>0</v>
      </c>
      <c r="Q67" s="16" t="s">
        <v>351</v>
      </c>
    </row>
    <row r="68" spans="1:17" ht="15.6" x14ac:dyDescent="0.3">
      <c r="A68" s="77" t="s">
        <v>269</v>
      </c>
      <c r="B68" s="73" t="s">
        <v>270</v>
      </c>
      <c r="C68" s="73">
        <v>60.57</v>
      </c>
      <c r="D68" s="85" t="s">
        <v>271</v>
      </c>
      <c r="E68" s="75">
        <v>2.5999999999999999E-3</v>
      </c>
      <c r="F68" s="73">
        <v>1.03</v>
      </c>
      <c r="G68" s="78">
        <v>343900000</v>
      </c>
      <c r="H68" s="3" t="b">
        <f t="shared" si="2"/>
        <v>0</v>
      </c>
      <c r="I68" s="26">
        <f>Table1356[[#This Row],[Tech]]*$T$7+Table1356[[#This Row],[Beta]]*($T$6-$T$8)+$T$8</f>
        <v>0.10190800000000001</v>
      </c>
      <c r="J68" s="64">
        <v>0</v>
      </c>
      <c r="K68" s="61">
        <f>Table1356[[#This Row],[Investment]]/Table1356[[#This Row],[Dollar Volume]]</f>
        <v>0</v>
      </c>
      <c r="L68" s="34">
        <f>IFERROR(MAX($T$11+$T$12*LN(Table1356[[#This Row],[Frac ADV]]),0),0)*0.0001+0.005/Table1356[[#This Row],[Stock Price]]+Table1356[[#This Row],[Expense Ratio]]</f>
        <v>2.6825491167244511E-3</v>
      </c>
      <c r="M68" s="68">
        <f>(Table1356[[#This Row],[Expected Return]]-Table1356[[#This Row],[Tcosts]])*Table1356[[#This Row],[Investment]]</f>
        <v>0</v>
      </c>
      <c r="Q68" s="13" t="s">
        <v>355</v>
      </c>
    </row>
    <row r="69" spans="1:17" ht="15.6" x14ac:dyDescent="0.3">
      <c r="A69" s="79" t="s">
        <v>119</v>
      </c>
      <c r="B69" s="74" t="s">
        <v>120</v>
      </c>
      <c r="C69" s="74">
        <v>247.32</v>
      </c>
      <c r="D69" s="86" t="s">
        <v>121</v>
      </c>
      <c r="E69" s="76">
        <v>1.5E-3</v>
      </c>
      <c r="F69" s="74">
        <v>1.21</v>
      </c>
      <c r="G69" s="78">
        <v>341000000</v>
      </c>
      <c r="H69" s="3" t="b">
        <f t="shared" si="2"/>
        <v>1</v>
      </c>
      <c r="I69" s="26">
        <f>Table1356[[#This Row],[Tech]]*$T$7+Table1356[[#This Row],[Beta]]*($T$6-$T$8)+$T$8</f>
        <v>0.21335599999999999</v>
      </c>
      <c r="J69" s="64">
        <v>0</v>
      </c>
      <c r="K69" s="61">
        <f>Table1356[[#This Row],[Investment]]/Table1356[[#This Row],[Dollar Volume]]</f>
        <v>0</v>
      </c>
      <c r="L69" s="34">
        <f>IFERROR(MAX($T$11+$T$12*LN(Table1356[[#This Row],[Frac ADV]]),0),0)*0.0001+0.005/Table1356[[#This Row],[Stock Price]]+Table1356[[#This Row],[Expense Ratio]]</f>
        <v>1.5202167232734919E-3</v>
      </c>
      <c r="M69" s="68">
        <f>(Table1356[[#This Row],[Expected Return]]-Table1356[[#This Row],[Tcosts]])*Table1356[[#This Row],[Investment]]</f>
        <v>0</v>
      </c>
      <c r="Q69" s="16" t="s">
        <v>359</v>
      </c>
    </row>
    <row r="70" spans="1:17" ht="15.6" x14ac:dyDescent="0.3">
      <c r="A70" s="79" t="s">
        <v>440</v>
      </c>
      <c r="B70" s="74" t="s">
        <v>441</v>
      </c>
      <c r="C70" s="74">
        <v>644.5</v>
      </c>
      <c r="D70" s="86" t="s">
        <v>442</v>
      </c>
      <c r="E70" s="76">
        <v>2.3999999999999998E-3</v>
      </c>
      <c r="F70" s="74">
        <v>0.87</v>
      </c>
      <c r="G70" s="78">
        <v>323170000</v>
      </c>
      <c r="H70" s="3" t="b">
        <f t="shared" si="2"/>
        <v>0</v>
      </c>
      <c r="I70" s="26">
        <f>Table1356[[#This Row],[Tech]]*$T$7+Table1356[[#This Row],[Beta]]*($T$6-$T$8)+$T$8</f>
        <v>9.1732000000000008E-2</v>
      </c>
      <c r="J70" s="64">
        <v>0</v>
      </c>
      <c r="K70" s="61">
        <f>Table1356[[#This Row],[Investment]]/Table1356[[#This Row],[Dollar Volume]]</f>
        <v>0</v>
      </c>
      <c r="L70" s="34">
        <f>IFERROR(MAX($T$11+$T$12*LN(Table1356[[#This Row],[Frac ADV]]),0),0)*0.0001+0.005/Table1356[[#This Row],[Stock Price]]+Table1356[[#This Row],[Expense Ratio]]</f>
        <v>2.407757951900698E-3</v>
      </c>
      <c r="M70" s="68">
        <f>(Table1356[[#This Row],[Expected Return]]-Table1356[[#This Row],[Tcosts]])*Table1356[[#This Row],[Investment]]</f>
        <v>0</v>
      </c>
      <c r="Q70" s="13" t="s">
        <v>363</v>
      </c>
    </row>
    <row r="71" spans="1:17" ht="15.6" x14ac:dyDescent="0.3">
      <c r="A71" s="77" t="s">
        <v>101</v>
      </c>
      <c r="B71" s="73" t="s">
        <v>102</v>
      </c>
      <c r="C71" s="73">
        <v>139.21</v>
      </c>
      <c r="D71" s="85" t="s">
        <v>103</v>
      </c>
      <c r="E71" s="75">
        <v>8.0000000000000004E-4</v>
      </c>
      <c r="F71" s="73">
        <v>1.41</v>
      </c>
      <c r="G71" s="78">
        <v>309820000</v>
      </c>
      <c r="H71" s="3" t="b">
        <f t="shared" si="2"/>
        <v>1</v>
      </c>
      <c r="I71" s="26">
        <f>Table1356[[#This Row],[Tech]]*$T$7+Table1356[[#This Row],[Beta]]*($T$6-$T$8)+$T$8</f>
        <v>0.226076</v>
      </c>
      <c r="J71" s="64">
        <v>0</v>
      </c>
      <c r="K71" s="61">
        <f>Table1356[[#This Row],[Investment]]/Table1356[[#This Row],[Dollar Volume]]</f>
        <v>0</v>
      </c>
      <c r="L71" s="34">
        <f>IFERROR(MAX($T$11+$T$12*LN(Table1356[[#This Row],[Frac ADV]]),0),0)*0.0001+0.005/Table1356[[#This Row],[Stock Price]]+Table1356[[#This Row],[Expense Ratio]]</f>
        <v>8.3591695998850657E-4</v>
      </c>
      <c r="M71" s="68">
        <f>(Table1356[[#This Row],[Expected Return]]-Table1356[[#This Row],[Tcosts]])*Table1356[[#This Row],[Investment]]</f>
        <v>0</v>
      </c>
      <c r="Q71" s="16" t="s">
        <v>367</v>
      </c>
    </row>
    <row r="72" spans="1:17" ht="15.6" x14ac:dyDescent="0.3">
      <c r="A72" s="77" t="s">
        <v>253</v>
      </c>
      <c r="B72" s="73" t="s">
        <v>254</v>
      </c>
      <c r="C72" s="73">
        <v>26.85</v>
      </c>
      <c r="D72" s="85" t="s">
        <v>255</v>
      </c>
      <c r="E72" s="75">
        <v>2.9999999999999997E-4</v>
      </c>
      <c r="F72" s="73">
        <v>1.01</v>
      </c>
      <c r="G72" s="78">
        <v>301950000</v>
      </c>
      <c r="H72" s="3" t="b">
        <f t="shared" si="2"/>
        <v>0</v>
      </c>
      <c r="I72" s="26">
        <f>Table1356[[#This Row],[Tech]]*$T$7+Table1356[[#This Row],[Beta]]*($T$6-$T$8)+$T$8</f>
        <v>0.100636</v>
      </c>
      <c r="J72" s="64">
        <v>0</v>
      </c>
      <c r="K72" s="61">
        <f>Table1356[[#This Row],[Investment]]/Table1356[[#This Row],[Dollar Volume]]</f>
        <v>0</v>
      </c>
      <c r="L72" s="34">
        <f>IFERROR(MAX($T$11+$T$12*LN(Table1356[[#This Row],[Frac ADV]]),0),0)*0.0001+0.005/Table1356[[#This Row],[Stock Price]]+Table1356[[#This Row],[Expense Ratio]]</f>
        <v>4.8621973929236493E-4</v>
      </c>
      <c r="M72" s="68">
        <f>(Table1356[[#This Row],[Expected Return]]-Table1356[[#This Row],[Tcosts]])*Table1356[[#This Row],[Investment]]</f>
        <v>0</v>
      </c>
      <c r="Q72" s="13" t="s">
        <v>371</v>
      </c>
    </row>
    <row r="73" spans="1:17" ht="15.6" x14ac:dyDescent="0.3">
      <c r="A73" s="79" t="s">
        <v>392</v>
      </c>
      <c r="B73" s="74" t="s">
        <v>393</v>
      </c>
      <c r="C73" s="74">
        <v>32.200000000000003</v>
      </c>
      <c r="D73" s="86" t="s">
        <v>394</v>
      </c>
      <c r="E73" s="76">
        <v>4.0000000000000002E-4</v>
      </c>
      <c r="F73" s="74">
        <v>0.92</v>
      </c>
      <c r="G73" s="78">
        <v>292390000</v>
      </c>
      <c r="H73" s="3" t="b">
        <f t="shared" si="2"/>
        <v>0</v>
      </c>
      <c r="I73" s="26">
        <f>Table1356[[#This Row],[Tech]]*$T$7+Table1356[[#This Row],[Beta]]*($T$6-$T$8)+$T$8</f>
        <v>9.491200000000001E-2</v>
      </c>
      <c r="J73" s="64">
        <v>0</v>
      </c>
      <c r="K73" s="61">
        <f>Table1356[[#This Row],[Investment]]/Table1356[[#This Row],[Dollar Volume]]</f>
        <v>0</v>
      </c>
      <c r="L73" s="34">
        <f>IFERROR(MAX($T$11+$T$12*LN(Table1356[[#This Row],[Frac ADV]]),0),0)*0.0001+0.005/Table1356[[#This Row],[Stock Price]]+Table1356[[#This Row],[Expense Ratio]]</f>
        <v>5.5527950310559006E-4</v>
      </c>
      <c r="M73" s="68">
        <f>(Table1356[[#This Row],[Expected Return]]-Table1356[[#This Row],[Tcosts]])*Table1356[[#This Row],[Investment]]</f>
        <v>0</v>
      </c>
      <c r="Q73" s="16" t="s">
        <v>375</v>
      </c>
    </row>
    <row r="74" spans="1:17" ht="15.6" x14ac:dyDescent="0.3">
      <c r="A74" s="79" t="s">
        <v>155</v>
      </c>
      <c r="B74" s="74" t="s">
        <v>156</v>
      </c>
      <c r="C74" s="74">
        <v>272.94</v>
      </c>
      <c r="D74" s="86" t="s">
        <v>157</v>
      </c>
      <c r="E74" s="76">
        <v>2.9999999999999997E-4</v>
      </c>
      <c r="F74" s="74">
        <v>0.94</v>
      </c>
      <c r="G74" s="78">
        <v>267780000</v>
      </c>
      <c r="H74" s="3" t="b">
        <f t="shared" si="2"/>
        <v>0</v>
      </c>
      <c r="I74" s="26">
        <f>Table1356[[#This Row],[Tech]]*$T$7+Table1356[[#This Row],[Beta]]*($T$6-$T$8)+$T$8</f>
        <v>9.6183999999999992E-2</v>
      </c>
      <c r="J74" s="64">
        <v>0</v>
      </c>
      <c r="K74" s="61">
        <f>Table1356[[#This Row],[Investment]]/Table1356[[#This Row],[Dollar Volume]]</f>
        <v>0</v>
      </c>
      <c r="L74" s="34">
        <f>IFERROR(MAX($T$11+$T$12*LN(Table1356[[#This Row],[Frac ADV]]),0),0)*0.0001+0.005/Table1356[[#This Row],[Stock Price]]+Table1356[[#This Row],[Expense Ratio]]</f>
        <v>3.1831904447863997E-4</v>
      </c>
      <c r="M74" s="68">
        <f>(Table1356[[#This Row],[Expected Return]]-Table1356[[#This Row],[Tcosts]])*Table1356[[#This Row],[Investment]]</f>
        <v>0</v>
      </c>
      <c r="Q74" s="13" t="s">
        <v>379</v>
      </c>
    </row>
    <row r="75" spans="1:17" ht="15.6" x14ac:dyDescent="0.3">
      <c r="A75" s="77" t="s">
        <v>551</v>
      </c>
      <c r="B75" s="73" t="s">
        <v>552</v>
      </c>
      <c r="C75" s="73">
        <v>92.51</v>
      </c>
      <c r="D75" s="85" t="s">
        <v>553</v>
      </c>
      <c r="E75" s="75">
        <v>2.8E-3</v>
      </c>
      <c r="F75" s="73">
        <v>0.77</v>
      </c>
      <c r="G75" s="78">
        <v>242840000</v>
      </c>
      <c r="H75" s="3" t="b">
        <f t="shared" si="2"/>
        <v>0</v>
      </c>
      <c r="I75" s="26">
        <f>Table1356[[#This Row],[Tech]]*$T$7+Table1356[[#This Row],[Beta]]*($T$6-$T$8)+$T$8</f>
        <v>8.5372000000000003E-2</v>
      </c>
      <c r="J75" s="64">
        <v>0</v>
      </c>
      <c r="K75" s="61">
        <f>Table1356[[#This Row],[Investment]]/Table1356[[#This Row],[Dollar Volume]]</f>
        <v>0</v>
      </c>
      <c r="L75" s="34">
        <f>IFERROR(MAX($T$11+$T$12*LN(Table1356[[#This Row],[Frac ADV]]),0),0)*0.0001+0.005/Table1356[[#This Row],[Stock Price]]+Table1356[[#This Row],[Expense Ratio]]</f>
        <v>2.8540482110042159E-3</v>
      </c>
      <c r="M75" s="68">
        <f>(Table1356[[#This Row],[Expected Return]]-Table1356[[#This Row],[Tcosts]])*Table1356[[#This Row],[Investment]]</f>
        <v>0</v>
      </c>
      <c r="Q75" s="16" t="s">
        <v>383</v>
      </c>
    </row>
    <row r="76" spans="1:17" ht="15.6" x14ac:dyDescent="0.3">
      <c r="A76" s="79" t="s">
        <v>198</v>
      </c>
      <c r="B76" s="74" t="s">
        <v>199</v>
      </c>
      <c r="C76" s="74">
        <v>30.31</v>
      </c>
      <c r="D76" s="86" t="s">
        <v>200</v>
      </c>
      <c r="E76" s="76">
        <v>4.0000000000000002E-4</v>
      </c>
      <c r="F76" s="74">
        <v>0.98</v>
      </c>
      <c r="G76" s="78">
        <v>236760000</v>
      </c>
      <c r="H76" s="3" t="b">
        <f t="shared" si="2"/>
        <v>0</v>
      </c>
      <c r="I76" s="26">
        <f>Table1356[[#This Row],[Tech]]*$T$7+Table1356[[#This Row],[Beta]]*($T$6-$T$8)+$T$8</f>
        <v>9.872800000000001E-2</v>
      </c>
      <c r="J76" s="64">
        <v>0</v>
      </c>
      <c r="K76" s="61">
        <f>Table1356[[#This Row],[Investment]]/Table1356[[#This Row],[Dollar Volume]]</f>
        <v>0</v>
      </c>
      <c r="L76" s="34">
        <f>IFERROR(MAX($T$11+$T$12*LN(Table1356[[#This Row],[Frac ADV]]),0),0)*0.0001+0.005/Table1356[[#This Row],[Stock Price]]+Table1356[[#This Row],[Expense Ratio]]</f>
        <v>5.6496205872649287E-4</v>
      </c>
      <c r="M76" s="68">
        <f>(Table1356[[#This Row],[Expected Return]]-Table1356[[#This Row],[Tcosts]])*Table1356[[#This Row],[Investment]]</f>
        <v>0</v>
      </c>
      <c r="Q76" s="13" t="s">
        <v>387</v>
      </c>
    </row>
    <row r="77" spans="1:17" ht="15.6" x14ac:dyDescent="0.3">
      <c r="A77" s="77" t="s">
        <v>95</v>
      </c>
      <c r="B77" s="73" t="s">
        <v>96</v>
      </c>
      <c r="C77" s="73">
        <v>729.64</v>
      </c>
      <c r="D77" s="85" t="s">
        <v>97</v>
      </c>
      <c r="E77" s="75">
        <v>8.9999999999999998E-4</v>
      </c>
      <c r="F77" s="73">
        <v>1.43</v>
      </c>
      <c r="G77" s="78">
        <v>236140000</v>
      </c>
      <c r="H77" s="3" t="b">
        <f t="shared" si="2"/>
        <v>1</v>
      </c>
      <c r="I77" s="26">
        <f>Table1356[[#This Row],[Tech]]*$T$7+Table1356[[#This Row],[Beta]]*($T$6-$T$8)+$T$8</f>
        <v>0.22734799999999999</v>
      </c>
      <c r="J77" s="64">
        <v>0</v>
      </c>
      <c r="K77" s="61">
        <f>Table1356[[#This Row],[Investment]]/Table1356[[#This Row],[Dollar Volume]]</f>
        <v>0</v>
      </c>
      <c r="L77" s="34">
        <f>IFERROR(MAX($T$11+$T$12*LN(Table1356[[#This Row],[Frac ADV]]),0),0)*0.0001+0.005/Table1356[[#This Row],[Stock Price]]+Table1356[[#This Row],[Expense Ratio]]</f>
        <v>9.0685269447946925E-4</v>
      </c>
      <c r="M77" s="68">
        <f>(Table1356[[#This Row],[Expected Return]]-Table1356[[#This Row],[Tcosts]])*Table1356[[#This Row],[Investment]]</f>
        <v>0</v>
      </c>
      <c r="Q77" s="16" t="s">
        <v>391</v>
      </c>
    </row>
    <row r="78" spans="1:17" ht="15.6" x14ac:dyDescent="0.3">
      <c r="A78" s="77" t="s">
        <v>308</v>
      </c>
      <c r="B78" s="73" t="s">
        <v>309</v>
      </c>
      <c r="C78" s="73">
        <v>129.4</v>
      </c>
      <c r="D78" s="85" t="s">
        <v>310</v>
      </c>
      <c r="E78" s="75">
        <v>5.9999999999999995E-4</v>
      </c>
      <c r="F78" s="73">
        <v>0.92</v>
      </c>
      <c r="G78" s="78">
        <v>220460000</v>
      </c>
      <c r="H78" s="3" t="b">
        <f t="shared" si="2"/>
        <v>0</v>
      </c>
      <c r="I78" s="26">
        <f>Table1356[[#This Row],[Tech]]*$T$7+Table1356[[#This Row],[Beta]]*($T$6-$T$8)+$T$8</f>
        <v>9.491200000000001E-2</v>
      </c>
      <c r="J78" s="64">
        <v>0</v>
      </c>
      <c r="K78" s="61">
        <f>Table1356[[#This Row],[Investment]]/Table1356[[#This Row],[Dollar Volume]]</f>
        <v>0</v>
      </c>
      <c r="L78" s="34">
        <f>IFERROR(MAX($T$11+$T$12*LN(Table1356[[#This Row],[Frac ADV]]),0),0)*0.0001+0.005/Table1356[[#This Row],[Stock Price]]+Table1356[[#This Row],[Expense Ratio]]</f>
        <v>6.3863987635239558E-4</v>
      </c>
      <c r="M78" s="68">
        <f>(Table1356[[#This Row],[Expected Return]]-Table1356[[#This Row],[Tcosts]])*Table1356[[#This Row],[Investment]]</f>
        <v>0</v>
      </c>
      <c r="Q78" s="13" t="s">
        <v>395</v>
      </c>
    </row>
    <row r="79" spans="1:17" ht="15.6" x14ac:dyDescent="0.3">
      <c r="A79" s="77" t="s">
        <v>412</v>
      </c>
      <c r="B79" s="73" t="s">
        <v>413</v>
      </c>
      <c r="C79" s="73">
        <v>200.74</v>
      </c>
      <c r="D79" s="85" t="s">
        <v>414</v>
      </c>
      <c r="E79" s="75">
        <v>1.5E-3</v>
      </c>
      <c r="F79" s="73">
        <v>0.92</v>
      </c>
      <c r="G79" s="78">
        <v>220290000</v>
      </c>
      <c r="H79" s="3" t="b">
        <f t="shared" si="2"/>
        <v>0</v>
      </c>
      <c r="I79" s="26">
        <f>Table1356[[#This Row],[Tech]]*$T$7+Table1356[[#This Row],[Beta]]*($T$6-$T$8)+$T$8</f>
        <v>9.491200000000001E-2</v>
      </c>
      <c r="J79" s="64">
        <v>0</v>
      </c>
      <c r="K79" s="61">
        <f>Table1356[[#This Row],[Investment]]/Table1356[[#This Row],[Dollar Volume]]</f>
        <v>0</v>
      </c>
      <c r="L79" s="34">
        <f>IFERROR(MAX($T$11+$T$12*LN(Table1356[[#This Row],[Frac ADV]]),0),0)*0.0001+0.005/Table1356[[#This Row],[Stock Price]]+Table1356[[#This Row],[Expense Ratio]]</f>
        <v>1.5249078409883432E-3</v>
      </c>
      <c r="M79" s="68">
        <f>(Table1356[[#This Row],[Expected Return]]-Table1356[[#This Row],[Tcosts]])*Table1356[[#This Row],[Investment]]</f>
        <v>0</v>
      </c>
      <c r="Q79" s="16" t="s">
        <v>399</v>
      </c>
    </row>
    <row r="80" spans="1:17" ht="15.6" x14ac:dyDescent="0.3">
      <c r="A80" s="79" t="s">
        <v>300</v>
      </c>
      <c r="B80" s="74" t="s">
        <v>301</v>
      </c>
      <c r="C80" s="74">
        <v>126.87</v>
      </c>
      <c r="D80" s="86" t="s">
        <v>302</v>
      </c>
      <c r="E80" s="76">
        <v>8.9999999999999998E-4</v>
      </c>
      <c r="F80" s="74">
        <v>0.97</v>
      </c>
      <c r="G80" s="78">
        <v>209970000</v>
      </c>
      <c r="H80" s="3" t="b">
        <f t="shared" si="2"/>
        <v>0</v>
      </c>
      <c r="I80" s="26">
        <f>Table1356[[#This Row],[Tech]]*$T$7+Table1356[[#This Row],[Beta]]*($T$6-$T$8)+$T$8</f>
        <v>9.8092000000000013E-2</v>
      </c>
      <c r="J80" s="64">
        <v>0</v>
      </c>
      <c r="K80" s="61">
        <f>Table1356[[#This Row],[Investment]]/Table1356[[#This Row],[Dollar Volume]]</f>
        <v>0</v>
      </c>
      <c r="L80" s="34">
        <f>IFERROR(MAX($T$11+$T$12*LN(Table1356[[#This Row],[Frac ADV]]),0),0)*0.0001+0.005/Table1356[[#This Row],[Stock Price]]+Table1356[[#This Row],[Expense Ratio]]</f>
        <v>9.3941042011507837E-4</v>
      </c>
      <c r="M80" s="68">
        <f>(Table1356[[#This Row],[Expected Return]]-Table1356[[#This Row],[Tcosts]])*Table1356[[#This Row],[Investment]]</f>
        <v>0</v>
      </c>
      <c r="Q80" s="13" t="s">
        <v>403</v>
      </c>
    </row>
    <row r="81" spans="1:17" ht="15.6" x14ac:dyDescent="0.3">
      <c r="A81" s="79" t="s">
        <v>444</v>
      </c>
      <c r="B81" s="74" t="s">
        <v>445</v>
      </c>
      <c r="C81" s="74">
        <v>494.67</v>
      </c>
      <c r="D81" s="86" t="s">
        <v>446</v>
      </c>
      <c r="E81" s="76">
        <v>1.6000000000000001E-3</v>
      </c>
      <c r="F81" s="74">
        <v>0.86</v>
      </c>
      <c r="G81" s="78">
        <v>199200000</v>
      </c>
      <c r="H81" s="3" t="b">
        <f t="shared" si="2"/>
        <v>0</v>
      </c>
      <c r="I81" s="26">
        <f>Table1356[[#This Row],[Tech]]*$T$7+Table1356[[#This Row],[Beta]]*($T$6-$T$8)+$T$8</f>
        <v>9.109600000000001E-2</v>
      </c>
      <c r="J81" s="64">
        <v>0</v>
      </c>
      <c r="K81" s="61">
        <f>Table1356[[#This Row],[Investment]]/Table1356[[#This Row],[Dollar Volume]]</f>
        <v>0</v>
      </c>
      <c r="L81" s="34">
        <f>IFERROR(MAX($T$11+$T$12*LN(Table1356[[#This Row],[Frac ADV]]),0),0)*0.0001+0.005/Table1356[[#This Row],[Stock Price]]+Table1356[[#This Row],[Expense Ratio]]</f>
        <v>1.6101077486000768E-3</v>
      </c>
      <c r="M81" s="68">
        <f>(Table1356[[#This Row],[Expected Return]]-Table1356[[#This Row],[Tcosts]])*Table1356[[#This Row],[Investment]]</f>
        <v>0</v>
      </c>
      <c r="Q81" s="16" t="s">
        <v>407</v>
      </c>
    </row>
    <row r="82" spans="1:17" ht="15.6" x14ac:dyDescent="0.3">
      <c r="A82" s="79" t="s">
        <v>218</v>
      </c>
      <c r="B82" s="74" t="s">
        <v>219</v>
      </c>
      <c r="C82" s="74">
        <v>118.54</v>
      </c>
      <c r="D82" s="86" t="s">
        <v>220</v>
      </c>
      <c r="E82" s="76">
        <v>8.9999999999999998E-4</v>
      </c>
      <c r="F82" s="74">
        <v>1.06</v>
      </c>
      <c r="G82" s="78">
        <v>195490000</v>
      </c>
      <c r="H82" s="3" t="b">
        <f t="shared" si="2"/>
        <v>0</v>
      </c>
      <c r="I82" s="26">
        <f>Table1356[[#This Row],[Tech]]*$T$7+Table1356[[#This Row],[Beta]]*($T$6-$T$8)+$T$8</f>
        <v>0.10381600000000001</v>
      </c>
      <c r="J82" s="64">
        <v>0</v>
      </c>
      <c r="K82" s="61">
        <f>Table1356[[#This Row],[Investment]]/Table1356[[#This Row],[Dollar Volume]]</f>
        <v>0</v>
      </c>
      <c r="L82" s="34">
        <f>IFERROR(MAX($T$11+$T$12*LN(Table1356[[#This Row],[Frac ADV]]),0),0)*0.0001+0.005/Table1356[[#This Row],[Stock Price]]+Table1356[[#This Row],[Expense Ratio]]</f>
        <v>9.4217985490129908E-4</v>
      </c>
      <c r="M82" s="68">
        <f>(Table1356[[#This Row],[Expected Return]]-Table1356[[#This Row],[Tcosts]])*Table1356[[#This Row],[Investment]]</f>
        <v>0</v>
      </c>
      <c r="Q82" s="13" t="s">
        <v>411</v>
      </c>
    </row>
    <row r="83" spans="1:17" ht="15.6" x14ac:dyDescent="0.3">
      <c r="A83" s="79" t="s">
        <v>492</v>
      </c>
      <c r="B83" s="74" t="s">
        <v>493</v>
      </c>
      <c r="C83" s="74">
        <v>197.17</v>
      </c>
      <c r="D83" s="86" t="s">
        <v>494</v>
      </c>
      <c r="E83" s="76">
        <v>2.3999999999999998E-3</v>
      </c>
      <c r="F83" s="74">
        <v>0.88</v>
      </c>
      <c r="G83" s="78">
        <v>192260000</v>
      </c>
      <c r="H83" s="3" t="b">
        <f t="shared" si="2"/>
        <v>0</v>
      </c>
      <c r="I83" s="26">
        <f>Table1356[[#This Row],[Tech]]*$T$7+Table1356[[#This Row],[Beta]]*($T$6-$T$8)+$T$8</f>
        <v>9.2368000000000006E-2</v>
      </c>
      <c r="J83" s="64">
        <v>0</v>
      </c>
      <c r="K83" s="61">
        <f>Table1356[[#This Row],[Investment]]/Table1356[[#This Row],[Dollar Volume]]</f>
        <v>0</v>
      </c>
      <c r="L83" s="34">
        <f>IFERROR(MAX($T$11+$T$12*LN(Table1356[[#This Row],[Frac ADV]]),0),0)*0.0001+0.005/Table1356[[#This Row],[Stock Price]]+Table1356[[#This Row],[Expense Ratio]]</f>
        <v>2.4253588274078205E-3</v>
      </c>
      <c r="M83" s="68">
        <f>(Table1356[[#This Row],[Expected Return]]-Table1356[[#This Row],[Tcosts]])*Table1356[[#This Row],[Investment]]</f>
        <v>0</v>
      </c>
      <c r="Q83" s="16" t="s">
        <v>415</v>
      </c>
    </row>
    <row r="84" spans="1:17" ht="15.6" x14ac:dyDescent="0.3">
      <c r="A84" s="79" t="s">
        <v>364</v>
      </c>
      <c r="B84" s="74" t="s">
        <v>365</v>
      </c>
      <c r="C84" s="74">
        <v>270</v>
      </c>
      <c r="D84" s="86" t="s">
        <v>366</v>
      </c>
      <c r="E84" s="76">
        <v>5.0000000000000001E-4</v>
      </c>
      <c r="F84" s="74">
        <v>1.03</v>
      </c>
      <c r="G84" s="78">
        <v>181700000</v>
      </c>
      <c r="H84" s="3" t="b">
        <f t="shared" si="2"/>
        <v>0</v>
      </c>
      <c r="I84" s="26">
        <f>Table1356[[#This Row],[Tech]]*$T$7+Table1356[[#This Row],[Beta]]*($T$6-$T$8)+$T$8</f>
        <v>0.10190800000000001</v>
      </c>
      <c r="J84" s="64">
        <v>0</v>
      </c>
      <c r="K84" s="61">
        <f>Table1356[[#This Row],[Investment]]/Table1356[[#This Row],[Dollar Volume]]</f>
        <v>0</v>
      </c>
      <c r="L84" s="34">
        <f>IFERROR(MAX($T$11+$T$12*LN(Table1356[[#This Row],[Frac ADV]]),0),0)*0.0001+0.005/Table1356[[#This Row],[Stock Price]]+Table1356[[#This Row],[Expense Ratio]]</f>
        <v>5.1851851851851853E-4</v>
      </c>
      <c r="M84" s="68">
        <f>(Table1356[[#This Row],[Expected Return]]-Table1356[[#This Row],[Tcosts]])*Table1356[[#This Row],[Investment]]</f>
        <v>0</v>
      </c>
      <c r="Q84" s="13" t="s">
        <v>419</v>
      </c>
    </row>
    <row r="85" spans="1:17" ht="15.6" x14ac:dyDescent="0.3">
      <c r="A85" s="77" t="s">
        <v>293</v>
      </c>
      <c r="B85" s="73" t="s">
        <v>294</v>
      </c>
      <c r="C85" s="73">
        <v>106.19</v>
      </c>
      <c r="D85" s="85" t="s">
        <v>295</v>
      </c>
      <c r="E85" s="75">
        <v>4.0000000000000002E-4</v>
      </c>
      <c r="F85" s="73">
        <v>0.77</v>
      </c>
      <c r="G85" s="78">
        <v>166560000</v>
      </c>
      <c r="H85" s="3" t="b">
        <f t="shared" si="2"/>
        <v>0</v>
      </c>
      <c r="I85" s="26">
        <f>Table1356[[#This Row],[Tech]]*$T$7+Table1356[[#This Row],[Beta]]*($T$6-$T$8)+$T$8</f>
        <v>8.5372000000000003E-2</v>
      </c>
      <c r="J85" s="64">
        <v>0</v>
      </c>
      <c r="K85" s="61">
        <f>Table1356[[#This Row],[Investment]]/Table1356[[#This Row],[Dollar Volume]]</f>
        <v>0</v>
      </c>
      <c r="L85" s="34">
        <f>IFERROR(MAX($T$11+$T$12*LN(Table1356[[#This Row],[Frac ADV]]),0),0)*0.0001+0.005/Table1356[[#This Row],[Stock Price]]+Table1356[[#This Row],[Expense Ratio]]</f>
        <v>4.4708541293907151E-4</v>
      </c>
      <c r="M85" s="68">
        <f>(Table1356[[#This Row],[Expected Return]]-Table1356[[#This Row],[Tcosts]])*Table1356[[#This Row],[Investment]]</f>
        <v>0</v>
      </c>
      <c r="Q85" s="16" t="s">
        <v>423</v>
      </c>
    </row>
    <row r="86" spans="1:17" ht="15.6" x14ac:dyDescent="0.3">
      <c r="A86" s="77" t="s">
        <v>332</v>
      </c>
      <c r="B86" s="73" t="s">
        <v>333</v>
      </c>
      <c r="C86" s="73">
        <v>104.9</v>
      </c>
      <c r="D86" s="85" t="s">
        <v>334</v>
      </c>
      <c r="E86" s="75">
        <v>5.9999999999999995E-4</v>
      </c>
      <c r="F86" s="73">
        <v>0.99</v>
      </c>
      <c r="G86" s="78">
        <v>160270000</v>
      </c>
      <c r="H86" s="3" t="b">
        <f t="shared" si="2"/>
        <v>0</v>
      </c>
      <c r="I86" s="26">
        <f>Table1356[[#This Row],[Tech]]*$T$7+Table1356[[#This Row],[Beta]]*($T$6-$T$8)+$T$8</f>
        <v>9.9364000000000008E-2</v>
      </c>
      <c r="J86" s="64">
        <v>0</v>
      </c>
      <c r="K86" s="61">
        <f>Table1356[[#This Row],[Investment]]/Table1356[[#This Row],[Dollar Volume]]</f>
        <v>0</v>
      </c>
      <c r="L86" s="34">
        <f>IFERROR(MAX($T$11+$T$12*LN(Table1356[[#This Row],[Frac ADV]]),0),0)*0.0001+0.005/Table1356[[#This Row],[Stock Price]]+Table1356[[#This Row],[Expense Ratio]]</f>
        <v>6.4766444232602471E-4</v>
      </c>
      <c r="M86" s="68">
        <f>(Table1356[[#This Row],[Expected Return]]-Table1356[[#This Row],[Tcosts]])*Table1356[[#This Row],[Investment]]</f>
        <v>0</v>
      </c>
      <c r="Q86" s="13" t="s">
        <v>427</v>
      </c>
    </row>
    <row r="87" spans="1:17" ht="15.6" x14ac:dyDescent="0.3">
      <c r="A87" s="79" t="s">
        <v>336</v>
      </c>
      <c r="B87" s="74" t="s">
        <v>337</v>
      </c>
      <c r="C87" s="74">
        <v>148.97999999999999</v>
      </c>
      <c r="D87" s="86" t="s">
        <v>338</v>
      </c>
      <c r="E87" s="76">
        <v>2.9999999999999997E-4</v>
      </c>
      <c r="F87" s="74">
        <v>1</v>
      </c>
      <c r="G87" s="78">
        <v>159840000</v>
      </c>
      <c r="H87" s="3" t="b">
        <f t="shared" si="2"/>
        <v>0</v>
      </c>
      <c r="I87" s="26">
        <f>Table1356[[#This Row],[Tech]]*$T$7+Table1356[[#This Row],[Beta]]*($T$6-$T$8)+$T$8</f>
        <v>0.1</v>
      </c>
      <c r="J87" s="64">
        <v>0</v>
      </c>
      <c r="K87" s="61">
        <f>Table1356[[#This Row],[Investment]]/Table1356[[#This Row],[Dollar Volume]]</f>
        <v>0</v>
      </c>
      <c r="L87" s="34">
        <f>IFERROR(MAX($T$11+$T$12*LN(Table1356[[#This Row],[Frac ADV]]),0),0)*0.0001+0.005/Table1356[[#This Row],[Stock Price]]+Table1356[[#This Row],[Expense Ratio]]</f>
        <v>3.3356155188615918E-4</v>
      </c>
      <c r="M87" s="68">
        <f>(Table1356[[#This Row],[Expected Return]]-Table1356[[#This Row],[Tcosts]])*Table1356[[#This Row],[Investment]]</f>
        <v>0</v>
      </c>
      <c r="Q87" s="16" t="s">
        <v>431</v>
      </c>
    </row>
    <row r="88" spans="1:17" ht="15.6" x14ac:dyDescent="0.3">
      <c r="A88" s="77" t="s">
        <v>344</v>
      </c>
      <c r="B88" s="73" t="s">
        <v>345</v>
      </c>
      <c r="C88" s="73">
        <v>104.53</v>
      </c>
      <c r="D88" s="85" t="s">
        <v>346</v>
      </c>
      <c r="E88" s="75">
        <v>4.7000000000000002E-3</v>
      </c>
      <c r="F88" s="73">
        <v>0.92</v>
      </c>
      <c r="G88" s="78">
        <v>131540000</v>
      </c>
      <c r="H88" s="3" t="b">
        <f t="shared" si="2"/>
        <v>0</v>
      </c>
      <c r="I88" s="26">
        <f>Table1356[[#This Row],[Tech]]*$T$7+Table1356[[#This Row],[Beta]]*($T$6-$T$8)+$T$8</f>
        <v>9.491200000000001E-2</v>
      </c>
      <c r="J88" s="64">
        <v>0</v>
      </c>
      <c r="K88" s="61">
        <f>Table1356[[#This Row],[Investment]]/Table1356[[#This Row],[Dollar Volume]]</f>
        <v>0</v>
      </c>
      <c r="L88" s="34">
        <f>IFERROR(MAX($T$11+$T$12*LN(Table1356[[#This Row],[Frac ADV]]),0),0)*0.0001+0.005/Table1356[[#This Row],[Stock Price]]+Table1356[[#This Row],[Expense Ratio]]</f>
        <v>4.7478331579450875E-3</v>
      </c>
      <c r="M88" s="68">
        <f>(Table1356[[#This Row],[Expected Return]]-Table1356[[#This Row],[Tcosts]])*Table1356[[#This Row],[Investment]]</f>
        <v>0</v>
      </c>
      <c r="Q88" s="13" t="s">
        <v>435</v>
      </c>
    </row>
    <row r="89" spans="1:17" ht="15.6" x14ac:dyDescent="0.3">
      <c r="A89" s="77" t="s">
        <v>312</v>
      </c>
      <c r="B89" s="73" t="s">
        <v>313</v>
      </c>
      <c r="C89" s="73">
        <v>113.39</v>
      </c>
      <c r="D89" s="85" t="s">
        <v>314</v>
      </c>
      <c r="E89" s="75">
        <v>2.5000000000000001E-3</v>
      </c>
      <c r="F89" s="73">
        <v>0.95</v>
      </c>
      <c r="G89" s="78">
        <v>123340000</v>
      </c>
      <c r="H89" s="3" t="b">
        <f t="shared" si="2"/>
        <v>0</v>
      </c>
      <c r="I89" s="26">
        <f>Table1356[[#This Row],[Tech]]*$T$7+Table1356[[#This Row],[Beta]]*($T$6-$T$8)+$T$8</f>
        <v>9.6820000000000003E-2</v>
      </c>
      <c r="J89" s="64">
        <v>0</v>
      </c>
      <c r="K89" s="61">
        <f>Table1356[[#This Row],[Investment]]/Table1356[[#This Row],[Dollar Volume]]</f>
        <v>0</v>
      </c>
      <c r="L89" s="34">
        <f>IFERROR(MAX($T$11+$T$12*LN(Table1356[[#This Row],[Frac ADV]]),0),0)*0.0001+0.005/Table1356[[#This Row],[Stock Price]]+Table1356[[#This Row],[Expense Ratio]]</f>
        <v>2.544095599259194E-3</v>
      </c>
      <c r="M89" s="68">
        <f>(Table1356[[#This Row],[Expected Return]]-Table1356[[#This Row],[Tcosts]])*Table1356[[#This Row],[Investment]]</f>
        <v>0</v>
      </c>
      <c r="Q89" s="16" t="s">
        <v>439</v>
      </c>
    </row>
    <row r="90" spans="1:17" ht="15.6" x14ac:dyDescent="0.3">
      <c r="A90" s="77" t="s">
        <v>595</v>
      </c>
      <c r="B90" s="73" t="s">
        <v>596</v>
      </c>
      <c r="C90" s="73">
        <v>107.32</v>
      </c>
      <c r="D90" s="85" t="s">
        <v>597</v>
      </c>
      <c r="E90" s="75">
        <v>3.5999999999999999E-3</v>
      </c>
      <c r="F90" s="73">
        <v>0.74</v>
      </c>
      <c r="G90" s="78">
        <v>121420000</v>
      </c>
      <c r="H90" s="3" t="b">
        <f t="shared" si="2"/>
        <v>0</v>
      </c>
      <c r="I90" s="26">
        <f>Table1356[[#This Row],[Tech]]*$T$7+Table1356[[#This Row],[Beta]]*($T$6-$T$8)+$T$8</f>
        <v>8.346400000000001E-2</v>
      </c>
      <c r="J90" s="64">
        <v>0</v>
      </c>
      <c r="K90" s="61">
        <f>Table1356[[#This Row],[Investment]]/Table1356[[#This Row],[Dollar Volume]]</f>
        <v>0</v>
      </c>
      <c r="L90" s="34">
        <f>IFERROR(MAX($T$11+$T$12*LN(Table1356[[#This Row],[Frac ADV]]),0),0)*0.0001+0.005/Table1356[[#This Row],[Stock Price]]+Table1356[[#This Row],[Expense Ratio]]</f>
        <v>3.6465896384644055E-3</v>
      </c>
      <c r="M90" s="68">
        <f>(Table1356[[#This Row],[Expected Return]]-Table1356[[#This Row],[Tcosts]])*Table1356[[#This Row],[Investment]]</f>
        <v>0</v>
      </c>
      <c r="Q90" s="13" t="s">
        <v>443</v>
      </c>
    </row>
    <row r="91" spans="1:17" ht="15.6" x14ac:dyDescent="0.3">
      <c r="A91" s="77" t="s">
        <v>320</v>
      </c>
      <c r="B91" s="73" t="s">
        <v>321</v>
      </c>
      <c r="C91" s="73">
        <v>387.63</v>
      </c>
      <c r="D91" s="85" t="s">
        <v>322</v>
      </c>
      <c r="E91" s="75">
        <v>2E-3</v>
      </c>
      <c r="F91" s="73">
        <v>0.99</v>
      </c>
      <c r="G91" s="78">
        <v>106960000</v>
      </c>
      <c r="H91" s="3" t="b">
        <f t="shared" si="2"/>
        <v>0</v>
      </c>
      <c r="I91" s="26">
        <f>Table1356[[#This Row],[Tech]]*$T$7+Table1356[[#This Row],[Beta]]*($T$6-$T$8)+$T$8</f>
        <v>9.9364000000000008E-2</v>
      </c>
      <c r="J91" s="64">
        <v>0</v>
      </c>
      <c r="K91" s="61">
        <f>Table1356[[#This Row],[Investment]]/Table1356[[#This Row],[Dollar Volume]]</f>
        <v>0</v>
      </c>
      <c r="L91" s="34">
        <f>IFERROR(MAX($T$11+$T$12*LN(Table1356[[#This Row],[Frac ADV]]),0),0)*0.0001+0.005/Table1356[[#This Row],[Stock Price]]+Table1356[[#This Row],[Expense Ratio]]</f>
        <v>2.0128988984340736E-3</v>
      </c>
      <c r="M91" s="68">
        <f>(Table1356[[#This Row],[Expected Return]]-Table1356[[#This Row],[Tcosts]])*Table1356[[#This Row],[Investment]]</f>
        <v>0</v>
      </c>
      <c r="Q91" s="16" t="s">
        <v>447</v>
      </c>
    </row>
    <row r="92" spans="1:17" ht="15.6" x14ac:dyDescent="0.3">
      <c r="A92" s="79" t="s">
        <v>400</v>
      </c>
      <c r="B92" s="74" t="s">
        <v>401</v>
      </c>
      <c r="C92" s="74">
        <v>298.35000000000002</v>
      </c>
      <c r="D92" s="86" t="s">
        <v>402</v>
      </c>
      <c r="E92" s="76">
        <v>2.9999999999999997E-4</v>
      </c>
      <c r="F92" s="74">
        <v>0.83</v>
      </c>
      <c r="G92" s="78">
        <v>171250000</v>
      </c>
      <c r="H92" s="3" t="b">
        <f t="shared" si="2"/>
        <v>0</v>
      </c>
      <c r="I92" s="26">
        <f>Table1356[[#This Row],[Tech]]*$T$7+Table1356[[#This Row],[Beta]]*($T$6-$T$8)+$T$8</f>
        <v>8.9188000000000003E-2</v>
      </c>
      <c r="J92" s="64">
        <v>0</v>
      </c>
      <c r="K92" s="61">
        <f>Table1356[[#This Row],[Investment]]/Table1356[[#This Row],[Dollar Volume]]</f>
        <v>0</v>
      </c>
      <c r="L92" s="34">
        <f>IFERROR(MAX($T$11+$T$12*LN(Table1356[[#This Row],[Frac ADV]]),0),0)*0.0001+0.005/Table1356[[#This Row],[Stock Price]]+Table1356[[#This Row],[Expense Ratio]]</f>
        <v>3.16758840288252E-4</v>
      </c>
      <c r="M92" s="68">
        <f>(Table1356[[#This Row],[Expected Return]]-Table1356[[#This Row],[Tcosts]])*Table1356[[#This Row],[Investment]]</f>
        <v>0</v>
      </c>
      <c r="Q92" s="13" t="s">
        <v>451</v>
      </c>
    </row>
    <row r="93" spans="1:17" ht="15.6" x14ac:dyDescent="0.3">
      <c r="A93" s="77" t="s">
        <v>396</v>
      </c>
      <c r="B93" s="73" t="s">
        <v>397</v>
      </c>
      <c r="C93" s="73">
        <v>172.75</v>
      </c>
      <c r="D93" s="85" t="s">
        <v>398</v>
      </c>
      <c r="E93" s="75">
        <v>8.0000000000000004E-4</v>
      </c>
      <c r="F93" s="73">
        <v>0.92</v>
      </c>
      <c r="G93" s="78">
        <v>2910000000</v>
      </c>
      <c r="H93" s="3" t="b">
        <f t="shared" si="2"/>
        <v>0</v>
      </c>
      <c r="I93" s="26">
        <f>Table1356[[#This Row],[Tech]]*$T$7+Table1356[[#This Row],[Beta]]*($T$6-$T$8)+$T$8</f>
        <v>9.491200000000001E-2</v>
      </c>
      <c r="J93" s="64">
        <v>0</v>
      </c>
      <c r="K93" s="61">
        <f>Table1356[[#This Row],[Investment]]/Table1356[[#This Row],[Dollar Volume]]</f>
        <v>0</v>
      </c>
      <c r="L93" s="34">
        <f>IFERROR(MAX($T$11+$T$12*LN(Table1356[[#This Row],[Frac ADV]]),0),0)*0.0001+0.005/Table1356[[#This Row],[Stock Price]]+Table1356[[#This Row],[Expense Ratio]]</f>
        <v>8.2894356005788717E-4</v>
      </c>
      <c r="M93" s="68">
        <f>(Table1356[[#This Row],[Expected Return]]-Table1356[[#This Row],[Tcosts]])*Table1356[[#This Row],[Investment]]</f>
        <v>0</v>
      </c>
      <c r="Q93" s="16" t="s">
        <v>455</v>
      </c>
    </row>
    <row r="94" spans="1:17" ht="15.6" x14ac:dyDescent="0.3">
      <c r="A94" s="79" t="s">
        <v>432</v>
      </c>
      <c r="B94" s="74" t="s">
        <v>433</v>
      </c>
      <c r="C94" s="74">
        <v>145.96</v>
      </c>
      <c r="D94" s="86" t="s">
        <v>434</v>
      </c>
      <c r="E94" s="76">
        <v>5.9999999999999995E-4</v>
      </c>
      <c r="F94" s="74">
        <v>0.89</v>
      </c>
      <c r="G94" s="78">
        <v>173490000</v>
      </c>
      <c r="H94" s="3" t="b">
        <f t="shared" si="2"/>
        <v>0</v>
      </c>
      <c r="I94" s="26">
        <f>Table1356[[#This Row],[Tech]]*$T$7+Table1356[[#This Row],[Beta]]*($T$6-$T$8)+$T$8</f>
        <v>9.3004000000000003E-2</v>
      </c>
      <c r="J94" s="64">
        <v>0</v>
      </c>
      <c r="K94" s="61">
        <f>Table1356[[#This Row],[Investment]]/Table1356[[#This Row],[Dollar Volume]]</f>
        <v>0</v>
      </c>
      <c r="L94" s="34">
        <f>IFERROR(MAX($T$11+$T$12*LN(Table1356[[#This Row],[Frac ADV]]),0),0)*0.0001+0.005/Table1356[[#This Row],[Stock Price]]+Table1356[[#This Row],[Expense Ratio]]</f>
        <v>6.3425596053713336E-4</v>
      </c>
      <c r="M94" s="68">
        <f>(Table1356[[#This Row],[Expected Return]]-Table1356[[#This Row],[Tcosts]])*Table1356[[#This Row],[Investment]]</f>
        <v>0</v>
      </c>
      <c r="Q94" s="13" t="s">
        <v>459</v>
      </c>
    </row>
    <row r="95" spans="1:17" ht="15.6" x14ac:dyDescent="0.3">
      <c r="A95" s="79" t="s">
        <v>606</v>
      </c>
      <c r="B95" s="74" t="s">
        <v>607</v>
      </c>
      <c r="C95" s="74">
        <v>37.71</v>
      </c>
      <c r="D95" s="86" t="s">
        <v>608</v>
      </c>
      <c r="E95" s="76">
        <v>2.3E-3</v>
      </c>
      <c r="F95" s="74">
        <v>0.65</v>
      </c>
      <c r="G95" s="78">
        <v>85390000</v>
      </c>
      <c r="H95" s="3" t="b">
        <f t="shared" si="2"/>
        <v>0</v>
      </c>
      <c r="I95" s="26">
        <f>Table1356[[#This Row],[Tech]]*$T$7+Table1356[[#This Row],[Beta]]*($T$6-$T$8)+$T$8</f>
        <v>7.7740000000000004E-2</v>
      </c>
      <c r="J95" s="64">
        <v>0</v>
      </c>
      <c r="K95" s="61">
        <f>Table1356[[#This Row],[Investment]]/Table1356[[#This Row],[Dollar Volume]]</f>
        <v>0</v>
      </c>
      <c r="L95" s="34">
        <f>IFERROR(MAX($T$11+$T$12*LN(Table1356[[#This Row],[Frac ADV]]),0),0)*0.0001+0.005/Table1356[[#This Row],[Stock Price]]+Table1356[[#This Row],[Expense Ratio]]</f>
        <v>2.4325908247149297E-3</v>
      </c>
      <c r="M95" s="68">
        <f>(Table1356[[#This Row],[Expected Return]]-Table1356[[#This Row],[Tcosts]])*Table1356[[#This Row],[Investment]]</f>
        <v>0</v>
      </c>
      <c r="Q95" s="16" t="s">
        <v>463</v>
      </c>
    </row>
    <row r="96" spans="1:17" ht="15.6" x14ac:dyDescent="0.3">
      <c r="A96" s="79" t="s">
        <v>436</v>
      </c>
      <c r="B96" s="74" t="s">
        <v>437</v>
      </c>
      <c r="C96" s="74">
        <v>218.98</v>
      </c>
      <c r="D96" s="86" t="s">
        <v>438</v>
      </c>
      <c r="E96" s="76">
        <v>1.8E-3</v>
      </c>
      <c r="F96" s="74">
        <v>0.77</v>
      </c>
      <c r="G96" s="78">
        <v>1530000000</v>
      </c>
      <c r="H96" s="3" t="b">
        <f t="shared" si="2"/>
        <v>0</v>
      </c>
      <c r="I96" s="26">
        <f>Table1356[[#This Row],[Tech]]*$T$7+Table1356[[#This Row],[Beta]]*($T$6-$T$8)+$T$8</f>
        <v>8.5372000000000003E-2</v>
      </c>
      <c r="J96" s="64">
        <v>0</v>
      </c>
      <c r="K96" s="61">
        <f>Table1356[[#This Row],[Investment]]/Table1356[[#This Row],[Dollar Volume]]</f>
        <v>0</v>
      </c>
      <c r="L96" s="34">
        <f>IFERROR(MAX($T$11+$T$12*LN(Table1356[[#This Row],[Frac ADV]]),0),0)*0.0001+0.005/Table1356[[#This Row],[Stock Price]]+Table1356[[#This Row],[Expense Ratio]]</f>
        <v>1.8228331354461593E-3</v>
      </c>
      <c r="M96" s="68">
        <f>(Table1356[[#This Row],[Expected Return]]-Table1356[[#This Row],[Tcosts]])*Table1356[[#This Row],[Investment]]</f>
        <v>0</v>
      </c>
      <c r="Q96" s="13" t="s">
        <v>467</v>
      </c>
    </row>
    <row r="97" spans="1:17" ht="15.6" x14ac:dyDescent="0.3">
      <c r="A97" s="79" t="s">
        <v>452</v>
      </c>
      <c r="B97" s="74" t="s">
        <v>453</v>
      </c>
      <c r="C97" s="74">
        <v>130.80000000000001</v>
      </c>
      <c r="D97" s="86" t="s">
        <v>454</v>
      </c>
      <c r="E97" s="76">
        <v>5.8999999999999999E-3</v>
      </c>
      <c r="F97" s="74">
        <v>0.9</v>
      </c>
      <c r="G97" s="78">
        <v>334300000</v>
      </c>
      <c r="H97" s="3" t="b">
        <f t="shared" si="2"/>
        <v>0</v>
      </c>
      <c r="I97" s="26">
        <f>Table1356[[#This Row],[Tech]]*$T$7+Table1356[[#This Row],[Beta]]*($T$6-$T$8)+$T$8</f>
        <v>9.3640000000000001E-2</v>
      </c>
      <c r="J97" s="64">
        <v>0</v>
      </c>
      <c r="K97" s="61">
        <f>Table1356[[#This Row],[Investment]]/Table1356[[#This Row],[Dollar Volume]]</f>
        <v>0</v>
      </c>
      <c r="L97" s="34">
        <f>IFERROR(MAX($T$11+$T$12*LN(Table1356[[#This Row],[Frac ADV]]),0),0)*0.0001+0.005/Table1356[[#This Row],[Stock Price]]+Table1356[[#This Row],[Expense Ratio]]</f>
        <v>5.9382262996941892E-3</v>
      </c>
      <c r="M97" s="68">
        <f>(Table1356[[#This Row],[Expected Return]]-Table1356[[#This Row],[Tcosts]])*Table1356[[#This Row],[Investment]]</f>
        <v>0</v>
      </c>
      <c r="Q97" s="16" t="s">
        <v>471</v>
      </c>
    </row>
    <row r="98" spans="1:17" ht="15.6" x14ac:dyDescent="0.3">
      <c r="A98" s="77" t="s">
        <v>468</v>
      </c>
      <c r="B98" s="73" t="s">
        <v>469</v>
      </c>
      <c r="C98" s="73">
        <v>104.15</v>
      </c>
      <c r="D98" s="85" t="s">
        <v>470</v>
      </c>
      <c r="E98" s="75">
        <v>3.2000000000000002E-3</v>
      </c>
      <c r="F98" s="73">
        <v>0.73</v>
      </c>
      <c r="G98" s="78">
        <v>929280000</v>
      </c>
      <c r="H98" s="3" t="b">
        <f t="shared" ref="H98:H129" si="3">OR(
  ISNUMBER(SEARCH("technology",B98)),
  ISNUMBER(SEARCH("tech",B98)),
  ISNUMBER(SEARCH("qqq",B98)),
  ISNUMBER(SEARCH("semiconductor",B98)),
  ISNUMBER(SEARCH("information technology",B98)),
  ISNUMBER(SEARCH("nasdaq",B98)),
  ISNUMBER(SEARCH("communication",B98))
)</f>
        <v>0</v>
      </c>
      <c r="I98" s="26">
        <f>Table1356[[#This Row],[Tech]]*$T$7+Table1356[[#This Row],[Beta]]*($T$6-$T$8)+$T$8</f>
        <v>8.2828000000000013E-2</v>
      </c>
      <c r="J98" s="64">
        <v>0</v>
      </c>
      <c r="K98" s="61">
        <f>Table1356[[#This Row],[Investment]]/Table1356[[#This Row],[Dollar Volume]]</f>
        <v>0</v>
      </c>
      <c r="L98" s="34">
        <f>IFERROR(MAX($T$11+$T$12*LN(Table1356[[#This Row],[Frac ADV]]),0),0)*0.0001+0.005/Table1356[[#This Row],[Stock Price]]+Table1356[[#This Row],[Expense Ratio]]</f>
        <v>3.2480076812289966E-3</v>
      </c>
      <c r="M98" s="68">
        <f>(Table1356[[#This Row],[Expected Return]]-Table1356[[#This Row],[Tcosts]])*Table1356[[#This Row],[Investment]]</f>
        <v>0</v>
      </c>
      <c r="Q98" s="13" t="s">
        <v>475</v>
      </c>
    </row>
    <row r="99" spans="1:17" ht="15.6" x14ac:dyDescent="0.3">
      <c r="A99" s="79" t="s">
        <v>515</v>
      </c>
      <c r="B99" s="74" t="s">
        <v>516</v>
      </c>
      <c r="C99" s="74">
        <v>28.79</v>
      </c>
      <c r="D99" s="86" t="s">
        <v>517</v>
      </c>
      <c r="E99" s="76">
        <v>2.5000000000000001E-3</v>
      </c>
      <c r="F99" s="74">
        <v>0.82</v>
      </c>
      <c r="G99" s="78">
        <v>106450000</v>
      </c>
      <c r="H99" s="3" t="b">
        <f t="shared" si="3"/>
        <v>0</v>
      </c>
      <c r="I99" s="26">
        <f>Table1356[[#This Row],[Tech]]*$T$7+Table1356[[#This Row],[Beta]]*($T$6-$T$8)+$T$8</f>
        <v>8.8551999999999992E-2</v>
      </c>
      <c r="J99" s="64">
        <v>0</v>
      </c>
      <c r="K99" s="61">
        <f>Table1356[[#This Row],[Investment]]/Table1356[[#This Row],[Dollar Volume]]</f>
        <v>0</v>
      </c>
      <c r="L99" s="34">
        <f>IFERROR(MAX($T$11+$T$12*LN(Table1356[[#This Row],[Frac ADV]]),0),0)*0.0001+0.005/Table1356[[#This Row],[Stock Price]]+Table1356[[#This Row],[Expense Ratio]]</f>
        <v>2.6736714136853077E-3</v>
      </c>
      <c r="M99" s="68">
        <f>(Table1356[[#This Row],[Expected Return]]-Table1356[[#This Row],[Tcosts]])*Table1356[[#This Row],[Investment]]</f>
        <v>0</v>
      </c>
      <c r="Q99" s="16" t="s">
        <v>479</v>
      </c>
    </row>
    <row r="100" spans="1:17" ht="15.6" x14ac:dyDescent="0.3">
      <c r="A100" s="79" t="s">
        <v>523</v>
      </c>
      <c r="B100" s="74" t="s">
        <v>524</v>
      </c>
      <c r="C100" s="74">
        <v>58.66</v>
      </c>
      <c r="D100" s="86" t="s">
        <v>525</v>
      </c>
      <c r="E100" s="76">
        <v>4.0000000000000002E-4</v>
      </c>
      <c r="F100" s="74">
        <v>0.77</v>
      </c>
      <c r="G100" s="78">
        <v>458210000</v>
      </c>
      <c r="H100" s="3" t="b">
        <f t="shared" si="3"/>
        <v>0</v>
      </c>
      <c r="I100" s="26">
        <f>Table1356[[#This Row],[Tech]]*$T$7+Table1356[[#This Row],[Beta]]*($T$6-$T$8)+$T$8</f>
        <v>8.5372000000000003E-2</v>
      </c>
      <c r="J100" s="64">
        <v>0</v>
      </c>
      <c r="K100" s="61">
        <f>Table1356[[#This Row],[Investment]]/Table1356[[#This Row],[Dollar Volume]]</f>
        <v>0</v>
      </c>
      <c r="L100" s="34">
        <f>IFERROR(MAX($T$11+$T$12*LN(Table1356[[#This Row],[Frac ADV]]),0),0)*0.0001+0.005/Table1356[[#This Row],[Stock Price]]+Table1356[[#This Row],[Expense Ratio]]</f>
        <v>4.8523695874531198E-4</v>
      </c>
      <c r="M100" s="68">
        <f>(Table1356[[#This Row],[Expected Return]]-Table1356[[#This Row],[Tcosts]])*Table1356[[#This Row],[Investment]]</f>
        <v>0</v>
      </c>
      <c r="Q100" s="13" t="s">
        <v>483</v>
      </c>
    </row>
    <row r="101" spans="1:17" ht="15.6" x14ac:dyDescent="0.3">
      <c r="A101" s="77" t="s">
        <v>602</v>
      </c>
      <c r="B101" s="73" t="s">
        <v>603</v>
      </c>
      <c r="C101" s="73">
        <v>102.87</v>
      </c>
      <c r="D101" s="85" t="s">
        <v>604</v>
      </c>
      <c r="E101" s="75">
        <v>2E-3</v>
      </c>
      <c r="F101" s="73">
        <v>0.72</v>
      </c>
      <c r="G101" s="78">
        <v>754920000</v>
      </c>
      <c r="H101" s="3" t="b">
        <f t="shared" si="3"/>
        <v>0</v>
      </c>
      <c r="I101" s="26">
        <f>Table1356[[#This Row],[Tech]]*$T$7+Table1356[[#This Row],[Beta]]*($T$6-$T$8)+$T$8</f>
        <v>8.2192000000000001E-2</v>
      </c>
      <c r="J101" s="64">
        <v>0</v>
      </c>
      <c r="K101" s="61">
        <f>Table1356[[#This Row],[Investment]]/Table1356[[#This Row],[Dollar Volume]]</f>
        <v>0</v>
      </c>
      <c r="L101" s="34">
        <f>IFERROR(MAX($T$11+$T$12*LN(Table1356[[#This Row],[Frac ADV]]),0),0)*0.0001+0.005/Table1356[[#This Row],[Stock Price]]+Table1356[[#This Row],[Expense Ratio]]</f>
        <v>2.048605035481676E-3</v>
      </c>
      <c r="M101" s="68">
        <f>(Table1356[[#This Row],[Expected Return]]-Table1356[[#This Row],[Tcosts]])*Table1356[[#This Row],[Investment]]</f>
        <v>0</v>
      </c>
      <c r="Q101" s="16" t="s">
        <v>487</v>
      </c>
    </row>
    <row r="102" spans="1:17" ht="15.6" x14ac:dyDescent="0.3">
      <c r="A102" s="77" t="s">
        <v>368</v>
      </c>
      <c r="B102" s="73" t="s">
        <v>369</v>
      </c>
      <c r="C102" s="73">
        <v>90.28</v>
      </c>
      <c r="D102" s="85" t="s">
        <v>370</v>
      </c>
      <c r="E102" s="75">
        <v>2.3E-3</v>
      </c>
      <c r="F102" s="73">
        <v>0.68</v>
      </c>
      <c r="G102" s="78">
        <v>127800000</v>
      </c>
      <c r="H102" s="3" t="b">
        <f t="shared" si="3"/>
        <v>0</v>
      </c>
      <c r="I102" s="26">
        <f>Table1356[[#This Row],[Tech]]*$T$7+Table1356[[#This Row],[Beta]]*($T$6-$T$8)+$T$8</f>
        <v>7.964800000000001E-2</v>
      </c>
      <c r="J102" s="64">
        <v>0</v>
      </c>
      <c r="K102" s="61">
        <f>Table1356[[#This Row],[Investment]]/Table1356[[#This Row],[Dollar Volume]]</f>
        <v>0</v>
      </c>
      <c r="L102" s="34">
        <f>IFERROR(MAX($T$11+$T$12*LN(Table1356[[#This Row],[Frac ADV]]),0),0)*0.0001+0.005/Table1356[[#This Row],[Stock Price]]+Table1356[[#This Row],[Expense Ratio]]</f>
        <v>2.3553832521045637E-3</v>
      </c>
      <c r="M102" s="68">
        <f>(Table1356[[#This Row],[Expected Return]]-Table1356[[#This Row],[Tcosts]])*Table1356[[#This Row],[Investment]]</f>
        <v>0</v>
      </c>
      <c r="Q102" s="13" t="s">
        <v>491</v>
      </c>
    </row>
    <row r="103" spans="1:17" ht="15.6" x14ac:dyDescent="0.3">
      <c r="A103" s="79" t="s">
        <v>531</v>
      </c>
      <c r="B103" s="74" t="s">
        <v>532</v>
      </c>
      <c r="C103" s="74">
        <v>36.07</v>
      </c>
      <c r="D103" s="86" t="s">
        <v>533</v>
      </c>
      <c r="E103" s="76">
        <v>2.8999999999999998E-3</v>
      </c>
      <c r="F103" s="74">
        <v>0.66</v>
      </c>
      <c r="G103" s="78">
        <v>280020000</v>
      </c>
      <c r="H103" s="3" t="b">
        <f t="shared" si="3"/>
        <v>0</v>
      </c>
      <c r="I103" s="26">
        <f>Table1356[[#This Row],[Tech]]*$T$7+Table1356[[#This Row],[Beta]]*($T$6-$T$8)+$T$8</f>
        <v>7.8376000000000001E-2</v>
      </c>
      <c r="J103" s="64">
        <v>0</v>
      </c>
      <c r="K103" s="61">
        <f>Table1356[[#This Row],[Investment]]/Table1356[[#This Row],[Dollar Volume]]</f>
        <v>0</v>
      </c>
      <c r="L103" s="34">
        <f>IFERROR(MAX($T$11+$T$12*LN(Table1356[[#This Row],[Frac ADV]]),0),0)*0.0001+0.005/Table1356[[#This Row],[Stock Price]]+Table1356[[#This Row],[Expense Ratio]]</f>
        <v>3.038619351261436E-3</v>
      </c>
      <c r="M103" s="68">
        <f>(Table1356[[#This Row],[Expected Return]]-Table1356[[#This Row],[Tcosts]])*Table1356[[#This Row],[Investment]]</f>
        <v>0</v>
      </c>
      <c r="Q103" s="16" t="s">
        <v>495</v>
      </c>
    </row>
    <row r="104" spans="1:17" ht="15.6" x14ac:dyDescent="0.3">
      <c r="A104" s="77" t="s">
        <v>324</v>
      </c>
      <c r="B104" s="73" t="s">
        <v>325</v>
      </c>
      <c r="C104" s="73">
        <v>151.69999999999999</v>
      </c>
      <c r="D104" s="85" t="s">
        <v>326</v>
      </c>
      <c r="E104" s="75">
        <v>5.0000000000000001E-4</v>
      </c>
      <c r="F104" s="73">
        <v>0.69</v>
      </c>
      <c r="G104" s="78">
        <v>125040000</v>
      </c>
      <c r="H104" s="3" t="b">
        <f t="shared" si="3"/>
        <v>0</v>
      </c>
      <c r="I104" s="26">
        <f>Table1356[[#This Row],[Tech]]*$T$7+Table1356[[#This Row],[Beta]]*($T$6-$T$8)+$T$8</f>
        <v>8.0283999999999994E-2</v>
      </c>
      <c r="J104" s="64">
        <v>0</v>
      </c>
      <c r="K104" s="61">
        <f>Table1356[[#This Row],[Investment]]/Table1356[[#This Row],[Dollar Volume]]</f>
        <v>0</v>
      </c>
      <c r="L104" s="34">
        <f>IFERROR(MAX($T$11+$T$12*LN(Table1356[[#This Row],[Frac ADV]]),0),0)*0.0001+0.005/Table1356[[#This Row],[Stock Price]]+Table1356[[#This Row],[Expense Ratio]]</f>
        <v>5.3295978905735001E-4</v>
      </c>
      <c r="M104" s="68">
        <f>(Table1356[[#This Row],[Expected Return]]-Table1356[[#This Row],[Tcosts]])*Table1356[[#This Row],[Investment]]</f>
        <v>0</v>
      </c>
      <c r="Q104" s="13" t="s">
        <v>498</v>
      </c>
    </row>
    <row r="105" spans="1:17" ht="15.6" x14ac:dyDescent="0.3">
      <c r="A105" s="79" t="s">
        <v>543</v>
      </c>
      <c r="B105" s="74" t="s">
        <v>544</v>
      </c>
      <c r="C105" s="74">
        <v>89.17</v>
      </c>
      <c r="D105" s="86" t="s">
        <v>545</v>
      </c>
      <c r="E105" s="76">
        <v>4.0000000000000002E-4</v>
      </c>
      <c r="F105" s="74">
        <v>0.71</v>
      </c>
      <c r="G105" s="78">
        <v>224410000</v>
      </c>
      <c r="H105" s="3" t="b">
        <f t="shared" si="3"/>
        <v>0</v>
      </c>
      <c r="I105" s="26">
        <f>Table1356[[#This Row],[Tech]]*$T$7+Table1356[[#This Row],[Beta]]*($T$6-$T$8)+$T$8</f>
        <v>8.1556000000000003E-2</v>
      </c>
      <c r="J105" s="64">
        <v>0</v>
      </c>
      <c r="K105" s="61">
        <f>Table1356[[#This Row],[Investment]]/Table1356[[#This Row],[Dollar Volume]]</f>
        <v>0</v>
      </c>
      <c r="L105" s="34">
        <f>IFERROR(MAX($T$11+$T$12*LN(Table1356[[#This Row],[Frac ADV]]),0),0)*0.0001+0.005/Table1356[[#This Row],[Stock Price]]+Table1356[[#This Row],[Expense Ratio]]</f>
        <v>4.5607267018055403E-4</v>
      </c>
      <c r="M105" s="68">
        <f>(Table1356[[#This Row],[Expected Return]]-Table1356[[#This Row],[Tcosts]])*Table1356[[#This Row],[Investment]]</f>
        <v>0</v>
      </c>
      <c r="Q105" s="16" t="s">
        <v>502</v>
      </c>
    </row>
    <row r="106" spans="1:17" ht="15.6" x14ac:dyDescent="0.3">
      <c r="A106" s="77" t="s">
        <v>507</v>
      </c>
      <c r="B106" s="73" t="s">
        <v>508</v>
      </c>
      <c r="C106" s="73">
        <v>222.21</v>
      </c>
      <c r="D106" s="85" t="s">
        <v>509</v>
      </c>
      <c r="E106" s="75">
        <v>1.8E-3</v>
      </c>
      <c r="F106" s="73">
        <v>0.75</v>
      </c>
      <c r="G106" s="78">
        <v>153360000</v>
      </c>
      <c r="H106" s="3" t="b">
        <f t="shared" si="3"/>
        <v>0</v>
      </c>
      <c r="I106" s="26">
        <f>Table1356[[#This Row],[Tech]]*$T$7+Table1356[[#This Row],[Beta]]*($T$6-$T$8)+$T$8</f>
        <v>8.4100000000000008E-2</v>
      </c>
      <c r="J106" s="64">
        <v>0</v>
      </c>
      <c r="K106" s="61">
        <f>Table1356[[#This Row],[Investment]]/Table1356[[#This Row],[Dollar Volume]]</f>
        <v>0</v>
      </c>
      <c r="L106" s="34">
        <f>IFERROR(MAX($T$11+$T$12*LN(Table1356[[#This Row],[Frac ADV]]),0),0)*0.0001+0.005/Table1356[[#This Row],[Stock Price]]+Table1356[[#This Row],[Expense Ratio]]</f>
        <v>1.8225012375680662E-3</v>
      </c>
      <c r="M106" s="68">
        <f>(Table1356[[#This Row],[Expected Return]]-Table1356[[#This Row],[Tcosts]])*Table1356[[#This Row],[Investment]]</f>
        <v>0</v>
      </c>
      <c r="Q106" s="13" t="s">
        <v>506</v>
      </c>
    </row>
    <row r="107" spans="1:17" ht="15.6" x14ac:dyDescent="0.3">
      <c r="A107" s="79" t="s">
        <v>233</v>
      </c>
      <c r="B107" s="74" t="s">
        <v>234</v>
      </c>
      <c r="C107" s="74">
        <v>226.52</v>
      </c>
      <c r="D107" s="86" t="s">
        <v>235</v>
      </c>
      <c r="E107" s="76">
        <v>4.0000000000000002E-4</v>
      </c>
      <c r="F107" s="74">
        <v>0.78</v>
      </c>
      <c r="G107" s="78">
        <v>511880000</v>
      </c>
      <c r="H107" s="3" t="b">
        <f t="shared" si="3"/>
        <v>0</v>
      </c>
      <c r="I107" s="26">
        <f>Table1356[[#This Row],[Tech]]*$T$7+Table1356[[#This Row],[Beta]]*($T$6-$T$8)+$T$8</f>
        <v>8.6008000000000001E-2</v>
      </c>
      <c r="J107" s="64">
        <v>0</v>
      </c>
      <c r="K107" s="61">
        <f>Table1356[[#This Row],[Investment]]/Table1356[[#This Row],[Dollar Volume]]</f>
        <v>0</v>
      </c>
      <c r="L107" s="34">
        <f>IFERROR(MAX($T$11+$T$12*LN(Table1356[[#This Row],[Frac ADV]]),0),0)*0.0001+0.005/Table1356[[#This Row],[Stock Price]]+Table1356[[#This Row],[Expense Ratio]]</f>
        <v>4.2207310612749429E-4</v>
      </c>
      <c r="M107" s="68">
        <f>(Table1356[[#This Row],[Expected Return]]-Table1356[[#This Row],[Tcosts]])*Table1356[[#This Row],[Investment]]</f>
        <v>0</v>
      </c>
      <c r="Q107" s="16" t="s">
        <v>510</v>
      </c>
    </row>
    <row r="108" spans="1:17" ht="15.6" x14ac:dyDescent="0.3">
      <c r="A108" s="77" t="s">
        <v>587</v>
      </c>
      <c r="B108" s="73" t="s">
        <v>588</v>
      </c>
      <c r="C108" s="73">
        <v>83.77</v>
      </c>
      <c r="D108" s="85" t="s">
        <v>589</v>
      </c>
      <c r="E108" s="75">
        <v>2.5000000000000001E-3</v>
      </c>
      <c r="F108" s="73">
        <v>0.73</v>
      </c>
      <c r="G108" s="78">
        <v>98130000</v>
      </c>
      <c r="H108" s="3" t="b">
        <f t="shared" si="3"/>
        <v>0</v>
      </c>
      <c r="I108" s="26">
        <f>Table1356[[#This Row],[Tech]]*$T$7+Table1356[[#This Row],[Beta]]*($T$6-$T$8)+$T$8</f>
        <v>8.2828000000000013E-2</v>
      </c>
      <c r="J108" s="64">
        <v>0</v>
      </c>
      <c r="K108" s="61">
        <f>Table1356[[#This Row],[Investment]]/Table1356[[#This Row],[Dollar Volume]]</f>
        <v>0</v>
      </c>
      <c r="L108" s="34">
        <f>IFERROR(MAX($T$11+$T$12*LN(Table1356[[#This Row],[Frac ADV]]),0),0)*0.0001+0.005/Table1356[[#This Row],[Stock Price]]+Table1356[[#This Row],[Expense Ratio]]</f>
        <v>2.5596872388683302E-3</v>
      </c>
      <c r="M108" s="68">
        <f>(Table1356[[#This Row],[Expected Return]]-Table1356[[#This Row],[Tcosts]])*Table1356[[#This Row],[Investment]]</f>
        <v>0</v>
      </c>
      <c r="Q108" s="13" t="s">
        <v>514</v>
      </c>
    </row>
    <row r="109" spans="1:17" ht="15.6" x14ac:dyDescent="0.3">
      <c r="A109" s="79" t="s">
        <v>464</v>
      </c>
      <c r="B109" s="74" t="s">
        <v>465</v>
      </c>
      <c r="C109" s="74">
        <v>97.2</v>
      </c>
      <c r="D109" s="86" t="s">
        <v>466</v>
      </c>
      <c r="E109" s="76">
        <v>6.9999999999999999E-4</v>
      </c>
      <c r="F109" s="74">
        <v>0.73</v>
      </c>
      <c r="G109" s="78">
        <v>1900000000</v>
      </c>
      <c r="H109" s="3" t="b">
        <f t="shared" si="3"/>
        <v>0</v>
      </c>
      <c r="I109" s="26">
        <f>Table1356[[#This Row],[Tech]]*$T$7+Table1356[[#This Row],[Beta]]*($T$6-$T$8)+$T$8</f>
        <v>8.2828000000000013E-2</v>
      </c>
      <c r="J109" s="64">
        <v>0</v>
      </c>
      <c r="K109" s="61">
        <f>Table1356[[#This Row],[Investment]]/Table1356[[#This Row],[Dollar Volume]]</f>
        <v>0</v>
      </c>
      <c r="L109" s="34">
        <f>IFERROR(MAX($T$11+$T$12*LN(Table1356[[#This Row],[Frac ADV]]),0),0)*0.0001+0.005/Table1356[[#This Row],[Stock Price]]+Table1356[[#This Row],[Expense Ratio]]</f>
        <v>7.5144032921810701E-4</v>
      </c>
      <c r="M109" s="68">
        <f>(Table1356[[#This Row],[Expected Return]]-Table1356[[#This Row],[Tcosts]])*Table1356[[#This Row],[Investment]]</f>
        <v>0</v>
      </c>
      <c r="Q109" s="16" t="s">
        <v>518</v>
      </c>
    </row>
    <row r="110" spans="1:17" ht="15.6" x14ac:dyDescent="0.3">
      <c r="A110" s="77" t="s">
        <v>527</v>
      </c>
      <c r="B110" s="73" t="s">
        <v>528</v>
      </c>
      <c r="C110" s="73">
        <v>150.43</v>
      </c>
      <c r="D110" s="85" t="s">
        <v>529</v>
      </c>
      <c r="E110" s="75">
        <v>2.3E-3</v>
      </c>
      <c r="F110" s="73">
        <v>0.77</v>
      </c>
      <c r="G110" s="78">
        <v>126450000</v>
      </c>
      <c r="H110" s="3" t="b">
        <f t="shared" si="3"/>
        <v>0</v>
      </c>
      <c r="I110" s="26">
        <f>Table1356[[#This Row],[Tech]]*$T$7+Table1356[[#This Row],[Beta]]*($T$6-$T$8)+$T$8</f>
        <v>8.5372000000000003E-2</v>
      </c>
      <c r="J110" s="64">
        <v>0</v>
      </c>
      <c r="K110" s="61">
        <f>Table1356[[#This Row],[Investment]]/Table1356[[#This Row],[Dollar Volume]]</f>
        <v>0</v>
      </c>
      <c r="L110" s="34">
        <f>IFERROR(MAX($T$11+$T$12*LN(Table1356[[#This Row],[Frac ADV]]),0),0)*0.0001+0.005/Table1356[[#This Row],[Stock Price]]+Table1356[[#This Row],[Expense Ratio]]</f>
        <v>2.3332380509206939E-3</v>
      </c>
      <c r="M110" s="68">
        <f>(Table1356[[#This Row],[Expected Return]]-Table1356[[#This Row],[Tcosts]])*Table1356[[#This Row],[Investment]]</f>
        <v>0</v>
      </c>
      <c r="Q110" s="13" t="s">
        <v>522</v>
      </c>
    </row>
    <row r="111" spans="1:17" ht="15.6" x14ac:dyDescent="0.3">
      <c r="A111" s="79" t="s">
        <v>583</v>
      </c>
      <c r="B111" s="74" t="s">
        <v>584</v>
      </c>
      <c r="C111" s="74">
        <v>85.95</v>
      </c>
      <c r="D111" s="86" t="s">
        <v>585</v>
      </c>
      <c r="E111" s="76">
        <v>3.3E-3</v>
      </c>
      <c r="F111" s="74">
        <v>0.69</v>
      </c>
      <c r="G111" s="78">
        <v>140740000</v>
      </c>
      <c r="H111" s="3" t="b">
        <f t="shared" si="3"/>
        <v>0</v>
      </c>
      <c r="I111" s="26">
        <f>Table1356[[#This Row],[Tech]]*$T$7+Table1356[[#This Row],[Beta]]*($T$6-$T$8)+$T$8</f>
        <v>8.0283999999999994E-2</v>
      </c>
      <c r="J111" s="64">
        <v>0</v>
      </c>
      <c r="K111" s="61">
        <f>Table1356[[#This Row],[Investment]]/Table1356[[#This Row],[Dollar Volume]]</f>
        <v>0</v>
      </c>
      <c r="L111" s="34">
        <f>IFERROR(MAX($T$11+$T$12*LN(Table1356[[#This Row],[Frac ADV]]),0),0)*0.0001+0.005/Table1356[[#This Row],[Stock Price]]+Table1356[[#This Row],[Expense Ratio]]</f>
        <v>3.3581733566026761E-3</v>
      </c>
      <c r="M111" s="68">
        <f>(Table1356[[#This Row],[Expected Return]]-Table1356[[#This Row],[Tcosts]])*Table1356[[#This Row],[Investment]]</f>
        <v>0</v>
      </c>
      <c r="Q111" s="16" t="s">
        <v>526</v>
      </c>
    </row>
    <row r="112" spans="1:17" ht="15.6" x14ac:dyDescent="0.3">
      <c r="A112" s="77" t="s">
        <v>424</v>
      </c>
      <c r="B112" s="73" t="s">
        <v>425</v>
      </c>
      <c r="C112" s="73">
        <v>31.85</v>
      </c>
      <c r="D112" s="85" t="s">
        <v>426</v>
      </c>
      <c r="E112" s="75">
        <v>4.0000000000000002E-4</v>
      </c>
      <c r="F112" s="73">
        <v>0.72</v>
      </c>
      <c r="G112" s="78">
        <v>3310000000</v>
      </c>
      <c r="H112" s="3" t="b">
        <f t="shared" si="3"/>
        <v>0</v>
      </c>
      <c r="I112" s="26">
        <f>Table1356[[#This Row],[Tech]]*$T$7+Table1356[[#This Row],[Beta]]*($T$6-$T$8)+$T$8</f>
        <v>8.2192000000000001E-2</v>
      </c>
      <c r="J112" s="64">
        <v>0</v>
      </c>
      <c r="K112" s="61">
        <f>Table1356[[#This Row],[Investment]]/Table1356[[#This Row],[Dollar Volume]]</f>
        <v>0</v>
      </c>
      <c r="L112" s="34">
        <f>IFERROR(MAX($T$11+$T$12*LN(Table1356[[#This Row],[Frac ADV]]),0),0)*0.0001+0.005/Table1356[[#This Row],[Stock Price]]+Table1356[[#This Row],[Expense Ratio]]</f>
        <v>5.5698587127158555E-4</v>
      </c>
      <c r="M112" s="68">
        <f>(Table1356[[#This Row],[Expected Return]]-Table1356[[#This Row],[Tcosts]])*Table1356[[#This Row],[Investment]]</f>
        <v>0</v>
      </c>
      <c r="Q112" s="13" t="s">
        <v>530</v>
      </c>
    </row>
    <row r="113" spans="1:17" ht="15.6" x14ac:dyDescent="0.3">
      <c r="A113" s="79" t="s">
        <v>661</v>
      </c>
      <c r="B113" s="74" t="s">
        <v>662</v>
      </c>
      <c r="C113" s="74">
        <v>60.86</v>
      </c>
      <c r="D113" s="86" t="s">
        <v>663</v>
      </c>
      <c r="E113" s="76">
        <v>7.1999999999999998E-3</v>
      </c>
      <c r="F113" s="74">
        <v>0.71</v>
      </c>
      <c r="G113" s="78">
        <v>2060000000</v>
      </c>
      <c r="H113" s="3" t="b">
        <f t="shared" si="3"/>
        <v>0</v>
      </c>
      <c r="I113" s="26">
        <f>Table1356[[#This Row],[Tech]]*$T$7+Table1356[[#This Row],[Beta]]*($T$6-$T$8)+$T$8</f>
        <v>8.1556000000000003E-2</v>
      </c>
      <c r="J113" s="64">
        <v>0</v>
      </c>
      <c r="K113" s="61">
        <f>Table1356[[#This Row],[Investment]]/Table1356[[#This Row],[Dollar Volume]]</f>
        <v>0</v>
      </c>
      <c r="L113" s="34">
        <f>IFERROR(MAX($T$11+$T$12*LN(Table1356[[#This Row],[Frac ADV]]),0),0)*0.0001+0.005/Table1356[[#This Row],[Stock Price]]+Table1356[[#This Row],[Expense Ratio]]</f>
        <v>7.2821557673348669E-3</v>
      </c>
      <c r="M113" s="68">
        <f>(Table1356[[#This Row],[Expected Return]]-Table1356[[#This Row],[Tcosts]])*Table1356[[#This Row],[Investment]]</f>
        <v>0</v>
      </c>
      <c r="Q113" s="16" t="s">
        <v>534</v>
      </c>
    </row>
    <row r="114" spans="1:17" ht="15.6" x14ac:dyDescent="0.3">
      <c r="A114" s="77" t="s">
        <v>480</v>
      </c>
      <c r="B114" s="73" t="s">
        <v>481</v>
      </c>
      <c r="C114" s="73">
        <v>154.59</v>
      </c>
      <c r="D114" s="85" t="s">
        <v>482</v>
      </c>
      <c r="E114" s="75">
        <v>4.0000000000000002E-4</v>
      </c>
      <c r="F114" s="73">
        <v>0.74</v>
      </c>
      <c r="G114" s="78">
        <v>70210000</v>
      </c>
      <c r="H114" s="3" t="b">
        <f t="shared" si="3"/>
        <v>0</v>
      </c>
      <c r="I114" s="26">
        <f>Table1356[[#This Row],[Tech]]*$T$7+Table1356[[#This Row],[Beta]]*($T$6-$T$8)+$T$8</f>
        <v>8.346400000000001E-2</v>
      </c>
      <c r="J114" s="64">
        <v>0</v>
      </c>
      <c r="K114" s="61">
        <f>Table1356[[#This Row],[Investment]]/Table1356[[#This Row],[Dollar Volume]]</f>
        <v>0</v>
      </c>
      <c r="L114" s="34">
        <f>IFERROR(MAX($T$11+$T$12*LN(Table1356[[#This Row],[Frac ADV]]),0),0)*0.0001+0.005/Table1356[[#This Row],[Stock Price]]+Table1356[[#This Row],[Expense Ratio]]</f>
        <v>4.3234361860404946E-4</v>
      </c>
      <c r="M114" s="68">
        <f>(Table1356[[#This Row],[Expected Return]]-Table1356[[#This Row],[Tcosts]])*Table1356[[#This Row],[Investment]]</f>
        <v>0</v>
      </c>
      <c r="Q114" s="13" t="s">
        <v>538</v>
      </c>
    </row>
    <row r="115" spans="1:17" ht="15.6" x14ac:dyDescent="0.3">
      <c r="A115" s="79" t="s">
        <v>567</v>
      </c>
      <c r="B115" s="74" t="s">
        <v>568</v>
      </c>
      <c r="C115" s="74">
        <v>41.46</v>
      </c>
      <c r="D115" s="86" t="s">
        <v>569</v>
      </c>
      <c r="E115" s="76">
        <v>1.8E-3</v>
      </c>
      <c r="F115" s="74">
        <v>0.68</v>
      </c>
      <c r="G115" s="78">
        <v>86740000</v>
      </c>
      <c r="H115" s="3" t="b">
        <f t="shared" si="3"/>
        <v>0</v>
      </c>
      <c r="I115" s="26">
        <f>Table1356[[#This Row],[Tech]]*$T$7+Table1356[[#This Row],[Beta]]*($T$6-$T$8)+$T$8</f>
        <v>7.964800000000001E-2</v>
      </c>
      <c r="J115" s="64">
        <v>0</v>
      </c>
      <c r="K115" s="61">
        <f>Table1356[[#This Row],[Investment]]/Table1356[[#This Row],[Dollar Volume]]</f>
        <v>0</v>
      </c>
      <c r="L115" s="34">
        <f>IFERROR(MAX($T$11+$T$12*LN(Table1356[[#This Row],[Frac ADV]]),0),0)*0.0001+0.005/Table1356[[#This Row],[Stock Price]]+Table1356[[#This Row],[Expense Ratio]]</f>
        <v>1.9205981669078629E-3</v>
      </c>
      <c r="M115" s="68">
        <f>(Table1356[[#This Row],[Expected Return]]-Table1356[[#This Row],[Tcosts]])*Table1356[[#This Row],[Investment]]</f>
        <v>0</v>
      </c>
      <c r="Q115" s="16" t="s">
        <v>542</v>
      </c>
    </row>
    <row r="116" spans="1:17" ht="15.6" x14ac:dyDescent="0.3">
      <c r="A116" s="79" t="s">
        <v>638</v>
      </c>
      <c r="B116" s="74" t="s">
        <v>639</v>
      </c>
      <c r="C116" s="74">
        <v>55.21</v>
      </c>
      <c r="D116" s="86" t="s">
        <v>640</v>
      </c>
      <c r="E116" s="76">
        <v>2.7000000000000001E-3</v>
      </c>
      <c r="F116" s="74">
        <v>0.67</v>
      </c>
      <c r="G116" s="78">
        <v>45870000</v>
      </c>
      <c r="H116" s="3" t="b">
        <f t="shared" si="3"/>
        <v>0</v>
      </c>
      <c r="I116" s="26">
        <f>Table1356[[#This Row],[Tech]]*$T$7+Table1356[[#This Row],[Beta]]*($T$6-$T$8)+$T$8</f>
        <v>7.9011999999999999E-2</v>
      </c>
      <c r="J116" s="64">
        <v>0</v>
      </c>
      <c r="K116" s="61">
        <f>Table1356[[#This Row],[Investment]]/Table1356[[#This Row],[Dollar Volume]]</f>
        <v>0</v>
      </c>
      <c r="L116" s="34">
        <f>IFERROR(MAX($T$11+$T$12*LN(Table1356[[#This Row],[Frac ADV]]),0),0)*0.0001+0.005/Table1356[[#This Row],[Stock Price]]+Table1356[[#This Row],[Expense Ratio]]</f>
        <v>2.7905633037493211E-3</v>
      </c>
      <c r="M116" s="68">
        <f>(Table1356[[#This Row],[Expected Return]]-Table1356[[#This Row],[Tcosts]])*Table1356[[#This Row],[Investment]]</f>
        <v>0</v>
      </c>
      <c r="Q116" s="13" t="s">
        <v>546</v>
      </c>
    </row>
    <row r="117" spans="1:17" ht="15.6" x14ac:dyDescent="0.3">
      <c r="A117" s="79" t="s">
        <v>614</v>
      </c>
      <c r="B117" s="74" t="s">
        <v>615</v>
      </c>
      <c r="C117" s="74">
        <v>51.15</v>
      </c>
      <c r="D117" s="86" t="s">
        <v>616</v>
      </c>
      <c r="E117" s="76">
        <v>2.5000000000000001E-3</v>
      </c>
      <c r="F117" s="74">
        <v>0.67</v>
      </c>
      <c r="G117" s="78">
        <v>264190000</v>
      </c>
      <c r="H117" s="3" t="b">
        <f t="shared" si="3"/>
        <v>0</v>
      </c>
      <c r="I117" s="26">
        <f>Table1356[[#This Row],[Tech]]*$T$7+Table1356[[#This Row],[Beta]]*($T$6-$T$8)+$T$8</f>
        <v>7.9011999999999999E-2</v>
      </c>
      <c r="J117" s="64">
        <v>0</v>
      </c>
      <c r="K117" s="61">
        <f>Table1356[[#This Row],[Investment]]/Table1356[[#This Row],[Dollar Volume]]</f>
        <v>0</v>
      </c>
      <c r="L117" s="34">
        <f>IFERROR(MAX($T$11+$T$12*LN(Table1356[[#This Row],[Frac ADV]]),0),0)*0.0001+0.005/Table1356[[#This Row],[Stock Price]]+Table1356[[#This Row],[Expense Ratio]]</f>
        <v>2.5977517106549365E-3</v>
      </c>
      <c r="M117" s="68">
        <f>(Table1356[[#This Row],[Expected Return]]-Table1356[[#This Row],[Tcosts]])*Table1356[[#This Row],[Investment]]</f>
        <v>0</v>
      </c>
      <c r="Q117" s="16" t="s">
        <v>550</v>
      </c>
    </row>
    <row r="118" spans="1:17" ht="15.6" x14ac:dyDescent="0.3">
      <c r="A118" s="79" t="s">
        <v>503</v>
      </c>
      <c r="B118" s="74" t="s">
        <v>504</v>
      </c>
      <c r="C118" s="74">
        <v>97.52</v>
      </c>
      <c r="D118" s="86" t="s">
        <v>505</v>
      </c>
      <c r="E118" s="76">
        <v>5.9999999999999995E-4</v>
      </c>
      <c r="F118" s="74">
        <v>0.76</v>
      </c>
      <c r="G118" s="78">
        <v>62990000</v>
      </c>
      <c r="H118" s="3" t="b">
        <f t="shared" si="3"/>
        <v>0</v>
      </c>
      <c r="I118" s="26">
        <f>Table1356[[#This Row],[Tech]]*$T$7+Table1356[[#This Row],[Beta]]*($T$6-$T$8)+$T$8</f>
        <v>8.4736000000000006E-2</v>
      </c>
      <c r="J118" s="64">
        <v>0</v>
      </c>
      <c r="K118" s="61">
        <f>Table1356[[#This Row],[Investment]]/Table1356[[#This Row],[Dollar Volume]]</f>
        <v>0</v>
      </c>
      <c r="L118" s="34">
        <f>IFERROR(MAX($T$11+$T$12*LN(Table1356[[#This Row],[Frac ADV]]),0),0)*0.0001+0.005/Table1356[[#This Row],[Stock Price]]+Table1356[[#This Row],[Expense Ratio]]</f>
        <v>6.5127153404429851E-4</v>
      </c>
      <c r="M118" s="68">
        <f>(Table1356[[#This Row],[Expected Return]]-Table1356[[#This Row],[Tcosts]])*Table1356[[#This Row],[Investment]]</f>
        <v>0</v>
      </c>
      <c r="Q118" s="13" t="s">
        <v>554</v>
      </c>
    </row>
    <row r="119" spans="1:17" ht="15.6" x14ac:dyDescent="0.3">
      <c r="A119" s="77" t="s">
        <v>352</v>
      </c>
      <c r="B119" s="73" t="s">
        <v>353</v>
      </c>
      <c r="C119" s="73">
        <v>190.07</v>
      </c>
      <c r="D119" s="85" t="s">
        <v>354</v>
      </c>
      <c r="E119" s="75">
        <v>5.0000000000000001E-4</v>
      </c>
      <c r="F119" s="73">
        <v>0.69</v>
      </c>
      <c r="G119" s="78">
        <v>103250000</v>
      </c>
      <c r="H119" s="3" t="b">
        <f t="shared" si="3"/>
        <v>0</v>
      </c>
      <c r="I119" s="26">
        <f>Table1356[[#This Row],[Tech]]*$T$7+Table1356[[#This Row],[Beta]]*($T$6-$T$8)+$T$8</f>
        <v>8.0283999999999994E-2</v>
      </c>
      <c r="J119" s="64">
        <v>0</v>
      </c>
      <c r="K119" s="61">
        <f>Table1356[[#This Row],[Investment]]/Table1356[[#This Row],[Dollar Volume]]</f>
        <v>0</v>
      </c>
      <c r="L119" s="34">
        <f>IFERROR(MAX($T$11+$T$12*LN(Table1356[[#This Row],[Frac ADV]]),0),0)*0.0001+0.005/Table1356[[#This Row],[Stock Price]]+Table1356[[#This Row],[Expense Ratio]]</f>
        <v>5.2630609775345923E-4</v>
      </c>
      <c r="M119" s="68">
        <f>(Table1356[[#This Row],[Expected Return]]-Table1356[[#This Row],[Tcosts]])*Table1356[[#This Row],[Investment]]</f>
        <v>0</v>
      </c>
      <c r="Q119" s="16" t="s">
        <v>558</v>
      </c>
    </row>
    <row r="120" spans="1:17" ht="15.6" x14ac:dyDescent="0.3">
      <c r="A120" s="79" t="s">
        <v>289</v>
      </c>
      <c r="B120" s="74" t="s">
        <v>290</v>
      </c>
      <c r="C120" s="74">
        <v>82.13</v>
      </c>
      <c r="D120" s="86" t="s">
        <v>291</v>
      </c>
      <c r="E120" s="76">
        <v>5.0000000000000001E-4</v>
      </c>
      <c r="F120" s="74">
        <v>0.7</v>
      </c>
      <c r="G120" s="78">
        <v>125690000</v>
      </c>
      <c r="H120" s="3" t="b">
        <f t="shared" si="3"/>
        <v>0</v>
      </c>
      <c r="I120" s="26">
        <f>Table1356[[#This Row],[Tech]]*$T$7+Table1356[[#This Row],[Beta]]*($T$6-$T$8)+$T$8</f>
        <v>8.0919999999999992E-2</v>
      </c>
      <c r="J120" s="64">
        <v>0</v>
      </c>
      <c r="K120" s="61">
        <f>Table1356[[#This Row],[Investment]]/Table1356[[#This Row],[Dollar Volume]]</f>
        <v>0</v>
      </c>
      <c r="L120" s="34">
        <f>IFERROR(MAX($T$11+$T$12*LN(Table1356[[#This Row],[Frac ADV]]),0),0)*0.0001+0.005/Table1356[[#This Row],[Stock Price]]+Table1356[[#This Row],[Expense Ratio]]</f>
        <v>5.6087909411907952E-4</v>
      </c>
      <c r="M120" s="68">
        <f>(Table1356[[#This Row],[Expected Return]]-Table1356[[#This Row],[Tcosts]])*Table1356[[#This Row],[Investment]]</f>
        <v>0</v>
      </c>
      <c r="Q120" s="13" t="s">
        <v>562</v>
      </c>
    </row>
    <row r="121" spans="1:17" ht="15.6" x14ac:dyDescent="0.3">
      <c r="A121" s="79" t="s">
        <v>535</v>
      </c>
      <c r="B121" s="74" t="s">
        <v>536</v>
      </c>
      <c r="C121" s="74">
        <v>35.200000000000003</v>
      </c>
      <c r="D121" s="86" t="s">
        <v>537</v>
      </c>
      <c r="E121" s="76">
        <v>6.9999999999999999E-4</v>
      </c>
      <c r="F121" s="74">
        <v>0.67</v>
      </c>
      <c r="G121" s="78">
        <v>327520000</v>
      </c>
      <c r="H121" s="3" t="b">
        <f t="shared" si="3"/>
        <v>0</v>
      </c>
      <c r="I121" s="26">
        <f>Table1356[[#This Row],[Tech]]*$T$7+Table1356[[#This Row],[Beta]]*($T$6-$T$8)+$T$8</f>
        <v>7.9011999999999999E-2</v>
      </c>
      <c r="J121" s="64">
        <v>0</v>
      </c>
      <c r="K121" s="61">
        <f>Table1356[[#This Row],[Investment]]/Table1356[[#This Row],[Dollar Volume]]</f>
        <v>0</v>
      </c>
      <c r="L121" s="34">
        <f>IFERROR(MAX($T$11+$T$12*LN(Table1356[[#This Row],[Frac ADV]]),0),0)*0.0001+0.005/Table1356[[#This Row],[Stock Price]]+Table1356[[#This Row],[Expense Ratio]]</f>
        <v>8.4204545454545448E-4</v>
      </c>
      <c r="M121" s="68">
        <f>(Table1356[[#This Row],[Expected Return]]-Table1356[[#This Row],[Tcosts]])*Table1356[[#This Row],[Investment]]</f>
        <v>0</v>
      </c>
      <c r="Q121" s="16" t="s">
        <v>566</v>
      </c>
    </row>
    <row r="122" spans="1:17" ht="15.6" x14ac:dyDescent="0.3">
      <c r="A122" s="79" t="s">
        <v>511</v>
      </c>
      <c r="B122" s="74" t="s">
        <v>512</v>
      </c>
      <c r="C122" s="74">
        <v>80.260000000000005</v>
      </c>
      <c r="D122" s="86" t="s">
        <v>513</v>
      </c>
      <c r="E122" s="76">
        <v>4.0000000000000002E-4</v>
      </c>
      <c r="F122" s="74">
        <v>0.69</v>
      </c>
      <c r="G122" s="78">
        <v>253220000</v>
      </c>
      <c r="H122" s="3" t="b">
        <f t="shared" si="3"/>
        <v>0</v>
      </c>
      <c r="I122" s="26">
        <f>Table1356[[#This Row],[Tech]]*$T$7+Table1356[[#This Row],[Beta]]*($T$6-$T$8)+$T$8</f>
        <v>8.0283999999999994E-2</v>
      </c>
      <c r="J122" s="64">
        <v>0</v>
      </c>
      <c r="K122" s="61">
        <f>Table1356[[#This Row],[Investment]]/Table1356[[#This Row],[Dollar Volume]]</f>
        <v>0</v>
      </c>
      <c r="L122" s="34">
        <f>IFERROR(MAX($T$11+$T$12*LN(Table1356[[#This Row],[Frac ADV]]),0),0)*0.0001+0.005/Table1356[[#This Row],[Stock Price]]+Table1356[[#This Row],[Expense Ratio]]</f>
        <v>4.6229753301769251E-4</v>
      </c>
      <c r="M122" s="68">
        <f>(Table1356[[#This Row],[Expected Return]]-Table1356[[#This Row],[Tcosts]])*Table1356[[#This Row],[Investment]]</f>
        <v>0</v>
      </c>
      <c r="Q122" s="13" t="s">
        <v>570</v>
      </c>
    </row>
    <row r="123" spans="1:17" ht="15.6" x14ac:dyDescent="0.3">
      <c r="A123" s="77" t="s">
        <v>484</v>
      </c>
      <c r="B123" s="73" t="s">
        <v>485</v>
      </c>
      <c r="C123" s="73">
        <v>26.4</v>
      </c>
      <c r="D123" s="85" t="s">
        <v>486</v>
      </c>
      <c r="E123" s="75">
        <v>2.9999999999999997E-4</v>
      </c>
      <c r="F123" s="73">
        <v>0.72</v>
      </c>
      <c r="G123" s="78">
        <v>135250000</v>
      </c>
      <c r="H123" s="3" t="b">
        <f t="shared" si="3"/>
        <v>0</v>
      </c>
      <c r="I123" s="26">
        <f>Table1356[[#This Row],[Tech]]*$T$7+Table1356[[#This Row],[Beta]]*($T$6-$T$8)+$T$8</f>
        <v>8.2192000000000001E-2</v>
      </c>
      <c r="J123" s="64">
        <v>0</v>
      </c>
      <c r="K123" s="61">
        <f>Table1356[[#This Row],[Investment]]/Table1356[[#This Row],[Dollar Volume]]</f>
        <v>0</v>
      </c>
      <c r="L123" s="34">
        <f>IFERROR(MAX($T$11+$T$12*LN(Table1356[[#This Row],[Frac ADV]]),0),0)*0.0001+0.005/Table1356[[#This Row],[Stock Price]]+Table1356[[#This Row],[Expense Ratio]]</f>
        <v>4.8939393939393945E-4</v>
      </c>
      <c r="M123" s="68">
        <f>(Table1356[[#This Row],[Expected Return]]-Table1356[[#This Row],[Tcosts]])*Table1356[[#This Row],[Investment]]</f>
        <v>0</v>
      </c>
      <c r="Q123" s="16" t="s">
        <v>574</v>
      </c>
    </row>
    <row r="124" spans="1:17" ht="15.6" x14ac:dyDescent="0.3">
      <c r="A124" s="79" t="s">
        <v>496</v>
      </c>
      <c r="B124" s="74" t="s">
        <v>497</v>
      </c>
      <c r="C124" s="74">
        <v>56.91</v>
      </c>
      <c r="D124" s="86" t="s">
        <v>430</v>
      </c>
      <c r="E124" s="76">
        <v>2.5000000000000001E-3</v>
      </c>
      <c r="F124" s="74">
        <v>0.57999999999999996</v>
      </c>
      <c r="G124" s="78">
        <v>161370000</v>
      </c>
      <c r="H124" s="3" t="b">
        <f t="shared" si="3"/>
        <v>0</v>
      </c>
      <c r="I124" s="26">
        <f>Table1356[[#This Row],[Tech]]*$T$7+Table1356[[#This Row],[Beta]]*($T$6-$T$8)+$T$8</f>
        <v>7.3287999999999992E-2</v>
      </c>
      <c r="J124" s="64">
        <v>0</v>
      </c>
      <c r="K124" s="61">
        <f>Table1356[[#This Row],[Investment]]/Table1356[[#This Row],[Dollar Volume]]</f>
        <v>0</v>
      </c>
      <c r="L124" s="34">
        <f>IFERROR(MAX($T$11+$T$12*LN(Table1356[[#This Row],[Frac ADV]]),0),0)*0.0001+0.005/Table1356[[#This Row],[Stock Price]]+Table1356[[#This Row],[Expense Ratio]]</f>
        <v>2.5878580214373573E-3</v>
      </c>
      <c r="M124" s="68">
        <f>(Table1356[[#This Row],[Expected Return]]-Table1356[[#This Row],[Tcosts]])*Table1356[[#This Row],[Investment]]</f>
        <v>0</v>
      </c>
      <c r="Q124" s="13" t="s">
        <v>578</v>
      </c>
    </row>
    <row r="125" spans="1:17" ht="15.6" x14ac:dyDescent="0.3">
      <c r="A125" s="79" t="s">
        <v>555</v>
      </c>
      <c r="B125" s="74" t="s">
        <v>556</v>
      </c>
      <c r="C125" s="74">
        <v>48.65</v>
      </c>
      <c r="D125" s="86" t="s">
        <v>557</v>
      </c>
      <c r="E125" s="76">
        <v>2.9999999999999997E-4</v>
      </c>
      <c r="F125" s="74">
        <v>0.69</v>
      </c>
      <c r="G125" s="78">
        <v>132770000</v>
      </c>
      <c r="H125" s="3" t="b">
        <f t="shared" si="3"/>
        <v>0</v>
      </c>
      <c r="I125" s="26">
        <f>Table1356[[#This Row],[Tech]]*$T$7+Table1356[[#This Row],[Beta]]*($T$6-$T$8)+$T$8</f>
        <v>8.0283999999999994E-2</v>
      </c>
      <c r="J125" s="64">
        <v>0</v>
      </c>
      <c r="K125" s="61">
        <f>Table1356[[#This Row],[Investment]]/Table1356[[#This Row],[Dollar Volume]]</f>
        <v>0</v>
      </c>
      <c r="L125" s="34">
        <f>IFERROR(MAX($T$11+$T$12*LN(Table1356[[#This Row],[Frac ADV]]),0),0)*0.0001+0.005/Table1356[[#This Row],[Stock Price]]+Table1356[[#This Row],[Expense Ratio]]</f>
        <v>4.0277492291880779E-4</v>
      </c>
      <c r="M125" s="68">
        <f>(Table1356[[#This Row],[Expected Return]]-Table1356[[#This Row],[Tcosts]])*Table1356[[#This Row],[Investment]]</f>
        <v>0</v>
      </c>
      <c r="Q125" s="16" t="s">
        <v>582</v>
      </c>
    </row>
    <row r="126" spans="1:17" ht="15.6" x14ac:dyDescent="0.3">
      <c r="A126" s="79" t="s">
        <v>539</v>
      </c>
      <c r="B126" s="74" t="s">
        <v>540</v>
      </c>
      <c r="C126" s="74">
        <v>68.5</v>
      </c>
      <c r="D126" s="86" t="s">
        <v>541</v>
      </c>
      <c r="E126" s="76">
        <v>2.9999999999999997E-4</v>
      </c>
      <c r="F126" s="74">
        <v>0.71</v>
      </c>
      <c r="G126" s="78">
        <v>134650000</v>
      </c>
      <c r="H126" s="3" t="b">
        <f t="shared" si="3"/>
        <v>0</v>
      </c>
      <c r="I126" s="26">
        <f>Table1356[[#This Row],[Tech]]*$T$7+Table1356[[#This Row],[Beta]]*($T$6-$T$8)+$T$8</f>
        <v>8.1556000000000003E-2</v>
      </c>
      <c r="J126" s="64">
        <v>0</v>
      </c>
      <c r="K126" s="61">
        <f>Table1356[[#This Row],[Investment]]/Table1356[[#This Row],[Dollar Volume]]</f>
        <v>0</v>
      </c>
      <c r="L126" s="34">
        <f>IFERROR(MAX($T$11+$T$12*LN(Table1356[[#This Row],[Frac ADV]]),0),0)*0.0001+0.005/Table1356[[#This Row],[Stock Price]]+Table1356[[#This Row],[Expense Ratio]]</f>
        <v>3.7299270072992699E-4</v>
      </c>
      <c r="M126" s="68">
        <f>(Table1356[[#This Row],[Expected Return]]-Table1356[[#This Row],[Tcosts]])*Table1356[[#This Row],[Investment]]</f>
        <v>0</v>
      </c>
      <c r="Q126" s="13" t="s">
        <v>586</v>
      </c>
    </row>
    <row r="127" spans="1:17" ht="15.6" x14ac:dyDescent="0.3">
      <c r="A127" s="79" t="s">
        <v>634</v>
      </c>
      <c r="B127" s="74" t="s">
        <v>635</v>
      </c>
      <c r="C127" s="74">
        <v>48.43</v>
      </c>
      <c r="D127" s="86" t="s">
        <v>636</v>
      </c>
      <c r="E127" s="76">
        <v>3.0000000000000001E-3</v>
      </c>
      <c r="F127" s="74">
        <v>0.67</v>
      </c>
      <c r="G127" s="78">
        <v>97020000</v>
      </c>
      <c r="H127" s="3" t="b">
        <f t="shared" si="3"/>
        <v>0</v>
      </c>
      <c r="I127" s="26">
        <f>Table1356[[#This Row],[Tech]]*$T$7+Table1356[[#This Row],[Beta]]*($T$6-$T$8)+$T$8</f>
        <v>7.9011999999999999E-2</v>
      </c>
      <c r="J127" s="64">
        <v>0</v>
      </c>
      <c r="K127" s="61">
        <f>Table1356[[#This Row],[Investment]]/Table1356[[#This Row],[Dollar Volume]]</f>
        <v>0</v>
      </c>
      <c r="L127" s="34">
        <f>IFERROR(MAX($T$11+$T$12*LN(Table1356[[#This Row],[Frac ADV]]),0),0)*0.0001+0.005/Table1356[[#This Row],[Stock Price]]+Table1356[[#This Row],[Expense Ratio]]</f>
        <v>3.1032417922775141E-3</v>
      </c>
      <c r="M127" s="68">
        <f>(Table1356[[#This Row],[Expected Return]]-Table1356[[#This Row],[Tcosts]])*Table1356[[#This Row],[Investment]]</f>
        <v>0</v>
      </c>
      <c r="Q127" s="16" t="s">
        <v>590</v>
      </c>
    </row>
    <row r="128" spans="1:17" ht="15.6" x14ac:dyDescent="0.3">
      <c r="A128" s="79" t="s">
        <v>499</v>
      </c>
      <c r="B128" s="74" t="s">
        <v>500</v>
      </c>
      <c r="C128" s="74">
        <v>204.61</v>
      </c>
      <c r="D128" s="86" t="s">
        <v>501</v>
      </c>
      <c r="E128" s="76">
        <v>2.9999999999999997E-4</v>
      </c>
      <c r="F128" s="74">
        <v>0.69</v>
      </c>
      <c r="G128" s="78">
        <v>55380000</v>
      </c>
      <c r="H128" s="3" t="b">
        <f t="shared" si="3"/>
        <v>0</v>
      </c>
      <c r="I128" s="26">
        <f>Table1356[[#This Row],[Tech]]*$T$7+Table1356[[#This Row],[Beta]]*($T$6-$T$8)+$T$8</f>
        <v>8.0283999999999994E-2</v>
      </c>
      <c r="J128" s="64">
        <v>0</v>
      </c>
      <c r="K128" s="61">
        <f>Table1356[[#This Row],[Investment]]/Table1356[[#This Row],[Dollar Volume]]</f>
        <v>0</v>
      </c>
      <c r="L128" s="34">
        <f>IFERROR(MAX($T$11+$T$12*LN(Table1356[[#This Row],[Frac ADV]]),0),0)*0.0001+0.005/Table1356[[#This Row],[Stock Price]]+Table1356[[#This Row],[Expense Ratio]]</f>
        <v>3.2443673329749276E-4</v>
      </c>
      <c r="M128" s="68">
        <f>(Table1356[[#This Row],[Expected Return]]-Table1356[[#This Row],[Tcosts]])*Table1356[[#This Row],[Investment]]</f>
        <v>0</v>
      </c>
      <c r="Q128" s="13" t="s">
        <v>594</v>
      </c>
    </row>
    <row r="129" spans="1:17" ht="15.6" x14ac:dyDescent="0.3">
      <c r="A129" s="77" t="s">
        <v>408</v>
      </c>
      <c r="B129" s="73" t="s">
        <v>409</v>
      </c>
      <c r="C129" s="73">
        <v>156.38999999999999</v>
      </c>
      <c r="D129" s="85" t="s">
        <v>410</v>
      </c>
      <c r="E129" s="75">
        <v>5.9999999999999995E-4</v>
      </c>
      <c r="F129" s="73">
        <v>0.68</v>
      </c>
      <c r="G129" s="78">
        <v>90940000</v>
      </c>
      <c r="H129" s="3" t="b">
        <f t="shared" si="3"/>
        <v>0</v>
      </c>
      <c r="I129" s="26">
        <f>Table1356[[#This Row],[Tech]]*$T$7+Table1356[[#This Row],[Beta]]*($T$6-$T$8)+$T$8</f>
        <v>7.964800000000001E-2</v>
      </c>
      <c r="J129" s="64">
        <v>0</v>
      </c>
      <c r="K129" s="61">
        <f>Table1356[[#This Row],[Investment]]/Table1356[[#This Row],[Dollar Volume]]</f>
        <v>0</v>
      </c>
      <c r="L129" s="34">
        <f>IFERROR(MAX($T$11+$T$12*LN(Table1356[[#This Row],[Frac ADV]]),0),0)*0.0001+0.005/Table1356[[#This Row],[Stock Price]]+Table1356[[#This Row],[Expense Ratio]]</f>
        <v>6.319713536671142E-4</v>
      </c>
      <c r="M129" s="68">
        <f>(Table1356[[#This Row],[Expected Return]]-Table1356[[#This Row],[Tcosts]])*Table1356[[#This Row],[Investment]]</f>
        <v>0</v>
      </c>
      <c r="Q129" s="16" t="s">
        <v>598</v>
      </c>
    </row>
    <row r="130" spans="1:17" ht="15.6" x14ac:dyDescent="0.3">
      <c r="A130" s="79" t="s">
        <v>579</v>
      </c>
      <c r="B130" s="74" t="s">
        <v>580</v>
      </c>
      <c r="C130" s="74">
        <v>88.75</v>
      </c>
      <c r="D130" s="86" t="s">
        <v>581</v>
      </c>
      <c r="E130" s="76">
        <v>5.9999999999999995E-4</v>
      </c>
      <c r="F130" s="74">
        <v>0.68</v>
      </c>
      <c r="G130" s="78">
        <v>956440000</v>
      </c>
      <c r="H130" s="3" t="b">
        <f t="shared" ref="H130:H161" si="4">OR(
  ISNUMBER(SEARCH("technology",B130)),
  ISNUMBER(SEARCH("tech",B130)),
  ISNUMBER(SEARCH("qqq",B130)),
  ISNUMBER(SEARCH("semiconductor",B130)),
  ISNUMBER(SEARCH("information technology",B130)),
  ISNUMBER(SEARCH("nasdaq",B130)),
  ISNUMBER(SEARCH("communication",B130))
)</f>
        <v>0</v>
      </c>
      <c r="I130" s="26">
        <f>Table1356[[#This Row],[Tech]]*$T$7+Table1356[[#This Row],[Beta]]*($T$6-$T$8)+$T$8</f>
        <v>7.964800000000001E-2</v>
      </c>
      <c r="J130" s="64">
        <v>0</v>
      </c>
      <c r="K130" s="61">
        <f>Table1356[[#This Row],[Investment]]/Table1356[[#This Row],[Dollar Volume]]</f>
        <v>0</v>
      </c>
      <c r="L130" s="34">
        <f>IFERROR(MAX($T$11+$T$12*LN(Table1356[[#This Row],[Frac ADV]]),0),0)*0.0001+0.005/Table1356[[#This Row],[Stock Price]]+Table1356[[#This Row],[Expense Ratio]]</f>
        <v>6.5633802816901401E-4</v>
      </c>
      <c r="M130" s="68">
        <f>(Table1356[[#This Row],[Expected Return]]-Table1356[[#This Row],[Tcosts]])*Table1356[[#This Row],[Investment]]</f>
        <v>0</v>
      </c>
      <c r="Q130" s="13" t="s">
        <v>601</v>
      </c>
    </row>
    <row r="131" spans="1:17" ht="15.6" x14ac:dyDescent="0.3">
      <c r="A131" s="79" t="s">
        <v>448</v>
      </c>
      <c r="B131" s="74" t="s">
        <v>449</v>
      </c>
      <c r="C131" s="74">
        <v>85.05</v>
      </c>
      <c r="D131" s="86" t="s">
        <v>450</v>
      </c>
      <c r="E131" s="76">
        <v>4.0000000000000001E-3</v>
      </c>
      <c r="F131" s="74">
        <v>0.71</v>
      </c>
      <c r="G131" s="78">
        <v>392540000</v>
      </c>
      <c r="H131" s="3" t="b">
        <f t="shared" si="4"/>
        <v>0</v>
      </c>
      <c r="I131" s="26">
        <f>Table1356[[#This Row],[Tech]]*$T$7+Table1356[[#This Row],[Beta]]*($T$6-$T$8)+$T$8</f>
        <v>8.1556000000000003E-2</v>
      </c>
      <c r="J131" s="64">
        <v>0</v>
      </c>
      <c r="K131" s="61">
        <f>Table1356[[#This Row],[Investment]]/Table1356[[#This Row],[Dollar Volume]]</f>
        <v>0</v>
      </c>
      <c r="L131" s="34">
        <f>IFERROR(MAX($T$11+$T$12*LN(Table1356[[#This Row],[Frac ADV]]),0),0)*0.0001+0.005/Table1356[[#This Row],[Stock Price]]+Table1356[[#This Row],[Expense Ratio]]</f>
        <v>4.0587889476778371E-3</v>
      </c>
      <c r="M131" s="68">
        <f>(Table1356[[#This Row],[Expected Return]]-Table1356[[#This Row],[Tcosts]])*Table1356[[#This Row],[Investment]]</f>
        <v>0</v>
      </c>
      <c r="Q131" s="16" t="s">
        <v>605</v>
      </c>
    </row>
    <row r="132" spans="1:17" ht="15.6" x14ac:dyDescent="0.3">
      <c r="A132" s="79" t="s">
        <v>650</v>
      </c>
      <c r="B132" s="74" t="s">
        <v>651</v>
      </c>
      <c r="C132" s="74">
        <v>78.88</v>
      </c>
      <c r="D132" s="86" t="s">
        <v>652</v>
      </c>
      <c r="E132" s="76">
        <v>3.3E-3</v>
      </c>
      <c r="F132" s="74">
        <v>0.61</v>
      </c>
      <c r="G132" s="78">
        <v>174030000</v>
      </c>
      <c r="H132" s="3" t="b">
        <f t="shared" si="4"/>
        <v>0</v>
      </c>
      <c r="I132" s="26">
        <f>Table1356[[#This Row],[Tech]]*$T$7+Table1356[[#This Row],[Beta]]*($T$6-$T$8)+$T$8</f>
        <v>7.5196000000000013E-2</v>
      </c>
      <c r="J132" s="64">
        <v>0</v>
      </c>
      <c r="K132" s="61">
        <f>Table1356[[#This Row],[Investment]]/Table1356[[#This Row],[Dollar Volume]]</f>
        <v>0</v>
      </c>
      <c r="L132" s="34">
        <f>IFERROR(MAX($T$11+$T$12*LN(Table1356[[#This Row],[Frac ADV]]),0),0)*0.0001+0.005/Table1356[[#This Row],[Stock Price]]+Table1356[[#This Row],[Expense Ratio]]</f>
        <v>3.3633874239350913E-3</v>
      </c>
      <c r="M132" s="68">
        <f>(Table1356[[#This Row],[Expected Return]]-Table1356[[#This Row],[Tcosts]])*Table1356[[#This Row],[Investment]]</f>
        <v>0</v>
      </c>
      <c r="Q132" s="13" t="s">
        <v>609</v>
      </c>
    </row>
    <row r="133" spans="1:17" ht="15.6" x14ac:dyDescent="0.3">
      <c r="A133" s="79" t="s">
        <v>559</v>
      </c>
      <c r="B133" s="74" t="s">
        <v>560</v>
      </c>
      <c r="C133" s="74">
        <v>57.76</v>
      </c>
      <c r="D133" s="86" t="s">
        <v>561</v>
      </c>
      <c r="E133" s="76">
        <v>5.9999999999999995E-4</v>
      </c>
      <c r="F133" s="74">
        <v>0.66</v>
      </c>
      <c r="G133" s="78">
        <v>229180000</v>
      </c>
      <c r="H133" s="3" t="b">
        <f t="shared" si="4"/>
        <v>0</v>
      </c>
      <c r="I133" s="26">
        <f>Table1356[[#This Row],[Tech]]*$T$7+Table1356[[#This Row],[Beta]]*($T$6-$T$8)+$T$8</f>
        <v>7.8376000000000001E-2</v>
      </c>
      <c r="J133" s="64">
        <v>0</v>
      </c>
      <c r="K133" s="61">
        <f>Table1356[[#This Row],[Investment]]/Table1356[[#This Row],[Dollar Volume]]</f>
        <v>0</v>
      </c>
      <c r="L133" s="34">
        <f>IFERROR(MAX($T$11+$T$12*LN(Table1356[[#This Row],[Frac ADV]]),0),0)*0.0001+0.005/Table1356[[#This Row],[Stock Price]]+Table1356[[#This Row],[Expense Ratio]]</f>
        <v>6.8656509695290858E-4</v>
      </c>
      <c r="M133" s="68">
        <f>(Table1356[[#This Row],[Expected Return]]-Table1356[[#This Row],[Tcosts]])*Table1356[[#This Row],[Investment]]</f>
        <v>0</v>
      </c>
      <c r="Q133" s="16" t="s">
        <v>613</v>
      </c>
    </row>
    <row r="134" spans="1:17" ht="15.6" x14ac:dyDescent="0.3">
      <c r="A134" s="79" t="s">
        <v>456</v>
      </c>
      <c r="B134" s="74" t="s">
        <v>457</v>
      </c>
      <c r="C134" s="74">
        <v>67.73</v>
      </c>
      <c r="D134" s="86" t="s">
        <v>458</v>
      </c>
      <c r="E134" s="76">
        <v>5.0000000000000001E-3</v>
      </c>
      <c r="F134" s="74">
        <v>0.66</v>
      </c>
      <c r="G134" s="78">
        <v>91260000</v>
      </c>
      <c r="H134" s="3" t="b">
        <f t="shared" si="4"/>
        <v>0</v>
      </c>
      <c r="I134" s="26">
        <f>Table1356[[#This Row],[Tech]]*$T$7+Table1356[[#This Row],[Beta]]*($T$6-$T$8)+$T$8</f>
        <v>7.8376000000000001E-2</v>
      </c>
      <c r="J134" s="64">
        <v>0</v>
      </c>
      <c r="K134" s="61">
        <f>Table1356[[#This Row],[Investment]]/Table1356[[#This Row],[Dollar Volume]]</f>
        <v>0</v>
      </c>
      <c r="L134" s="34">
        <f>IFERROR(MAX($T$11+$T$12*LN(Table1356[[#This Row],[Frac ADV]]),0),0)*0.0001+0.005/Table1356[[#This Row],[Stock Price]]+Table1356[[#This Row],[Expense Ratio]]</f>
        <v>5.0738225306363504E-3</v>
      </c>
      <c r="M134" s="68">
        <f>(Table1356[[#This Row],[Expected Return]]-Table1356[[#This Row],[Tcosts]])*Table1356[[#This Row],[Investment]]</f>
        <v>0</v>
      </c>
      <c r="Q134" s="13" t="s">
        <v>617</v>
      </c>
    </row>
    <row r="135" spans="1:17" ht="15.6" x14ac:dyDescent="0.3">
      <c r="A135" s="77" t="s">
        <v>630</v>
      </c>
      <c r="B135" s="73" t="s">
        <v>631</v>
      </c>
      <c r="C135" s="73">
        <v>156.34</v>
      </c>
      <c r="D135" s="85" t="s">
        <v>632</v>
      </c>
      <c r="E135" s="75">
        <v>3.8E-3</v>
      </c>
      <c r="F135" s="73">
        <v>0.61</v>
      </c>
      <c r="G135" s="78">
        <v>96950000</v>
      </c>
      <c r="H135" s="3" t="b">
        <f t="shared" si="4"/>
        <v>0</v>
      </c>
      <c r="I135" s="26">
        <f>Table1356[[#This Row],[Tech]]*$T$7+Table1356[[#This Row],[Beta]]*($T$6-$T$8)+$T$8</f>
        <v>7.5196000000000013E-2</v>
      </c>
      <c r="J135" s="64">
        <v>0</v>
      </c>
      <c r="K135" s="61">
        <f>Table1356[[#This Row],[Investment]]/Table1356[[#This Row],[Dollar Volume]]</f>
        <v>0</v>
      </c>
      <c r="L135" s="34">
        <f>IFERROR(MAX($T$11+$T$12*LN(Table1356[[#This Row],[Frac ADV]]),0),0)*0.0001+0.005/Table1356[[#This Row],[Stock Price]]+Table1356[[#This Row],[Expense Ratio]]</f>
        <v>3.83198157861072E-3</v>
      </c>
      <c r="M135" s="68">
        <f>(Table1356[[#This Row],[Expected Return]]-Table1356[[#This Row],[Tcosts]])*Table1356[[#This Row],[Investment]]</f>
        <v>0</v>
      </c>
      <c r="Q135" s="16" t="s">
        <v>621</v>
      </c>
    </row>
    <row r="136" spans="1:17" ht="15.6" x14ac:dyDescent="0.3">
      <c r="A136" s="77" t="s">
        <v>575</v>
      </c>
      <c r="B136" s="73" t="s">
        <v>576</v>
      </c>
      <c r="C136" s="73">
        <v>50.29</v>
      </c>
      <c r="D136" s="85" t="s">
        <v>577</v>
      </c>
      <c r="E136" s="75">
        <v>6.9999999999999999E-4</v>
      </c>
      <c r="F136" s="73">
        <v>0.64</v>
      </c>
      <c r="G136" s="78">
        <v>54550000</v>
      </c>
      <c r="H136" s="3" t="b">
        <f t="shared" si="4"/>
        <v>0</v>
      </c>
      <c r="I136" s="26">
        <f>Table1356[[#This Row],[Tech]]*$T$7+Table1356[[#This Row],[Beta]]*($T$6-$T$8)+$T$8</f>
        <v>7.7104000000000006E-2</v>
      </c>
      <c r="J136" s="64">
        <v>0</v>
      </c>
      <c r="K136" s="61">
        <f>Table1356[[#This Row],[Investment]]/Table1356[[#This Row],[Dollar Volume]]</f>
        <v>0</v>
      </c>
      <c r="L136" s="34">
        <f>IFERROR(MAX($T$11+$T$12*LN(Table1356[[#This Row],[Frac ADV]]),0),0)*0.0001+0.005/Table1356[[#This Row],[Stock Price]]+Table1356[[#This Row],[Expense Ratio]]</f>
        <v>7.9942334460131239E-4</v>
      </c>
      <c r="M136" s="68">
        <f>(Table1356[[#This Row],[Expected Return]]-Table1356[[#This Row],[Tcosts]])*Table1356[[#This Row],[Investment]]</f>
        <v>0</v>
      </c>
      <c r="Q136" s="13" t="s">
        <v>625</v>
      </c>
    </row>
    <row r="137" spans="1:17" ht="15.6" x14ac:dyDescent="0.3">
      <c r="A137" s="79" t="s">
        <v>622</v>
      </c>
      <c r="B137" s="74" t="s">
        <v>623</v>
      </c>
      <c r="C137" s="74">
        <v>37.049999999999997</v>
      </c>
      <c r="D137" s="86" t="s">
        <v>624</v>
      </c>
      <c r="E137" s="76">
        <v>2.5000000000000001E-3</v>
      </c>
      <c r="F137" s="74">
        <v>0.59</v>
      </c>
      <c r="G137" s="78">
        <v>3810000000</v>
      </c>
      <c r="H137" s="3" t="b">
        <f t="shared" si="4"/>
        <v>0</v>
      </c>
      <c r="I137" s="26">
        <f>Table1356[[#This Row],[Tech]]*$T$7+Table1356[[#This Row],[Beta]]*($T$6-$T$8)+$T$8</f>
        <v>7.3924000000000004E-2</v>
      </c>
      <c r="J137" s="64">
        <v>0</v>
      </c>
      <c r="K137" s="61">
        <f>Table1356[[#This Row],[Investment]]/Table1356[[#This Row],[Dollar Volume]]</f>
        <v>0</v>
      </c>
      <c r="L137" s="34">
        <f>IFERROR(MAX($T$11+$T$12*LN(Table1356[[#This Row],[Frac ADV]]),0),0)*0.0001+0.005/Table1356[[#This Row],[Stock Price]]+Table1356[[#This Row],[Expense Ratio]]</f>
        <v>2.6349527665317138E-3</v>
      </c>
      <c r="M137" s="68">
        <f>(Table1356[[#This Row],[Expected Return]]-Table1356[[#This Row],[Tcosts]])*Table1356[[#This Row],[Investment]]</f>
        <v>0</v>
      </c>
      <c r="Q137" s="16" t="s">
        <v>629</v>
      </c>
    </row>
    <row r="138" spans="1:17" ht="15.6" x14ac:dyDescent="0.3">
      <c r="A138" s="79" t="s">
        <v>642</v>
      </c>
      <c r="B138" s="74" t="s">
        <v>643</v>
      </c>
      <c r="C138" s="74">
        <v>59.01</v>
      </c>
      <c r="D138" s="86" t="s">
        <v>644</v>
      </c>
      <c r="E138" s="76">
        <v>3.5000000000000001E-3</v>
      </c>
      <c r="F138" s="74">
        <v>0.61</v>
      </c>
      <c r="G138" s="78">
        <v>96500000</v>
      </c>
      <c r="H138" s="3" t="b">
        <f t="shared" si="4"/>
        <v>0</v>
      </c>
      <c r="I138" s="26">
        <f>Table1356[[#This Row],[Tech]]*$T$7+Table1356[[#This Row],[Beta]]*($T$6-$T$8)+$T$8</f>
        <v>7.5196000000000013E-2</v>
      </c>
      <c r="J138" s="64">
        <v>0</v>
      </c>
      <c r="K138" s="61">
        <f>Table1356[[#This Row],[Investment]]/Table1356[[#This Row],[Dollar Volume]]</f>
        <v>0</v>
      </c>
      <c r="L138" s="34">
        <f>IFERROR(MAX($T$11+$T$12*LN(Table1356[[#This Row],[Frac ADV]]),0),0)*0.0001+0.005/Table1356[[#This Row],[Stock Price]]+Table1356[[#This Row],[Expense Ratio]]</f>
        <v>3.5847314014573802E-3</v>
      </c>
      <c r="M138" s="68">
        <f>(Table1356[[#This Row],[Expected Return]]-Table1356[[#This Row],[Tcosts]])*Table1356[[#This Row],[Investment]]</f>
        <v>0</v>
      </c>
      <c r="Q138" s="13" t="s">
        <v>633</v>
      </c>
    </row>
    <row r="139" spans="1:17" ht="15.6" x14ac:dyDescent="0.3">
      <c r="A139" s="79" t="s">
        <v>618</v>
      </c>
      <c r="B139" s="74" t="s">
        <v>619</v>
      </c>
      <c r="C139" s="74">
        <v>53.98</v>
      </c>
      <c r="D139" s="86" t="s">
        <v>620</v>
      </c>
      <c r="E139" s="76">
        <v>8.0000000000000004E-4</v>
      </c>
      <c r="F139" s="74">
        <v>0.63</v>
      </c>
      <c r="G139" s="78">
        <v>93410000</v>
      </c>
      <c r="H139" s="3" t="b">
        <f t="shared" si="4"/>
        <v>0</v>
      </c>
      <c r="I139" s="26">
        <f>Table1356[[#This Row],[Tech]]*$T$7+Table1356[[#This Row],[Beta]]*($T$6-$T$8)+$T$8</f>
        <v>7.6468000000000008E-2</v>
      </c>
      <c r="J139" s="64">
        <v>0</v>
      </c>
      <c r="K139" s="61">
        <f>Table1356[[#This Row],[Investment]]/Table1356[[#This Row],[Dollar Volume]]</f>
        <v>0</v>
      </c>
      <c r="L139" s="34">
        <f>IFERROR(MAX($T$11+$T$12*LN(Table1356[[#This Row],[Frac ADV]]),0),0)*0.0001+0.005/Table1356[[#This Row],[Stock Price]]+Table1356[[#This Row],[Expense Ratio]]</f>
        <v>8.9262689885142655E-4</v>
      </c>
      <c r="M139" s="68">
        <f>(Table1356[[#This Row],[Expected Return]]-Table1356[[#This Row],[Tcosts]])*Table1356[[#This Row],[Investment]]</f>
        <v>0</v>
      </c>
      <c r="Q139" s="16" t="s">
        <v>637</v>
      </c>
    </row>
    <row r="140" spans="1:17" ht="15.6" x14ac:dyDescent="0.3">
      <c r="A140" s="77" t="s">
        <v>646</v>
      </c>
      <c r="B140" s="73" t="s">
        <v>647</v>
      </c>
      <c r="C140" s="73">
        <v>287.81</v>
      </c>
      <c r="D140" s="85" t="s">
        <v>648</v>
      </c>
      <c r="E140" s="75">
        <v>8.9999999999999998E-4</v>
      </c>
      <c r="F140" s="73">
        <v>0.53</v>
      </c>
      <c r="G140" s="78">
        <v>437940000</v>
      </c>
      <c r="H140" s="3" t="b">
        <f t="shared" si="4"/>
        <v>0</v>
      </c>
      <c r="I140" s="26">
        <f>Table1356[[#This Row],[Tech]]*$T$7+Table1356[[#This Row],[Beta]]*($T$6-$T$8)+$T$8</f>
        <v>7.0108000000000004E-2</v>
      </c>
      <c r="J140" s="64">
        <v>0</v>
      </c>
      <c r="K140" s="61">
        <f>Table1356[[#This Row],[Investment]]/Table1356[[#This Row],[Dollar Volume]]</f>
        <v>0</v>
      </c>
      <c r="L140" s="34">
        <f>IFERROR(MAX($T$11+$T$12*LN(Table1356[[#This Row],[Frac ADV]]),0),0)*0.0001+0.005/Table1356[[#This Row],[Stock Price]]+Table1356[[#This Row],[Expense Ratio]]</f>
        <v>9.1737257218303734E-4</v>
      </c>
      <c r="M140" s="68">
        <f>(Table1356[[#This Row],[Expected Return]]-Table1356[[#This Row],[Tcosts]])*Table1356[[#This Row],[Investment]]</f>
        <v>0</v>
      </c>
      <c r="Q140" s="13" t="s">
        <v>641</v>
      </c>
    </row>
    <row r="141" spans="1:17" ht="15.6" x14ac:dyDescent="0.3">
      <c r="A141" s="77" t="s">
        <v>610</v>
      </c>
      <c r="B141" s="73" t="s">
        <v>611</v>
      </c>
      <c r="C141" s="73">
        <v>138.38999999999999</v>
      </c>
      <c r="D141" s="85" t="s">
        <v>612</v>
      </c>
      <c r="E141" s="75">
        <v>8.0000000000000004E-4</v>
      </c>
      <c r="F141" s="73">
        <v>0.35</v>
      </c>
      <c r="G141" s="78">
        <v>3150000000</v>
      </c>
      <c r="H141" s="3" t="b">
        <f t="shared" si="4"/>
        <v>0</v>
      </c>
      <c r="I141" s="26">
        <f>Table1356[[#This Row],[Tech]]*$T$7+Table1356[[#This Row],[Beta]]*($T$6-$T$8)+$T$8</f>
        <v>5.8660000000000004E-2</v>
      </c>
      <c r="J141" s="64">
        <v>0</v>
      </c>
      <c r="K141" s="61">
        <f>Table1356[[#This Row],[Investment]]/Table1356[[#This Row],[Dollar Volume]]</f>
        <v>0</v>
      </c>
      <c r="L141" s="34">
        <f>IFERROR(MAX($T$11+$T$12*LN(Table1356[[#This Row],[Frac ADV]]),0),0)*0.0001+0.005/Table1356[[#This Row],[Stock Price]]+Table1356[[#This Row],[Expense Ratio]]</f>
        <v>8.3612977816316207E-4</v>
      </c>
      <c r="M141" s="68">
        <f>(Table1356[[#This Row],[Expected Return]]-Table1356[[#This Row],[Tcosts]])*Table1356[[#This Row],[Investment]]</f>
        <v>0</v>
      </c>
      <c r="Q141" s="16" t="s">
        <v>645</v>
      </c>
    </row>
    <row r="142" spans="1:17" ht="15.6" x14ac:dyDescent="0.3">
      <c r="A142" s="77" t="s">
        <v>654</v>
      </c>
      <c r="B142" s="73" t="s">
        <v>655</v>
      </c>
      <c r="C142" s="73">
        <v>113.28</v>
      </c>
      <c r="D142" s="85" t="s">
        <v>656</v>
      </c>
      <c r="E142" s="75">
        <v>3.5000000000000001E-3</v>
      </c>
      <c r="F142" s="73">
        <v>0.52</v>
      </c>
      <c r="G142" s="78">
        <v>273110000</v>
      </c>
      <c r="H142" s="3" t="b">
        <f t="shared" si="4"/>
        <v>0</v>
      </c>
      <c r="I142" s="26">
        <f>Table1356[[#This Row],[Tech]]*$T$7+Table1356[[#This Row],[Beta]]*($T$6-$T$8)+$T$8</f>
        <v>6.9472000000000006E-2</v>
      </c>
      <c r="J142" s="64">
        <v>0</v>
      </c>
      <c r="K142" s="61">
        <f>Table1356[[#This Row],[Investment]]/Table1356[[#This Row],[Dollar Volume]]</f>
        <v>0</v>
      </c>
      <c r="L142" s="34">
        <f>IFERROR(MAX($T$11+$T$12*LN(Table1356[[#This Row],[Frac ADV]]),0),0)*0.0001+0.005/Table1356[[#This Row],[Stock Price]]+Table1356[[#This Row],[Expense Ratio]]</f>
        <v>3.5441384180790961E-3</v>
      </c>
      <c r="M142" s="68">
        <f>(Table1356[[#This Row],[Expected Return]]-Table1356[[#This Row],[Tcosts]])*Table1356[[#This Row],[Investment]]</f>
        <v>0</v>
      </c>
      <c r="Q142" s="13" t="s">
        <v>649</v>
      </c>
    </row>
    <row r="143" spans="1:17" ht="15.6" x14ac:dyDescent="0.3">
      <c r="A143" s="79" t="s">
        <v>420</v>
      </c>
      <c r="B143" s="74" t="s">
        <v>421</v>
      </c>
      <c r="C143" s="74">
        <v>99.55</v>
      </c>
      <c r="D143" s="86" t="s">
        <v>422</v>
      </c>
      <c r="E143" s="76">
        <v>6.9999999999999999E-4</v>
      </c>
      <c r="F143" s="74">
        <v>0.56000000000000005</v>
      </c>
      <c r="G143" s="78">
        <v>251580000</v>
      </c>
      <c r="H143" s="3" t="b">
        <f t="shared" si="4"/>
        <v>0</v>
      </c>
      <c r="I143" s="26">
        <f>Table1356[[#This Row],[Tech]]*$T$7+Table1356[[#This Row],[Beta]]*($T$6-$T$8)+$T$8</f>
        <v>7.2016000000000011E-2</v>
      </c>
      <c r="J143" s="64">
        <v>0</v>
      </c>
      <c r="K143" s="61">
        <f>Table1356[[#This Row],[Investment]]/Table1356[[#This Row],[Dollar Volume]]</f>
        <v>0</v>
      </c>
      <c r="L143" s="34">
        <f>IFERROR(MAX($T$11+$T$12*LN(Table1356[[#This Row],[Frac ADV]]),0),0)*0.0001+0.005/Table1356[[#This Row],[Stock Price]]+Table1356[[#This Row],[Expense Ratio]]</f>
        <v>7.5022601707684579E-4</v>
      </c>
      <c r="M143" s="68">
        <f>(Table1356[[#This Row],[Expected Return]]-Table1356[[#This Row],[Tcosts]])*Table1356[[#This Row],[Investment]]</f>
        <v>0</v>
      </c>
      <c r="Q143" s="16" t="s">
        <v>653</v>
      </c>
    </row>
    <row r="144" spans="1:17" ht="15.6" x14ac:dyDescent="0.3">
      <c r="A144" s="77" t="s">
        <v>673</v>
      </c>
      <c r="B144" s="73" t="s">
        <v>674</v>
      </c>
      <c r="C144" s="73">
        <v>31.34</v>
      </c>
      <c r="D144" s="85" t="s">
        <v>675</v>
      </c>
      <c r="E144" s="75">
        <v>5.9999999999999995E-4</v>
      </c>
      <c r="F144" s="73">
        <v>0.55000000000000004</v>
      </c>
      <c r="G144" s="78">
        <v>87610000</v>
      </c>
      <c r="H144" s="3" t="b">
        <f t="shared" si="4"/>
        <v>0</v>
      </c>
      <c r="I144" s="26">
        <f>Table1356[[#This Row],[Tech]]*$T$7+Table1356[[#This Row],[Beta]]*($T$6-$T$8)+$T$8</f>
        <v>7.1379999999999999E-2</v>
      </c>
      <c r="J144" s="64">
        <v>0</v>
      </c>
      <c r="K144" s="61">
        <f>Table1356[[#This Row],[Investment]]/Table1356[[#This Row],[Dollar Volume]]</f>
        <v>0</v>
      </c>
      <c r="L144" s="34">
        <f>IFERROR(MAX($T$11+$T$12*LN(Table1356[[#This Row],[Frac ADV]]),0),0)*0.0001+0.005/Table1356[[#This Row],[Stock Price]]+Table1356[[#This Row],[Expense Ratio]]</f>
        <v>7.5954052329291633E-4</v>
      </c>
      <c r="M144" s="68">
        <f>(Table1356[[#This Row],[Expected Return]]-Table1356[[#This Row],[Tcosts]])*Table1356[[#This Row],[Investment]]</f>
        <v>0</v>
      </c>
      <c r="Q144" s="13" t="s">
        <v>657</v>
      </c>
    </row>
    <row r="145" spans="1:17" ht="15.6" x14ac:dyDescent="0.3">
      <c r="A145" s="79" t="s">
        <v>665</v>
      </c>
      <c r="B145" s="74" t="s">
        <v>666</v>
      </c>
      <c r="C145" s="74">
        <v>98.28</v>
      </c>
      <c r="D145" s="86" t="s">
        <v>667</v>
      </c>
      <c r="E145" s="76">
        <v>5.1000000000000004E-3</v>
      </c>
      <c r="F145" s="74">
        <v>0.53</v>
      </c>
      <c r="G145" s="78">
        <v>178060000</v>
      </c>
      <c r="H145" s="3" t="b">
        <f t="shared" si="4"/>
        <v>0</v>
      </c>
      <c r="I145" s="26">
        <f>Table1356[[#This Row],[Tech]]*$T$7+Table1356[[#This Row],[Beta]]*($T$6-$T$8)+$T$8</f>
        <v>7.0108000000000004E-2</v>
      </c>
      <c r="J145" s="64">
        <v>0</v>
      </c>
      <c r="K145" s="61">
        <f>Table1356[[#This Row],[Investment]]/Table1356[[#This Row],[Dollar Volume]]</f>
        <v>0</v>
      </c>
      <c r="L145" s="34">
        <f>IFERROR(MAX($T$11+$T$12*LN(Table1356[[#This Row],[Frac ADV]]),0),0)*0.0001+0.005/Table1356[[#This Row],[Stock Price]]+Table1356[[#This Row],[Expense Ratio]]</f>
        <v>5.1508750508750516E-3</v>
      </c>
      <c r="M145" s="68">
        <f>(Table1356[[#This Row],[Expected Return]]-Table1356[[#This Row],[Tcosts]])*Table1356[[#This Row],[Investment]]</f>
        <v>0</v>
      </c>
      <c r="Q145" s="16" t="s">
        <v>660</v>
      </c>
    </row>
    <row r="146" spans="1:17" ht="15.6" x14ac:dyDescent="0.3">
      <c r="A146" s="79" t="s">
        <v>681</v>
      </c>
      <c r="B146" s="74" t="s">
        <v>682</v>
      </c>
      <c r="C146" s="74">
        <v>95.19</v>
      </c>
      <c r="D146" s="86" t="s">
        <v>683</v>
      </c>
      <c r="E146" s="76">
        <v>1.5E-3</v>
      </c>
      <c r="F146" s="74">
        <v>0.49</v>
      </c>
      <c r="G146" s="78">
        <v>226700000</v>
      </c>
      <c r="H146" s="3" t="b">
        <f t="shared" si="4"/>
        <v>0</v>
      </c>
      <c r="I146" s="26">
        <f>Table1356[[#This Row],[Tech]]*$T$7+Table1356[[#This Row],[Beta]]*($T$6-$T$8)+$T$8</f>
        <v>6.7563999999999999E-2</v>
      </c>
      <c r="J146" s="64">
        <v>0</v>
      </c>
      <c r="K146" s="61">
        <f>Table1356[[#This Row],[Investment]]/Table1356[[#This Row],[Dollar Volume]]</f>
        <v>0</v>
      </c>
      <c r="L146" s="34">
        <f>IFERROR(MAX($T$11+$T$12*LN(Table1356[[#This Row],[Frac ADV]]),0),0)*0.0001+0.005/Table1356[[#This Row],[Stock Price]]+Table1356[[#This Row],[Expense Ratio]]</f>
        <v>1.5525265258955773E-3</v>
      </c>
      <c r="M146" s="68">
        <f>(Table1356[[#This Row],[Expected Return]]-Table1356[[#This Row],[Tcosts]])*Table1356[[#This Row],[Investment]]</f>
        <v>0</v>
      </c>
      <c r="Q146" s="13" t="s">
        <v>664</v>
      </c>
    </row>
    <row r="147" spans="1:17" ht="15.6" x14ac:dyDescent="0.3">
      <c r="A147" s="79" t="s">
        <v>626</v>
      </c>
      <c r="B147" s="74" t="s">
        <v>627</v>
      </c>
      <c r="C147" s="74">
        <v>50.27</v>
      </c>
      <c r="D147" s="86" t="s">
        <v>628</v>
      </c>
      <c r="E147" s="76">
        <v>8.5000000000000006E-3</v>
      </c>
      <c r="F147" s="74">
        <v>0.38</v>
      </c>
      <c r="G147" s="78">
        <v>126850000</v>
      </c>
      <c r="H147" s="3" t="b">
        <f t="shared" si="4"/>
        <v>0</v>
      </c>
      <c r="I147" s="26">
        <f>Table1356[[#This Row],[Tech]]*$T$7+Table1356[[#This Row],[Beta]]*($T$6-$T$8)+$T$8</f>
        <v>6.0568000000000004E-2</v>
      </c>
      <c r="J147" s="64">
        <v>0</v>
      </c>
      <c r="K147" s="61">
        <f>Table1356[[#This Row],[Investment]]/Table1356[[#This Row],[Dollar Volume]]</f>
        <v>0</v>
      </c>
      <c r="L147" s="34">
        <f>IFERROR(MAX($T$11+$T$12*LN(Table1356[[#This Row],[Frac ADV]]),0),0)*0.0001+0.005/Table1356[[#This Row],[Stock Price]]+Table1356[[#This Row],[Expense Ratio]]</f>
        <v>8.5994629003381742E-3</v>
      </c>
      <c r="M147" s="68">
        <f>(Table1356[[#This Row],[Expected Return]]-Table1356[[#This Row],[Tcosts]])*Table1356[[#This Row],[Investment]]</f>
        <v>0</v>
      </c>
      <c r="Q147" s="16" t="s">
        <v>668</v>
      </c>
    </row>
    <row r="148" spans="1:17" ht="15.6" x14ac:dyDescent="0.3">
      <c r="A148" s="77" t="s">
        <v>563</v>
      </c>
      <c r="B148" s="73" t="s">
        <v>564</v>
      </c>
      <c r="C148" s="73">
        <v>156</v>
      </c>
      <c r="D148" s="85" t="s">
        <v>565</v>
      </c>
      <c r="E148" s="75">
        <v>8.0000000000000004E-4</v>
      </c>
      <c r="F148" s="73">
        <v>0.47</v>
      </c>
      <c r="G148" s="78">
        <v>61790000</v>
      </c>
      <c r="H148" s="3" t="b">
        <f t="shared" si="4"/>
        <v>0</v>
      </c>
      <c r="I148" s="26">
        <f>Table1356[[#This Row],[Tech]]*$T$7+Table1356[[#This Row],[Beta]]*($T$6-$T$8)+$T$8</f>
        <v>6.6292000000000004E-2</v>
      </c>
      <c r="J148" s="64">
        <v>0</v>
      </c>
      <c r="K148" s="61">
        <f>Table1356[[#This Row],[Investment]]/Table1356[[#This Row],[Dollar Volume]]</f>
        <v>0</v>
      </c>
      <c r="L148" s="34">
        <f>IFERROR(MAX($T$11+$T$12*LN(Table1356[[#This Row],[Frac ADV]]),0),0)*0.0001+0.005/Table1356[[#This Row],[Stock Price]]+Table1356[[#This Row],[Expense Ratio]]</f>
        <v>8.3205128205128206E-4</v>
      </c>
      <c r="M148" s="68">
        <f>(Table1356[[#This Row],[Expected Return]]-Table1356[[#This Row],[Tcosts]])*Table1356[[#This Row],[Investment]]</f>
        <v>0</v>
      </c>
      <c r="Q148" s="13" t="s">
        <v>672</v>
      </c>
    </row>
    <row r="149" spans="1:17" ht="15.6" x14ac:dyDescent="0.3">
      <c r="A149" s="77" t="s">
        <v>677</v>
      </c>
      <c r="B149" s="73" t="s">
        <v>678</v>
      </c>
      <c r="C149" s="73">
        <v>154.11000000000001</v>
      </c>
      <c r="D149" s="85" t="s">
        <v>679</v>
      </c>
      <c r="E149" s="75">
        <v>3.5000000000000001E-3</v>
      </c>
      <c r="F149" s="73">
        <v>0.48</v>
      </c>
      <c r="G149" s="78">
        <v>722670000</v>
      </c>
      <c r="H149" s="3" t="b">
        <f t="shared" si="4"/>
        <v>0</v>
      </c>
      <c r="I149" s="26">
        <f>Table1356[[#This Row],[Tech]]*$T$7+Table1356[[#This Row],[Beta]]*($T$6-$T$8)+$T$8</f>
        <v>6.6928000000000001E-2</v>
      </c>
      <c r="J149" s="64">
        <v>0</v>
      </c>
      <c r="K149" s="61">
        <f>Table1356[[#This Row],[Investment]]/Table1356[[#This Row],[Dollar Volume]]</f>
        <v>0</v>
      </c>
      <c r="L149" s="34">
        <f>IFERROR(MAX($T$11+$T$12*LN(Table1356[[#This Row],[Frac ADV]]),0),0)*0.0001+0.005/Table1356[[#This Row],[Stock Price]]+Table1356[[#This Row],[Expense Ratio]]</f>
        <v>3.5324443579261566E-3</v>
      </c>
      <c r="M149" s="68">
        <f>(Table1356[[#This Row],[Expected Return]]-Table1356[[#This Row],[Tcosts]])*Table1356[[#This Row],[Investment]]</f>
        <v>0</v>
      </c>
      <c r="Q149" s="16" t="s">
        <v>676</v>
      </c>
    </row>
    <row r="150" spans="1:17" ht="15.6" x14ac:dyDescent="0.3">
      <c r="A150" s="77" t="s">
        <v>669</v>
      </c>
      <c r="B150" s="73" t="s">
        <v>670</v>
      </c>
      <c r="C150" s="73">
        <v>93.25</v>
      </c>
      <c r="D150" s="85" t="s">
        <v>671</v>
      </c>
      <c r="E150" s="75">
        <v>1.2999999999999999E-3</v>
      </c>
      <c r="F150" s="73">
        <v>0.42</v>
      </c>
      <c r="G150" s="78">
        <v>102790000</v>
      </c>
      <c r="H150" s="3" t="b">
        <f t="shared" si="4"/>
        <v>0</v>
      </c>
      <c r="I150" s="26">
        <f>Table1356[[#This Row],[Tech]]*$T$7+Table1356[[#This Row],[Beta]]*($T$6-$T$8)+$T$8</f>
        <v>6.3112000000000001E-2</v>
      </c>
      <c r="J150" s="64">
        <v>0</v>
      </c>
      <c r="K150" s="61">
        <f>Table1356[[#This Row],[Investment]]/Table1356[[#This Row],[Dollar Volume]]</f>
        <v>0</v>
      </c>
      <c r="L150" s="34">
        <f>IFERROR(MAX($T$11+$T$12*LN(Table1356[[#This Row],[Frac ADV]]),0),0)*0.0001+0.005/Table1356[[#This Row],[Stock Price]]+Table1356[[#This Row],[Expense Ratio]]</f>
        <v>1.3536193029490616E-3</v>
      </c>
      <c r="M150" s="68">
        <f>(Table1356[[#This Row],[Expected Return]]-Table1356[[#This Row],[Tcosts]])*Table1356[[#This Row],[Investment]]</f>
        <v>0</v>
      </c>
      <c r="Q150" s="13" t="s">
        <v>680</v>
      </c>
    </row>
    <row r="151" spans="1:17" ht="15.6" x14ac:dyDescent="0.3">
      <c r="A151" s="79" t="s">
        <v>658</v>
      </c>
      <c r="B151" s="74" t="s">
        <v>659</v>
      </c>
      <c r="C151" s="74">
        <v>45.25</v>
      </c>
      <c r="D151" s="86" t="s">
        <v>354</v>
      </c>
      <c r="E151" s="76">
        <v>8.0000000000000004E-4</v>
      </c>
      <c r="F151" s="74">
        <v>0.32</v>
      </c>
      <c r="G151" s="78">
        <v>72150000</v>
      </c>
      <c r="H151" s="3" t="b">
        <f t="shared" si="4"/>
        <v>0</v>
      </c>
      <c r="I151" s="26">
        <f>Table1356[[#This Row],[Tech]]*$T$7+Table1356[[#This Row],[Beta]]*($T$6-$T$8)+$T$8</f>
        <v>5.6752000000000004E-2</v>
      </c>
      <c r="J151" s="64">
        <v>0</v>
      </c>
      <c r="K151" s="61">
        <f>Table1356[[#This Row],[Investment]]/Table1356[[#This Row],[Dollar Volume]]</f>
        <v>0</v>
      </c>
      <c r="L151" s="34">
        <f>IFERROR(MAX($T$11+$T$12*LN(Table1356[[#This Row],[Frac ADV]]),0),0)*0.0001+0.005/Table1356[[#This Row],[Stock Price]]+Table1356[[#This Row],[Expense Ratio]]</f>
        <v>9.104972375690608E-4</v>
      </c>
      <c r="M151" s="68">
        <f>(Table1356[[#This Row],[Expected Return]]-Table1356[[#This Row],[Tcosts]])*Table1356[[#This Row],[Investment]]</f>
        <v>0</v>
      </c>
      <c r="Q151" s="16" t="s">
        <v>684</v>
      </c>
    </row>
    <row r="152" spans="1:17" ht="15.6" x14ac:dyDescent="0.3">
      <c r="A152" s="77" t="s">
        <v>709</v>
      </c>
      <c r="B152" s="73" t="s">
        <v>710</v>
      </c>
      <c r="C152" s="73">
        <v>31.48</v>
      </c>
      <c r="D152" s="85" t="s">
        <v>711</v>
      </c>
      <c r="E152" s="75">
        <v>4.4999999999999997E-3</v>
      </c>
      <c r="F152" s="73">
        <v>0.33</v>
      </c>
      <c r="G152" s="78">
        <v>157240000</v>
      </c>
      <c r="H152" s="3" t="b">
        <f t="shared" si="4"/>
        <v>0</v>
      </c>
      <c r="I152" s="26">
        <f>Table1356[[#This Row],[Tech]]*$T$7+Table1356[[#This Row],[Beta]]*($T$6-$T$8)+$T$8</f>
        <v>5.7388000000000008E-2</v>
      </c>
      <c r="J152" s="64">
        <v>0</v>
      </c>
      <c r="K152" s="61">
        <f>Table1356[[#This Row],[Investment]]/Table1356[[#This Row],[Dollar Volume]]</f>
        <v>0</v>
      </c>
      <c r="L152" s="34">
        <f>IFERROR(MAX($T$11+$T$12*LN(Table1356[[#This Row],[Frac ADV]]),0),0)*0.0001+0.005/Table1356[[#This Row],[Stock Price]]+Table1356[[#This Row],[Expense Ratio]]</f>
        <v>4.6588310038119434E-3</v>
      </c>
      <c r="M152" s="68">
        <f>(Table1356[[#This Row],[Expected Return]]-Table1356[[#This Row],[Tcosts]])*Table1356[[#This Row],[Investment]]</f>
        <v>0</v>
      </c>
      <c r="Q152" s="13" t="s">
        <v>688</v>
      </c>
    </row>
    <row r="153" spans="1:17" ht="15.6" x14ac:dyDescent="0.3">
      <c r="A153" s="79" t="s">
        <v>685</v>
      </c>
      <c r="B153" s="74" t="s">
        <v>686</v>
      </c>
      <c r="C153" s="74">
        <v>89.21</v>
      </c>
      <c r="D153" s="86" t="s">
        <v>687</v>
      </c>
      <c r="E153" s="76">
        <v>8.0000000000000004E-4</v>
      </c>
      <c r="F153" s="74">
        <v>0.21</v>
      </c>
      <c r="G153" s="78">
        <v>113530000</v>
      </c>
      <c r="H153" s="3" t="b">
        <f t="shared" si="4"/>
        <v>0</v>
      </c>
      <c r="I153" s="26">
        <f>Table1356[[#This Row],[Tech]]*$T$7+Table1356[[#This Row],[Beta]]*($T$6-$T$8)+$T$8</f>
        <v>4.9756000000000002E-2</v>
      </c>
      <c r="J153" s="64">
        <v>0</v>
      </c>
      <c r="K153" s="61">
        <f>Table1356[[#This Row],[Investment]]/Table1356[[#This Row],[Dollar Volume]]</f>
        <v>0</v>
      </c>
      <c r="L153" s="34">
        <f>IFERROR(MAX($T$11+$T$12*LN(Table1356[[#This Row],[Frac ADV]]),0),0)*0.0001+0.005/Table1356[[#This Row],[Stock Price]]+Table1356[[#This Row],[Expense Ratio]]</f>
        <v>8.5604752830400186E-4</v>
      </c>
      <c r="M153" s="68">
        <f>(Table1356[[#This Row],[Expected Return]]-Table1356[[#This Row],[Tcosts]])*Table1356[[#This Row],[Investment]]</f>
        <v>0</v>
      </c>
      <c r="Q153" s="16" t="s">
        <v>692</v>
      </c>
    </row>
    <row r="154" spans="1:17" ht="15.6" x14ac:dyDescent="0.3">
      <c r="A154" s="79" t="s">
        <v>689</v>
      </c>
      <c r="B154" s="74" t="s">
        <v>690</v>
      </c>
      <c r="C154" s="74">
        <v>80.790000000000006</v>
      </c>
      <c r="D154" s="86" t="s">
        <v>691</v>
      </c>
      <c r="E154" s="76">
        <v>4.8999999999999998E-3</v>
      </c>
      <c r="F154" s="74">
        <v>0.2</v>
      </c>
      <c r="G154" s="78">
        <v>112700000</v>
      </c>
      <c r="H154" s="3" t="b">
        <f t="shared" si="4"/>
        <v>0</v>
      </c>
      <c r="I154" s="26">
        <f>Table1356[[#This Row],[Tech]]*$T$7+Table1356[[#This Row],[Beta]]*($T$6-$T$8)+$T$8</f>
        <v>4.9120000000000004E-2</v>
      </c>
      <c r="J154" s="64">
        <v>0</v>
      </c>
      <c r="K154" s="61">
        <f>Table1356[[#This Row],[Investment]]/Table1356[[#This Row],[Dollar Volume]]</f>
        <v>0</v>
      </c>
      <c r="L154" s="34">
        <f>IFERROR(MAX($T$11+$T$12*LN(Table1356[[#This Row],[Frac ADV]]),0),0)*0.0001+0.005/Table1356[[#This Row],[Stock Price]]+Table1356[[#This Row],[Expense Ratio]]</f>
        <v>4.9618888476296568E-3</v>
      </c>
      <c r="M154" s="68">
        <f>(Table1356[[#This Row],[Expected Return]]-Table1356[[#This Row],[Tcosts]])*Table1356[[#This Row],[Investment]]</f>
        <v>0</v>
      </c>
      <c r="Q154" s="13" t="s">
        <v>696</v>
      </c>
    </row>
    <row r="155" spans="1:17" ht="15.6" x14ac:dyDescent="0.3">
      <c r="A155" s="77" t="s">
        <v>693</v>
      </c>
      <c r="B155" s="73" t="s">
        <v>694</v>
      </c>
      <c r="C155" s="73">
        <v>37.450000000000003</v>
      </c>
      <c r="D155" s="85" t="s">
        <v>695</v>
      </c>
      <c r="E155" s="75">
        <v>8.0000000000000004E-4</v>
      </c>
      <c r="F155" s="73">
        <v>0.21</v>
      </c>
      <c r="G155" s="78">
        <v>76130000</v>
      </c>
      <c r="H155" s="3" t="b">
        <f t="shared" si="4"/>
        <v>0</v>
      </c>
      <c r="I155" s="26">
        <f>Table1356[[#This Row],[Tech]]*$T$7+Table1356[[#This Row],[Beta]]*($T$6-$T$8)+$T$8</f>
        <v>4.9756000000000002E-2</v>
      </c>
      <c r="J155" s="64">
        <v>0</v>
      </c>
      <c r="K155" s="61">
        <f>Table1356[[#This Row],[Investment]]/Table1356[[#This Row],[Dollar Volume]]</f>
        <v>0</v>
      </c>
      <c r="L155" s="34">
        <f>IFERROR(MAX($T$11+$T$12*LN(Table1356[[#This Row],[Frac ADV]]),0),0)*0.0001+0.005/Table1356[[#This Row],[Stock Price]]+Table1356[[#This Row],[Expense Ratio]]</f>
        <v>9.3351134846461951E-4</v>
      </c>
      <c r="M155" s="68">
        <f>(Table1356[[#This Row],[Expected Return]]-Table1356[[#This Row],[Tcosts]])*Table1356[[#This Row],[Investment]]</f>
        <v>0</v>
      </c>
      <c r="Q155" s="16" t="s">
        <v>700</v>
      </c>
    </row>
    <row r="156" spans="1:17" ht="15.6" x14ac:dyDescent="0.3">
      <c r="A156" s="79" t="s">
        <v>697</v>
      </c>
      <c r="B156" s="74" t="s">
        <v>698</v>
      </c>
      <c r="C156" s="74">
        <v>50.71</v>
      </c>
      <c r="D156" s="86" t="s">
        <v>699</v>
      </c>
      <c r="E156" s="76">
        <v>2E-3</v>
      </c>
      <c r="F156" s="74">
        <v>0.05</v>
      </c>
      <c r="G156" s="78">
        <v>117390000</v>
      </c>
      <c r="H156" s="3" t="b">
        <f t="shared" si="4"/>
        <v>0</v>
      </c>
      <c r="I156" s="26">
        <f>Table1356[[#This Row],[Tech]]*$T$7+Table1356[[#This Row],[Beta]]*($T$6-$T$8)+$T$8</f>
        <v>3.9580000000000004E-2</v>
      </c>
      <c r="J156" s="64">
        <v>0</v>
      </c>
      <c r="K156" s="61">
        <f>Table1356[[#This Row],[Investment]]/Table1356[[#This Row],[Dollar Volume]]</f>
        <v>0</v>
      </c>
      <c r="L156" s="34">
        <f>IFERROR(MAX($T$11+$T$12*LN(Table1356[[#This Row],[Frac ADV]]),0),0)*0.0001+0.005/Table1356[[#This Row],[Stock Price]]+Table1356[[#This Row],[Expense Ratio]]</f>
        <v>2.0985998816801421E-3</v>
      </c>
      <c r="M156" s="68">
        <f>(Table1356[[#This Row],[Expected Return]]-Table1356[[#This Row],[Tcosts]])*Table1356[[#This Row],[Investment]]</f>
        <v>0</v>
      </c>
      <c r="Q156" s="13" t="s">
        <v>704</v>
      </c>
    </row>
    <row r="157" spans="1:17" ht="15.6" x14ac:dyDescent="0.3">
      <c r="A157" s="79" t="s">
        <v>739</v>
      </c>
      <c r="B157" s="74" t="s">
        <v>740</v>
      </c>
      <c r="C157" s="74">
        <v>50.47</v>
      </c>
      <c r="D157" s="86" t="s">
        <v>741</v>
      </c>
      <c r="E157" s="76">
        <v>6.9999999999999999E-4</v>
      </c>
      <c r="F157" s="74">
        <v>-0.01</v>
      </c>
      <c r="G157" s="78">
        <v>202270000</v>
      </c>
      <c r="H157" s="3" t="b">
        <f t="shared" si="4"/>
        <v>0</v>
      </c>
      <c r="I157" s="26">
        <f>Table1356[[#This Row],[Tech]]*$T$7+Table1356[[#This Row],[Beta]]*($T$6-$T$8)+$T$8</f>
        <v>3.5764000000000004E-2</v>
      </c>
      <c r="J157" s="64">
        <v>0</v>
      </c>
      <c r="K157" s="61">
        <f>Table1356[[#This Row],[Investment]]/Table1356[[#This Row],[Dollar Volume]]</f>
        <v>0</v>
      </c>
      <c r="L157" s="34">
        <f>IFERROR(MAX($T$11+$T$12*LN(Table1356[[#This Row],[Frac ADV]]),0),0)*0.0001+0.005/Table1356[[#This Row],[Stock Price]]+Table1356[[#This Row],[Expense Ratio]]</f>
        <v>7.9906875371507831E-4</v>
      </c>
      <c r="M157" s="68">
        <f>(Table1356[[#This Row],[Expected Return]]-Table1356[[#This Row],[Tcosts]])*Table1356[[#This Row],[Investment]]</f>
        <v>0</v>
      </c>
      <c r="Q157" s="16" t="s">
        <v>708</v>
      </c>
    </row>
    <row r="158" spans="1:17" ht="15.6" x14ac:dyDescent="0.3">
      <c r="A158" s="79" t="s">
        <v>705</v>
      </c>
      <c r="B158" s="74" t="s">
        <v>706</v>
      </c>
      <c r="C158" s="74">
        <v>97.25</v>
      </c>
      <c r="D158" s="86" t="s">
        <v>707</v>
      </c>
      <c r="E158" s="76">
        <v>3.8999999999999998E-3</v>
      </c>
      <c r="F158" s="74">
        <v>0.14000000000000001</v>
      </c>
      <c r="G158" s="78">
        <v>150780000</v>
      </c>
      <c r="H158" s="3" t="b">
        <f t="shared" si="4"/>
        <v>0</v>
      </c>
      <c r="I158" s="26">
        <f>Table1356[[#This Row],[Tech]]*$T$7+Table1356[[#This Row],[Beta]]*($T$6-$T$8)+$T$8</f>
        <v>4.5304000000000004E-2</v>
      </c>
      <c r="J158" s="64">
        <v>0</v>
      </c>
      <c r="K158" s="61">
        <f>Table1356[[#This Row],[Investment]]/Table1356[[#This Row],[Dollar Volume]]</f>
        <v>0</v>
      </c>
      <c r="L158" s="34">
        <f>IFERROR(MAX($T$11+$T$12*LN(Table1356[[#This Row],[Frac ADV]]),0),0)*0.0001+0.005/Table1356[[#This Row],[Stock Price]]+Table1356[[#This Row],[Expense Ratio]]</f>
        <v>3.9514138817480721E-3</v>
      </c>
      <c r="M158" s="68">
        <f>(Table1356[[#This Row],[Expected Return]]-Table1356[[#This Row],[Tcosts]])*Table1356[[#This Row],[Investment]]</f>
        <v>0</v>
      </c>
      <c r="Q158" s="13" t="s">
        <v>712</v>
      </c>
    </row>
    <row r="159" spans="1:17" ht="15.6" x14ac:dyDescent="0.3">
      <c r="A159" s="77" t="s">
        <v>783</v>
      </c>
      <c r="B159" s="73" t="s">
        <v>784</v>
      </c>
      <c r="C159" s="73">
        <v>54.2</v>
      </c>
      <c r="D159" s="85" t="s">
        <v>785</v>
      </c>
      <c r="E159" s="75">
        <v>4.0000000000000002E-4</v>
      </c>
      <c r="F159" s="73">
        <v>-0.01</v>
      </c>
      <c r="G159" s="78">
        <v>34700000</v>
      </c>
      <c r="H159" s="3" t="b">
        <f t="shared" si="4"/>
        <v>0</v>
      </c>
      <c r="I159" s="26">
        <f>Table1356[[#This Row],[Tech]]*$T$7+Table1356[[#This Row],[Beta]]*($T$6-$T$8)+$T$8</f>
        <v>3.5764000000000004E-2</v>
      </c>
      <c r="J159" s="64">
        <v>0</v>
      </c>
      <c r="K159" s="61">
        <f>Table1356[[#This Row],[Investment]]/Table1356[[#This Row],[Dollar Volume]]</f>
        <v>0</v>
      </c>
      <c r="L159" s="34">
        <f>IFERROR(MAX($T$11+$T$12*LN(Table1356[[#This Row],[Frac ADV]]),0),0)*0.0001+0.005/Table1356[[#This Row],[Stock Price]]+Table1356[[#This Row],[Expense Ratio]]</f>
        <v>4.9225092250922511E-4</v>
      </c>
      <c r="M159" s="68">
        <f>(Table1356[[#This Row],[Expected Return]]-Table1356[[#This Row],[Tcosts]])*Table1356[[#This Row],[Investment]]</f>
        <v>0</v>
      </c>
      <c r="Q159" s="16" t="s">
        <v>716</v>
      </c>
    </row>
    <row r="160" spans="1:17" ht="15.6" x14ac:dyDescent="0.3">
      <c r="A160" s="77" t="s">
        <v>736</v>
      </c>
      <c r="B160" s="73" t="s">
        <v>737</v>
      </c>
      <c r="C160" s="73">
        <v>50.68</v>
      </c>
      <c r="D160" s="85" t="s">
        <v>738</v>
      </c>
      <c r="E160" s="75">
        <v>1.8E-3</v>
      </c>
      <c r="F160" s="73">
        <v>0.01</v>
      </c>
      <c r="G160" s="78">
        <v>61090000</v>
      </c>
      <c r="H160" s="3" t="b">
        <f t="shared" si="4"/>
        <v>0</v>
      </c>
      <c r="I160" s="26">
        <f>Table1356[[#This Row],[Tech]]*$T$7+Table1356[[#This Row],[Beta]]*($T$6-$T$8)+$T$8</f>
        <v>3.7035999999999999E-2</v>
      </c>
      <c r="J160" s="64">
        <v>0</v>
      </c>
      <c r="K160" s="61">
        <f>Table1356[[#This Row],[Investment]]/Table1356[[#This Row],[Dollar Volume]]</f>
        <v>0</v>
      </c>
      <c r="L160" s="34">
        <f>IFERROR(MAX($T$11+$T$12*LN(Table1356[[#This Row],[Frac ADV]]),0),0)*0.0001+0.005/Table1356[[#This Row],[Stock Price]]+Table1356[[#This Row],[Expense Ratio]]</f>
        <v>1.8986582478295185E-3</v>
      </c>
      <c r="M160" s="68">
        <f>(Table1356[[#This Row],[Expected Return]]-Table1356[[#This Row],[Tcosts]])*Table1356[[#This Row],[Investment]]</f>
        <v>0</v>
      </c>
      <c r="Q160" s="13" t="s">
        <v>720</v>
      </c>
    </row>
    <row r="161" spans="1:17" ht="15.6" x14ac:dyDescent="0.3">
      <c r="A161" s="77" t="s">
        <v>815</v>
      </c>
      <c r="B161" s="73" t="s">
        <v>816</v>
      </c>
      <c r="C161" s="73">
        <v>49.68</v>
      </c>
      <c r="D161" s="85" t="s">
        <v>817</v>
      </c>
      <c r="E161" s="75">
        <v>1.5E-3</v>
      </c>
      <c r="F161" s="73">
        <v>0.02</v>
      </c>
      <c r="G161" s="78">
        <v>130580000</v>
      </c>
      <c r="H161" s="3" t="b">
        <f t="shared" si="4"/>
        <v>0</v>
      </c>
      <c r="I161" s="26">
        <f>Table1356[[#This Row],[Tech]]*$T$7+Table1356[[#This Row],[Beta]]*($T$6-$T$8)+$T$8</f>
        <v>3.7672000000000004E-2</v>
      </c>
      <c r="J161" s="64">
        <v>0</v>
      </c>
      <c r="K161" s="61">
        <f>Table1356[[#This Row],[Investment]]/Table1356[[#This Row],[Dollar Volume]]</f>
        <v>0</v>
      </c>
      <c r="L161" s="34">
        <f>IFERROR(MAX($T$11+$T$12*LN(Table1356[[#This Row],[Frac ADV]]),0),0)*0.0001+0.005/Table1356[[#This Row],[Stock Price]]+Table1356[[#This Row],[Expense Ratio]]</f>
        <v>1.6006441223832529E-3</v>
      </c>
      <c r="M161" s="68">
        <f>(Table1356[[#This Row],[Expected Return]]-Table1356[[#This Row],[Tcosts]])*Table1356[[#This Row],[Investment]]</f>
        <v>0</v>
      </c>
      <c r="Q161" s="16" t="s">
        <v>723</v>
      </c>
    </row>
    <row r="162" spans="1:17" ht="15.6" x14ac:dyDescent="0.3">
      <c r="A162" s="79" t="s">
        <v>771</v>
      </c>
      <c r="B162" s="74" t="s">
        <v>772</v>
      </c>
      <c r="C162" s="74">
        <v>24.39</v>
      </c>
      <c r="D162" s="86" t="s">
        <v>773</v>
      </c>
      <c r="E162" s="76">
        <v>2.9999999999999997E-4</v>
      </c>
      <c r="F162" s="74">
        <v>-0.02</v>
      </c>
      <c r="G162" s="78">
        <v>462550000</v>
      </c>
      <c r="H162" s="3" t="b">
        <f t="shared" ref="H162:H193" si="5">OR(
  ISNUMBER(SEARCH("technology",B162)),
  ISNUMBER(SEARCH("tech",B162)),
  ISNUMBER(SEARCH("qqq",B162)),
  ISNUMBER(SEARCH("semiconductor",B162)),
  ISNUMBER(SEARCH("information technology",B162)),
  ISNUMBER(SEARCH("nasdaq",B162)),
  ISNUMBER(SEARCH("communication",B162))
)</f>
        <v>0</v>
      </c>
      <c r="I162" s="26">
        <f>Table1356[[#This Row],[Tech]]*$T$7+Table1356[[#This Row],[Beta]]*($T$6-$T$8)+$T$8</f>
        <v>3.5128E-2</v>
      </c>
      <c r="J162" s="64">
        <v>0</v>
      </c>
      <c r="K162" s="61">
        <f>Table1356[[#This Row],[Investment]]/Table1356[[#This Row],[Dollar Volume]]</f>
        <v>0</v>
      </c>
      <c r="L162" s="34">
        <f>IFERROR(MAX($T$11+$T$12*LN(Table1356[[#This Row],[Frac ADV]]),0),0)*0.0001+0.005/Table1356[[#This Row],[Stock Price]]+Table1356[[#This Row],[Expense Ratio]]</f>
        <v>5.0500205002050017E-4</v>
      </c>
      <c r="M162" s="68">
        <f>(Table1356[[#This Row],[Expected Return]]-Table1356[[#This Row],[Tcosts]])*Table1356[[#This Row],[Investment]]</f>
        <v>0</v>
      </c>
      <c r="Q162" s="13" t="s">
        <v>727</v>
      </c>
    </row>
    <row r="163" spans="1:17" ht="15.6" x14ac:dyDescent="0.3">
      <c r="A163" s="77" t="s">
        <v>866</v>
      </c>
      <c r="B163" s="73" t="s">
        <v>867</v>
      </c>
      <c r="C163" s="73">
        <v>74.66</v>
      </c>
      <c r="D163" s="85" t="s">
        <v>868</v>
      </c>
      <c r="E163" s="75">
        <v>2.9999999999999997E-4</v>
      </c>
      <c r="F163" s="73">
        <v>-0.05</v>
      </c>
      <c r="G163" s="78">
        <v>80470000</v>
      </c>
      <c r="H163" s="3" t="b">
        <f t="shared" si="5"/>
        <v>0</v>
      </c>
      <c r="I163" s="26">
        <f>Table1356[[#This Row],[Tech]]*$T$7+Table1356[[#This Row],[Beta]]*($T$6-$T$8)+$T$8</f>
        <v>3.322E-2</v>
      </c>
      <c r="J163" s="64">
        <v>0</v>
      </c>
      <c r="K163" s="61">
        <f>Table1356[[#This Row],[Investment]]/Table1356[[#This Row],[Dollar Volume]]</f>
        <v>0</v>
      </c>
      <c r="L163" s="34">
        <f>IFERROR(MAX($T$11+$T$12*LN(Table1356[[#This Row],[Frac ADV]]),0),0)*0.0001+0.005/Table1356[[#This Row],[Stock Price]]+Table1356[[#This Row],[Expense Ratio]]</f>
        <v>3.6697026520225018E-4</v>
      </c>
      <c r="M163" s="68">
        <f>(Table1356[[#This Row],[Expected Return]]-Table1356[[#This Row],[Tcosts]])*Table1356[[#This Row],[Investment]]</f>
        <v>0</v>
      </c>
      <c r="Q163" s="16" t="s">
        <v>731</v>
      </c>
    </row>
    <row r="164" spans="1:17" ht="15.6" x14ac:dyDescent="0.3">
      <c r="A164" s="77" t="s">
        <v>811</v>
      </c>
      <c r="B164" s="73" t="s">
        <v>812</v>
      </c>
      <c r="C164" s="73">
        <v>46.89</v>
      </c>
      <c r="D164" s="85" t="s">
        <v>813</v>
      </c>
      <c r="E164" s="75">
        <v>5.9999999999999995E-4</v>
      </c>
      <c r="F164" s="73">
        <v>-0.04</v>
      </c>
      <c r="G164" s="78">
        <v>90770000</v>
      </c>
      <c r="H164" s="3" t="b">
        <f t="shared" si="5"/>
        <v>0</v>
      </c>
      <c r="I164" s="26">
        <f>Table1356[[#This Row],[Tech]]*$T$7+Table1356[[#This Row],[Beta]]*($T$6-$T$8)+$T$8</f>
        <v>3.3856000000000004E-2</v>
      </c>
      <c r="J164" s="64">
        <v>0</v>
      </c>
      <c r="K164" s="61">
        <f>Table1356[[#This Row],[Investment]]/Table1356[[#This Row],[Dollar Volume]]</f>
        <v>0</v>
      </c>
      <c r="L164" s="34">
        <f>IFERROR(MAX($T$11+$T$12*LN(Table1356[[#This Row],[Frac ADV]]),0),0)*0.0001+0.005/Table1356[[#This Row],[Stock Price]]+Table1356[[#This Row],[Expense Ratio]]</f>
        <v>7.0663254425250581E-4</v>
      </c>
      <c r="M164" s="68">
        <f>(Table1356[[#This Row],[Expected Return]]-Table1356[[#This Row],[Tcosts]])*Table1356[[#This Row],[Investment]]</f>
        <v>0</v>
      </c>
      <c r="Q164" s="13" t="s">
        <v>735</v>
      </c>
    </row>
    <row r="165" spans="1:17" ht="15.6" x14ac:dyDescent="0.3">
      <c r="A165" s="79" t="s">
        <v>835</v>
      </c>
      <c r="B165" s="74" t="s">
        <v>836</v>
      </c>
      <c r="C165" s="74">
        <v>26.82</v>
      </c>
      <c r="D165" s="86" t="s">
        <v>837</v>
      </c>
      <c r="E165" s="76">
        <v>2.9999999999999997E-4</v>
      </c>
      <c r="F165" s="74">
        <v>-0.05</v>
      </c>
      <c r="G165" s="78">
        <v>113530000</v>
      </c>
      <c r="H165" s="3" t="b">
        <f t="shared" si="5"/>
        <v>0</v>
      </c>
      <c r="I165" s="26">
        <f>Table1356[[#This Row],[Tech]]*$T$7+Table1356[[#This Row],[Beta]]*($T$6-$T$8)+$T$8</f>
        <v>3.322E-2</v>
      </c>
      <c r="J165" s="64">
        <v>0</v>
      </c>
      <c r="K165" s="61">
        <f>Table1356[[#This Row],[Investment]]/Table1356[[#This Row],[Dollar Volume]]</f>
        <v>0</v>
      </c>
      <c r="L165" s="34">
        <f>IFERROR(MAX($T$11+$T$12*LN(Table1356[[#This Row],[Frac ADV]]),0),0)*0.0001+0.005/Table1356[[#This Row],[Stock Price]]+Table1356[[#This Row],[Expense Ratio]]</f>
        <v>4.8642803877703205E-4</v>
      </c>
      <c r="M165" s="68">
        <f>(Table1356[[#This Row],[Expected Return]]-Table1356[[#This Row],[Tcosts]])*Table1356[[#This Row],[Investment]]</f>
        <v>0</v>
      </c>
      <c r="Q165" s="16" t="s">
        <v>692</v>
      </c>
    </row>
    <row r="166" spans="1:17" ht="15.6" x14ac:dyDescent="0.3">
      <c r="A166" s="79" t="s">
        <v>795</v>
      </c>
      <c r="B166" s="74" t="s">
        <v>796</v>
      </c>
      <c r="C166" s="74">
        <v>82.93</v>
      </c>
      <c r="D166" s="86" t="s">
        <v>797</v>
      </c>
      <c r="E166" s="76">
        <v>1.5E-3</v>
      </c>
      <c r="F166" s="74">
        <v>-0.02</v>
      </c>
      <c r="G166" s="78">
        <v>111170000</v>
      </c>
      <c r="H166" s="3" t="b">
        <f t="shared" si="5"/>
        <v>0</v>
      </c>
      <c r="I166" s="26">
        <f>Table1356[[#This Row],[Tech]]*$T$7+Table1356[[#This Row],[Beta]]*($T$6-$T$8)+$T$8</f>
        <v>3.5128E-2</v>
      </c>
      <c r="J166" s="64">
        <v>0</v>
      </c>
      <c r="K166" s="61">
        <f>Table1356[[#This Row],[Investment]]/Table1356[[#This Row],[Dollar Volume]]</f>
        <v>0</v>
      </c>
      <c r="L166" s="34">
        <f>IFERROR(MAX($T$11+$T$12*LN(Table1356[[#This Row],[Frac ADV]]),0),0)*0.0001+0.005/Table1356[[#This Row],[Stock Price]]+Table1356[[#This Row],[Expense Ratio]]</f>
        <v>1.5602918123718799E-3</v>
      </c>
      <c r="M166" s="68">
        <f>(Table1356[[#This Row],[Expected Return]]-Table1356[[#This Row],[Tcosts]])*Table1356[[#This Row],[Investment]]</f>
        <v>0</v>
      </c>
      <c r="Q166" s="13" t="s">
        <v>742</v>
      </c>
    </row>
    <row r="167" spans="1:17" ht="15.6" x14ac:dyDescent="0.3">
      <c r="A167" s="79" t="s">
        <v>732</v>
      </c>
      <c r="B167" s="74" t="s">
        <v>733</v>
      </c>
      <c r="C167" s="74">
        <v>79.97</v>
      </c>
      <c r="D167" s="86" t="s">
        <v>734</v>
      </c>
      <c r="E167" s="76">
        <v>2.9999999999999997E-4</v>
      </c>
      <c r="F167" s="74">
        <v>-0.01</v>
      </c>
      <c r="G167" s="78">
        <v>267070000</v>
      </c>
      <c r="H167" s="3" t="b">
        <f t="shared" si="5"/>
        <v>0</v>
      </c>
      <c r="I167" s="26">
        <f>Table1356[[#This Row],[Tech]]*$T$7+Table1356[[#This Row],[Beta]]*($T$6-$T$8)+$T$8</f>
        <v>3.5764000000000004E-2</v>
      </c>
      <c r="J167" s="64">
        <v>0</v>
      </c>
      <c r="K167" s="61">
        <f>Table1356[[#This Row],[Investment]]/Table1356[[#This Row],[Dollar Volume]]</f>
        <v>0</v>
      </c>
      <c r="L167" s="34">
        <f>IFERROR(MAX($T$11+$T$12*LN(Table1356[[#This Row],[Frac ADV]]),0),0)*0.0001+0.005/Table1356[[#This Row],[Stock Price]]+Table1356[[#This Row],[Expense Ratio]]</f>
        <v>3.6252344629235963E-4</v>
      </c>
      <c r="M167" s="68">
        <f>(Table1356[[#This Row],[Expected Return]]-Table1356[[#This Row],[Tcosts]])*Table1356[[#This Row],[Investment]]</f>
        <v>0</v>
      </c>
      <c r="Q167" s="16" t="s">
        <v>746</v>
      </c>
    </row>
    <row r="168" spans="1:17" ht="15.6" x14ac:dyDescent="0.3">
      <c r="A168" s="77" t="s">
        <v>819</v>
      </c>
      <c r="B168" s="73" t="s">
        <v>820</v>
      </c>
      <c r="C168" s="73">
        <v>84.22</v>
      </c>
      <c r="D168" s="85" t="s">
        <v>821</v>
      </c>
      <c r="E168" s="75">
        <v>2.9999999999999997E-4</v>
      </c>
      <c r="F168" s="73">
        <v>-0.01</v>
      </c>
      <c r="G168" s="78">
        <v>117950000</v>
      </c>
      <c r="H168" s="3" t="b">
        <f t="shared" si="5"/>
        <v>0</v>
      </c>
      <c r="I168" s="26">
        <f>Table1356[[#This Row],[Tech]]*$T$7+Table1356[[#This Row],[Beta]]*($T$6-$T$8)+$T$8</f>
        <v>3.5764000000000004E-2</v>
      </c>
      <c r="J168" s="64">
        <v>0</v>
      </c>
      <c r="K168" s="61">
        <f>Table1356[[#This Row],[Investment]]/Table1356[[#This Row],[Dollar Volume]]</f>
        <v>0</v>
      </c>
      <c r="L168" s="34">
        <f>IFERROR(MAX($T$11+$T$12*LN(Table1356[[#This Row],[Frac ADV]]),0),0)*0.0001+0.005/Table1356[[#This Row],[Stock Price]]+Table1356[[#This Row],[Expense Ratio]]</f>
        <v>3.5936832106388028E-4</v>
      </c>
      <c r="M168" s="68">
        <f>(Table1356[[#This Row],[Expected Return]]-Table1356[[#This Row],[Tcosts]])*Table1356[[#This Row],[Investment]]</f>
        <v>0</v>
      </c>
      <c r="Q168" s="13" t="s">
        <v>750</v>
      </c>
    </row>
    <row r="169" spans="1:17" ht="15.6" x14ac:dyDescent="0.3">
      <c r="A169" s="77" t="s">
        <v>763</v>
      </c>
      <c r="B169" s="73" t="s">
        <v>764</v>
      </c>
      <c r="C169" s="73">
        <v>58.82</v>
      </c>
      <c r="D169" s="85" t="s">
        <v>765</v>
      </c>
      <c r="E169" s="75">
        <v>2.9999999999999997E-4</v>
      </c>
      <c r="F169" s="73">
        <v>-0.02</v>
      </c>
      <c r="G169" s="78">
        <v>25390000</v>
      </c>
      <c r="H169" s="3" t="b">
        <f t="shared" si="5"/>
        <v>0</v>
      </c>
      <c r="I169" s="26">
        <f>Table1356[[#This Row],[Tech]]*$T$7+Table1356[[#This Row],[Beta]]*($T$6-$T$8)+$T$8</f>
        <v>3.5128E-2</v>
      </c>
      <c r="J169" s="64">
        <v>0</v>
      </c>
      <c r="K169" s="61">
        <f>Table1356[[#This Row],[Investment]]/Table1356[[#This Row],[Dollar Volume]]</f>
        <v>0</v>
      </c>
      <c r="L169" s="34">
        <f>IFERROR(MAX($T$11+$T$12*LN(Table1356[[#This Row],[Frac ADV]]),0),0)*0.0001+0.005/Table1356[[#This Row],[Stock Price]]+Table1356[[#This Row],[Expense Ratio]]</f>
        <v>3.8500510030601832E-4</v>
      </c>
      <c r="M169" s="68">
        <f>(Table1356[[#This Row],[Expected Return]]-Table1356[[#This Row],[Tcosts]])*Table1356[[#This Row],[Investment]]</f>
        <v>0</v>
      </c>
      <c r="Q169" s="16" t="s">
        <v>754</v>
      </c>
    </row>
    <row r="170" spans="1:17" ht="15.6" x14ac:dyDescent="0.3">
      <c r="A170" s="77" t="s">
        <v>803</v>
      </c>
      <c r="B170" s="73" t="s">
        <v>804</v>
      </c>
      <c r="C170" s="73">
        <v>49.74</v>
      </c>
      <c r="D170" s="85" t="s">
        <v>805</v>
      </c>
      <c r="E170" s="75">
        <v>2.9999999999999997E-4</v>
      </c>
      <c r="F170" s="73">
        <v>-0.04</v>
      </c>
      <c r="G170" s="78">
        <v>125670000</v>
      </c>
      <c r="H170" s="3" t="b">
        <f t="shared" si="5"/>
        <v>0</v>
      </c>
      <c r="I170" s="26">
        <f>Table1356[[#This Row],[Tech]]*$T$7+Table1356[[#This Row],[Beta]]*($T$6-$T$8)+$T$8</f>
        <v>3.3856000000000004E-2</v>
      </c>
      <c r="J170" s="64">
        <v>0</v>
      </c>
      <c r="K170" s="61">
        <f>Table1356[[#This Row],[Investment]]/Table1356[[#This Row],[Dollar Volume]]</f>
        <v>0</v>
      </c>
      <c r="L170" s="34">
        <f>IFERROR(MAX($T$11+$T$12*LN(Table1356[[#This Row],[Frac ADV]]),0),0)*0.0001+0.005/Table1356[[#This Row],[Stock Price]]+Table1356[[#This Row],[Expense Ratio]]</f>
        <v>4.0052271813429834E-4</v>
      </c>
      <c r="M170" s="68">
        <f>(Table1356[[#This Row],[Expected Return]]-Table1356[[#This Row],[Tcosts]])*Table1356[[#This Row],[Investment]]</f>
        <v>0</v>
      </c>
      <c r="Q170" s="13" t="s">
        <v>758</v>
      </c>
    </row>
    <row r="171" spans="1:17" ht="15.6" x14ac:dyDescent="0.3">
      <c r="A171" s="77" t="s">
        <v>874</v>
      </c>
      <c r="B171" s="73" t="s">
        <v>875</v>
      </c>
      <c r="C171" s="73">
        <v>50.77</v>
      </c>
      <c r="D171" s="85" t="s">
        <v>726</v>
      </c>
      <c r="E171" s="75">
        <v>2.9999999999999997E-4</v>
      </c>
      <c r="F171" s="73">
        <v>-0.05</v>
      </c>
      <c r="G171" s="78">
        <v>177210000</v>
      </c>
      <c r="H171" s="3" t="b">
        <f t="shared" si="5"/>
        <v>0</v>
      </c>
      <c r="I171" s="26">
        <f>Table1356[[#This Row],[Tech]]*$T$7+Table1356[[#This Row],[Beta]]*($T$6-$T$8)+$T$8</f>
        <v>3.322E-2</v>
      </c>
      <c r="J171" s="64">
        <v>0</v>
      </c>
      <c r="K171" s="61">
        <f>Table1356[[#This Row],[Investment]]/Table1356[[#This Row],[Dollar Volume]]</f>
        <v>0</v>
      </c>
      <c r="L171" s="34">
        <f>IFERROR(MAX($T$11+$T$12*LN(Table1356[[#This Row],[Frac ADV]]),0),0)*0.0001+0.005/Table1356[[#This Row],[Stock Price]]+Table1356[[#This Row],[Expense Ratio]]</f>
        <v>3.9848335631278314E-4</v>
      </c>
      <c r="M171" s="68">
        <f>(Table1356[[#This Row],[Expected Return]]-Table1356[[#This Row],[Tcosts]])*Table1356[[#This Row],[Investment]]</f>
        <v>0</v>
      </c>
      <c r="Q171" s="16" t="s">
        <v>762</v>
      </c>
    </row>
    <row r="172" spans="1:17" ht="15.6" x14ac:dyDescent="0.3">
      <c r="A172" s="79" t="s">
        <v>842</v>
      </c>
      <c r="B172" s="74" t="s">
        <v>843</v>
      </c>
      <c r="C172" s="74">
        <v>60.21</v>
      </c>
      <c r="D172" s="86" t="s">
        <v>844</v>
      </c>
      <c r="E172" s="76">
        <v>2.9999999999999997E-4</v>
      </c>
      <c r="F172" s="74">
        <v>-0.09</v>
      </c>
      <c r="G172" s="78">
        <v>176940000</v>
      </c>
      <c r="H172" s="3" t="b">
        <f t="shared" si="5"/>
        <v>0</v>
      </c>
      <c r="I172" s="26">
        <f>Table1356[[#This Row],[Tech]]*$T$7+Table1356[[#This Row],[Beta]]*($T$6-$T$8)+$T$8</f>
        <v>3.0676000000000002E-2</v>
      </c>
      <c r="J172" s="64">
        <v>0</v>
      </c>
      <c r="K172" s="61">
        <f>Table1356[[#This Row],[Investment]]/Table1356[[#This Row],[Dollar Volume]]</f>
        <v>0</v>
      </c>
      <c r="L172" s="34">
        <f>IFERROR(MAX($T$11+$T$12*LN(Table1356[[#This Row],[Frac ADV]]),0),0)*0.0001+0.005/Table1356[[#This Row],[Stock Price]]+Table1356[[#This Row],[Expense Ratio]]</f>
        <v>3.8304268393954491E-4</v>
      </c>
      <c r="M172" s="68">
        <f>(Table1356[[#This Row],[Expected Return]]-Table1356[[#This Row],[Tcosts]])*Table1356[[#This Row],[Investment]]</f>
        <v>0</v>
      </c>
      <c r="Q172" s="13" t="s">
        <v>766</v>
      </c>
    </row>
    <row r="173" spans="1:17" ht="15.6" x14ac:dyDescent="0.3">
      <c r="A173" s="77" t="s">
        <v>713</v>
      </c>
      <c r="B173" s="73" t="s">
        <v>714</v>
      </c>
      <c r="C173" s="73">
        <v>100.48</v>
      </c>
      <c r="D173" s="85" t="s">
        <v>715</v>
      </c>
      <c r="E173" s="75">
        <v>8.9999999999999998E-4</v>
      </c>
      <c r="F173" s="73">
        <v>0.01</v>
      </c>
      <c r="G173" s="78">
        <v>203900000</v>
      </c>
      <c r="H173" s="3" t="b">
        <f t="shared" si="5"/>
        <v>0</v>
      </c>
      <c r="I173" s="26">
        <f>Table1356[[#This Row],[Tech]]*$T$7+Table1356[[#This Row],[Beta]]*($T$6-$T$8)+$T$8</f>
        <v>3.7035999999999999E-2</v>
      </c>
      <c r="J173" s="64">
        <v>0</v>
      </c>
      <c r="K173" s="61">
        <f>Table1356[[#This Row],[Investment]]/Table1356[[#This Row],[Dollar Volume]]</f>
        <v>0</v>
      </c>
      <c r="L173" s="34">
        <f>IFERROR(MAX($T$11+$T$12*LN(Table1356[[#This Row],[Frac ADV]]),0),0)*0.0001+0.005/Table1356[[#This Row],[Stock Price]]+Table1356[[#This Row],[Expense Ratio]]</f>
        <v>9.4976114649681525E-4</v>
      </c>
      <c r="M173" s="68">
        <f>(Table1356[[#This Row],[Expected Return]]-Table1356[[#This Row],[Tcosts]])*Table1356[[#This Row],[Investment]]</f>
        <v>0</v>
      </c>
      <c r="Q173" s="16" t="s">
        <v>770</v>
      </c>
    </row>
    <row r="174" spans="1:17" ht="15.6" x14ac:dyDescent="0.3">
      <c r="A174" s="77" t="s">
        <v>701</v>
      </c>
      <c r="B174" s="73" t="s">
        <v>702</v>
      </c>
      <c r="C174" s="73">
        <v>53.11</v>
      </c>
      <c r="D174" s="85" t="s">
        <v>703</v>
      </c>
      <c r="E174" s="75">
        <v>4.0000000000000001E-3</v>
      </c>
      <c r="F174" s="73">
        <v>7.0000000000000007E-2</v>
      </c>
      <c r="G174" s="78">
        <v>44860000</v>
      </c>
      <c r="H174" s="3" t="b">
        <f t="shared" si="5"/>
        <v>0</v>
      </c>
      <c r="I174" s="26">
        <f>Table1356[[#This Row],[Tech]]*$T$7+Table1356[[#This Row],[Beta]]*($T$6-$T$8)+$T$8</f>
        <v>4.0851999999999999E-2</v>
      </c>
      <c r="J174" s="64">
        <v>0</v>
      </c>
      <c r="K174" s="61">
        <f>Table1356[[#This Row],[Investment]]/Table1356[[#This Row],[Dollar Volume]]</f>
        <v>0</v>
      </c>
      <c r="L174" s="34">
        <f>IFERROR(MAX($T$11+$T$12*LN(Table1356[[#This Row],[Frac ADV]]),0),0)*0.0001+0.005/Table1356[[#This Row],[Stock Price]]+Table1356[[#This Row],[Expense Ratio]]</f>
        <v>4.0941442289587652E-3</v>
      </c>
      <c r="M174" s="68">
        <f>(Table1356[[#This Row],[Expected Return]]-Table1356[[#This Row],[Tcosts]])*Table1356[[#This Row],[Investment]]</f>
        <v>0</v>
      </c>
      <c r="Q174" s="13" t="s">
        <v>774</v>
      </c>
    </row>
    <row r="175" spans="1:17" ht="15.6" x14ac:dyDescent="0.3">
      <c r="A175" s="79" t="s">
        <v>724</v>
      </c>
      <c r="B175" s="74" t="s">
        <v>725</v>
      </c>
      <c r="C175" s="74">
        <v>91.47</v>
      </c>
      <c r="D175" s="86" t="s">
        <v>726</v>
      </c>
      <c r="E175" s="76">
        <v>1.4E-3</v>
      </c>
      <c r="F175" s="74">
        <v>0.01</v>
      </c>
      <c r="G175" s="78">
        <v>546640000</v>
      </c>
      <c r="H175" s="3" t="b">
        <f t="shared" si="5"/>
        <v>0</v>
      </c>
      <c r="I175" s="26">
        <f>Table1356[[#This Row],[Tech]]*$T$7+Table1356[[#This Row],[Beta]]*($T$6-$T$8)+$T$8</f>
        <v>3.7035999999999999E-2</v>
      </c>
      <c r="J175" s="64">
        <v>0</v>
      </c>
      <c r="K175" s="61">
        <f>Table1356[[#This Row],[Investment]]/Table1356[[#This Row],[Dollar Volume]]</f>
        <v>0</v>
      </c>
      <c r="L175" s="34">
        <f>IFERROR(MAX($T$11+$T$12*LN(Table1356[[#This Row],[Frac ADV]]),0),0)*0.0001+0.005/Table1356[[#This Row],[Stock Price]]+Table1356[[#This Row],[Expense Ratio]]</f>
        <v>1.4546627309500384E-3</v>
      </c>
      <c r="M175" s="68">
        <f>(Table1356[[#This Row],[Expected Return]]-Table1356[[#This Row],[Tcosts]])*Table1356[[#This Row],[Investment]]</f>
        <v>0</v>
      </c>
      <c r="Q175" s="16" t="s">
        <v>778</v>
      </c>
    </row>
    <row r="176" spans="1:17" ht="15.6" x14ac:dyDescent="0.3">
      <c r="A176" s="77" t="s">
        <v>767</v>
      </c>
      <c r="B176" s="73" t="s">
        <v>768</v>
      </c>
      <c r="C176" s="73">
        <v>110.22</v>
      </c>
      <c r="D176" s="85" t="s">
        <v>769</v>
      </c>
      <c r="E176" s="75">
        <v>1.5E-3</v>
      </c>
      <c r="F176" s="73">
        <v>0.01</v>
      </c>
      <c r="G176" s="78">
        <v>42740000</v>
      </c>
      <c r="H176" s="3" t="b">
        <f t="shared" si="5"/>
        <v>0</v>
      </c>
      <c r="I176" s="26">
        <f>Table1356[[#This Row],[Tech]]*$T$7+Table1356[[#This Row],[Beta]]*($T$6-$T$8)+$T$8</f>
        <v>3.7035999999999999E-2</v>
      </c>
      <c r="J176" s="64">
        <v>0</v>
      </c>
      <c r="K176" s="61">
        <f>Table1356[[#This Row],[Investment]]/Table1356[[#This Row],[Dollar Volume]]</f>
        <v>0</v>
      </c>
      <c r="L176" s="34">
        <f>IFERROR(MAX($T$11+$T$12*LN(Table1356[[#This Row],[Frac ADV]]),0),0)*0.0001+0.005/Table1356[[#This Row],[Stock Price]]+Table1356[[#This Row],[Expense Ratio]]</f>
        <v>1.5453638178189078E-3</v>
      </c>
      <c r="M176" s="68">
        <f>(Table1356[[#This Row],[Expected Return]]-Table1356[[#This Row],[Tcosts]])*Table1356[[#This Row],[Investment]]</f>
        <v>0</v>
      </c>
      <c r="Q176" s="13" t="s">
        <v>782</v>
      </c>
    </row>
    <row r="177" spans="1:17" ht="15.6" x14ac:dyDescent="0.3">
      <c r="A177" s="79" t="s">
        <v>743</v>
      </c>
      <c r="B177" s="74" t="s">
        <v>744</v>
      </c>
      <c r="C177" s="74">
        <v>48.8</v>
      </c>
      <c r="D177" s="86" t="s">
        <v>745</v>
      </c>
      <c r="E177" s="76">
        <v>6.9999999999999999E-4</v>
      </c>
      <c r="F177" s="74">
        <v>-0.01</v>
      </c>
      <c r="G177" s="78">
        <v>45530000</v>
      </c>
      <c r="H177" s="3" t="b">
        <f t="shared" si="5"/>
        <v>0</v>
      </c>
      <c r="I177" s="26">
        <f>Table1356[[#This Row],[Tech]]*$T$7+Table1356[[#This Row],[Beta]]*($T$6-$T$8)+$T$8</f>
        <v>3.5764000000000004E-2</v>
      </c>
      <c r="J177" s="64">
        <v>0</v>
      </c>
      <c r="K177" s="61">
        <f>Table1356[[#This Row],[Investment]]/Table1356[[#This Row],[Dollar Volume]]</f>
        <v>0</v>
      </c>
      <c r="L177" s="34">
        <f>IFERROR(MAX($T$11+$T$12*LN(Table1356[[#This Row],[Frac ADV]]),0),0)*0.0001+0.005/Table1356[[#This Row],[Stock Price]]+Table1356[[#This Row],[Expense Ratio]]</f>
        <v>8.0245901639344264E-4</v>
      </c>
      <c r="M177" s="68">
        <f>(Table1356[[#This Row],[Expected Return]]-Table1356[[#This Row],[Tcosts]])*Table1356[[#This Row],[Investment]]</f>
        <v>0</v>
      </c>
      <c r="Q177" s="16" t="s">
        <v>786</v>
      </c>
    </row>
    <row r="178" spans="1:17" ht="15.6" x14ac:dyDescent="0.3">
      <c r="A178" s="77" t="s">
        <v>791</v>
      </c>
      <c r="B178" s="73" t="s">
        <v>792</v>
      </c>
      <c r="C178" s="73">
        <v>100.51</v>
      </c>
      <c r="D178" s="85" t="s">
        <v>793</v>
      </c>
      <c r="E178" s="75">
        <v>3.5999999999999999E-3</v>
      </c>
      <c r="F178" s="73">
        <v>0.02</v>
      </c>
      <c r="G178" s="78">
        <v>99420000</v>
      </c>
      <c r="H178" s="3" t="b">
        <f t="shared" si="5"/>
        <v>0</v>
      </c>
      <c r="I178" s="26">
        <f>Table1356[[#This Row],[Tech]]*$T$7+Table1356[[#This Row],[Beta]]*($T$6-$T$8)+$T$8</f>
        <v>3.7672000000000004E-2</v>
      </c>
      <c r="J178" s="64">
        <v>0</v>
      </c>
      <c r="K178" s="61">
        <f>Table1356[[#This Row],[Investment]]/Table1356[[#This Row],[Dollar Volume]]</f>
        <v>0</v>
      </c>
      <c r="L178" s="34">
        <f>IFERROR(MAX($T$11+$T$12*LN(Table1356[[#This Row],[Frac ADV]]),0),0)*0.0001+0.005/Table1356[[#This Row],[Stock Price]]+Table1356[[#This Row],[Expense Ratio]]</f>
        <v>3.6497462939011041E-3</v>
      </c>
      <c r="M178" s="68">
        <f>(Table1356[[#This Row],[Expected Return]]-Table1356[[#This Row],[Tcosts]])*Table1356[[#This Row],[Investment]]</f>
        <v>0</v>
      </c>
      <c r="Q178" s="13" t="s">
        <v>790</v>
      </c>
    </row>
    <row r="179" spans="1:17" ht="15.6" x14ac:dyDescent="0.3">
      <c r="A179" s="77" t="s">
        <v>799</v>
      </c>
      <c r="B179" s="73" t="s">
        <v>800</v>
      </c>
      <c r="C179" s="73">
        <v>78.98</v>
      </c>
      <c r="D179" s="85" t="s">
        <v>801</v>
      </c>
      <c r="E179" s="75">
        <v>2.9999999999999997E-4</v>
      </c>
      <c r="F179" s="73">
        <v>-0.04</v>
      </c>
      <c r="G179" s="78">
        <v>35920000</v>
      </c>
      <c r="H179" s="3" t="b">
        <f t="shared" si="5"/>
        <v>0</v>
      </c>
      <c r="I179" s="26">
        <f>Table1356[[#This Row],[Tech]]*$T$7+Table1356[[#This Row],[Beta]]*($T$6-$T$8)+$T$8</f>
        <v>3.3856000000000004E-2</v>
      </c>
      <c r="J179" s="64">
        <v>0</v>
      </c>
      <c r="K179" s="61">
        <f>Table1356[[#This Row],[Investment]]/Table1356[[#This Row],[Dollar Volume]]</f>
        <v>0</v>
      </c>
      <c r="L179" s="34">
        <f>IFERROR(MAX($T$11+$T$12*LN(Table1356[[#This Row],[Frac ADV]]),0),0)*0.0001+0.005/Table1356[[#This Row],[Stock Price]]+Table1356[[#This Row],[Expense Ratio]]</f>
        <v>3.6330716637123319E-4</v>
      </c>
      <c r="M179" s="68">
        <f>(Table1356[[#This Row],[Expected Return]]-Table1356[[#This Row],[Tcosts]])*Table1356[[#This Row],[Investment]]</f>
        <v>0</v>
      </c>
      <c r="Q179" s="16" t="s">
        <v>794</v>
      </c>
    </row>
    <row r="180" spans="1:17" ht="15.6" x14ac:dyDescent="0.3">
      <c r="A180" s="79" t="s">
        <v>807</v>
      </c>
      <c r="B180" s="74" t="s">
        <v>808</v>
      </c>
      <c r="C180" s="74">
        <v>108.09</v>
      </c>
      <c r="D180" s="86" t="s">
        <v>809</v>
      </c>
      <c r="E180" s="76">
        <v>5.0000000000000001E-4</v>
      </c>
      <c r="F180" s="74">
        <v>-0.04</v>
      </c>
      <c r="G180" s="78">
        <v>5330000000</v>
      </c>
      <c r="H180" s="3" t="b">
        <f t="shared" si="5"/>
        <v>0</v>
      </c>
      <c r="I180" s="26">
        <f>Table1356[[#This Row],[Tech]]*$T$7+Table1356[[#This Row],[Beta]]*($T$6-$T$8)+$T$8</f>
        <v>3.3856000000000004E-2</v>
      </c>
      <c r="J180" s="64">
        <v>0</v>
      </c>
      <c r="K180" s="61">
        <f>Table1356[[#This Row],[Investment]]/Table1356[[#This Row],[Dollar Volume]]</f>
        <v>0</v>
      </c>
      <c r="L180" s="34">
        <f>IFERROR(MAX($T$11+$T$12*LN(Table1356[[#This Row],[Frac ADV]]),0),0)*0.0001+0.005/Table1356[[#This Row],[Stock Price]]+Table1356[[#This Row],[Expense Ratio]]</f>
        <v>5.4625774817281892E-4</v>
      </c>
      <c r="M180" s="68">
        <f>(Table1356[[#This Row],[Expected Return]]-Table1356[[#This Row],[Tcosts]])*Table1356[[#This Row],[Investment]]</f>
        <v>0</v>
      </c>
      <c r="Q180" s="13" t="s">
        <v>798</v>
      </c>
    </row>
    <row r="181" spans="1:17" ht="15.6" x14ac:dyDescent="0.3">
      <c r="A181" s="79" t="s">
        <v>862</v>
      </c>
      <c r="B181" s="74" t="s">
        <v>863</v>
      </c>
      <c r="C181" s="74">
        <v>23.19</v>
      </c>
      <c r="D181" s="86" t="s">
        <v>864</v>
      </c>
      <c r="E181" s="76">
        <v>5.0000000000000001E-4</v>
      </c>
      <c r="F181" s="74">
        <v>-0.08</v>
      </c>
      <c r="G181" s="78">
        <v>152890000</v>
      </c>
      <c r="H181" s="3" t="b">
        <f t="shared" si="5"/>
        <v>0</v>
      </c>
      <c r="I181" s="26">
        <f>Table1356[[#This Row],[Tech]]*$T$7+Table1356[[#This Row],[Beta]]*($T$6-$T$8)+$T$8</f>
        <v>3.1312E-2</v>
      </c>
      <c r="J181" s="64">
        <v>0</v>
      </c>
      <c r="K181" s="61">
        <f>Table1356[[#This Row],[Investment]]/Table1356[[#This Row],[Dollar Volume]]</f>
        <v>0</v>
      </c>
      <c r="L181" s="34">
        <f>IFERROR(MAX($T$11+$T$12*LN(Table1356[[#This Row],[Frac ADV]]),0),0)*0.0001+0.005/Table1356[[#This Row],[Stock Price]]+Table1356[[#This Row],[Expense Ratio]]</f>
        <v>7.1561017680034497E-4</v>
      </c>
      <c r="M181" s="68">
        <f>(Table1356[[#This Row],[Expected Return]]-Table1356[[#This Row],[Tcosts]])*Table1356[[#This Row],[Investment]]</f>
        <v>0</v>
      </c>
      <c r="Q181" s="16" t="s">
        <v>802</v>
      </c>
    </row>
    <row r="182" spans="1:17" ht="15.6" x14ac:dyDescent="0.3">
      <c r="A182" s="77" t="s">
        <v>759</v>
      </c>
      <c r="B182" s="73" t="s">
        <v>760</v>
      </c>
      <c r="C182" s="73">
        <v>46.44</v>
      </c>
      <c r="D182" s="85" t="s">
        <v>761</v>
      </c>
      <c r="E182" s="75">
        <v>3.5999999999999999E-3</v>
      </c>
      <c r="F182" s="73">
        <v>-0.06</v>
      </c>
      <c r="G182" s="78">
        <v>113370000</v>
      </c>
      <c r="H182" s="3" t="b">
        <f t="shared" si="5"/>
        <v>0</v>
      </c>
      <c r="I182" s="26">
        <f>Table1356[[#This Row],[Tech]]*$T$7+Table1356[[#This Row],[Beta]]*($T$6-$T$8)+$T$8</f>
        <v>3.2584000000000002E-2</v>
      </c>
      <c r="J182" s="64">
        <v>0</v>
      </c>
      <c r="K182" s="61">
        <f>Table1356[[#This Row],[Investment]]/Table1356[[#This Row],[Dollar Volume]]</f>
        <v>0</v>
      </c>
      <c r="L182" s="34">
        <f>IFERROR(MAX($T$11+$T$12*LN(Table1356[[#This Row],[Frac ADV]]),0),0)*0.0001+0.005/Table1356[[#This Row],[Stock Price]]+Table1356[[#This Row],[Expense Ratio]]</f>
        <v>3.7076658053402239E-3</v>
      </c>
      <c r="M182" s="68">
        <f>(Table1356[[#This Row],[Expected Return]]-Table1356[[#This Row],[Tcosts]])*Table1356[[#This Row],[Investment]]</f>
        <v>0</v>
      </c>
      <c r="Q182" s="13" t="s">
        <v>806</v>
      </c>
    </row>
    <row r="183" spans="1:17" ht="15.6" x14ac:dyDescent="0.3">
      <c r="A183" s="77" t="s">
        <v>751</v>
      </c>
      <c r="B183" s="73" t="s">
        <v>752</v>
      </c>
      <c r="C183" s="73">
        <v>451.39</v>
      </c>
      <c r="D183" s="85" t="s">
        <v>753</v>
      </c>
      <c r="E183" s="75">
        <v>4.0000000000000001E-3</v>
      </c>
      <c r="F183" s="73">
        <v>-0.05</v>
      </c>
      <c r="G183" s="78">
        <v>83690000</v>
      </c>
      <c r="H183" s="3" t="b">
        <f t="shared" si="5"/>
        <v>0</v>
      </c>
      <c r="I183" s="26">
        <f>Table1356[[#This Row],[Tech]]*$T$7+Table1356[[#This Row],[Beta]]*($T$6-$T$8)+$T$8</f>
        <v>3.322E-2</v>
      </c>
      <c r="J183" s="64">
        <v>0</v>
      </c>
      <c r="K183" s="61">
        <f>Table1356[[#This Row],[Investment]]/Table1356[[#This Row],[Dollar Volume]]</f>
        <v>0</v>
      </c>
      <c r="L183" s="34">
        <f>IFERROR(MAX($T$11+$T$12*LN(Table1356[[#This Row],[Frac ADV]]),0),0)*0.0001+0.005/Table1356[[#This Row],[Stock Price]]+Table1356[[#This Row],[Expense Ratio]]</f>
        <v>4.0110768958107178E-3</v>
      </c>
      <c r="M183" s="68">
        <f>(Table1356[[#This Row],[Expected Return]]-Table1356[[#This Row],[Tcosts]])*Table1356[[#This Row],[Investment]]</f>
        <v>0</v>
      </c>
      <c r="Q183" s="16" t="s">
        <v>810</v>
      </c>
    </row>
    <row r="184" spans="1:17" ht="15.6" x14ac:dyDescent="0.3">
      <c r="A184" s="77" t="s">
        <v>717</v>
      </c>
      <c r="B184" s="73" t="s">
        <v>718</v>
      </c>
      <c r="C184" s="73">
        <v>53.05</v>
      </c>
      <c r="D184" s="85" t="s">
        <v>719</v>
      </c>
      <c r="E184" s="75">
        <v>4.0000000000000002E-4</v>
      </c>
      <c r="F184" s="73">
        <v>0</v>
      </c>
      <c r="G184" s="78">
        <v>67300000</v>
      </c>
      <c r="H184" s="3" t="b">
        <f t="shared" si="5"/>
        <v>0</v>
      </c>
      <c r="I184" s="26">
        <f>Table1356[[#This Row],[Tech]]*$T$7+Table1356[[#This Row],[Beta]]*($T$6-$T$8)+$T$8</f>
        <v>3.6400000000000002E-2</v>
      </c>
      <c r="J184" s="64">
        <v>0</v>
      </c>
      <c r="K184" s="61">
        <f>Table1356[[#This Row],[Investment]]/Table1356[[#This Row],[Dollar Volume]]</f>
        <v>0</v>
      </c>
      <c r="L184" s="34">
        <f>IFERROR(MAX($T$11+$T$12*LN(Table1356[[#This Row],[Frac ADV]]),0),0)*0.0001+0.005/Table1356[[#This Row],[Stock Price]]+Table1356[[#This Row],[Expense Ratio]]</f>
        <v>4.9425070688030159E-4</v>
      </c>
      <c r="M184" s="68">
        <f>(Table1356[[#This Row],[Expected Return]]-Table1356[[#This Row],[Tcosts]])*Table1356[[#This Row],[Investment]]</f>
        <v>0</v>
      </c>
      <c r="Q184" s="13" t="s">
        <v>814</v>
      </c>
    </row>
    <row r="185" spans="1:17" ht="15.6" x14ac:dyDescent="0.3">
      <c r="A185" s="77" t="s">
        <v>846</v>
      </c>
      <c r="B185" s="73" t="s">
        <v>847</v>
      </c>
      <c r="C185" s="73">
        <v>25.19</v>
      </c>
      <c r="D185" s="85" t="s">
        <v>848</v>
      </c>
      <c r="E185" s="75">
        <v>2.9999999999999997E-4</v>
      </c>
      <c r="F185" s="73">
        <v>-0.09</v>
      </c>
      <c r="G185" s="78">
        <v>2160000000</v>
      </c>
      <c r="H185" s="3" t="b">
        <f t="shared" si="5"/>
        <v>0</v>
      </c>
      <c r="I185" s="26">
        <f>Table1356[[#This Row],[Tech]]*$T$7+Table1356[[#This Row],[Beta]]*($T$6-$T$8)+$T$8</f>
        <v>3.0676000000000002E-2</v>
      </c>
      <c r="J185" s="64">
        <v>0</v>
      </c>
      <c r="K185" s="61">
        <f>Table1356[[#This Row],[Investment]]/Table1356[[#This Row],[Dollar Volume]]</f>
        <v>0</v>
      </c>
      <c r="L185" s="34">
        <f>IFERROR(MAX($T$11+$T$12*LN(Table1356[[#This Row],[Frac ADV]]),0),0)*0.0001+0.005/Table1356[[#This Row],[Stock Price]]+Table1356[[#This Row],[Expense Ratio]]</f>
        <v>4.9849146486701066E-4</v>
      </c>
      <c r="M185" s="68">
        <f>(Table1356[[#This Row],[Expected Return]]-Table1356[[#This Row],[Tcosts]])*Table1356[[#This Row],[Investment]]</f>
        <v>0</v>
      </c>
      <c r="Q185" s="16" t="s">
        <v>818</v>
      </c>
    </row>
    <row r="186" spans="1:17" ht="15.6" x14ac:dyDescent="0.3">
      <c r="A186" s="77" t="s">
        <v>775</v>
      </c>
      <c r="B186" s="73" t="s">
        <v>776</v>
      </c>
      <c r="C186" s="73">
        <v>78.34</v>
      </c>
      <c r="D186" s="85" t="s">
        <v>777</v>
      </c>
      <c r="E186" s="75">
        <v>2.9999999999999997E-4</v>
      </c>
      <c r="F186" s="73">
        <v>-0.08</v>
      </c>
      <c r="G186" s="78">
        <v>110680000</v>
      </c>
      <c r="H186" s="3" t="b">
        <f t="shared" si="5"/>
        <v>0</v>
      </c>
      <c r="I186" s="26">
        <f>Table1356[[#This Row],[Tech]]*$T$7+Table1356[[#This Row],[Beta]]*($T$6-$T$8)+$T$8</f>
        <v>3.1312E-2</v>
      </c>
      <c r="J186" s="64">
        <v>0</v>
      </c>
      <c r="K186" s="61">
        <f>Table1356[[#This Row],[Investment]]/Table1356[[#This Row],[Dollar Volume]]</f>
        <v>0</v>
      </c>
      <c r="L186" s="34">
        <f>IFERROR(MAX($T$11+$T$12*LN(Table1356[[#This Row],[Frac ADV]]),0),0)*0.0001+0.005/Table1356[[#This Row],[Stock Price]]+Table1356[[#This Row],[Expense Ratio]]</f>
        <v>3.6382435537401071E-4</v>
      </c>
      <c r="M186" s="68">
        <f>(Table1356[[#This Row],[Expected Return]]-Table1356[[#This Row],[Tcosts]])*Table1356[[#This Row],[Investment]]</f>
        <v>0</v>
      </c>
      <c r="Q186" s="13" t="s">
        <v>822</v>
      </c>
    </row>
    <row r="187" spans="1:17" ht="15.6" x14ac:dyDescent="0.3">
      <c r="A187" s="77" t="s">
        <v>823</v>
      </c>
      <c r="B187" s="73" t="s">
        <v>824</v>
      </c>
      <c r="C187" s="73">
        <v>100.67</v>
      </c>
      <c r="D187" s="85" t="s">
        <v>825</v>
      </c>
      <c r="E187" s="75">
        <v>2.9999999999999997E-4</v>
      </c>
      <c r="F187" s="73">
        <v>-0.06</v>
      </c>
      <c r="G187" s="78">
        <v>103190000</v>
      </c>
      <c r="H187" s="3" t="b">
        <f t="shared" si="5"/>
        <v>0</v>
      </c>
      <c r="I187" s="26">
        <f>Table1356[[#This Row],[Tech]]*$T$7+Table1356[[#This Row],[Beta]]*($T$6-$T$8)+$T$8</f>
        <v>3.2584000000000002E-2</v>
      </c>
      <c r="J187" s="64">
        <v>0</v>
      </c>
      <c r="K187" s="61">
        <f>Table1356[[#This Row],[Investment]]/Table1356[[#This Row],[Dollar Volume]]</f>
        <v>0</v>
      </c>
      <c r="L187" s="34">
        <f>IFERROR(MAX($T$11+$T$12*LN(Table1356[[#This Row],[Frac ADV]]),0),0)*0.0001+0.005/Table1356[[#This Row],[Stock Price]]+Table1356[[#This Row],[Expense Ratio]]</f>
        <v>3.4966722956193501E-4</v>
      </c>
      <c r="M187" s="68">
        <f>(Table1356[[#This Row],[Expected Return]]-Table1356[[#This Row],[Tcosts]])*Table1356[[#This Row],[Investment]]</f>
        <v>0</v>
      </c>
      <c r="Q187" s="16" t="s">
        <v>826</v>
      </c>
    </row>
    <row r="188" spans="1:17" ht="15.6" x14ac:dyDescent="0.3">
      <c r="A188" s="79" t="s">
        <v>755</v>
      </c>
      <c r="B188" s="74" t="s">
        <v>756</v>
      </c>
      <c r="C188" s="74">
        <v>119.82</v>
      </c>
      <c r="D188" s="86" t="s">
        <v>757</v>
      </c>
      <c r="E188" s="76">
        <v>1.5E-3</v>
      </c>
      <c r="F188" s="74">
        <v>-0.09</v>
      </c>
      <c r="G188" s="78">
        <v>51210000</v>
      </c>
      <c r="H188" s="3" t="b">
        <f t="shared" si="5"/>
        <v>0</v>
      </c>
      <c r="I188" s="26">
        <f>Table1356[[#This Row],[Tech]]*$T$7+Table1356[[#This Row],[Beta]]*($T$6-$T$8)+$T$8</f>
        <v>3.0676000000000002E-2</v>
      </c>
      <c r="J188" s="64">
        <v>0</v>
      </c>
      <c r="K188" s="61">
        <f>Table1356[[#This Row],[Investment]]/Table1356[[#This Row],[Dollar Volume]]</f>
        <v>0</v>
      </c>
      <c r="L188" s="34">
        <f>IFERROR(MAX($T$11+$T$12*LN(Table1356[[#This Row],[Frac ADV]]),0),0)*0.0001+0.005/Table1356[[#This Row],[Stock Price]]+Table1356[[#This Row],[Expense Ratio]]</f>
        <v>1.541729260557503E-3</v>
      </c>
      <c r="M188" s="68">
        <f>(Table1356[[#This Row],[Expected Return]]-Table1356[[#This Row],[Tcosts]])*Table1356[[#This Row],[Investment]]</f>
        <v>0</v>
      </c>
      <c r="Q188" s="13" t="s">
        <v>830</v>
      </c>
    </row>
    <row r="189" spans="1:17" ht="15.6" x14ac:dyDescent="0.3">
      <c r="A189" s="77" t="s">
        <v>831</v>
      </c>
      <c r="B189" s="73" t="s">
        <v>832</v>
      </c>
      <c r="C189" s="73">
        <v>97.25</v>
      </c>
      <c r="D189" s="85" t="s">
        <v>833</v>
      </c>
      <c r="E189" s="75">
        <v>1E-3</v>
      </c>
      <c r="F189" s="73">
        <v>-0.05</v>
      </c>
      <c r="G189" s="78">
        <v>140630000</v>
      </c>
      <c r="H189" s="3" t="b">
        <f t="shared" si="5"/>
        <v>0</v>
      </c>
      <c r="I189" s="26">
        <f>Table1356[[#This Row],[Tech]]*$T$7+Table1356[[#This Row],[Beta]]*($T$6-$T$8)+$T$8</f>
        <v>3.322E-2</v>
      </c>
      <c r="J189" s="64">
        <v>0</v>
      </c>
      <c r="K189" s="61">
        <f>Table1356[[#This Row],[Investment]]/Table1356[[#This Row],[Dollar Volume]]</f>
        <v>0</v>
      </c>
      <c r="L189" s="34">
        <f>IFERROR(MAX($T$11+$T$12*LN(Table1356[[#This Row],[Frac ADV]]),0),0)*0.0001+0.005/Table1356[[#This Row],[Stock Price]]+Table1356[[#This Row],[Expense Ratio]]</f>
        <v>1.0514138817480721E-3</v>
      </c>
      <c r="M189" s="68">
        <f>(Table1356[[#This Row],[Expected Return]]-Table1356[[#This Row],[Tcosts]])*Table1356[[#This Row],[Investment]]</f>
        <v>0</v>
      </c>
      <c r="Q189" s="16" t="s">
        <v>834</v>
      </c>
    </row>
    <row r="190" spans="1:17" ht="15.6" x14ac:dyDescent="0.3">
      <c r="A190" s="79" t="s">
        <v>839</v>
      </c>
      <c r="B190" s="74" t="s">
        <v>840</v>
      </c>
      <c r="C190" s="74">
        <v>111.25</v>
      </c>
      <c r="D190" s="86" t="s">
        <v>730</v>
      </c>
      <c r="E190" s="76">
        <v>1.8E-3</v>
      </c>
      <c r="F190" s="74">
        <v>-0.04</v>
      </c>
      <c r="G190" s="78">
        <v>75700000</v>
      </c>
      <c r="H190" s="3" t="b">
        <f t="shared" si="5"/>
        <v>0</v>
      </c>
      <c r="I190" s="26">
        <f>Table1356[[#This Row],[Tech]]*$T$7+Table1356[[#This Row],[Beta]]*($T$6-$T$8)+$T$8</f>
        <v>3.3856000000000004E-2</v>
      </c>
      <c r="J190" s="64">
        <v>0</v>
      </c>
      <c r="K190" s="61">
        <f>Table1356[[#This Row],[Investment]]/Table1356[[#This Row],[Dollar Volume]]</f>
        <v>0</v>
      </c>
      <c r="L190" s="34">
        <f>IFERROR(MAX($T$11+$T$12*LN(Table1356[[#This Row],[Frac ADV]]),0),0)*0.0001+0.005/Table1356[[#This Row],[Stock Price]]+Table1356[[#This Row],[Expense Ratio]]</f>
        <v>1.844943820224719E-3</v>
      </c>
      <c r="M190" s="68">
        <f>(Table1356[[#This Row],[Expected Return]]-Table1356[[#This Row],[Tcosts]])*Table1356[[#This Row],[Investment]]</f>
        <v>0</v>
      </c>
      <c r="Q190" s="13" t="s">
        <v>838</v>
      </c>
    </row>
    <row r="191" spans="1:17" ht="15.6" x14ac:dyDescent="0.3">
      <c r="A191" s="77" t="s">
        <v>827</v>
      </c>
      <c r="B191" s="73" t="s">
        <v>828</v>
      </c>
      <c r="C191" s="73">
        <v>47.56</v>
      </c>
      <c r="D191" s="85" t="s">
        <v>829</v>
      </c>
      <c r="E191" s="75">
        <v>2.9999999999999997E-4</v>
      </c>
      <c r="F191" s="73">
        <v>-0.06</v>
      </c>
      <c r="G191" s="78">
        <v>42420000</v>
      </c>
      <c r="H191" s="3" t="b">
        <f t="shared" si="5"/>
        <v>0</v>
      </c>
      <c r="I191" s="26">
        <f>Table1356[[#This Row],[Tech]]*$T$7+Table1356[[#This Row],[Beta]]*($T$6-$T$8)+$T$8</f>
        <v>3.2584000000000002E-2</v>
      </c>
      <c r="J191" s="64">
        <v>0</v>
      </c>
      <c r="K191" s="61">
        <f>Table1356[[#This Row],[Investment]]/Table1356[[#This Row],[Dollar Volume]]</f>
        <v>0</v>
      </c>
      <c r="L191" s="34">
        <f>IFERROR(MAX($T$11+$T$12*LN(Table1356[[#This Row],[Frac ADV]]),0),0)*0.0001+0.005/Table1356[[#This Row],[Stock Price]]+Table1356[[#This Row],[Expense Ratio]]</f>
        <v>4.0513036164844401E-4</v>
      </c>
      <c r="M191" s="68">
        <f>(Table1356[[#This Row],[Expected Return]]-Table1356[[#This Row],[Tcosts]])*Table1356[[#This Row],[Investment]]</f>
        <v>0</v>
      </c>
      <c r="Q191" s="16" t="s">
        <v>841</v>
      </c>
    </row>
    <row r="192" spans="1:17" ht="15.6" x14ac:dyDescent="0.3">
      <c r="A192" s="77" t="s">
        <v>858</v>
      </c>
      <c r="B192" s="73" t="s">
        <v>859</v>
      </c>
      <c r="C192" s="73">
        <v>96.83</v>
      </c>
      <c r="D192" s="85" t="s">
        <v>860</v>
      </c>
      <c r="E192" s="75">
        <v>1.5E-3</v>
      </c>
      <c r="F192" s="73">
        <v>-0.12</v>
      </c>
      <c r="G192" s="78">
        <v>146800000</v>
      </c>
      <c r="H192" s="3" t="b">
        <f t="shared" si="5"/>
        <v>0</v>
      </c>
      <c r="I192" s="26">
        <f>Table1356[[#This Row],[Tech]]*$T$7+Table1356[[#This Row],[Beta]]*($T$6-$T$8)+$T$8</f>
        <v>2.8768000000000002E-2</v>
      </c>
      <c r="J192" s="64">
        <v>0</v>
      </c>
      <c r="K192" s="61">
        <f>Table1356[[#This Row],[Investment]]/Table1356[[#This Row],[Dollar Volume]]</f>
        <v>0</v>
      </c>
      <c r="L192" s="34">
        <f>IFERROR(MAX($T$11+$T$12*LN(Table1356[[#This Row],[Frac ADV]]),0),0)*0.0001+0.005/Table1356[[#This Row],[Stock Price]]+Table1356[[#This Row],[Expense Ratio]]</f>
        <v>1.5516368893937829E-3</v>
      </c>
      <c r="M192" s="68">
        <f>(Table1356[[#This Row],[Expected Return]]-Table1356[[#This Row],[Tcosts]])*Table1356[[#This Row],[Investment]]</f>
        <v>0</v>
      </c>
      <c r="Q192" s="13" t="s">
        <v>845</v>
      </c>
    </row>
    <row r="193" spans="1:17" ht="15.6" x14ac:dyDescent="0.3">
      <c r="A193" s="77" t="s">
        <v>728</v>
      </c>
      <c r="B193" s="73" t="s">
        <v>729</v>
      </c>
      <c r="C193" s="73">
        <v>102.99</v>
      </c>
      <c r="D193" s="85" t="s">
        <v>730</v>
      </c>
      <c r="E193" s="75">
        <v>2.9999999999999997E-4</v>
      </c>
      <c r="F193" s="73">
        <v>-0.01</v>
      </c>
      <c r="G193" s="78">
        <v>32800000</v>
      </c>
      <c r="H193" s="3" t="b">
        <f t="shared" si="5"/>
        <v>0</v>
      </c>
      <c r="I193" s="26">
        <f>Table1356[[#This Row],[Tech]]*$T$7+Table1356[[#This Row],[Beta]]*($T$6-$T$8)+$T$8</f>
        <v>3.5764000000000004E-2</v>
      </c>
      <c r="J193" s="64">
        <v>0</v>
      </c>
      <c r="K193" s="61">
        <f>Table1356[[#This Row],[Investment]]/Table1356[[#This Row],[Dollar Volume]]</f>
        <v>0</v>
      </c>
      <c r="L193" s="34">
        <f>IFERROR(MAX($T$11+$T$12*LN(Table1356[[#This Row],[Frac ADV]]),0),0)*0.0001+0.005/Table1356[[#This Row],[Stock Price]]+Table1356[[#This Row],[Expense Ratio]]</f>
        <v>3.4854840275754927E-4</v>
      </c>
      <c r="M193" s="68">
        <f>(Table1356[[#This Row],[Expected Return]]-Table1356[[#This Row],[Tcosts]])*Table1356[[#This Row],[Investment]]</f>
        <v>0</v>
      </c>
      <c r="Q193" s="16" t="s">
        <v>849</v>
      </c>
    </row>
    <row r="194" spans="1:17" ht="15.6" x14ac:dyDescent="0.3">
      <c r="A194" s="77" t="s">
        <v>854</v>
      </c>
      <c r="B194" s="73" t="s">
        <v>855</v>
      </c>
      <c r="C194" s="73">
        <v>103.39</v>
      </c>
      <c r="D194" s="85" t="s">
        <v>856</v>
      </c>
      <c r="E194" s="75">
        <v>1.5E-3</v>
      </c>
      <c r="F194" s="73">
        <v>-0.17</v>
      </c>
      <c r="G194" s="78">
        <v>32170000</v>
      </c>
      <c r="H194" s="3" t="b">
        <f t="shared" ref="H194:H201" si="6">OR(
  ISNUMBER(SEARCH("technology",B194)),
  ISNUMBER(SEARCH("tech",B194)),
  ISNUMBER(SEARCH("qqq",B194)),
  ISNUMBER(SEARCH("semiconductor",B194)),
  ISNUMBER(SEARCH("information technology",B194)),
  ISNUMBER(SEARCH("nasdaq",B194)),
  ISNUMBER(SEARCH("communication",B194))
)</f>
        <v>0</v>
      </c>
      <c r="I194" s="26">
        <f>Table1356[[#This Row],[Tech]]*$T$7+Table1356[[#This Row],[Beta]]*($T$6-$T$8)+$T$8</f>
        <v>2.5588E-2</v>
      </c>
      <c r="J194" s="64">
        <v>0</v>
      </c>
      <c r="K194" s="61">
        <f>Table1356[[#This Row],[Investment]]/Table1356[[#This Row],[Dollar Volume]]</f>
        <v>0</v>
      </c>
      <c r="L194" s="34">
        <f>IFERROR(MAX($T$11+$T$12*LN(Table1356[[#This Row],[Frac ADV]]),0),0)*0.0001+0.005/Table1356[[#This Row],[Stock Price]]+Table1356[[#This Row],[Expense Ratio]]</f>
        <v>1.5483605764580713E-3</v>
      </c>
      <c r="M194" s="68">
        <f>(Table1356[[#This Row],[Expected Return]]-Table1356[[#This Row],[Tcosts]])*Table1356[[#This Row],[Investment]]</f>
        <v>0</v>
      </c>
      <c r="Q194" s="13" t="s">
        <v>853</v>
      </c>
    </row>
    <row r="195" spans="1:17" ht="15.6" x14ac:dyDescent="0.3">
      <c r="A195" s="77" t="s">
        <v>850</v>
      </c>
      <c r="B195" s="73" t="s">
        <v>851</v>
      </c>
      <c r="C195" s="73">
        <v>89.23</v>
      </c>
      <c r="D195" s="85" t="s">
        <v>852</v>
      </c>
      <c r="E195" s="75">
        <v>1.5E-3</v>
      </c>
      <c r="F195" s="73">
        <v>-0.18</v>
      </c>
      <c r="G195" s="78">
        <v>66080000</v>
      </c>
      <c r="H195" s="3" t="b">
        <f t="shared" si="6"/>
        <v>0</v>
      </c>
      <c r="I195" s="26">
        <f>Table1356[[#This Row],[Tech]]*$T$7+Table1356[[#This Row],[Beta]]*($T$6-$T$8)+$T$8</f>
        <v>2.4952000000000002E-2</v>
      </c>
      <c r="J195" s="64">
        <v>0</v>
      </c>
      <c r="K195" s="61">
        <f>Table1356[[#This Row],[Investment]]/Table1356[[#This Row],[Dollar Volume]]</f>
        <v>0</v>
      </c>
      <c r="L195" s="33">
        <f>IFERROR(MAX($T$11+$T$12*LN(Table1356[[#This Row],[Frac ADV]]),0),0)*0.0001+0.005/Table1356[[#This Row],[Stock Price]]+Table1356[[#This Row],[Expense Ratio]]</f>
        <v>1.5560349658186709E-3</v>
      </c>
      <c r="M195" s="68">
        <f>(Table1356[[#This Row],[Expected Return]]-Table1356[[#This Row],[Tcosts]])*Table1356[[#This Row],[Investment]]</f>
        <v>0</v>
      </c>
      <c r="Q195" s="16" t="s">
        <v>857</v>
      </c>
    </row>
    <row r="196" spans="1:17" ht="15.6" x14ac:dyDescent="0.3">
      <c r="A196" s="77" t="s">
        <v>779</v>
      </c>
      <c r="B196" s="73" t="s">
        <v>780</v>
      </c>
      <c r="C196" s="73">
        <v>26.87</v>
      </c>
      <c r="D196" s="85" t="s">
        <v>781</v>
      </c>
      <c r="E196" s="75">
        <v>6.4000000000000003E-3</v>
      </c>
      <c r="F196" s="73">
        <v>0.03</v>
      </c>
      <c r="G196" s="78">
        <v>24040000</v>
      </c>
      <c r="H196" s="3" t="b">
        <f t="shared" si="6"/>
        <v>0</v>
      </c>
      <c r="I196" s="26">
        <f>Table1356[[#This Row],[Tech]]*$T$7+Table1356[[#This Row],[Beta]]*($T$6-$T$8)+$T$8</f>
        <v>3.8308000000000002E-2</v>
      </c>
      <c r="J196" s="64">
        <v>0</v>
      </c>
      <c r="K196" s="61">
        <f>Table1356[[#This Row],[Investment]]/Table1356[[#This Row],[Dollar Volume]]</f>
        <v>0</v>
      </c>
      <c r="L196" s="34">
        <f>IFERROR(MAX($T$11+$T$12*LN(Table1356[[#This Row],[Frac ADV]]),0),0)*0.0001+0.005/Table1356[[#This Row],[Stock Price]]+Table1356[[#This Row],[Expense Ratio]]</f>
        <v>6.5860811313732791E-3</v>
      </c>
      <c r="M196" s="68">
        <f>(Table1356[[#This Row],[Expected Return]]-Table1356[[#This Row],[Tcosts]])*Table1356[[#This Row],[Investment]]</f>
        <v>0</v>
      </c>
      <c r="Q196" s="13" t="s">
        <v>861</v>
      </c>
    </row>
    <row r="197" spans="1:17" ht="15.6" x14ac:dyDescent="0.3">
      <c r="A197" s="77" t="s">
        <v>747</v>
      </c>
      <c r="B197" s="73" t="s">
        <v>748</v>
      </c>
      <c r="C197" s="73">
        <v>111.22</v>
      </c>
      <c r="D197" s="85" t="s">
        <v>749</v>
      </c>
      <c r="E197" s="75">
        <v>1.4E-3</v>
      </c>
      <c r="F197" s="73">
        <v>0</v>
      </c>
      <c r="G197" s="78">
        <v>84260000</v>
      </c>
      <c r="H197" s="3" t="b">
        <f t="shared" si="6"/>
        <v>0</v>
      </c>
      <c r="I197" s="26">
        <f>Table1356[[#This Row],[Tech]]*$T$7+Table1356[[#This Row],[Beta]]*($T$6-$T$8)+$T$8</f>
        <v>3.6400000000000002E-2</v>
      </c>
      <c r="J197" s="64">
        <v>0</v>
      </c>
      <c r="K197" s="61">
        <f>Table1356[[#This Row],[Investment]]/Table1356[[#This Row],[Dollar Volume]]</f>
        <v>0</v>
      </c>
      <c r="L197" s="34">
        <f>IFERROR(MAX($T$11+$T$12*LN(Table1356[[#This Row],[Frac ADV]]),0),0)*0.0001+0.005/Table1356[[#This Row],[Stock Price]]+Table1356[[#This Row],[Expense Ratio]]</f>
        <v>1.4449559431756879E-3</v>
      </c>
      <c r="M197" s="68">
        <f>(Table1356[[#This Row],[Expected Return]]-Table1356[[#This Row],[Tcosts]])*Table1356[[#This Row],[Investment]]</f>
        <v>0</v>
      </c>
      <c r="Q197" s="16" t="s">
        <v>865</v>
      </c>
    </row>
    <row r="198" spans="1:17" ht="15.6" x14ac:dyDescent="0.3">
      <c r="A198" s="77" t="s">
        <v>877</v>
      </c>
      <c r="B198" s="73" t="s">
        <v>878</v>
      </c>
      <c r="C198" s="73">
        <v>96.14</v>
      </c>
      <c r="D198" s="85" t="s">
        <v>844</v>
      </c>
      <c r="E198" s="75">
        <v>4.0000000000000002E-4</v>
      </c>
      <c r="F198" s="73">
        <v>-0.05</v>
      </c>
      <c r="G198" s="78">
        <v>301030000</v>
      </c>
      <c r="H198" s="3" t="b">
        <f t="shared" si="6"/>
        <v>0</v>
      </c>
      <c r="I198" s="26">
        <f>Table1356[[#This Row],[Tech]]*$T$7+Table1356[[#This Row],[Beta]]*($T$6-$T$8)+$T$8</f>
        <v>3.322E-2</v>
      </c>
      <c r="J198" s="64">
        <v>0</v>
      </c>
      <c r="K198" s="61">
        <f>Table1356[[#This Row],[Investment]]/Table1356[[#This Row],[Dollar Volume]]</f>
        <v>0</v>
      </c>
      <c r="L198" s="34">
        <f>IFERROR(MAX($T$11+$T$12*LN(Table1356[[#This Row],[Frac ADV]]),0),0)*0.0001+0.005/Table1356[[#This Row],[Stock Price]]+Table1356[[#This Row],[Expense Ratio]]</f>
        <v>4.5200748907842732E-4</v>
      </c>
      <c r="M198" s="68">
        <f>(Table1356[[#This Row],[Expected Return]]-Table1356[[#This Row],[Tcosts]])*Table1356[[#This Row],[Investment]]</f>
        <v>0</v>
      </c>
      <c r="Q198" s="13" t="s">
        <v>869</v>
      </c>
    </row>
    <row r="199" spans="1:17" ht="15.6" x14ac:dyDescent="0.3">
      <c r="A199" s="77" t="s">
        <v>787</v>
      </c>
      <c r="B199" s="73" t="s">
        <v>788</v>
      </c>
      <c r="C199" s="73">
        <v>50.41</v>
      </c>
      <c r="D199" s="85" t="s">
        <v>789</v>
      </c>
      <c r="E199" s="75">
        <v>1.5E-3</v>
      </c>
      <c r="F199" s="73">
        <v>-0.01</v>
      </c>
      <c r="G199" s="78">
        <v>98510000</v>
      </c>
      <c r="H199" s="3" t="b">
        <f t="shared" si="6"/>
        <v>0</v>
      </c>
      <c r="I199" s="26">
        <f>Table1356[[#This Row],[Tech]]*$T$7+Table1356[[#This Row],[Beta]]*($T$6-$T$8)+$T$8</f>
        <v>3.5764000000000004E-2</v>
      </c>
      <c r="J199" s="64">
        <v>0</v>
      </c>
      <c r="K199" s="61">
        <f>Table1356[[#This Row],[Investment]]/Table1356[[#This Row],[Dollar Volume]]</f>
        <v>0</v>
      </c>
      <c r="L199" s="34">
        <f>IFERROR(MAX($T$11+$T$12*LN(Table1356[[#This Row],[Frac ADV]]),0),0)*0.0001+0.005/Table1356[[#This Row],[Stock Price]]+Table1356[[#This Row],[Expense Ratio]]</f>
        <v>1.5991866693116446E-3</v>
      </c>
      <c r="M199" s="68">
        <f>(Table1356[[#This Row],[Expected Return]]-Table1356[[#This Row],[Tcosts]])*Table1356[[#This Row],[Investment]]</f>
        <v>0</v>
      </c>
      <c r="Q199" s="16" t="s">
        <v>873</v>
      </c>
    </row>
    <row r="200" spans="1:17" ht="15.6" x14ac:dyDescent="0.3">
      <c r="A200" s="79" t="s">
        <v>721</v>
      </c>
      <c r="B200" s="74" t="s">
        <v>722</v>
      </c>
      <c r="C200" s="74">
        <v>52.14</v>
      </c>
      <c r="D200" s="86" t="s">
        <v>703</v>
      </c>
      <c r="E200" s="76">
        <v>4.0000000000000002E-4</v>
      </c>
      <c r="F200" s="74">
        <v>0</v>
      </c>
      <c r="G200" s="78">
        <v>64050000</v>
      </c>
      <c r="H200" s="3" t="b">
        <f t="shared" si="6"/>
        <v>0</v>
      </c>
      <c r="I200" s="26">
        <f>Table1356[[#This Row],[Tech]]*$T$7+Table1356[[#This Row],[Beta]]*($T$6-$T$8)+$T$8</f>
        <v>3.6400000000000002E-2</v>
      </c>
      <c r="J200" s="64">
        <v>0</v>
      </c>
      <c r="K200" s="61">
        <f>Table1356[[#This Row],[Investment]]/Table1356[[#This Row],[Dollar Volume]]</f>
        <v>0</v>
      </c>
      <c r="L200" s="34">
        <f>IFERROR(MAX($T$11+$T$12*LN(Table1356[[#This Row],[Frac ADV]]),0),0)*0.0001+0.005/Table1356[[#This Row],[Stock Price]]+Table1356[[#This Row],[Expense Ratio]]</f>
        <v>4.9589566551591874E-4</v>
      </c>
      <c r="M200" s="68">
        <f>(Table1356[[#This Row],[Expected Return]]-Table1356[[#This Row],[Tcosts]])*Table1356[[#This Row],[Investment]]</f>
        <v>0</v>
      </c>
      <c r="Q200" s="13" t="s">
        <v>876</v>
      </c>
    </row>
    <row r="201" spans="1:17" ht="15.6" x14ac:dyDescent="0.3">
      <c r="A201" s="80" t="s">
        <v>870</v>
      </c>
      <c r="B201" s="81" t="s">
        <v>871</v>
      </c>
      <c r="C201" s="81">
        <v>92.48</v>
      </c>
      <c r="D201" s="87" t="s">
        <v>872</v>
      </c>
      <c r="E201" s="82">
        <v>2.5000000000000001E-3</v>
      </c>
      <c r="F201" s="81">
        <v>-0.05</v>
      </c>
      <c r="G201" s="83">
        <v>24620000</v>
      </c>
      <c r="H201" s="5" t="b">
        <f t="shared" si="6"/>
        <v>0</v>
      </c>
      <c r="I201" s="36">
        <f>Table1356[[#This Row],[Tech]]*$T$7+Table1356[[#This Row],[Beta]]*($T$6-$T$8)+$T$8</f>
        <v>3.322E-2</v>
      </c>
      <c r="J201" s="64">
        <v>0</v>
      </c>
      <c r="K201" s="62">
        <f>Table1356[[#This Row],[Investment]]/Table1356[[#This Row],[Dollar Volume]]</f>
        <v>0</v>
      </c>
      <c r="L201" s="37">
        <f>IFERROR(MAX($T$11+$T$12*LN(Table1356[[#This Row],[Frac ADV]]),0),0)*0.0001+0.005/Table1356[[#This Row],[Stock Price]]+Table1356[[#This Row],[Expense Ratio]]</f>
        <v>2.5540657439446367E-3</v>
      </c>
      <c r="M201" s="69">
        <f>(Table1356[[#This Row],[Expected Return]]-Table1356[[#This Row],[Tcosts]])*Table1356[[#This Row],[Investment]]</f>
        <v>0</v>
      </c>
      <c r="Q201" s="38" t="s">
        <v>879</v>
      </c>
    </row>
  </sheetData>
  <hyperlinks>
    <hyperlink ref="A56" r:id="rId1" xr:uid="{CEE1D79A-F6BA-4DCC-9728-10F9E3BCA8FB}"/>
    <hyperlink ref="A57" r:id="rId2" xr:uid="{77750168-04DB-47FB-B4E2-30FC3767444C}"/>
    <hyperlink ref="A71" r:id="rId3" xr:uid="{A118B1CB-562C-4CA9-8060-B5B1461311BD}"/>
    <hyperlink ref="A77" r:id="rId4" xr:uid="{F21ACB88-87D9-4F58-85EB-0E76DB78CC8A}"/>
    <hyperlink ref="A69" r:id="rId5" xr:uid="{166B0352-F8AF-455E-A815-F9BE29EB868F}"/>
    <hyperlink ref="A58" r:id="rId6" xr:uid="{632EA238-B103-4E31-8BFD-676EFC8F43FC}"/>
    <hyperlink ref="A55" r:id="rId7" xr:uid="{D657E620-F40E-4557-9377-B67A1CBE7D50}"/>
    <hyperlink ref="A62" r:id="rId8" xr:uid="{5F1790BE-3B9B-4CD2-AC1C-980C7FF433EA}"/>
    <hyperlink ref="A61" r:id="rId9" xr:uid="{910C299A-CF87-4828-9F54-73C3AA7DA105}"/>
    <hyperlink ref="A87" r:id="rId10" xr:uid="{7CAD1901-BF29-4B56-8A6C-9A0C3DA895A5}"/>
    <hyperlink ref="A83" r:id="rId11" xr:uid="{364C39DD-E62E-49F9-9F2A-147ECACDD8D3}"/>
    <hyperlink ref="A54" r:id="rId12" xr:uid="{3E4918CE-EBD5-4283-8BA2-6FECD3329966}"/>
    <hyperlink ref="A74" r:id="rId13" xr:uid="{D2797968-F651-4EB8-9BED-D046DB4FE1B1}"/>
    <hyperlink ref="A80" r:id="rId14" xr:uid="{38D09273-7EAA-4A67-B0C2-E3C22034419E}"/>
    <hyperlink ref="A59" r:id="rId15" xr:uid="{C7D55F1D-016A-4415-A9FA-52E748C18A79}"/>
    <hyperlink ref="A82" r:id="rId16" xr:uid="{CA999DD1-4C98-4F83-A4C0-C0DB28F68DCF}"/>
    <hyperlink ref="A52" r:id="rId17" xr:uid="{D1A1EB36-D76B-4A59-A0DA-31B773E1C908}"/>
    <hyperlink ref="A53" r:id="rId18" xr:uid="{A2938EFD-5695-41CE-BF53-84B55A3967B7}"/>
    <hyperlink ref="A68" r:id="rId19" xr:uid="{489DD110-94C0-4B02-A121-76C926266EA4}"/>
    <hyperlink ref="A89" r:id="rId20" xr:uid="{C8A38DBD-C6C8-4D58-8CE9-FA49669C51E8}"/>
    <hyperlink ref="A60" r:id="rId21" xr:uid="{C9AAEEF2-403C-4F37-AA64-B06D6ED2A856}"/>
    <hyperlink ref="A76" r:id="rId22" xr:uid="{4A20965B-F15B-4F72-8DBB-7C249EFCAD00}"/>
    <hyperlink ref="A84" r:id="rId23" xr:uid="{6E282061-0807-44B1-8B46-813FC436AB48}"/>
    <hyperlink ref="A66" r:id="rId24" xr:uid="{25D2F635-54CD-4586-B61D-7987522A3588}"/>
    <hyperlink ref="A85" r:id="rId25" xr:uid="{F6723F45-9514-49B6-AC48-807FA17F8586}"/>
    <hyperlink ref="A64" r:id="rId26" xr:uid="{CE52B0AD-47BB-4D3C-9A41-5B99352F2AF9}"/>
    <hyperlink ref="A75" r:id="rId27" xr:uid="{B7D55A84-ADE6-449A-9BBB-EAC6C53CBFDC}"/>
    <hyperlink ref="A67" r:id="rId28" xr:uid="{6C58CD97-AB11-4D3A-A369-AB04736070E9}"/>
    <hyperlink ref="A86" r:id="rId29" xr:uid="{AE36C9A3-C253-4DA1-818A-7D5FD08552D1}"/>
    <hyperlink ref="A91" r:id="rId30" xr:uid="{801C2A62-DC3C-4454-82A6-4A8E9F374BF3}"/>
    <hyperlink ref="A90" r:id="rId31" xr:uid="{26276B64-B44D-487F-AA0E-FB9BA44CD8E8}"/>
    <hyperlink ref="A63" r:id="rId32" xr:uid="{228EB8F5-FECA-4891-822D-87BD09EF4B2D}"/>
    <hyperlink ref="A81" r:id="rId33" xr:uid="{BB09A187-B7FE-4632-9A1C-300DE08F44C4}"/>
    <hyperlink ref="A72" r:id="rId34" xr:uid="{77C09CD5-975D-445E-993F-894E6A5EF8BD}"/>
    <hyperlink ref="A65" r:id="rId35" xr:uid="{ED73BBBC-E4B6-4F0E-B053-D05C35E2E685}"/>
    <hyperlink ref="A70" r:id="rId36" xr:uid="{DA9D4C17-659A-4F90-97EE-E038CB4AD0EB}"/>
    <hyperlink ref="A78" r:id="rId37" xr:uid="{FE37E115-FAC9-4753-8972-52C4A73FA2F2}"/>
    <hyperlink ref="A73" r:id="rId38" xr:uid="{5F7ED749-E2FF-4881-AA34-C0F5A610F544}"/>
    <hyperlink ref="A79" r:id="rId39" xr:uid="{C159DA7F-8A87-46C6-B274-11CDD8D2E39E}"/>
    <hyperlink ref="A88" r:id="rId40" xr:uid="{CD1CA0AF-44DE-4115-8EB3-C6976BB27912}"/>
    <hyperlink ref="A92" r:id="rId41" xr:uid="{69169469-ABE8-4CB5-8FD5-23C879327901}"/>
    <hyperlink ref="A93" r:id="rId42" xr:uid="{2831B91F-A228-4C24-A53F-7CE2D08DA5D5}"/>
    <hyperlink ref="A94" r:id="rId43" xr:uid="{6E940D45-FE63-40F5-8D82-02D45D975B6F}"/>
    <hyperlink ref="A95" r:id="rId44" xr:uid="{67A2B2F3-D763-42B3-9840-0F9CE6ED0DD2}"/>
    <hyperlink ref="A96" r:id="rId45" xr:uid="{77201B84-7545-4C83-A562-8CE665CA928B}"/>
    <hyperlink ref="A97" r:id="rId46" xr:uid="{7433D7CF-4F22-4D8A-A0B8-61673DF8EFEA}"/>
    <hyperlink ref="A98" r:id="rId47" xr:uid="{C11D87A8-9099-4257-88A2-FCD4A1907A5E}"/>
    <hyperlink ref="A99" r:id="rId48" xr:uid="{336AEE8C-9000-4FE7-8000-D2B5767D9DC0}"/>
    <hyperlink ref="A100" r:id="rId49" xr:uid="{157C0FE0-B701-4D28-A0C5-2252861E2E7D}"/>
    <hyperlink ref="A101" r:id="rId50" xr:uid="{FD1B1658-0963-4260-9C35-11B84B66F936}"/>
    <hyperlink ref="A102" r:id="rId51" xr:uid="{885BF946-9221-4A99-841B-AC0F12E741E9}"/>
    <hyperlink ref="A103" r:id="rId52" xr:uid="{463E588A-A1EC-4575-8F3E-3E44981D73EB}"/>
    <hyperlink ref="A104" r:id="rId53" xr:uid="{8C66323E-2554-4F49-B0EE-25DD900194C8}"/>
    <hyperlink ref="A105" r:id="rId54" xr:uid="{AC3976AA-E73F-48D0-93EC-874BB73A3044}"/>
    <hyperlink ref="A106" r:id="rId55" xr:uid="{90E0E851-4A77-4EDC-820D-96731FE4250B}"/>
    <hyperlink ref="A107" r:id="rId56" xr:uid="{AEF17F3C-28A1-4412-B7C6-2460CF54DAC2}"/>
    <hyperlink ref="A108" r:id="rId57" xr:uid="{74DA3D15-5D5D-4DBD-B8F3-0EA5B541FC4B}"/>
    <hyperlink ref="A109" r:id="rId58" xr:uid="{F6101D56-D61C-40B5-BD14-20AB1CF9965A}"/>
    <hyperlink ref="A110" r:id="rId59" xr:uid="{E72E0738-D0C9-479F-86D8-9D8FA9313CFE}"/>
    <hyperlink ref="A111" r:id="rId60" xr:uid="{FEE62FD9-6EC8-4BA6-B521-D841A22A45E8}"/>
    <hyperlink ref="A112" r:id="rId61" xr:uid="{D07BDAFA-A5B1-4D9C-8965-1630E9B75074}"/>
    <hyperlink ref="A113" r:id="rId62" xr:uid="{41E5032A-7CDA-4BCE-A645-A6A8669EA772}"/>
    <hyperlink ref="A114" r:id="rId63" xr:uid="{BEC469A5-3933-44DC-9A3E-B9D9521F6390}"/>
    <hyperlink ref="A115" r:id="rId64" xr:uid="{722FB951-E80D-4433-AE52-65E6D2CF8DE9}"/>
    <hyperlink ref="A116" r:id="rId65" xr:uid="{10768C87-20F3-49B3-84E4-63C8F1637582}"/>
    <hyperlink ref="A117" r:id="rId66" xr:uid="{587BC7DB-8F8F-4EAE-8392-768BC5A201E4}"/>
    <hyperlink ref="A118" r:id="rId67" xr:uid="{6CEEE988-6179-4FC8-B3B2-55A72D1E9DF7}"/>
    <hyperlink ref="A119" r:id="rId68" xr:uid="{90BE8F20-ED86-4932-A942-6D687B59388B}"/>
    <hyperlink ref="A120" r:id="rId69" xr:uid="{1F85E522-58E9-41BB-AF1E-B1F0F8546440}"/>
    <hyperlink ref="A121" r:id="rId70" xr:uid="{B91CCADA-7B38-4D9F-9A52-CC3DA04E44A2}"/>
    <hyperlink ref="A122" r:id="rId71" xr:uid="{4F5274CC-5097-4BE9-A09E-1609CAF6EB71}"/>
    <hyperlink ref="A123" r:id="rId72" xr:uid="{BC37A132-F143-4CC9-BE01-89C101569F1C}"/>
    <hyperlink ref="A124" r:id="rId73" xr:uid="{A25D90EE-A8FF-44CC-A0E1-46911C6B05ED}"/>
    <hyperlink ref="A125" r:id="rId74" xr:uid="{AFA8FE9E-10D4-4884-9045-86F674D4930E}"/>
    <hyperlink ref="A126" r:id="rId75" xr:uid="{F1973E49-2695-4779-BC47-3B2A3C115149}"/>
    <hyperlink ref="A127" r:id="rId76" xr:uid="{5660C1D8-9EEA-49FC-8A07-94F6C4E9FCB5}"/>
    <hyperlink ref="A128" r:id="rId77" xr:uid="{E71F0E62-E79D-4DFB-9BEE-D6CEF91495CC}"/>
    <hyperlink ref="A129" r:id="rId78" xr:uid="{AB8CA242-2D2B-470D-8E94-4AD9C1AA7F99}"/>
    <hyperlink ref="A130" r:id="rId79" xr:uid="{7613A938-77D0-4FCF-A15E-F75D5595B4D1}"/>
    <hyperlink ref="A131" r:id="rId80" xr:uid="{BC73FCC6-B9A9-444C-AF0F-0D6018451883}"/>
    <hyperlink ref="A132" r:id="rId81" xr:uid="{D0A4847D-E234-4C3B-B7FB-C956E64A5762}"/>
    <hyperlink ref="A133" r:id="rId82" xr:uid="{0C5861E9-61F0-425B-B757-1A771256F465}"/>
    <hyperlink ref="A134" r:id="rId83" xr:uid="{3959BC56-0652-4712-93FF-38AAEF6B6AF8}"/>
    <hyperlink ref="A135" r:id="rId84" xr:uid="{8E957F96-7EA6-4E33-BF2B-72F79BB13BC4}"/>
    <hyperlink ref="A136" r:id="rId85" xr:uid="{ECD7D5AD-C079-4F80-B008-9E2D34780CED}"/>
    <hyperlink ref="A137" r:id="rId86" xr:uid="{60A5BE10-22F6-45C9-8A76-40B27B94CC39}"/>
    <hyperlink ref="A138" r:id="rId87" xr:uid="{F1927356-26EE-4F88-B145-8BF6D27C7B6D}"/>
    <hyperlink ref="A139" r:id="rId88" xr:uid="{C0BA751A-D33E-472D-906C-7FF20C3E6D5A}"/>
    <hyperlink ref="A140" r:id="rId89" xr:uid="{7151B32B-453C-40D2-8559-476BD4E564A5}"/>
    <hyperlink ref="A141" r:id="rId90" xr:uid="{150A9636-BE13-414A-9497-7E01C15AB906}"/>
    <hyperlink ref="A142" r:id="rId91" xr:uid="{DA325627-C8C9-4432-AE45-49C401CCDAD1}"/>
    <hyperlink ref="A143" r:id="rId92" xr:uid="{608721E9-3BDB-4749-90ED-66213C751D9D}"/>
    <hyperlink ref="A144" r:id="rId93" xr:uid="{FB4A9E37-C67A-4891-827D-5B4D143F7626}"/>
    <hyperlink ref="A145" r:id="rId94" xr:uid="{EEFE209D-CFD4-493A-8F5B-33A04ACA6ADE}"/>
    <hyperlink ref="A146" r:id="rId95" xr:uid="{6F742FB0-F71A-4880-BBA4-94D1A1FFADD8}"/>
    <hyperlink ref="A147" r:id="rId96" xr:uid="{3AE4DC28-36CE-4E4B-8CF9-69C0E497B6C1}"/>
    <hyperlink ref="A148" r:id="rId97" xr:uid="{96C0548A-6E03-482E-9CB6-3B88B8734147}"/>
    <hyperlink ref="A149" r:id="rId98" xr:uid="{A982E74D-33D9-4975-A0E0-7F1BB23FA2A3}"/>
    <hyperlink ref="A150" r:id="rId99" xr:uid="{72324714-3D07-4BB1-B1ED-946F0E954BE6}"/>
    <hyperlink ref="A151" r:id="rId100" xr:uid="{EA8C2893-C468-4396-9DBC-7B4A14B1B915}"/>
    <hyperlink ref="A152" r:id="rId101" xr:uid="{B9D1A8F2-69A3-4811-B051-19B86F6F6929}"/>
    <hyperlink ref="A153" r:id="rId102" xr:uid="{4B5B84FE-4045-4DED-8E2E-21FE2D5B7BFE}"/>
    <hyperlink ref="A154" r:id="rId103" xr:uid="{519C7F4D-16BF-4086-87BD-C306E1ADE0A0}"/>
    <hyperlink ref="A155" r:id="rId104" xr:uid="{6A13DCF4-B926-43DA-B2C5-FE805625A2DD}"/>
    <hyperlink ref="A156" r:id="rId105" xr:uid="{662BDFA9-6846-4CCA-9042-DA9870F69B69}"/>
    <hyperlink ref="A157" r:id="rId106" xr:uid="{104CD84B-FEF7-429A-8DCB-19F2295C271D}"/>
    <hyperlink ref="A158" r:id="rId107" xr:uid="{6B8B98AC-857B-41ED-9966-9C544273A1A0}"/>
    <hyperlink ref="A159" r:id="rId108" xr:uid="{F02E39BD-A04A-4ED3-8CF2-00D5C3EC75E8}"/>
    <hyperlink ref="A160" r:id="rId109" xr:uid="{A4281D01-CF6E-4A58-BEE5-4CCE11D72F31}"/>
    <hyperlink ref="A161" r:id="rId110" xr:uid="{62D486FD-6691-4C05-A3A7-B857A2A262C5}"/>
    <hyperlink ref="A162" r:id="rId111" xr:uid="{4BB86547-285D-4996-A7C9-1BC4607719D6}"/>
    <hyperlink ref="A163" r:id="rId112" xr:uid="{121934C8-7BED-49D0-AF3B-E21E1EEC9C65}"/>
    <hyperlink ref="A164" r:id="rId113" xr:uid="{8AC81951-981C-4039-A795-2631AFE4225E}"/>
    <hyperlink ref="A165" r:id="rId114" xr:uid="{4B737CD1-8266-4CCB-9FDA-2B8752D56B63}"/>
    <hyperlink ref="A166" r:id="rId115" xr:uid="{B0583237-FC28-4DC4-A184-B8BC8A6D3596}"/>
    <hyperlink ref="A167" r:id="rId116" xr:uid="{5C9BD467-6153-4139-9836-12040B8A0C99}"/>
    <hyperlink ref="A168" r:id="rId117" xr:uid="{695F74DA-53EA-46A6-85EC-BC7901F41787}"/>
    <hyperlink ref="A169" r:id="rId118" xr:uid="{F730FCB9-8CA7-4E68-B0E7-B767E522A4C9}"/>
    <hyperlink ref="A170" r:id="rId119" xr:uid="{964CCD71-E785-4E3E-8925-2C509AF1D653}"/>
    <hyperlink ref="A171" r:id="rId120" xr:uid="{5245434E-3295-41E5-B1AA-CE00B6EECEFF}"/>
    <hyperlink ref="A172" r:id="rId121" xr:uid="{E8E923A3-D1E9-4947-BB09-79877289FDFB}"/>
    <hyperlink ref="A173" r:id="rId122" xr:uid="{A0404037-C6D2-4577-8F4A-DED47379F86A}"/>
    <hyperlink ref="A174" r:id="rId123" xr:uid="{5043943E-E4D6-4B51-A155-6A5A18B4D375}"/>
    <hyperlink ref="A175" r:id="rId124" xr:uid="{4B1A2852-F0A2-4376-86D7-1A30A51D7B97}"/>
    <hyperlink ref="A176" r:id="rId125" xr:uid="{70D6C1FF-BE21-4BA3-A6E3-72FFF0C5DCA9}"/>
    <hyperlink ref="A177" r:id="rId126" xr:uid="{5D0247A9-D860-4845-A8E0-E173E1877888}"/>
    <hyperlink ref="A178" r:id="rId127" xr:uid="{FC9C2579-2523-4A5C-AB15-A44E827E901B}"/>
    <hyperlink ref="A179" r:id="rId128" xr:uid="{D8C6AE0C-2569-4C7E-A564-4D4A68CD46D1}"/>
    <hyperlink ref="A180" r:id="rId129" xr:uid="{35DBB41B-EC39-4045-9D57-06B2ADF8AC26}"/>
    <hyperlink ref="A181" r:id="rId130" xr:uid="{EA877DAE-C86F-4394-BE65-109D10FC8E82}"/>
    <hyperlink ref="A182" r:id="rId131" xr:uid="{5FFE342C-83C1-45E0-9C6A-B8619870D799}"/>
    <hyperlink ref="A183" r:id="rId132" xr:uid="{48923833-CCF5-4E54-A4C3-B680D7DF0330}"/>
    <hyperlink ref="A184" r:id="rId133" xr:uid="{D922835B-C393-4BCC-B0A3-75A064F864C2}"/>
    <hyperlink ref="A185" r:id="rId134" xr:uid="{E5CBB5C5-EF68-4F19-B0D2-AF3448FDFA34}"/>
    <hyperlink ref="A186" r:id="rId135" xr:uid="{96657247-123A-472A-8AD0-51877782E221}"/>
    <hyperlink ref="A187" r:id="rId136" xr:uid="{9756A3FB-8FEB-4419-BB59-713A0E2F33D5}"/>
    <hyperlink ref="A188" r:id="rId137" xr:uid="{8E2067CA-B24A-4674-978A-4FC80B0FE566}"/>
    <hyperlink ref="A189" r:id="rId138" xr:uid="{46FAB926-B436-4B26-91B2-5C2534B813E5}"/>
    <hyperlink ref="A190" r:id="rId139" xr:uid="{1F687667-30DF-4C0B-AB4D-D8A568AA4006}"/>
    <hyperlink ref="A191" r:id="rId140" xr:uid="{681771D1-CFCD-4BA0-B644-468CAE51FD59}"/>
    <hyperlink ref="A192" r:id="rId141" xr:uid="{A4A5CD4A-C065-40F7-8216-442E1B197CBC}"/>
    <hyperlink ref="A193" r:id="rId142" xr:uid="{1D9A2587-DA21-4FA2-9D6C-D2D8BD41D07F}"/>
    <hyperlink ref="A194" r:id="rId143" xr:uid="{1CA1112E-E7B5-480C-96DD-335320594E12}"/>
    <hyperlink ref="A195" r:id="rId144" xr:uid="{E1CA38B9-2BFE-4819-9B9B-0BBCBA847B46}"/>
    <hyperlink ref="A196" r:id="rId145" xr:uid="{F55F49D5-63DC-4CAB-89A2-06AAC7BCAAC5}"/>
    <hyperlink ref="A197" r:id="rId146" xr:uid="{E6047305-E1AB-452D-87D3-F21D8E9FD697}"/>
    <hyperlink ref="A198" r:id="rId147" xr:uid="{9E954581-985A-45CB-8CD3-FFA73774AD6E}"/>
    <hyperlink ref="A199" r:id="rId148" xr:uid="{BB8E147E-7B91-4979-BB50-F999ED00133D}"/>
    <hyperlink ref="A200" r:id="rId149" xr:uid="{5054D203-FE43-4C19-9A57-2B096DC6C920}"/>
    <hyperlink ref="A201" r:id="rId150" xr:uid="{52A4ACEA-0CB6-4D85-8B0B-EA5ED297758B}"/>
    <hyperlink ref="A2" r:id="rId151" xr:uid="{48B33EEB-20AD-4E6D-86EA-356C96C96CB9}"/>
    <hyperlink ref="A3" r:id="rId152" xr:uid="{9C18E472-6765-40C9-A99E-1710C95B3A5C}"/>
    <hyperlink ref="A4" r:id="rId153" xr:uid="{779DB449-EB26-479A-BB47-7EC828B7F92F}"/>
    <hyperlink ref="A5" r:id="rId154" xr:uid="{F3B834D4-7B6E-4E5F-A335-D6B69E2D380C}"/>
    <hyperlink ref="A6" r:id="rId155" xr:uid="{8D67780A-52BC-4170-8D18-D7389DF1D6D9}"/>
    <hyperlink ref="A7" r:id="rId156" xr:uid="{99D98319-7066-4426-94C1-7D8BA023F328}"/>
    <hyperlink ref="A8" r:id="rId157" xr:uid="{3F70A120-A045-45A7-8283-BBD708810A2A}"/>
    <hyperlink ref="A9" r:id="rId158" xr:uid="{8E2FD8A3-1730-4463-8A6B-EF383A400997}"/>
    <hyperlink ref="A10" r:id="rId159" xr:uid="{09B26390-7106-400E-911C-BDE506973217}"/>
    <hyperlink ref="A11" r:id="rId160" xr:uid="{4DEB557E-0371-4B1B-B8D2-605580988C9E}"/>
    <hyperlink ref="A12" r:id="rId161" xr:uid="{317C4772-E8FC-4EB6-94BD-CE2218E3035C}"/>
    <hyperlink ref="A13" r:id="rId162" xr:uid="{D0F3006A-7E70-4144-B00A-C8C0BEC5F5B2}"/>
    <hyperlink ref="A14" r:id="rId163" xr:uid="{821982A3-5BAF-41C8-BAFD-7AA9D4CB2597}"/>
    <hyperlink ref="A15" r:id="rId164" xr:uid="{9A7D495E-192B-44F8-8A23-6027E7462D41}"/>
    <hyperlink ref="A16" r:id="rId165" xr:uid="{44CBAFF7-AA36-4CBD-B98A-736249E4BA80}"/>
    <hyperlink ref="A17" r:id="rId166" xr:uid="{366AB76B-2255-46D0-ACFE-D132616C7CC4}"/>
    <hyperlink ref="A18" r:id="rId167" xr:uid="{BC873836-0C40-4366-A9BC-006107C25EAA}"/>
    <hyperlink ref="A19" r:id="rId168" xr:uid="{FF3447F5-1800-4C0D-8A69-AC4F3A308862}"/>
    <hyperlink ref="A20" r:id="rId169" xr:uid="{774FB3D0-2ADC-4960-9E90-6608C7DCE8D3}"/>
    <hyperlink ref="A21" r:id="rId170" xr:uid="{857C929E-12BE-44A4-8D30-7793064815FD}"/>
    <hyperlink ref="A22" r:id="rId171" xr:uid="{1436DFFC-8ACC-46C2-91EE-C0F4A1AA2AF7}"/>
    <hyperlink ref="A23" r:id="rId172" xr:uid="{A08D0CEC-719A-4C44-B482-CD1904962455}"/>
    <hyperlink ref="A24" r:id="rId173" xr:uid="{E764F896-5025-4D4D-AD7D-D8ABD34DF1BB}"/>
    <hyperlink ref="A25" r:id="rId174" xr:uid="{E410EA97-7798-4524-8B01-34EB98505F22}"/>
    <hyperlink ref="A26" r:id="rId175" xr:uid="{553019EC-5C97-4C45-8BFE-74C694247539}"/>
    <hyperlink ref="A27" r:id="rId176" xr:uid="{8EBF60C9-A774-4BA2-A918-CDB7EAF8400A}"/>
    <hyperlink ref="A28" r:id="rId177" xr:uid="{ACC6B769-875A-4A4E-935F-1C4ED599A5D5}"/>
    <hyperlink ref="A29" r:id="rId178" xr:uid="{F053DDB6-273A-4396-A966-E6CEFAE50389}"/>
    <hyperlink ref="A30" r:id="rId179" xr:uid="{540A0143-53E1-42F1-84BC-5EC606CC20E0}"/>
    <hyperlink ref="A31" r:id="rId180" xr:uid="{EE2B319C-A46D-483F-9361-E29BC56013B9}"/>
    <hyperlink ref="A32" r:id="rId181" xr:uid="{56092CA1-6B20-41A6-AEF1-3AC7AA025458}"/>
    <hyperlink ref="A33" r:id="rId182" xr:uid="{90B4B4C5-F31B-4C24-817A-CF66B22221C1}"/>
    <hyperlink ref="A34" r:id="rId183" xr:uid="{C72F1F67-3BBE-4342-AADB-9C93730098D5}"/>
    <hyperlink ref="A35" r:id="rId184" xr:uid="{5286C1C0-44B1-4D08-810B-F6E46468A52D}"/>
    <hyperlink ref="A36" r:id="rId185" xr:uid="{24B066B5-082D-4B05-B1C3-3FDDA8EEFB57}"/>
    <hyperlink ref="A37" r:id="rId186" xr:uid="{F766C12F-D29F-412C-8EA8-B3E21DDF6A97}"/>
    <hyperlink ref="A38" r:id="rId187" xr:uid="{BBAD8C4A-3642-42A2-BACD-481BF7C40BF3}"/>
    <hyperlink ref="A39" r:id="rId188" xr:uid="{5789EC2D-9010-43CC-8A42-FA7ABF9FADD5}"/>
    <hyperlink ref="A40" r:id="rId189" xr:uid="{87849206-29F0-4411-80B2-1CFC8A2AC1DB}"/>
    <hyperlink ref="A41" r:id="rId190" xr:uid="{C468223E-FD97-4C6C-8E6F-9237B0394EDD}"/>
    <hyperlink ref="A42" r:id="rId191" xr:uid="{C6523F9D-6A12-4876-88E9-B53E0A205E71}"/>
    <hyperlink ref="A43" r:id="rId192" xr:uid="{59369F77-CDFF-4E2A-A33A-F268C194073C}"/>
    <hyperlink ref="A44" r:id="rId193" xr:uid="{B9A08672-F07F-48BB-B7BF-00935091F33B}"/>
    <hyperlink ref="A45" r:id="rId194" xr:uid="{6FC9FAB7-4F10-4795-B2B2-B634A6DD382D}"/>
    <hyperlink ref="A46" r:id="rId195" xr:uid="{E89C7E77-2DFA-4636-9049-5DC839F4E20A}"/>
    <hyperlink ref="A47" r:id="rId196" xr:uid="{4C776794-51F5-436E-A125-CCC106854165}"/>
    <hyperlink ref="A48" r:id="rId197" xr:uid="{FB0EF55D-4285-4204-AD02-6C5083AF149F}"/>
    <hyperlink ref="A49" r:id="rId198" xr:uid="{DE57DC1F-9429-49C2-8695-AA1BD511D4BC}"/>
    <hyperlink ref="A50" r:id="rId199" xr:uid="{350079F6-363A-4C4A-A4EF-4EE4E3FB1823}"/>
    <hyperlink ref="A51" r:id="rId200" xr:uid="{1FE4E461-01DB-4160-A334-5BFA1F6EC25D}"/>
  </hyperlinks>
  <pageMargins left="0.7" right="0.7" top="0.75" bottom="0.75" header="0.3" footer="0.3"/>
  <drawing r:id="rId201"/>
  <legacyDrawing r:id="rId202"/>
  <tableParts count="1">
    <tablePart r:id="rId20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A9041-F33A-8F40-B1F2-AD6AEB342EDA}">
  <dimension ref="A1:V201"/>
  <sheetViews>
    <sheetView topLeftCell="L1" zoomScale="61" zoomScaleNormal="100" workbookViewId="0">
      <selection activeCell="V41" sqref="V41"/>
    </sheetView>
  </sheetViews>
  <sheetFormatPr defaultColWidth="8.88671875" defaultRowHeight="15" customHeight="1" x14ac:dyDescent="0.3"/>
  <cols>
    <col min="1" max="1" width="11.6640625" customWidth="1"/>
    <col min="2" max="2" width="60.44140625" bestFit="1" customWidth="1"/>
    <col min="3" max="3" width="14.44140625" customWidth="1"/>
    <col min="4" max="4" width="16.44140625" style="88" customWidth="1"/>
    <col min="5" max="5" width="15.44140625" customWidth="1"/>
    <col min="6" max="6" width="12.44140625" customWidth="1"/>
    <col min="7" max="7" width="17" customWidth="1"/>
    <col min="8" max="8" width="9.6640625" customWidth="1"/>
    <col min="9" max="9" width="18.6640625" bestFit="1" customWidth="1"/>
    <col min="10" max="10" width="28.109375" style="71" bestFit="1" customWidth="1"/>
    <col min="11" max="11" width="12.44140625" style="63" bestFit="1" customWidth="1"/>
    <col min="12" max="12" width="26.88671875" bestFit="1" customWidth="1"/>
    <col min="13" max="13" width="25.33203125" style="41" customWidth="1"/>
    <col min="17" max="17" width="14.6640625" customWidth="1"/>
    <col min="19" max="19" width="34.44140625" bestFit="1" customWidth="1"/>
    <col min="20" max="20" width="23.44140625" customWidth="1"/>
    <col min="21" max="21" width="34.109375" bestFit="1" customWidth="1"/>
    <col min="22" max="22" width="12.88671875" customWidth="1"/>
  </cols>
  <sheetData>
    <row r="1" spans="1:22" ht="15" customHeight="1" thickBot="1" x14ac:dyDescent="0.35">
      <c r="A1" s="7" t="s">
        <v>52</v>
      </c>
      <c r="B1" s="8" t="s">
        <v>53</v>
      </c>
      <c r="C1" s="8" t="s">
        <v>54</v>
      </c>
      <c r="D1" s="84" t="s">
        <v>55</v>
      </c>
      <c r="E1" s="8" t="s">
        <v>56</v>
      </c>
      <c r="F1" s="8" t="s">
        <v>57</v>
      </c>
      <c r="G1" s="9" t="s">
        <v>58</v>
      </c>
      <c r="H1" s="9" t="s">
        <v>59</v>
      </c>
      <c r="I1" s="23" t="s">
        <v>60</v>
      </c>
      <c r="J1" s="70" t="s">
        <v>61</v>
      </c>
      <c r="K1" s="60" t="s">
        <v>62</v>
      </c>
      <c r="L1" s="23" t="s">
        <v>63</v>
      </c>
      <c r="M1" s="66" t="s">
        <v>64</v>
      </c>
      <c r="Q1" s="1" t="s">
        <v>65</v>
      </c>
      <c r="S1" t="s">
        <v>66</v>
      </c>
    </row>
    <row r="2" spans="1:22" ht="15" customHeight="1" thickBot="1" x14ac:dyDescent="0.35">
      <c r="A2" s="79" t="s">
        <v>202</v>
      </c>
      <c r="B2" s="74" t="s">
        <v>203</v>
      </c>
      <c r="C2" s="74">
        <v>213.85</v>
      </c>
      <c r="D2" s="74" t="s">
        <v>204</v>
      </c>
      <c r="E2" s="76">
        <v>5.0000000000000001E-4</v>
      </c>
      <c r="F2" s="74">
        <v>1.07</v>
      </c>
      <c r="G2" s="78">
        <v>79900000000</v>
      </c>
      <c r="H2" s="25" t="b">
        <f t="shared" ref="H2:H33" si="0">OR(
  ISNUMBER(SEARCH("technology",B2)),
  ISNUMBER(SEARCH("tech",B2)),
  ISNUMBER(SEARCH("qqq",B2)),
  ISNUMBER(SEARCH("semiconductor",B2)),
  ISNUMBER(SEARCH("information technology",B2)),
  ISNUMBER(SEARCH("nasdaq",B2)),
  ISNUMBER(SEARCH("communication",B2))
)</f>
        <v>0</v>
      </c>
      <c r="I2" s="26">
        <f>Table13568[[#This Row],[Tech]]*$T$7+Table13568[[#This Row],[Beta]]*($T$6-$T$8)+$T$8</f>
        <v>0.104452</v>
      </c>
      <c r="J2" s="64">
        <v>1017046038.6796005</v>
      </c>
      <c r="K2" s="61">
        <f>Table13568[[#This Row],[Investment]]/Table13568[[#This Row],[Dollar Volume]]</f>
        <v>1.2728986716891121E-2</v>
      </c>
      <c r="L2" s="34">
        <f>IFERROR(MAX($T$11+$T$12*LN(Table13568[[#This Row],[Frac ADV]]),0),0)*0.0001+0.005/Table13568[[#This Row],[Stock Price]]+Table13568[[#This Row],[Expense Ratio]]</f>
        <v>1.0404575356607699E-2</v>
      </c>
      <c r="M2" s="67">
        <f>(Table13568[[#This Row],[Expected Return]]-Table13568[[#This Row],[Tcosts]])*Table13568[[#This Row],[Investment]]</f>
        <v>95650560.68158038</v>
      </c>
      <c r="Q2" s="13" t="s">
        <v>70</v>
      </c>
    </row>
    <row r="3" spans="1:22" ht="15" customHeight="1" thickBot="1" x14ac:dyDescent="0.35">
      <c r="A3" s="79" t="s">
        <v>89</v>
      </c>
      <c r="B3" s="74" t="s">
        <v>90</v>
      </c>
      <c r="C3" s="74">
        <v>217.72</v>
      </c>
      <c r="D3" s="74" t="s">
        <v>91</v>
      </c>
      <c r="E3" s="76">
        <v>8.0000000000000004E-4</v>
      </c>
      <c r="F3" s="74">
        <v>1.43</v>
      </c>
      <c r="G3" s="78">
        <v>48350000000</v>
      </c>
      <c r="H3" s="3" t="b">
        <f t="shared" si="0"/>
        <v>1</v>
      </c>
      <c r="I3" s="26">
        <f>Table13568[[#This Row],[Tech]]*$T$7+Table13568[[#This Row],[Beta]]*($T$6-$T$8)+$T$8</f>
        <v>0.22734799999999999</v>
      </c>
      <c r="J3" s="64">
        <v>967000345.85772455</v>
      </c>
      <c r="K3" s="61">
        <f>Table13568[[#This Row],[Investment]]/Table13568[[#This Row],[Dollar Volume]]</f>
        <v>2.0000007153210434E-2</v>
      </c>
      <c r="L3" s="34">
        <f>IFERROR(MAX($T$11+$T$12*LN(Table13568[[#This Row],[Frac ADV]]),0),0)*0.0001+0.005/Table13568[[#This Row],[Stock Price]]+Table13568[[#This Row],[Expense Ratio]]</f>
        <v>1.2917417970300719E-2</v>
      </c>
      <c r="M3" s="68">
        <f>(Table13568[[#This Row],[Expected Return]]-Table13568[[#This Row],[Tcosts]])*Table13568[[#This Row],[Investment]]</f>
        <v>207354446.98519239</v>
      </c>
      <c r="Q3" s="16" t="s">
        <v>74</v>
      </c>
      <c r="S3" t="s">
        <v>75</v>
      </c>
    </row>
    <row r="4" spans="1:22" ht="15" customHeight="1" thickBot="1" x14ac:dyDescent="0.35">
      <c r="A4" s="77" t="s">
        <v>150</v>
      </c>
      <c r="B4" s="73" t="s">
        <v>151</v>
      </c>
      <c r="C4" s="73">
        <v>448.96</v>
      </c>
      <c r="D4" s="73" t="s">
        <v>152</v>
      </c>
      <c r="E4" s="75">
        <v>1.8E-3</v>
      </c>
      <c r="F4" s="73">
        <v>1.22</v>
      </c>
      <c r="G4" s="78">
        <v>7750000000</v>
      </c>
      <c r="H4" s="3" t="b">
        <f t="shared" si="0"/>
        <v>0</v>
      </c>
      <c r="I4" s="26">
        <f>Table13568[[#This Row],[Tech]]*$T$7+Table13568[[#This Row],[Beta]]*($T$6-$T$8)+$T$8</f>
        <v>0.11399200000000001</v>
      </c>
      <c r="J4" s="64">
        <v>155000336.52060074</v>
      </c>
      <c r="K4" s="61">
        <f>Table13568[[#This Row],[Investment]]/Table13568[[#This Row],[Dollar Volume]]</f>
        <v>2.0000043422013E-2</v>
      </c>
      <c r="L4" s="34">
        <f>IFERROR(MAX($T$11+$T$12*LN(Table13568[[#This Row],[Frac ADV]]),0),0)*0.0001+0.005/Table13568[[#This Row],[Stock Price]]+Table13568[[#This Row],[Expense Ratio]]</f>
        <v>1.3905598425998113E-2</v>
      </c>
      <c r="M4" s="68">
        <f>(Table13568[[#This Row],[Expected Return]]-Table13568[[#This Row],[Tcosts]])*Table13568[[#This Row],[Investment]]</f>
        <v>15513425.925106276</v>
      </c>
      <c r="Q4" s="13" t="s">
        <v>79</v>
      </c>
      <c r="S4" t="s">
        <v>80</v>
      </c>
      <c r="T4" t="s">
        <v>81</v>
      </c>
      <c r="U4" t="s">
        <v>82</v>
      </c>
    </row>
    <row r="5" spans="1:22" ht="15" customHeight="1" thickBot="1" x14ac:dyDescent="0.35">
      <c r="A5" s="79" t="s">
        <v>356</v>
      </c>
      <c r="B5" s="74" t="s">
        <v>357</v>
      </c>
      <c r="C5" s="74">
        <v>115.66</v>
      </c>
      <c r="D5" s="74" t="s">
        <v>358</v>
      </c>
      <c r="E5" s="76">
        <v>1.5E-3</v>
      </c>
      <c r="F5" s="74">
        <v>0.98</v>
      </c>
      <c r="G5" s="78">
        <v>9210000000</v>
      </c>
      <c r="H5" s="3" t="b">
        <f t="shared" si="0"/>
        <v>0</v>
      </c>
      <c r="I5" s="26">
        <f>Table13568[[#This Row],[Tech]]*$T$7+Table13568[[#This Row],[Beta]]*($T$6-$T$8)+$T$8</f>
        <v>9.872800000000001E-2</v>
      </c>
      <c r="J5" s="64">
        <v>145061979.63177964</v>
      </c>
      <c r="K5" s="61">
        <f>Table13568[[#This Row],[Investment]]/Table13568[[#This Row],[Dollar Volume]]</f>
        <v>1.5750486387815378E-2</v>
      </c>
      <c r="L5" s="34">
        <f>IFERROR(MAX($T$11+$T$12*LN(Table13568[[#This Row],[Frac ADV]]),0),0)*0.0001+0.005/Table13568[[#This Row],[Stock Price]]+Table13568[[#This Row],[Expense Ratio]]</f>
        <v>1.2467690681631496E-2</v>
      </c>
      <c r="M5" s="68">
        <f>(Table13568[[#This Row],[Expected Return]]-Table13568[[#This Row],[Tcosts]])*Table13568[[#This Row],[Investment]]</f>
        <v>12513091.233372185</v>
      </c>
      <c r="Q5" s="16" t="s">
        <v>86</v>
      </c>
      <c r="S5" t="s">
        <v>87</v>
      </c>
      <c r="T5" s="17">
        <v>1000000000</v>
      </c>
      <c r="U5" t="s">
        <v>88</v>
      </c>
    </row>
    <row r="6" spans="1:22" ht="15" customHeight="1" thickBot="1" x14ac:dyDescent="0.35">
      <c r="A6" s="77" t="s">
        <v>113</v>
      </c>
      <c r="B6" s="73" t="s">
        <v>114</v>
      </c>
      <c r="C6" s="73">
        <v>600.64</v>
      </c>
      <c r="D6" s="73" t="s">
        <v>115</v>
      </c>
      <c r="E6" s="75">
        <v>2E-3</v>
      </c>
      <c r="F6" s="73">
        <v>1.22</v>
      </c>
      <c r="G6" s="78">
        <v>5570000000</v>
      </c>
      <c r="H6" s="3" t="b">
        <f t="shared" si="0"/>
        <v>1</v>
      </c>
      <c r="I6" s="26">
        <f>Table13568[[#This Row],[Tech]]*$T$7+Table13568[[#This Row],[Beta]]*($T$6-$T$8)+$T$8</f>
        <v>0.21399200000000002</v>
      </c>
      <c r="J6" s="64">
        <v>111400300.32197088</v>
      </c>
      <c r="K6" s="61">
        <f>Table13568[[#This Row],[Investment]]/Table13568[[#This Row],[Dollar Volume]]</f>
        <v>2.0000053917768559E-2</v>
      </c>
      <c r="L6" s="34">
        <f>IFERROR(MAX($T$11+$T$12*LN(Table13568[[#This Row],[Frac ADV]]),0),0)*0.0001+0.005/Table13568[[#This Row],[Stock Price]]+Table13568[[#This Row],[Expense Ratio]]</f>
        <v>1.4102788600818128E-2</v>
      </c>
      <c r="M6" s="68">
        <f>(Table13568[[#This Row],[Expected Return]]-Table13568[[#This Row],[Tcosts]])*Table13568[[#This Row],[Investment]]</f>
        <v>22267718.180990789</v>
      </c>
      <c r="Q6" s="13" t="s">
        <v>92</v>
      </c>
      <c r="S6" t="s">
        <v>93</v>
      </c>
      <c r="T6" s="18">
        <v>0.1</v>
      </c>
      <c r="U6" t="s">
        <v>94</v>
      </c>
    </row>
    <row r="7" spans="1:22" ht="15" customHeight="1" thickBot="1" x14ac:dyDescent="0.35">
      <c r="A7" s="77" t="s">
        <v>76</v>
      </c>
      <c r="B7" s="73" t="s">
        <v>77</v>
      </c>
      <c r="C7" s="73">
        <v>351.5</v>
      </c>
      <c r="D7" s="73" t="s">
        <v>78</v>
      </c>
      <c r="E7" s="75">
        <v>3.3999999999999998E-3</v>
      </c>
      <c r="F7" s="73">
        <v>1.74</v>
      </c>
      <c r="G7" s="78">
        <v>5500000000</v>
      </c>
      <c r="H7" s="3" t="b">
        <f t="shared" si="0"/>
        <v>1</v>
      </c>
      <c r="I7" s="26">
        <f>Table13568[[#This Row],[Tech]]*$T$7+Table13568[[#This Row],[Beta]]*($T$6-$T$8)+$T$8</f>
        <v>0.24706400000000001</v>
      </c>
      <c r="J7" s="64">
        <v>110000399.48324703</v>
      </c>
      <c r="K7" s="61">
        <f>Table13568[[#This Row],[Investment]]/Table13568[[#This Row],[Dollar Volume]]</f>
        <v>2.0000072633317642E-2</v>
      </c>
      <c r="L7" s="34">
        <f>IFERROR(MAX($T$11+$T$12*LN(Table13568[[#This Row],[Frac ADV]]),0),0)*0.0001+0.005/Table13568[[#This Row],[Stock Price]]+Table13568[[#This Row],[Expense Ratio]]</f>
        <v>1.5508693481585015E-2</v>
      </c>
      <c r="M7" s="68">
        <f>(Table13568[[#This Row],[Expected Return]]-Table13568[[#This Row],[Tcosts]])*Table13568[[#This Row],[Investment]]</f>
        <v>25471176.219491363</v>
      </c>
      <c r="Q7" s="16" t="s">
        <v>98</v>
      </c>
      <c r="S7" t="s">
        <v>99</v>
      </c>
      <c r="T7" s="18">
        <v>0.1</v>
      </c>
      <c r="U7" t="s">
        <v>100</v>
      </c>
    </row>
    <row r="8" spans="1:22" ht="15" customHeight="1" thickBot="1" x14ac:dyDescent="0.35">
      <c r="A8" s="77" t="s">
        <v>186</v>
      </c>
      <c r="B8" s="73" t="s">
        <v>187</v>
      </c>
      <c r="C8" s="73">
        <v>460.15</v>
      </c>
      <c r="D8" s="73" t="s">
        <v>188</v>
      </c>
      <c r="E8" s="75">
        <v>2.9999999999999997E-4</v>
      </c>
      <c r="F8" s="73">
        <v>1.24</v>
      </c>
      <c r="G8" s="78">
        <v>4880000000</v>
      </c>
      <c r="H8" s="3" t="b">
        <f t="shared" si="0"/>
        <v>0</v>
      </c>
      <c r="I8" s="26">
        <f>Table13568[[#This Row],[Tech]]*$T$7+Table13568[[#This Row],[Beta]]*($T$6-$T$8)+$T$8</f>
        <v>0.11526400000000001</v>
      </c>
      <c r="J8" s="64">
        <v>97600505.289182901</v>
      </c>
      <c r="K8" s="61">
        <f>Table13568[[#This Row],[Investment]]/Table13568[[#This Row],[Dollar Volume]]</f>
        <v>2.0000103542865348E-2</v>
      </c>
      <c r="L8" s="34">
        <f>IFERROR(MAX($T$11+$T$12*LN(Table13568[[#This Row],[Frac ADV]]),0),0)*0.0001+0.005/Table13568[[#This Row],[Stock Price]]+Table13568[[#This Row],[Expense Ratio]]</f>
        <v>1.2405342322500151E-2</v>
      </c>
      <c r="M8" s="68">
        <f>(Table13568[[#This Row],[Expected Return]]-Table13568[[#This Row],[Tcosts]])*Table13568[[#This Row],[Investment]]</f>
        <v>10039056.962691078</v>
      </c>
      <c r="Q8" s="13" t="s">
        <v>104</v>
      </c>
      <c r="S8" t="s">
        <v>105</v>
      </c>
      <c r="T8" s="19">
        <v>3.6400000000000002E-2</v>
      </c>
      <c r="U8" t="s">
        <v>106</v>
      </c>
      <c r="V8" s="21">
        <v>46076</v>
      </c>
    </row>
    <row r="9" spans="1:22" ht="15" customHeight="1" thickBot="1" x14ac:dyDescent="0.35">
      <c r="A9" s="77" t="s">
        <v>277</v>
      </c>
      <c r="B9" s="73" t="s">
        <v>278</v>
      </c>
      <c r="C9" s="73">
        <v>82.87</v>
      </c>
      <c r="D9" s="73" t="s">
        <v>279</v>
      </c>
      <c r="E9" s="75">
        <v>2.9999999999999997E-4</v>
      </c>
      <c r="F9" s="73">
        <v>0.99</v>
      </c>
      <c r="G9" s="78">
        <v>4470000000</v>
      </c>
      <c r="H9" s="3" t="b">
        <f t="shared" si="0"/>
        <v>0</v>
      </c>
      <c r="I9" s="26">
        <f>Table13568[[#This Row],[Tech]]*$T$7+Table13568[[#This Row],[Beta]]*($T$6-$T$8)+$T$8</f>
        <v>9.9364000000000008E-2</v>
      </c>
      <c r="J9" s="64">
        <v>64724294.197159104</v>
      </c>
      <c r="K9" s="61">
        <f>Table13568[[#This Row],[Investment]]/Table13568[[#This Row],[Dollar Volume]]</f>
        <v>1.4479707874084811E-2</v>
      </c>
      <c r="L9" s="34">
        <f>IFERROR(MAX($T$11+$T$12*LN(Table13568[[#This Row],[Frac ADV]]),0),0)*0.0001+0.005/Table13568[[#This Row],[Stock Price]]+Table13568[[#This Row],[Expense Ratio]]</f>
        <v>1.0872744072863733E-2</v>
      </c>
      <c r="M9" s="68">
        <f>(Table13568[[#This Row],[Expected Return]]-Table13568[[#This Row],[Tcosts]])*Table13568[[#This Row],[Investment]]</f>
        <v>5727534.0825040676</v>
      </c>
      <c r="Q9" s="16" t="s">
        <v>110</v>
      </c>
      <c r="S9" t="s">
        <v>111</v>
      </c>
      <c r="T9" s="19">
        <f>T8+2%</f>
        <v>5.6400000000000006E-2</v>
      </c>
      <c r="U9" t="s">
        <v>112</v>
      </c>
    </row>
    <row r="10" spans="1:22" ht="15" customHeight="1" thickBot="1" x14ac:dyDescent="0.35">
      <c r="A10" s="79" t="s">
        <v>190</v>
      </c>
      <c r="B10" s="74" t="s">
        <v>191</v>
      </c>
      <c r="C10" s="74">
        <v>119.49</v>
      </c>
      <c r="D10" s="74" t="s">
        <v>192</v>
      </c>
      <c r="E10" s="76">
        <v>1.8E-3</v>
      </c>
      <c r="F10" s="74">
        <v>1.21</v>
      </c>
      <c r="G10" s="78">
        <v>3070000000</v>
      </c>
      <c r="H10" s="3" t="b">
        <f t="shared" si="0"/>
        <v>0</v>
      </c>
      <c r="I10" s="26">
        <f>Table13568[[#This Row],[Tech]]*$T$7+Table13568[[#This Row],[Beta]]*($T$6-$T$8)+$T$8</f>
        <v>0.113356</v>
      </c>
      <c r="J10" s="64">
        <v>61400295.933146872</v>
      </c>
      <c r="K10" s="61">
        <f>Table13568[[#This Row],[Investment]]/Table13568[[#This Row],[Dollar Volume]]</f>
        <v>2.0000096395161846E-2</v>
      </c>
      <c r="L10" s="34">
        <f>IFERROR(MAX($T$11+$T$12*LN(Table13568[[#This Row],[Frac ADV]]),0),0)*0.0001+0.005/Table13568[[#This Row],[Stock Price]]+Table13568[[#This Row],[Expense Ratio]]</f>
        <v>1.3936319055829857E-2</v>
      </c>
      <c r="M10" s="68">
        <f>(Table13568[[#This Row],[Expected Return]]-Table13568[[#This Row],[Tcosts]])*Table13568[[#This Row],[Investment]]</f>
        <v>6104397.8315510899</v>
      </c>
      <c r="Q10" s="13" t="s">
        <v>116</v>
      </c>
      <c r="S10" t="s">
        <v>117</v>
      </c>
      <c r="U10" s="22" t="s">
        <v>118</v>
      </c>
    </row>
    <row r="11" spans="1:22" ht="15" customHeight="1" thickBot="1" x14ac:dyDescent="0.35">
      <c r="A11" s="77" t="s">
        <v>71</v>
      </c>
      <c r="B11" s="73" t="s">
        <v>72</v>
      </c>
      <c r="C11" s="73">
        <v>406.11</v>
      </c>
      <c r="D11" s="73" t="s">
        <v>73</v>
      </c>
      <c r="E11" s="75">
        <v>3.5000000000000001E-3</v>
      </c>
      <c r="F11" s="73">
        <v>1.71</v>
      </c>
      <c r="G11" s="78">
        <v>2350000000</v>
      </c>
      <c r="H11" s="3" t="b">
        <f t="shared" si="0"/>
        <v>1</v>
      </c>
      <c r="I11" s="26">
        <f>Table13568[[#This Row],[Tech]]*$T$7+Table13568[[#This Row],[Beta]]*($T$6-$T$8)+$T$8</f>
        <v>0.24515599999999999</v>
      </c>
      <c r="J11" s="64">
        <v>47000393.201257922</v>
      </c>
      <c r="K11" s="61">
        <f>Table13568[[#This Row],[Investment]]/Table13568[[#This Row],[Dollar Volume]]</f>
        <v>2.0000167319684223E-2</v>
      </c>
      <c r="L11" s="34">
        <f>IFERROR(MAX($T$11+$T$12*LN(Table13568[[#This Row],[Frac ADV]]),0),0)*0.0001+0.005/Table13568[[#This Row],[Stock Price]]+Table13568[[#This Row],[Expense Ratio]]</f>
        <v>1.5606803855233525E-2</v>
      </c>
      <c r="M11" s="68">
        <f>(Table13568[[#This Row],[Expected Return]]-Table13568[[#This Row],[Tcosts]])*Table13568[[#This Row],[Investment]]</f>
        <v>10788902.477836702</v>
      </c>
      <c r="Q11" s="16" t="s">
        <v>122</v>
      </c>
      <c r="S11" t="s">
        <v>11</v>
      </c>
      <c r="T11" s="20">
        <v>312.56343894969302</v>
      </c>
    </row>
    <row r="12" spans="1:22" ht="15" customHeight="1" thickBot="1" x14ac:dyDescent="0.35">
      <c r="A12" s="77" t="s">
        <v>123</v>
      </c>
      <c r="B12" s="73" t="s">
        <v>124</v>
      </c>
      <c r="C12" s="73">
        <v>114.64</v>
      </c>
      <c r="D12" s="73" t="s">
        <v>125</v>
      </c>
      <c r="E12" s="75">
        <v>8.0000000000000004E-4</v>
      </c>
      <c r="F12" s="73">
        <v>0.94</v>
      </c>
      <c r="G12" s="78">
        <v>1870000000</v>
      </c>
      <c r="H12" s="3" t="b">
        <f t="shared" si="0"/>
        <v>1</v>
      </c>
      <c r="I12" s="26">
        <f>Table13568[[#This Row],[Tech]]*$T$7+Table13568[[#This Row],[Beta]]*($T$6-$T$8)+$T$8</f>
        <v>0.19618400000000003</v>
      </c>
      <c r="J12" s="64">
        <v>37400248.204080492</v>
      </c>
      <c r="K12" s="61">
        <f>Table13568[[#This Row],[Investment]]/Table13568[[#This Row],[Dollar Volume]]</f>
        <v>2.0000132729454809E-2</v>
      </c>
      <c r="L12" s="34">
        <f>IFERROR(MAX($T$11+$T$12*LN(Table13568[[#This Row],[Frac ADV]]),0),0)*0.0001+0.005/Table13568[[#This Row],[Stock Price]]+Table13568[[#This Row],[Expense Ratio]]</f>
        <v>1.2938098242742517E-2</v>
      </c>
      <c r="M12" s="68">
        <f>(Table13568[[#This Row],[Expected Return]]-Table13568[[#This Row],[Tcosts]])*Table13568[[#This Row],[Investment]]</f>
        <v>6853442.2081019804</v>
      </c>
      <c r="Q12" s="13" t="s">
        <v>126</v>
      </c>
      <c r="S12" t="s">
        <v>12</v>
      </c>
      <c r="T12" s="20">
        <v>48.982055899151902</v>
      </c>
    </row>
    <row r="13" spans="1:22" ht="15" customHeight="1" thickBot="1" x14ac:dyDescent="0.35">
      <c r="A13" s="79" t="s">
        <v>214</v>
      </c>
      <c r="B13" s="74" t="s">
        <v>215</v>
      </c>
      <c r="C13" s="74">
        <v>132.91</v>
      </c>
      <c r="D13" s="74" t="s">
        <v>216</v>
      </c>
      <c r="E13" s="76">
        <v>2.3E-3</v>
      </c>
      <c r="F13" s="74">
        <v>1.1299999999999999</v>
      </c>
      <c r="G13" s="78">
        <v>1640000000</v>
      </c>
      <c r="H13" s="3" t="b">
        <f t="shared" si="0"/>
        <v>0</v>
      </c>
      <c r="I13" s="26">
        <f>Table13568[[#This Row],[Tech]]*$T$7+Table13568[[#This Row],[Beta]]*($T$6-$T$8)+$T$8</f>
        <v>0.108268</v>
      </c>
      <c r="J13" s="64">
        <v>30021639.552829958</v>
      </c>
      <c r="K13" s="61">
        <f>Table13568[[#This Row],[Investment]]/Table13568[[#This Row],[Dollar Volume]]</f>
        <v>1.830587777611583E-2</v>
      </c>
      <c r="L13" s="34">
        <f>IFERROR(MAX($T$11+$T$12*LN(Table13568[[#This Row],[Frac ADV]]),0),0)*0.0001+0.005/Table13568[[#This Row],[Stock Price]]+Table13568[[#This Row],[Expense Ratio]]</f>
        <v>1.3998529837909222E-2</v>
      </c>
      <c r="M13" s="68">
        <f>(Table13568[[#This Row],[Expected Return]]-Table13568[[#This Row],[Tcosts]])*Table13568[[#This Row],[Investment]]</f>
        <v>2830124.0540425479</v>
      </c>
      <c r="Q13" s="16" t="s">
        <v>130</v>
      </c>
    </row>
    <row r="14" spans="1:22" ht="15" customHeight="1" thickBot="1" x14ac:dyDescent="0.35">
      <c r="A14" s="79" t="s">
        <v>257</v>
      </c>
      <c r="B14" s="74" t="s">
        <v>258</v>
      </c>
      <c r="C14" s="74">
        <v>232.53</v>
      </c>
      <c r="D14" s="74" t="s">
        <v>259</v>
      </c>
      <c r="E14" s="76">
        <v>3.8E-3</v>
      </c>
      <c r="F14" s="74">
        <v>1.05</v>
      </c>
      <c r="G14" s="78">
        <v>2300000000</v>
      </c>
      <c r="H14" s="3" t="b">
        <f t="shared" si="0"/>
        <v>0</v>
      </c>
      <c r="I14" s="26">
        <f>Table13568[[#This Row],[Tech]]*$T$7+Table13568[[#This Row],[Beta]]*($T$6-$T$8)+$T$8</f>
        <v>0.10318000000000001</v>
      </c>
      <c r="J14" s="64">
        <v>28512567.138399333</v>
      </c>
      <c r="K14" s="61">
        <f>Table13568[[#This Row],[Investment]]/Table13568[[#This Row],[Dollar Volume]]</f>
        <v>1.2396768321043188E-2</v>
      </c>
      <c r="L14" s="34">
        <f>IFERROR(MAX($T$11+$T$12*LN(Table13568[[#This Row],[Frac ADV]]),0),0)*0.0001+0.005/Table13568[[#This Row],[Stock Price]]+Table13568[[#This Row],[Expense Ratio]]</f>
        <v>1.3573159178214075E-2</v>
      </c>
      <c r="M14" s="68">
        <f>(Table13568[[#This Row],[Expected Return]]-Table13568[[#This Row],[Tcosts]])*Table13568[[#This Row],[Investment]]</f>
        <v>2554921.0649910336</v>
      </c>
      <c r="Q14" s="13" t="s">
        <v>134</v>
      </c>
      <c r="U14" t="s">
        <v>880</v>
      </c>
      <c r="V14" t="s">
        <v>881</v>
      </c>
    </row>
    <row r="15" spans="1:22" ht="15" customHeight="1" thickBot="1" x14ac:dyDescent="0.35">
      <c r="A15" s="79" t="s">
        <v>222</v>
      </c>
      <c r="B15" s="74" t="s">
        <v>223</v>
      </c>
      <c r="C15" s="74">
        <v>250.2</v>
      </c>
      <c r="D15" s="74" t="s">
        <v>224</v>
      </c>
      <c r="E15" s="76">
        <v>1.5E-3</v>
      </c>
      <c r="F15" s="74">
        <v>1.17</v>
      </c>
      <c r="G15" s="78">
        <v>1360000000</v>
      </c>
      <c r="H15" s="3" t="b">
        <f t="shared" si="0"/>
        <v>0</v>
      </c>
      <c r="I15" s="26">
        <f>Table13568[[#This Row],[Tech]]*$T$7+Table13568[[#This Row],[Beta]]*($T$6-$T$8)+$T$8</f>
        <v>0.11081200000000001</v>
      </c>
      <c r="J15" s="64">
        <v>27200160.655078568</v>
      </c>
      <c r="K15" s="61">
        <f>Table13568[[#This Row],[Investment]]/Table13568[[#This Row],[Dollar Volume]]</f>
        <v>2.0000118128734239E-2</v>
      </c>
      <c r="L15" s="34">
        <f>IFERROR(MAX($T$11+$T$12*LN(Table13568[[#This Row],[Frac ADV]]),0),0)*0.0001+0.005/Table13568[[#This Row],[Stock Price]]+Table13568[[#This Row],[Expense Ratio]]</f>
        <v>1.3614463885549983E-2</v>
      </c>
      <c r="M15" s="68">
        <f>(Table13568[[#This Row],[Expected Return]]-Table13568[[#This Row],[Tcosts]])*Table13568[[#This Row],[Investment]]</f>
        <v>2643788.5975908414</v>
      </c>
      <c r="Q15" s="16" t="s">
        <v>138</v>
      </c>
      <c r="S15" t="s">
        <v>139</v>
      </c>
      <c r="T15" s="48">
        <f>SUM(Table13568[Exp Profit])</f>
        <v>440233998.32533425</v>
      </c>
    </row>
    <row r="16" spans="1:22" ht="15" customHeight="1" thickBot="1" x14ac:dyDescent="0.35">
      <c r="A16" s="79" t="s">
        <v>131</v>
      </c>
      <c r="B16" s="74" t="s">
        <v>132</v>
      </c>
      <c r="C16" s="74">
        <v>163.69</v>
      </c>
      <c r="D16" s="74" t="s">
        <v>133</v>
      </c>
      <c r="E16" s="76">
        <v>4.0000000000000002E-4</v>
      </c>
      <c r="F16" s="74">
        <v>1.19</v>
      </c>
      <c r="G16" s="78">
        <v>1020000000</v>
      </c>
      <c r="H16" s="3" t="b">
        <f t="shared" si="0"/>
        <v>0</v>
      </c>
      <c r="I16" s="26">
        <f>Table13568[[#This Row],[Tech]]*$T$7+Table13568[[#This Row],[Beta]]*($T$6-$T$8)+$T$8</f>
        <v>0.112084</v>
      </c>
      <c r="J16" s="64">
        <v>20400304.413204636</v>
      </c>
      <c r="K16" s="61">
        <f>Table13568[[#This Row],[Investment]]/Table13568[[#This Row],[Dollar Volume]]</f>
        <v>2.0000298444318269E-2</v>
      </c>
      <c r="L16" s="34">
        <f>IFERROR(MAX($T$11+$T$12*LN(Table13568[[#This Row],[Frac ADV]]),0),0)*0.0001+0.005/Table13568[[#This Row],[Stock Price]]+Table13568[[#This Row],[Expense Ratio]]</f>
        <v>1.2525069576845609E-2</v>
      </c>
      <c r="M16" s="68">
        <f>(Table13568[[#This Row],[Expected Return]]-Table13568[[#This Row],[Tcosts]])*Table13568[[#This Row],[Investment]]</f>
        <v>2031032.4876854098</v>
      </c>
      <c r="Q16" s="13" t="s">
        <v>143</v>
      </c>
      <c r="S16" t="s">
        <v>144</v>
      </c>
      <c r="T16" s="48">
        <f>SUM(Table13568[Investment])</f>
        <v>3000000000.000001</v>
      </c>
      <c r="U16" s="40">
        <f>T5*3</f>
        <v>3000000000</v>
      </c>
      <c r="V16">
        <f>T18/T5</f>
        <v>0.32743399832533421</v>
      </c>
    </row>
    <row r="17" spans="1:20" ht="15" customHeight="1" thickBot="1" x14ac:dyDescent="0.35">
      <c r="A17" s="77" t="s">
        <v>83</v>
      </c>
      <c r="B17" s="73" t="s">
        <v>84</v>
      </c>
      <c r="C17" s="73">
        <v>63.1</v>
      </c>
      <c r="D17" s="73" t="s">
        <v>85</v>
      </c>
      <c r="E17" s="75">
        <v>7.4999999999999997E-3</v>
      </c>
      <c r="F17" s="73">
        <v>1.6633</v>
      </c>
      <c r="G17" s="78">
        <v>712950000</v>
      </c>
      <c r="H17" s="3" t="b">
        <f t="shared" si="0"/>
        <v>1</v>
      </c>
      <c r="I17" s="26">
        <f>Table13568[[#This Row],[Tech]]*$T$7+Table13568[[#This Row],[Beta]]*($T$6-$T$8)+$T$8</f>
        <v>0.24218588000000002</v>
      </c>
      <c r="J17" s="64">
        <v>14259371.164982434</v>
      </c>
      <c r="K17" s="61">
        <f>Table13568[[#This Row],[Investment]]/Table13568[[#This Row],[Dollar Volume]]</f>
        <v>2.0000520604505835E-2</v>
      </c>
      <c r="L17" s="34">
        <f>IFERROR(MAX($T$11+$T$12*LN(Table13568[[#This Row],[Frac ADV]]),0),0)*0.0001+0.005/Table13568[[#This Row],[Stock Price]]+Table13568[[#This Row],[Expense Ratio]]</f>
        <v>1.9673817744334084E-2</v>
      </c>
      <c r="M17" s="68">
        <f>(Table13568[[#This Row],[Expected Return]]-Table13568[[#This Row],[Tcosts]])*Table13568[[#This Row],[Investment]]</f>
        <v>3172882.0843892191</v>
      </c>
      <c r="Q17" s="16" t="s">
        <v>148</v>
      </c>
      <c r="S17" t="s">
        <v>149</v>
      </c>
      <c r="T17" s="48">
        <f>MAX((T16-T5),0)*T9</f>
        <v>112800000.00000006</v>
      </c>
    </row>
    <row r="18" spans="1:20" ht="15" customHeight="1" thickBot="1" x14ac:dyDescent="0.35">
      <c r="A18" s="79" t="s">
        <v>160</v>
      </c>
      <c r="B18" s="74" t="s">
        <v>161</v>
      </c>
      <c r="C18" s="74">
        <v>118.27</v>
      </c>
      <c r="D18" s="74" t="s">
        <v>162</v>
      </c>
      <c r="E18" s="76">
        <v>1.2999999999999999E-3</v>
      </c>
      <c r="F18" s="74">
        <v>1.23</v>
      </c>
      <c r="G18" s="78">
        <v>701150000</v>
      </c>
      <c r="H18" s="3" t="b">
        <f t="shared" si="0"/>
        <v>0</v>
      </c>
      <c r="I18" s="26">
        <f>Table13568[[#This Row],[Tech]]*$T$7+Table13568[[#This Row],[Beta]]*($T$6-$T$8)+$T$8</f>
        <v>0.11462800000000001</v>
      </c>
      <c r="J18" s="64">
        <v>14023403.781264756</v>
      </c>
      <c r="K18" s="61">
        <f>Table13568[[#This Row],[Investment]]/Table13568[[#This Row],[Dollar Volume]]</f>
        <v>2.0000575884282615E-2</v>
      </c>
      <c r="L18" s="34">
        <f>IFERROR(MAX($T$11+$T$12*LN(Table13568[[#This Row],[Frac ADV]]),0),0)*0.0001+0.005/Table13568[[#This Row],[Stock Price]]+Table13568[[#This Row],[Expense Ratio]]</f>
        <v>1.3436868127651831E-2</v>
      </c>
      <c r="M18" s="68">
        <f>(Table13568[[#This Row],[Expected Return]]-Table13568[[#This Row],[Tcosts]])*Table13568[[#This Row],[Investment]]</f>
        <v>1419044.101329148</v>
      </c>
      <c r="Q18" s="13" t="s">
        <v>153</v>
      </c>
      <c r="S18" t="s">
        <v>154</v>
      </c>
      <c r="T18" s="50">
        <f>T15-T17</f>
        <v>327433998.32533419</v>
      </c>
    </row>
    <row r="19" spans="1:20" ht="15" customHeight="1" thickBot="1" x14ac:dyDescent="0.35">
      <c r="A19" s="77" t="s">
        <v>140</v>
      </c>
      <c r="B19" s="73" t="s">
        <v>141</v>
      </c>
      <c r="C19" s="73">
        <v>30.51</v>
      </c>
      <c r="D19" s="73" t="s">
        <v>142</v>
      </c>
      <c r="E19" s="75">
        <v>4.0000000000000002E-4</v>
      </c>
      <c r="F19" s="73">
        <v>1.24</v>
      </c>
      <c r="G19" s="78">
        <v>516090000</v>
      </c>
      <c r="H19" s="3" t="b">
        <f t="shared" si="0"/>
        <v>0</v>
      </c>
      <c r="I19" s="26">
        <f>Table13568[[#This Row],[Tech]]*$T$7+Table13568[[#This Row],[Beta]]*($T$6-$T$8)+$T$8</f>
        <v>0.11526400000000001</v>
      </c>
      <c r="J19" s="64">
        <v>10322289.885471826</v>
      </c>
      <c r="K19" s="61">
        <f>Table13568[[#This Row],[Investment]]/Table13568[[#This Row],[Dollar Volume]]</f>
        <v>2.0000949224886797E-2</v>
      </c>
      <c r="L19" s="34">
        <f>IFERROR(MAX($T$11+$T$12*LN(Table13568[[#This Row],[Frac ADV]]),0),0)*0.0001+0.005/Table13568[[#This Row],[Stock Price]]+Table13568[[#This Row],[Expense Ratio]]</f>
        <v>1.2658564106174211E-2</v>
      </c>
      <c r="M19" s="68">
        <f>(Table13568[[#This Row],[Expected Return]]-Table13568[[#This Row],[Tcosts]])*Table13568[[#This Row],[Investment]]</f>
        <v>1059123.053121266</v>
      </c>
      <c r="Q19" s="16" t="s">
        <v>158</v>
      </c>
      <c r="S19" t="s">
        <v>159</v>
      </c>
      <c r="T19" s="39">
        <f>COUNTIF(J2:J201,"&gt;0")</f>
        <v>26</v>
      </c>
    </row>
    <row r="20" spans="1:20" ht="15" customHeight="1" thickBot="1" x14ac:dyDescent="0.35">
      <c r="A20" s="77" t="s">
        <v>67</v>
      </c>
      <c r="B20" s="73" t="s">
        <v>68</v>
      </c>
      <c r="C20" s="73">
        <v>48.26</v>
      </c>
      <c r="D20" s="73" t="s">
        <v>69</v>
      </c>
      <c r="E20" s="75">
        <v>8.2000000000000007E-3</v>
      </c>
      <c r="F20" s="73">
        <v>3.58</v>
      </c>
      <c r="G20" s="78">
        <v>469470000</v>
      </c>
      <c r="H20" s="3" t="b">
        <f t="shared" si="0"/>
        <v>1</v>
      </c>
      <c r="I20" s="26">
        <f>Table13568[[#This Row],[Tech]]*$T$7+Table13568[[#This Row],[Beta]]*($T$6-$T$8)+$T$8</f>
        <v>0.36408800000000002</v>
      </c>
      <c r="J20" s="64">
        <v>9389469.3998216502</v>
      </c>
      <c r="K20" s="61">
        <f>Table13568[[#This Row],[Investment]]/Table13568[[#This Row],[Dollar Volume]]</f>
        <v>2.0000147825892284E-2</v>
      </c>
      <c r="L20" s="34">
        <f>IFERROR(MAX($T$11+$T$12*LN(Table13568[[#This Row],[Frac ADV]]),0),0)*0.0001+0.005/Table13568[[#This Row],[Stock Price]]+Table13568[[#This Row],[Expense Ratio]]</f>
        <v>2.039809261621997E-2</v>
      </c>
      <c r="M20" s="68">
        <f>(Table13568[[#This Row],[Expected Return]]-Table13568[[#This Row],[Tcosts]])*Table13568[[#This Row],[Investment]]</f>
        <v>3227065.8684075396</v>
      </c>
      <c r="Q20" s="13" t="s">
        <v>163</v>
      </c>
      <c r="S20" s="119" t="s">
        <v>164</v>
      </c>
      <c r="T20" s="40">
        <f>T18+T5</f>
        <v>1327433998.3253341</v>
      </c>
    </row>
    <row r="21" spans="1:20" ht="15" customHeight="1" thickBot="1" x14ac:dyDescent="0.35">
      <c r="A21" s="79" t="s">
        <v>376</v>
      </c>
      <c r="B21" s="74" t="s">
        <v>377</v>
      </c>
      <c r="C21" s="74">
        <v>336.01</v>
      </c>
      <c r="D21" s="74" t="s">
        <v>378</v>
      </c>
      <c r="E21" s="76">
        <v>2.9999999999999997E-4</v>
      </c>
      <c r="F21" s="74">
        <v>1</v>
      </c>
      <c r="G21" s="78">
        <v>1290000000</v>
      </c>
      <c r="H21" s="3" t="b">
        <f t="shared" si="0"/>
        <v>0</v>
      </c>
      <c r="I21" s="26">
        <f>Table13568[[#This Row],[Tech]]*$T$7+Table13568[[#This Row],[Beta]]*($T$6-$T$8)+$T$8</f>
        <v>0.1</v>
      </c>
      <c r="J21" s="64">
        <v>9233838.2679195479</v>
      </c>
      <c r="K21" s="61">
        <f>Table13568[[#This Row],[Investment]]/Table13568[[#This Row],[Dollar Volume]]</f>
        <v>7.1580141611779441E-3</v>
      </c>
      <c r="L21" s="34">
        <f>IFERROR(MAX($T$11+$T$12*LN(Table13568[[#This Row],[Frac ADV]]),0),0)*0.0001+0.005/Table13568[[#This Row],[Stock Price]]+Table13568[[#This Row],[Expense Ratio]]</f>
        <v>7.3764267612834063E-3</v>
      </c>
      <c r="M21" s="68">
        <f>(Table13568[[#This Row],[Expected Return]]-Table13568[[#This Row],[Tcosts]])*Table13568[[#This Row],[Investment]]</f>
        <v>855271.09508311027</v>
      </c>
      <c r="Q21" s="16" t="s">
        <v>168</v>
      </c>
      <c r="S21" s="119" t="s">
        <v>169</v>
      </c>
      <c r="T21" s="121">
        <f>T18/T5</f>
        <v>0.32743399832533421</v>
      </c>
    </row>
    <row r="22" spans="1:20" ht="15" customHeight="1" thickBot="1" x14ac:dyDescent="0.35">
      <c r="A22" s="77" t="s">
        <v>210</v>
      </c>
      <c r="B22" s="73" t="s">
        <v>211</v>
      </c>
      <c r="C22" s="73">
        <v>310.33</v>
      </c>
      <c r="D22" s="73" t="s">
        <v>212</v>
      </c>
      <c r="E22" s="75">
        <v>5.0000000000000001E-4</v>
      </c>
      <c r="F22" s="73">
        <v>1.06</v>
      </c>
      <c r="G22" s="78">
        <v>866990000</v>
      </c>
      <c r="H22" s="3" t="b">
        <f t="shared" si="0"/>
        <v>0</v>
      </c>
      <c r="I22" s="26">
        <f>Table13568[[#This Row],[Tech]]*$T$7+Table13568[[#This Row],[Beta]]*($T$6-$T$8)+$T$8</f>
        <v>0.10381600000000001</v>
      </c>
      <c r="J22" s="64">
        <v>8756844.4127802979</v>
      </c>
      <c r="K22" s="61">
        <f>Table13568[[#This Row],[Investment]]/Table13568[[#This Row],[Dollar Volume]]</f>
        <v>1.0100283062988383E-2</v>
      </c>
      <c r="L22" s="34">
        <f>IFERROR(MAX($T$11+$T$12*LN(Table13568[[#This Row],[Frac ADV]]),0),0)*0.0001+0.005/Table13568[[#This Row],[Stock Price]]+Table13568[[#This Row],[Expense Ratio]]</f>
        <v>9.2642614699337093E-3</v>
      </c>
      <c r="M22" s="68">
        <f>(Table13568[[#This Row],[Expected Return]]-Table13568[[#This Row],[Tcosts]])*Table13568[[#This Row],[Investment]]</f>
        <v>827974.86326567468</v>
      </c>
      <c r="Q22" s="13" t="s">
        <v>173</v>
      </c>
    </row>
    <row r="23" spans="1:20" ht="15" customHeight="1" thickBot="1" x14ac:dyDescent="0.35">
      <c r="A23" s="77" t="s">
        <v>206</v>
      </c>
      <c r="B23" s="73" t="s">
        <v>207</v>
      </c>
      <c r="C23" s="73">
        <v>26.29</v>
      </c>
      <c r="D23" s="73" t="s">
        <v>208</v>
      </c>
      <c r="E23" s="75">
        <v>2.9999999999999997E-4</v>
      </c>
      <c r="F23" s="73">
        <v>1</v>
      </c>
      <c r="G23" s="78">
        <v>1260000000</v>
      </c>
      <c r="H23" s="3" t="b">
        <f t="shared" si="0"/>
        <v>0</v>
      </c>
      <c r="I23" s="26">
        <f>Table13568[[#This Row],[Tech]]*$T$7+Table13568[[#This Row],[Beta]]*($T$6-$T$8)+$T$8</f>
        <v>0.1</v>
      </c>
      <c r="J23" s="64">
        <v>8246388.9627286643</v>
      </c>
      <c r="K23" s="61">
        <f>Table13568[[#This Row],[Investment]]/Table13568[[#This Row],[Dollar Volume]]</f>
        <v>6.5447531450227494E-3</v>
      </c>
      <c r="L23" s="34">
        <f>IFERROR(MAX($T$11+$T$12*LN(Table13568[[#This Row],[Frac ADV]]),0),0)*0.0001+0.005/Table13568[[#This Row],[Stock Price]]+Table13568[[#This Row],[Expense Ratio]]</f>
        <v>7.1130057054656585E-3</v>
      </c>
      <c r="M23" s="68">
        <f>(Table13568[[#This Row],[Expected Return]]-Table13568[[#This Row],[Tcosts]])*Table13568[[#This Row],[Investment]]</f>
        <v>765982.28453148843</v>
      </c>
      <c r="Q23" s="16" t="s">
        <v>177</v>
      </c>
    </row>
    <row r="24" spans="1:20" ht="15" customHeight="1" thickBot="1" x14ac:dyDescent="0.35">
      <c r="A24" s="79" t="s">
        <v>281</v>
      </c>
      <c r="B24" s="74" t="s">
        <v>282</v>
      </c>
      <c r="C24" s="74">
        <v>373.29</v>
      </c>
      <c r="D24" s="74" t="s">
        <v>283</v>
      </c>
      <c r="E24" s="76">
        <v>1.5E-3</v>
      </c>
      <c r="F24" s="74">
        <v>1</v>
      </c>
      <c r="G24" s="78">
        <v>1120000000</v>
      </c>
      <c r="H24" s="3" t="b">
        <f t="shared" si="0"/>
        <v>0</v>
      </c>
      <c r="I24" s="26">
        <f>Table13568[[#This Row],[Tech]]*$T$7+Table13568[[#This Row],[Beta]]*($T$6-$T$8)+$T$8</f>
        <v>0.1</v>
      </c>
      <c r="J24" s="64">
        <v>3189494.6837607636</v>
      </c>
      <c r="K24" s="61">
        <f>Table13568[[#This Row],[Investment]]/Table13568[[#This Row],[Dollar Volume]]</f>
        <v>2.8477631105006816E-3</v>
      </c>
      <c r="L24" s="34">
        <f>IFERROR(MAX($T$11+$T$12*LN(Table13568[[#This Row],[Frac ADV]]),0),0)*0.0001+0.005/Table13568[[#This Row],[Stock Price]]+Table13568[[#This Row],[Expense Ratio]]</f>
        <v>4.0602705564447908E-3</v>
      </c>
      <c r="M24" s="68">
        <f>(Table13568[[#This Row],[Expected Return]]-Table13568[[#This Row],[Tcosts]])*Table13568[[#This Row],[Investment]]</f>
        <v>305999.2570216654</v>
      </c>
      <c r="Q24" s="13" t="s">
        <v>181</v>
      </c>
    </row>
    <row r="25" spans="1:20" ht="15" customHeight="1" thickBot="1" x14ac:dyDescent="0.35">
      <c r="A25" s="77" t="s">
        <v>245</v>
      </c>
      <c r="B25" s="73" t="s">
        <v>246</v>
      </c>
      <c r="C25" s="73">
        <v>681.27</v>
      </c>
      <c r="D25" s="73" t="s">
        <v>247</v>
      </c>
      <c r="E25" s="75">
        <v>8.9999999999999998E-4</v>
      </c>
      <c r="F25" s="73">
        <v>1</v>
      </c>
      <c r="G25" s="78">
        <v>978550000</v>
      </c>
      <c r="H25" s="3" t="b">
        <f t="shared" si="0"/>
        <v>0</v>
      </c>
      <c r="I25" s="26">
        <f>Table13568[[#This Row],[Tech]]*$T$7+Table13568[[#This Row],[Beta]]*($T$6-$T$8)+$T$8</f>
        <v>0.1</v>
      </c>
      <c r="J25" s="64">
        <v>1700633.8323654633</v>
      </c>
      <c r="K25" s="61">
        <f>Table13568[[#This Row],[Investment]]/Table13568[[#This Row],[Dollar Volume]]</f>
        <v>1.7379120457467307E-3</v>
      </c>
      <c r="L25" s="34">
        <f>IFERROR(MAX($T$11+$T$12*LN(Table13568[[#This Row],[Frac ADV]]),0),0)*0.0001+0.005/Table13568[[#This Row],[Stock Price]]+Table13568[[#This Row],[Expense Ratio]]</f>
        <v>1.0352395182416248E-3</v>
      </c>
      <c r="M25" s="68">
        <f>(Table13568[[#This Row],[Expected Return]]-Table13568[[#This Row],[Tcosts]])*Table13568[[#This Row],[Investment]]</f>
        <v>168302.8198872229</v>
      </c>
      <c r="Q25" s="16" t="s">
        <v>185</v>
      </c>
    </row>
    <row r="26" spans="1:20" ht="16.2" thickBot="1" x14ac:dyDescent="0.35">
      <c r="A26" s="79" t="s">
        <v>591</v>
      </c>
      <c r="B26" s="74" t="s">
        <v>592</v>
      </c>
      <c r="C26" s="74">
        <v>73.28</v>
      </c>
      <c r="D26" s="74" t="s">
        <v>593</v>
      </c>
      <c r="E26" s="76">
        <v>8.0000000000000004E-4</v>
      </c>
      <c r="F26" s="74">
        <v>0.7</v>
      </c>
      <c r="G26" s="78">
        <v>12250000000</v>
      </c>
      <c r="H26" s="3" t="b">
        <f t="shared" si="0"/>
        <v>0</v>
      </c>
      <c r="I26" s="26">
        <f>Table13568[[#This Row],[Tech]]*$T$7+Table13568[[#This Row],[Beta]]*($T$6-$T$8)+$T$8</f>
        <v>8.0919999999999992E-2</v>
      </c>
      <c r="J26" s="64">
        <v>1108456.5295945858</v>
      </c>
      <c r="K26" s="61">
        <f>Table13568[[#This Row],[Investment]]/Table13568[[#This Row],[Dollar Volume]]</f>
        <v>9.0486247313843735E-5</v>
      </c>
      <c r="L26" s="34">
        <f>IFERROR(MAX($T$11+$T$12*LN(Table13568[[#This Row],[Frac ADV]]),0),0)*0.0001+0.005/Table13568[[#This Row],[Stock Price]]+Table13568[[#This Row],[Expense Ratio]]</f>
        <v>8.6823144104803502E-4</v>
      </c>
      <c r="M26" s="68">
        <f>(Table13568[[#This Row],[Expected Return]]-Table13568[[#This Row],[Tcosts]])*Table13568[[#This Row],[Investment]]</f>
        <v>88733.905564764864</v>
      </c>
      <c r="Q26" s="13" t="s">
        <v>189</v>
      </c>
    </row>
    <row r="27" spans="1:20" ht="16.2" thickBot="1" x14ac:dyDescent="0.35">
      <c r="A27" s="77" t="s">
        <v>285</v>
      </c>
      <c r="B27" s="73" t="s">
        <v>286</v>
      </c>
      <c r="C27" s="73">
        <v>80.16</v>
      </c>
      <c r="D27" s="73" t="s">
        <v>287</v>
      </c>
      <c r="E27" s="75">
        <v>2.0000000000000001E-4</v>
      </c>
      <c r="F27" s="73">
        <v>0.99</v>
      </c>
      <c r="G27" s="78">
        <v>892490000</v>
      </c>
      <c r="H27" s="3" t="b">
        <f t="shared" si="0"/>
        <v>0</v>
      </c>
      <c r="I27" s="26">
        <f>Table13568[[#This Row],[Tech]]*$T$7+Table13568[[#This Row],[Beta]]*($T$6-$T$8)+$T$8</f>
        <v>9.9364000000000008E-2</v>
      </c>
      <c r="J27" s="64">
        <v>4.8480473319759305E-5</v>
      </c>
      <c r="K27" s="61">
        <f>Table13568[[#This Row],[Investment]]/Table13568[[#This Row],[Dollar Volume]]</f>
        <v>5.432046669403501E-14</v>
      </c>
      <c r="L27" s="34">
        <f>IFERROR(MAX($T$11+$T$12*LN(Table13568[[#This Row],[Frac ADV]]),0),0)*0.0001+0.005/Table13568[[#This Row],[Stock Price]]+Table13568[[#This Row],[Expense Ratio]]</f>
        <v>2.6237524950099801E-4</v>
      </c>
      <c r="M27" s="68">
        <f>(Table13568[[#This Row],[Expected Return]]-Table13568[[#This Row],[Tcosts]])*Table13568[[#This Row],[Investment]]</f>
        <v>4.8044936746613659E-6</v>
      </c>
      <c r="Q27" s="16" t="s">
        <v>193</v>
      </c>
    </row>
    <row r="28" spans="1:20" ht="16.2" thickBot="1" x14ac:dyDescent="0.35">
      <c r="A28" s="77" t="s">
        <v>174</v>
      </c>
      <c r="B28" s="73" t="s">
        <v>175</v>
      </c>
      <c r="C28" s="73">
        <v>386.83</v>
      </c>
      <c r="D28" s="73" t="s">
        <v>176</v>
      </c>
      <c r="E28" s="75">
        <v>5.0000000000000001E-4</v>
      </c>
      <c r="F28" s="73">
        <v>1.27</v>
      </c>
      <c r="G28" s="78">
        <v>381360000</v>
      </c>
      <c r="H28" s="3" t="b">
        <f t="shared" si="0"/>
        <v>0</v>
      </c>
      <c r="I28" s="26">
        <f>Table13568[[#This Row],[Tech]]*$T$7+Table13568[[#This Row],[Beta]]*($T$6-$T$8)+$T$8</f>
        <v>0.11717200000000001</v>
      </c>
      <c r="J28" s="64">
        <f>0</f>
        <v>0</v>
      </c>
      <c r="K28" s="61">
        <f>Table13568[[#This Row],[Investment]]/Table13568[[#This Row],[Dollar Volume]]</f>
        <v>0</v>
      </c>
      <c r="L28" s="34">
        <f>IFERROR(MAX($T$11+$T$12*LN(Table13568[[#This Row],[Frac ADV]]),0),0)*0.0001+0.005/Table13568[[#This Row],[Stock Price]]+Table13568[[#This Row],[Expense Ratio]]</f>
        <v>5.129255745417884E-4</v>
      </c>
      <c r="M28" s="68">
        <f>(Table13568[[#This Row],[Expected Return]]-Table13568[[#This Row],[Tcosts]])*Table13568[[#This Row],[Investment]]</f>
        <v>0</v>
      </c>
      <c r="Q28" s="13" t="s">
        <v>197</v>
      </c>
    </row>
    <row r="29" spans="1:20" ht="16.2" thickBot="1" x14ac:dyDescent="0.35">
      <c r="A29" s="79" t="s">
        <v>316</v>
      </c>
      <c r="B29" s="74" t="s">
        <v>317</v>
      </c>
      <c r="C29" s="74">
        <v>131.08000000000001</v>
      </c>
      <c r="D29" s="74" t="s">
        <v>318</v>
      </c>
      <c r="E29" s="76">
        <v>8.9999999999999998E-4</v>
      </c>
      <c r="F29" s="74">
        <v>0.98</v>
      </c>
      <c r="G29" s="78">
        <v>862900000</v>
      </c>
      <c r="H29" s="3" t="b">
        <f t="shared" si="0"/>
        <v>0</v>
      </c>
      <c r="I29" s="26">
        <f>Table13568[[#This Row],[Tech]]*$T$7+Table13568[[#This Row],[Beta]]*($T$6-$T$8)+$T$8</f>
        <v>9.872800000000001E-2</v>
      </c>
      <c r="J29" s="64">
        <f>0</f>
        <v>0</v>
      </c>
      <c r="K29" s="61">
        <f>Table13568[[#This Row],[Investment]]/Table13568[[#This Row],[Dollar Volume]]</f>
        <v>0</v>
      </c>
      <c r="L29" s="34">
        <f>IFERROR(MAX($T$11+$T$12*LN(Table13568[[#This Row],[Frac ADV]]),0),0)*0.0001+0.005/Table13568[[#This Row],[Stock Price]]+Table13568[[#This Row],[Expense Ratio]]</f>
        <v>9.3814464449191331E-4</v>
      </c>
      <c r="M29" s="68">
        <f>(Table13568[[#This Row],[Expected Return]]-Table13568[[#This Row],[Tcosts]])*Table13568[[#This Row],[Investment]]</f>
        <v>0</v>
      </c>
      <c r="Q29" s="16" t="s">
        <v>201</v>
      </c>
    </row>
    <row r="30" spans="1:20" ht="16.2" thickBot="1" x14ac:dyDescent="0.35">
      <c r="A30" s="79" t="s">
        <v>328</v>
      </c>
      <c r="B30" s="74" t="s">
        <v>329</v>
      </c>
      <c r="C30" s="74">
        <v>147.88999999999999</v>
      </c>
      <c r="D30" s="74" t="s">
        <v>330</v>
      </c>
      <c r="E30" s="76">
        <v>1.5E-3</v>
      </c>
      <c r="F30" s="74">
        <v>1</v>
      </c>
      <c r="G30" s="78">
        <v>736290000</v>
      </c>
      <c r="H30" s="3" t="b">
        <f t="shared" si="0"/>
        <v>0</v>
      </c>
      <c r="I30" s="26">
        <f>Table13568[[#This Row],[Tech]]*$T$7+Table13568[[#This Row],[Beta]]*($T$6-$T$8)+$T$8</f>
        <v>0.1</v>
      </c>
      <c r="J30" s="64">
        <f>0</f>
        <v>0</v>
      </c>
      <c r="K30" s="61">
        <f>Table13568[[#This Row],[Investment]]/Table13568[[#This Row],[Dollar Volume]]</f>
        <v>0</v>
      </c>
      <c r="L30" s="34">
        <f>IFERROR(MAX($T$11+$T$12*LN(Table13568[[#This Row],[Frac ADV]]),0),0)*0.0001+0.005/Table13568[[#This Row],[Stock Price]]+Table13568[[#This Row],[Expense Ratio]]</f>
        <v>1.5338089120292108E-3</v>
      </c>
      <c r="M30" s="68">
        <f>(Table13568[[#This Row],[Expected Return]]-Table13568[[#This Row],[Tcosts]])*Table13568[[#This Row],[Investment]]</f>
        <v>0</v>
      </c>
      <c r="Q30" s="13" t="s">
        <v>205</v>
      </c>
    </row>
    <row r="31" spans="1:20" ht="16.2" thickBot="1" x14ac:dyDescent="0.35">
      <c r="A31" s="77" t="s">
        <v>249</v>
      </c>
      <c r="B31" s="73" t="s">
        <v>250</v>
      </c>
      <c r="C31" s="73">
        <v>313</v>
      </c>
      <c r="D31" s="73" t="s">
        <v>251</v>
      </c>
      <c r="E31" s="75">
        <v>2.9999999999999997E-4</v>
      </c>
      <c r="F31" s="73">
        <v>1.01</v>
      </c>
      <c r="G31" s="78">
        <v>434610000</v>
      </c>
      <c r="H31" s="3" t="b">
        <f t="shared" si="0"/>
        <v>0</v>
      </c>
      <c r="I31" s="26">
        <f>Table13568[[#This Row],[Tech]]*$T$7+Table13568[[#This Row],[Beta]]*($T$6-$T$8)+$T$8</f>
        <v>0.100636</v>
      </c>
      <c r="J31" s="64">
        <f>0</f>
        <v>0</v>
      </c>
      <c r="K31" s="61">
        <f>Table13568[[#This Row],[Investment]]/Table13568[[#This Row],[Dollar Volume]]</f>
        <v>0</v>
      </c>
      <c r="L31" s="34">
        <f>IFERROR(MAX($T$11+$T$12*LN(Table13568[[#This Row],[Frac ADV]]),0),0)*0.0001+0.005/Table13568[[#This Row],[Stock Price]]+Table13568[[#This Row],[Expense Ratio]]</f>
        <v>3.1597444089456869E-4</v>
      </c>
      <c r="M31" s="68">
        <f>(Table13568[[#This Row],[Expected Return]]-Table13568[[#This Row],[Tcosts]])*Table13568[[#This Row],[Investment]]</f>
        <v>0</v>
      </c>
      <c r="Q31" s="16" t="s">
        <v>209</v>
      </c>
    </row>
    <row r="32" spans="1:20" ht="16.2" thickBot="1" x14ac:dyDescent="0.35">
      <c r="A32" s="77" t="s">
        <v>127</v>
      </c>
      <c r="B32" s="73" t="s">
        <v>128</v>
      </c>
      <c r="C32" s="73">
        <v>57.44</v>
      </c>
      <c r="D32" s="73" t="s">
        <v>129</v>
      </c>
      <c r="E32" s="75">
        <v>3.5000000000000001E-3</v>
      </c>
      <c r="F32" s="73">
        <v>0.95</v>
      </c>
      <c r="G32" s="78">
        <v>236140000</v>
      </c>
      <c r="H32" s="3" t="b">
        <f t="shared" si="0"/>
        <v>1</v>
      </c>
      <c r="I32" s="26">
        <f>Table13568[[#This Row],[Tech]]*$T$7+Table13568[[#This Row],[Beta]]*($T$6-$T$8)+$T$8</f>
        <v>0.19681999999999999</v>
      </c>
      <c r="J32" s="64">
        <f>0</f>
        <v>0</v>
      </c>
      <c r="K32" s="61">
        <f>Table13568[[#This Row],[Investment]]/Table13568[[#This Row],[Dollar Volume]]</f>
        <v>0</v>
      </c>
      <c r="L32" s="34">
        <f>IFERROR(MAX($T$11+$T$12*LN(Table13568[[#This Row],[Frac ADV]]),0),0)*0.0001+0.005/Table13568[[#This Row],[Stock Price]]+Table13568[[#This Row],[Expense Ratio]]</f>
        <v>3.5870473537604457E-3</v>
      </c>
      <c r="M32" s="68">
        <f>(Table13568[[#This Row],[Expected Return]]-Table13568[[#This Row],[Tcosts]])*Table13568[[#This Row],[Investment]]</f>
        <v>0</v>
      </c>
      <c r="Q32" s="13" t="s">
        <v>213</v>
      </c>
    </row>
    <row r="33" spans="1:17" ht="16.2" thickBot="1" x14ac:dyDescent="0.35">
      <c r="A33" s="77" t="s">
        <v>241</v>
      </c>
      <c r="B33" s="73" t="s">
        <v>242</v>
      </c>
      <c r="C33" s="73">
        <v>626.49</v>
      </c>
      <c r="D33" s="73" t="s">
        <v>243</v>
      </c>
      <c r="E33" s="75">
        <v>2.9999999999999997E-4</v>
      </c>
      <c r="F33" s="73">
        <v>0.99</v>
      </c>
      <c r="G33" s="78">
        <v>456530000</v>
      </c>
      <c r="H33" s="3" t="b">
        <f t="shared" si="0"/>
        <v>0</v>
      </c>
      <c r="I33" s="26">
        <f>Table13568[[#This Row],[Tech]]*$T$7+Table13568[[#This Row],[Beta]]*($T$6-$T$8)+$T$8</f>
        <v>9.9364000000000008E-2</v>
      </c>
      <c r="J33" s="64">
        <f>0</f>
        <v>0</v>
      </c>
      <c r="K33" s="61">
        <f>Table13568[[#This Row],[Investment]]/Table13568[[#This Row],[Dollar Volume]]</f>
        <v>0</v>
      </c>
      <c r="L33" s="34">
        <f>IFERROR(MAX($T$11+$T$12*LN(Table13568[[#This Row],[Frac ADV]]),0),0)*0.0001+0.005/Table13568[[#This Row],[Stock Price]]+Table13568[[#This Row],[Expense Ratio]]</f>
        <v>3.079809733595109E-4</v>
      </c>
      <c r="M33" s="68">
        <f>(Table13568[[#This Row],[Expected Return]]-Table13568[[#This Row],[Tcosts]])*Table13568[[#This Row],[Investment]]</f>
        <v>0</v>
      </c>
      <c r="Q33" s="16" t="s">
        <v>217</v>
      </c>
    </row>
    <row r="34" spans="1:17" ht="16.2" thickBot="1" x14ac:dyDescent="0.35">
      <c r="A34" s="77" t="s">
        <v>194</v>
      </c>
      <c r="B34" s="73" t="s">
        <v>195</v>
      </c>
      <c r="C34" s="73">
        <v>115.5</v>
      </c>
      <c r="D34" s="73" t="s">
        <v>196</v>
      </c>
      <c r="E34" s="75">
        <v>5.9999999999999995E-4</v>
      </c>
      <c r="F34" s="73">
        <v>1.22</v>
      </c>
      <c r="G34" s="78">
        <v>192260000</v>
      </c>
      <c r="H34" s="3" t="b">
        <f t="shared" ref="H34:H65" si="1">OR(
  ISNUMBER(SEARCH("technology",B34)),
  ISNUMBER(SEARCH("tech",B34)),
  ISNUMBER(SEARCH("qqq",B34)),
  ISNUMBER(SEARCH("semiconductor",B34)),
  ISNUMBER(SEARCH("information technology",B34)),
  ISNUMBER(SEARCH("nasdaq",B34)),
  ISNUMBER(SEARCH("communication",B34))
)</f>
        <v>0</v>
      </c>
      <c r="I34" s="26">
        <f>Table13568[[#This Row],[Tech]]*$T$7+Table13568[[#This Row],[Beta]]*($T$6-$T$8)+$T$8</f>
        <v>0.11399200000000001</v>
      </c>
      <c r="J34" s="64">
        <f>0</f>
        <v>0</v>
      </c>
      <c r="K34" s="61">
        <f>Table13568[[#This Row],[Investment]]/Table13568[[#This Row],[Dollar Volume]]</f>
        <v>0</v>
      </c>
      <c r="L34" s="34">
        <f>IFERROR(MAX($T$11+$T$12*LN(Table13568[[#This Row],[Frac ADV]]),0),0)*0.0001+0.005/Table13568[[#This Row],[Stock Price]]+Table13568[[#This Row],[Expense Ratio]]</f>
        <v>6.4329004329004324E-4</v>
      </c>
      <c r="M34" s="68">
        <f>(Table13568[[#This Row],[Expected Return]]-Table13568[[#This Row],[Tcosts]])*Table13568[[#This Row],[Investment]]</f>
        <v>0</v>
      </c>
      <c r="Q34" s="13" t="s">
        <v>221</v>
      </c>
    </row>
    <row r="35" spans="1:17" ht="16.2" thickBot="1" x14ac:dyDescent="0.35">
      <c r="A35" s="79" t="s">
        <v>380</v>
      </c>
      <c r="B35" s="74" t="s">
        <v>381</v>
      </c>
      <c r="C35" s="74">
        <v>259.54000000000002</v>
      </c>
      <c r="D35" s="74" t="s">
        <v>382</v>
      </c>
      <c r="E35" s="76">
        <v>1.9E-3</v>
      </c>
      <c r="F35" s="74">
        <v>0.98</v>
      </c>
      <c r="G35" s="78">
        <v>582850000</v>
      </c>
      <c r="H35" s="3" t="b">
        <f t="shared" si="1"/>
        <v>0</v>
      </c>
      <c r="I35" s="26">
        <f>Table13568[[#This Row],[Tech]]*$T$7+Table13568[[#This Row],[Beta]]*($T$6-$T$8)+$T$8</f>
        <v>9.872800000000001E-2</v>
      </c>
      <c r="J35" s="64">
        <f>0</f>
        <v>0</v>
      </c>
      <c r="K35" s="61">
        <f>Table13568[[#This Row],[Investment]]/Table13568[[#This Row],[Dollar Volume]]</f>
        <v>0</v>
      </c>
      <c r="L35" s="34">
        <f>IFERROR(MAX($T$11+$T$12*LN(Table13568[[#This Row],[Frac ADV]]),0),0)*0.0001+0.005/Table13568[[#This Row],[Stock Price]]+Table13568[[#This Row],[Expense Ratio]]</f>
        <v>1.9192648532018186E-3</v>
      </c>
      <c r="M35" s="68">
        <f>(Table13568[[#This Row],[Expected Return]]-Table13568[[#This Row],[Tcosts]])*Table13568[[#This Row],[Investment]]</f>
        <v>0</v>
      </c>
      <c r="Q35" s="16" t="s">
        <v>110</v>
      </c>
    </row>
    <row r="36" spans="1:17" ht="16.2" thickBot="1" x14ac:dyDescent="0.35">
      <c r="A36" s="79" t="s">
        <v>178</v>
      </c>
      <c r="B36" s="74" t="s">
        <v>179</v>
      </c>
      <c r="C36" s="74">
        <v>103.45</v>
      </c>
      <c r="D36" s="74" t="s">
        <v>180</v>
      </c>
      <c r="E36" s="76">
        <v>4.0000000000000002E-4</v>
      </c>
      <c r="F36" s="74">
        <v>1.21</v>
      </c>
      <c r="G36" s="78">
        <v>159840000</v>
      </c>
      <c r="H36" s="3" t="b">
        <f t="shared" si="1"/>
        <v>0</v>
      </c>
      <c r="I36" s="26">
        <f>Table13568[[#This Row],[Tech]]*$T$7+Table13568[[#This Row],[Beta]]*($T$6-$T$8)+$T$8</f>
        <v>0.113356</v>
      </c>
      <c r="J36" s="64">
        <f>0</f>
        <v>0</v>
      </c>
      <c r="K36" s="61">
        <f>Table13568[[#This Row],[Investment]]/Table13568[[#This Row],[Dollar Volume]]</f>
        <v>0</v>
      </c>
      <c r="L36" s="34">
        <f>IFERROR(MAX($T$11+$T$12*LN(Table13568[[#This Row],[Frac ADV]]),0),0)*0.0001+0.005/Table13568[[#This Row],[Stock Price]]+Table13568[[#This Row],[Expense Ratio]]</f>
        <v>4.483325277912035E-4</v>
      </c>
      <c r="M36" s="68">
        <f>(Table13568[[#This Row],[Expected Return]]-Table13568[[#This Row],[Tcosts]])*Table13568[[#This Row],[Investment]]</f>
        <v>0</v>
      </c>
      <c r="Q36" s="13" t="s">
        <v>228</v>
      </c>
    </row>
    <row r="37" spans="1:17" ht="16.2" thickBot="1" x14ac:dyDescent="0.35">
      <c r="A37" s="79" t="s">
        <v>388</v>
      </c>
      <c r="B37" s="74" t="s">
        <v>389</v>
      </c>
      <c r="C37" s="74">
        <v>100.56</v>
      </c>
      <c r="D37" s="74" t="s">
        <v>390</v>
      </c>
      <c r="E37" s="76">
        <v>1.8E-3</v>
      </c>
      <c r="F37" s="74">
        <v>0.87</v>
      </c>
      <c r="G37" s="78">
        <v>1800000000</v>
      </c>
      <c r="H37" s="3" t="b">
        <f t="shared" si="1"/>
        <v>0</v>
      </c>
      <c r="I37" s="26">
        <f>Table13568[[#This Row],[Tech]]*$T$7+Table13568[[#This Row],[Beta]]*($T$6-$T$8)+$T$8</f>
        <v>9.1732000000000008E-2</v>
      </c>
      <c r="J37" s="64">
        <f>0</f>
        <v>0</v>
      </c>
      <c r="K37" s="61">
        <f>Table13568[[#This Row],[Investment]]/Table13568[[#This Row],[Dollar Volume]]</f>
        <v>0</v>
      </c>
      <c r="L37" s="34">
        <f>IFERROR(MAX($T$11+$T$12*LN(Table13568[[#This Row],[Frac ADV]]),0),0)*0.0001+0.005/Table13568[[#This Row],[Stock Price]]+Table13568[[#This Row],[Expense Ratio]]</f>
        <v>1.8497215592680985E-3</v>
      </c>
      <c r="M37" s="68">
        <f>(Table13568[[#This Row],[Expected Return]]-Table13568[[#This Row],[Tcosts]])*Table13568[[#This Row],[Investment]]</f>
        <v>0</v>
      </c>
      <c r="Q37" s="16" t="s">
        <v>232</v>
      </c>
    </row>
    <row r="38" spans="1:17" ht="16.2" thickBot="1" x14ac:dyDescent="0.35">
      <c r="A38" s="79" t="s">
        <v>170</v>
      </c>
      <c r="B38" s="74" t="s">
        <v>171</v>
      </c>
      <c r="C38" s="74">
        <v>50.4</v>
      </c>
      <c r="D38" s="74" t="s">
        <v>172</v>
      </c>
      <c r="E38" s="76">
        <v>2.9999999999999997E-4</v>
      </c>
      <c r="F38" s="74">
        <v>0.92</v>
      </c>
      <c r="G38" s="78">
        <v>722110000</v>
      </c>
      <c r="H38" s="3" t="b">
        <f t="shared" si="1"/>
        <v>0</v>
      </c>
      <c r="I38" s="26">
        <f>Table13568[[#This Row],[Tech]]*$T$7+Table13568[[#This Row],[Beta]]*($T$6-$T$8)+$T$8</f>
        <v>9.491200000000001E-2</v>
      </c>
      <c r="J38" s="64">
        <f>0</f>
        <v>0</v>
      </c>
      <c r="K38" s="61">
        <f>Table13568[[#This Row],[Investment]]/Table13568[[#This Row],[Dollar Volume]]</f>
        <v>0</v>
      </c>
      <c r="L38" s="34">
        <f>IFERROR(MAX($T$11+$T$12*LN(Table13568[[#This Row],[Frac ADV]]),0),0)*0.0001+0.005/Table13568[[#This Row],[Stock Price]]+Table13568[[#This Row],[Expense Ratio]]</f>
        <v>3.9920634920634921E-4</v>
      </c>
      <c r="M38" s="68">
        <f>(Table13568[[#This Row],[Expected Return]]-Table13568[[#This Row],[Tcosts]])*Table13568[[#This Row],[Investment]]</f>
        <v>0</v>
      </c>
      <c r="Q38" s="13" t="s">
        <v>236</v>
      </c>
    </row>
    <row r="39" spans="1:17" ht="16.2" thickBot="1" x14ac:dyDescent="0.35">
      <c r="A39" s="77" t="s">
        <v>296</v>
      </c>
      <c r="B39" s="73" t="s">
        <v>297</v>
      </c>
      <c r="C39" s="73">
        <v>331.12</v>
      </c>
      <c r="D39" s="73" t="s">
        <v>298</v>
      </c>
      <c r="E39" s="75">
        <v>2.3999999999999998E-3</v>
      </c>
      <c r="F39" s="73">
        <v>1.07</v>
      </c>
      <c r="G39" s="78">
        <v>209970000</v>
      </c>
      <c r="H39" s="3" t="b">
        <f t="shared" si="1"/>
        <v>0</v>
      </c>
      <c r="I39" s="26">
        <f>Table13568[[#This Row],[Tech]]*$T$7+Table13568[[#This Row],[Beta]]*($T$6-$T$8)+$T$8</f>
        <v>0.104452</v>
      </c>
      <c r="J39" s="64">
        <f>0</f>
        <v>0</v>
      </c>
      <c r="K39" s="61">
        <f>Table13568[[#This Row],[Investment]]/Table13568[[#This Row],[Dollar Volume]]</f>
        <v>0</v>
      </c>
      <c r="L39" s="34">
        <f>IFERROR(MAX($T$11+$T$12*LN(Table13568[[#This Row],[Frac ADV]]),0),0)*0.0001+0.005/Table13568[[#This Row],[Stock Price]]+Table13568[[#This Row],[Expense Ratio]]</f>
        <v>2.4151002657646771E-3</v>
      </c>
      <c r="M39" s="68">
        <f>(Table13568[[#This Row],[Expected Return]]-Table13568[[#This Row],[Tcosts]])*Table13568[[#This Row],[Investment]]</f>
        <v>0</v>
      </c>
      <c r="Q39" s="16" t="s">
        <v>240</v>
      </c>
    </row>
    <row r="40" spans="1:17" ht="16.2" thickBot="1" x14ac:dyDescent="0.35">
      <c r="A40" s="79" t="s">
        <v>229</v>
      </c>
      <c r="B40" s="74" t="s">
        <v>230</v>
      </c>
      <c r="C40" s="74">
        <v>684.33</v>
      </c>
      <c r="D40" s="74" t="s">
        <v>231</v>
      </c>
      <c r="E40" s="76">
        <v>2.9999999999999997E-4</v>
      </c>
      <c r="F40" s="74">
        <v>1</v>
      </c>
      <c r="G40" s="78">
        <v>267780000</v>
      </c>
      <c r="H40" s="3" t="b">
        <f t="shared" si="1"/>
        <v>0</v>
      </c>
      <c r="I40" s="26">
        <f>Table13568[[#This Row],[Tech]]*$T$7+Table13568[[#This Row],[Beta]]*($T$6-$T$8)+$T$8</f>
        <v>0.1</v>
      </c>
      <c r="J40" s="64">
        <f>0</f>
        <v>0</v>
      </c>
      <c r="K40" s="61">
        <f>Table13568[[#This Row],[Investment]]/Table13568[[#This Row],[Dollar Volume]]</f>
        <v>0</v>
      </c>
      <c r="L40" s="34">
        <f>IFERROR(MAX($T$11+$T$12*LN(Table13568[[#This Row],[Frac ADV]]),0),0)*0.0001+0.005/Table13568[[#This Row],[Stock Price]]+Table13568[[#This Row],[Expense Ratio]]</f>
        <v>3.0730641649496588E-4</v>
      </c>
      <c r="M40" s="68">
        <f>(Table13568[[#This Row],[Expected Return]]-Table13568[[#This Row],[Tcosts]])*Table13568[[#This Row],[Investment]]</f>
        <v>0</v>
      </c>
      <c r="Q40" s="13" t="s">
        <v>244</v>
      </c>
    </row>
    <row r="41" spans="1:17" ht="16.2" thickBot="1" x14ac:dyDescent="0.35">
      <c r="A41" s="79" t="s">
        <v>404</v>
      </c>
      <c r="B41" s="74" t="s">
        <v>405</v>
      </c>
      <c r="C41" s="74">
        <v>70.540000000000006</v>
      </c>
      <c r="D41" s="74" t="s">
        <v>406</v>
      </c>
      <c r="E41" s="76">
        <v>5.0000000000000001E-4</v>
      </c>
      <c r="F41" s="74">
        <v>0.88</v>
      </c>
      <c r="G41" s="78">
        <v>968150000</v>
      </c>
      <c r="H41" s="3" t="b">
        <f t="shared" si="1"/>
        <v>0</v>
      </c>
      <c r="I41" s="26">
        <f>Table13568[[#This Row],[Tech]]*$T$7+Table13568[[#This Row],[Beta]]*($T$6-$T$8)+$T$8</f>
        <v>9.2368000000000006E-2</v>
      </c>
      <c r="J41" s="64">
        <f>0</f>
        <v>0</v>
      </c>
      <c r="K41" s="61">
        <f>Table13568[[#This Row],[Investment]]/Table13568[[#This Row],[Dollar Volume]]</f>
        <v>0</v>
      </c>
      <c r="L41" s="34">
        <f>IFERROR(MAX($T$11+$T$12*LN(Table13568[[#This Row],[Frac ADV]]),0),0)*0.0001+0.005/Table13568[[#This Row],[Stock Price]]+Table13568[[#This Row],[Expense Ratio]]</f>
        <v>5.7088176920895941E-4</v>
      </c>
      <c r="M41" s="68">
        <f>(Table13568[[#This Row],[Expected Return]]-Table13568[[#This Row],[Tcosts]])*Table13568[[#This Row],[Investment]]</f>
        <v>0</v>
      </c>
      <c r="Q41" s="16" t="s">
        <v>248</v>
      </c>
    </row>
    <row r="42" spans="1:17" ht="16.2" thickBot="1" x14ac:dyDescent="0.35">
      <c r="A42" s="77" t="s">
        <v>472</v>
      </c>
      <c r="B42" s="73" t="s">
        <v>473</v>
      </c>
      <c r="C42" s="73">
        <v>93.37</v>
      </c>
      <c r="D42" s="73" t="s">
        <v>474</v>
      </c>
      <c r="E42" s="75">
        <v>4.8999999999999998E-3</v>
      </c>
      <c r="F42" s="73">
        <v>0.87</v>
      </c>
      <c r="G42" s="78">
        <v>1220000000</v>
      </c>
      <c r="H42" s="3" t="b">
        <f t="shared" si="1"/>
        <v>0</v>
      </c>
      <c r="I42" s="26">
        <f>Table13568[[#This Row],[Tech]]*$T$7+Table13568[[#This Row],[Beta]]*($T$6-$T$8)+$T$8</f>
        <v>9.1732000000000008E-2</v>
      </c>
      <c r="J42" s="64">
        <f>0</f>
        <v>0</v>
      </c>
      <c r="K42" s="61">
        <f>Table13568[[#This Row],[Investment]]/Table13568[[#This Row],[Dollar Volume]]</f>
        <v>0</v>
      </c>
      <c r="L42" s="34">
        <f>IFERROR(MAX($T$11+$T$12*LN(Table13568[[#This Row],[Frac ADV]]),0),0)*0.0001+0.005/Table13568[[#This Row],[Stock Price]]+Table13568[[#This Row],[Expense Ratio]]</f>
        <v>4.9535503909178538E-3</v>
      </c>
      <c r="M42" s="68">
        <f>(Table13568[[#This Row],[Expected Return]]-Table13568[[#This Row],[Tcosts]])*Table13568[[#This Row],[Investment]]</f>
        <v>0</v>
      </c>
      <c r="Q42" s="13" t="s">
        <v>252</v>
      </c>
    </row>
    <row r="43" spans="1:17" ht="16.2" thickBot="1" x14ac:dyDescent="0.35">
      <c r="A43" s="77" t="s">
        <v>273</v>
      </c>
      <c r="B43" s="73" t="s">
        <v>274</v>
      </c>
      <c r="C43" s="73">
        <v>51.69</v>
      </c>
      <c r="D43" s="73" t="s">
        <v>275</v>
      </c>
      <c r="E43" s="75">
        <v>8.0000000000000004E-4</v>
      </c>
      <c r="F43" s="73">
        <v>0.94</v>
      </c>
      <c r="G43" s="78">
        <v>379340000</v>
      </c>
      <c r="H43" s="3" t="b">
        <f t="shared" si="1"/>
        <v>0</v>
      </c>
      <c r="I43" s="26">
        <f>Table13568[[#This Row],[Tech]]*$T$7+Table13568[[#This Row],[Beta]]*($T$6-$T$8)+$T$8</f>
        <v>9.6183999999999992E-2</v>
      </c>
      <c r="J43" s="64">
        <f>0</f>
        <v>0</v>
      </c>
      <c r="K43" s="61">
        <f>Table13568[[#This Row],[Investment]]/Table13568[[#This Row],[Dollar Volume]]</f>
        <v>0</v>
      </c>
      <c r="L43" s="34">
        <f>IFERROR(MAX($T$11+$T$12*LN(Table13568[[#This Row],[Frac ADV]]),0),0)*0.0001+0.005/Table13568[[#This Row],[Stock Price]]+Table13568[[#This Row],[Expense Ratio]]</f>
        <v>8.9673050880247638E-4</v>
      </c>
      <c r="M43" s="68">
        <f>(Table13568[[#This Row],[Expected Return]]-Table13568[[#This Row],[Tcosts]])*Table13568[[#This Row],[Investment]]</f>
        <v>0</v>
      </c>
      <c r="Q43" s="16" t="s">
        <v>256</v>
      </c>
    </row>
    <row r="44" spans="1:17" ht="16.2" thickBot="1" x14ac:dyDescent="0.35">
      <c r="A44" s="77" t="s">
        <v>428</v>
      </c>
      <c r="B44" s="73" t="s">
        <v>429</v>
      </c>
      <c r="C44" s="73">
        <v>74.87</v>
      </c>
      <c r="D44" s="73" t="s">
        <v>430</v>
      </c>
      <c r="E44" s="75">
        <v>2.7000000000000001E-3</v>
      </c>
      <c r="F44" s="73">
        <v>0.92</v>
      </c>
      <c r="G44" s="78">
        <v>341000000</v>
      </c>
      <c r="H44" s="3" t="b">
        <f t="shared" si="1"/>
        <v>0</v>
      </c>
      <c r="I44" s="26">
        <f>Table13568[[#This Row],[Tech]]*$T$7+Table13568[[#This Row],[Beta]]*($T$6-$T$8)+$T$8</f>
        <v>9.491200000000001E-2</v>
      </c>
      <c r="J44" s="64">
        <f>0</f>
        <v>0</v>
      </c>
      <c r="K44" s="61">
        <f>Table13568[[#This Row],[Investment]]/Table13568[[#This Row],[Dollar Volume]]</f>
        <v>0</v>
      </c>
      <c r="L44" s="34">
        <f>IFERROR(MAX($T$11+$T$12*LN(Table13568[[#This Row],[Frac ADV]]),0),0)*0.0001+0.005/Table13568[[#This Row],[Stock Price]]+Table13568[[#This Row],[Expense Ratio]]</f>
        <v>2.7667824228663016E-3</v>
      </c>
      <c r="M44" s="68">
        <f>(Table13568[[#This Row],[Expected Return]]-Table13568[[#This Row],[Tcosts]])*Table13568[[#This Row],[Investment]]</f>
        <v>0</v>
      </c>
      <c r="Q44" s="13" t="s">
        <v>260</v>
      </c>
    </row>
    <row r="45" spans="1:17" ht="16.2" thickBot="1" x14ac:dyDescent="0.35">
      <c r="A45" s="77" t="s">
        <v>519</v>
      </c>
      <c r="B45" s="73" t="s">
        <v>520</v>
      </c>
      <c r="C45" s="73">
        <v>76.209999999999994</v>
      </c>
      <c r="D45" s="73" t="s">
        <v>521</v>
      </c>
      <c r="E45" s="75">
        <v>1.9E-3</v>
      </c>
      <c r="F45" s="73">
        <v>0.83</v>
      </c>
      <c r="G45" s="78">
        <v>1070000000</v>
      </c>
      <c r="H45" s="3" t="b">
        <f t="shared" si="1"/>
        <v>0</v>
      </c>
      <c r="I45" s="26">
        <f>Table13568[[#This Row],[Tech]]*$T$7+Table13568[[#This Row],[Beta]]*($T$6-$T$8)+$T$8</f>
        <v>8.9188000000000003E-2</v>
      </c>
      <c r="J45" s="64">
        <f>0</f>
        <v>0</v>
      </c>
      <c r="K45" s="61">
        <f>Table13568[[#This Row],[Investment]]/Table13568[[#This Row],[Dollar Volume]]</f>
        <v>0</v>
      </c>
      <c r="L45" s="34">
        <f>IFERROR(MAX($T$11+$T$12*LN(Table13568[[#This Row],[Frac ADV]]),0),0)*0.0001+0.005/Table13568[[#This Row],[Stock Price]]+Table13568[[#This Row],[Expense Ratio]]</f>
        <v>1.9656081879018501E-3</v>
      </c>
      <c r="M45" s="68">
        <f>(Table13568[[#This Row],[Expected Return]]-Table13568[[#This Row],[Tcosts]])*Table13568[[#This Row],[Investment]]</f>
        <v>0</v>
      </c>
      <c r="Q45" s="16" t="s">
        <v>264</v>
      </c>
    </row>
    <row r="46" spans="1:17" ht="16.2" thickBot="1" x14ac:dyDescent="0.35">
      <c r="A46" s="79" t="s">
        <v>360</v>
      </c>
      <c r="B46" s="74" t="s">
        <v>361</v>
      </c>
      <c r="C46" s="73">
        <v>92.51</v>
      </c>
      <c r="D46" s="74" t="s">
        <v>362</v>
      </c>
      <c r="E46" s="76">
        <v>1.5E-3</v>
      </c>
      <c r="F46" s="74">
        <v>0.86</v>
      </c>
      <c r="G46" s="78">
        <v>480430000</v>
      </c>
      <c r="H46" s="3" t="b">
        <f t="shared" si="1"/>
        <v>0</v>
      </c>
      <c r="I46" s="26">
        <f>Table13568[[#This Row],[Tech]]*$T$7+Table13568[[#This Row],[Beta]]*($T$6-$T$8)+$T$8</f>
        <v>9.109600000000001E-2</v>
      </c>
      <c r="J46" s="64">
        <f>0</f>
        <v>0</v>
      </c>
      <c r="K46" s="61">
        <f>Table13568[[#This Row],[Investment]]/Table13568[[#This Row],[Dollar Volume]]</f>
        <v>0</v>
      </c>
      <c r="L46" s="34">
        <f>IFERROR(MAX($T$11+$T$12*LN(Table13568[[#This Row],[Frac ADV]]),0),0)*0.0001+0.005/Table13568[[#This Row],[Stock Price]]+Table13568[[#This Row],[Expense Ratio]]</f>
        <v>1.5540482110042158E-3</v>
      </c>
      <c r="M46" s="68">
        <f>(Table13568[[#This Row],[Expected Return]]-Table13568[[#This Row],[Tcosts]])*Table13568[[#This Row],[Investment]]</f>
        <v>0</v>
      </c>
      <c r="Q46" s="13" t="s">
        <v>268</v>
      </c>
    </row>
    <row r="47" spans="1:17" ht="16.2" thickBot="1" x14ac:dyDescent="0.35">
      <c r="A47" s="79" t="s">
        <v>599</v>
      </c>
      <c r="B47" s="74" t="s">
        <v>600</v>
      </c>
      <c r="C47" s="74">
        <v>63.52</v>
      </c>
      <c r="D47" s="74" t="s">
        <v>322</v>
      </c>
      <c r="E47" s="76">
        <v>4.8999999999999998E-3</v>
      </c>
      <c r="F47" s="74">
        <v>0.8</v>
      </c>
      <c r="G47" s="78">
        <v>1780000000</v>
      </c>
      <c r="H47" s="3" t="b">
        <f t="shared" si="1"/>
        <v>0</v>
      </c>
      <c r="I47" s="26">
        <f>Table13568[[#This Row],[Tech]]*$T$7+Table13568[[#This Row],[Beta]]*($T$6-$T$8)+$T$8</f>
        <v>8.728000000000001E-2</v>
      </c>
      <c r="J47" s="64">
        <f>0</f>
        <v>0</v>
      </c>
      <c r="K47" s="61">
        <f>Table13568[[#This Row],[Investment]]/Table13568[[#This Row],[Dollar Volume]]</f>
        <v>0</v>
      </c>
      <c r="L47" s="34">
        <f>IFERROR(MAX($T$11+$T$12*LN(Table13568[[#This Row],[Frac ADV]]),0),0)*0.0001+0.005/Table13568[[#This Row],[Stock Price]]+Table13568[[#This Row],[Expense Ratio]]</f>
        <v>4.9787153652392944E-3</v>
      </c>
      <c r="M47" s="68">
        <f>(Table13568[[#This Row],[Expected Return]]-Table13568[[#This Row],[Tcosts]])*Table13568[[#This Row],[Investment]]</f>
        <v>0</v>
      </c>
      <c r="Q47" s="16" t="s">
        <v>272</v>
      </c>
    </row>
    <row r="48" spans="1:17" ht="16.2" thickBot="1" x14ac:dyDescent="0.35">
      <c r="A48" s="77" t="s">
        <v>340</v>
      </c>
      <c r="B48" s="73" t="s">
        <v>341</v>
      </c>
      <c r="C48" s="73">
        <v>65.73</v>
      </c>
      <c r="D48" s="73" t="s">
        <v>342</v>
      </c>
      <c r="E48" s="75">
        <v>2.8E-3</v>
      </c>
      <c r="F48" s="73">
        <v>0.9</v>
      </c>
      <c r="G48" s="78">
        <v>309820000</v>
      </c>
      <c r="H48" s="3" t="b">
        <f t="shared" si="1"/>
        <v>0</v>
      </c>
      <c r="I48" s="26">
        <f>Table13568[[#This Row],[Tech]]*$T$7+Table13568[[#This Row],[Beta]]*($T$6-$T$8)+$T$8</f>
        <v>9.3640000000000001E-2</v>
      </c>
      <c r="J48" s="64">
        <f>0</f>
        <v>0</v>
      </c>
      <c r="K48" s="61">
        <f>Table13568[[#This Row],[Investment]]/Table13568[[#This Row],[Dollar Volume]]</f>
        <v>0</v>
      </c>
      <c r="L48" s="34">
        <f>IFERROR(MAX($T$11+$T$12*LN(Table13568[[#This Row],[Frac ADV]]),0),0)*0.0001+0.005/Table13568[[#This Row],[Stock Price]]+Table13568[[#This Row],[Expense Ratio]]</f>
        <v>2.8760687661646129E-3</v>
      </c>
      <c r="M48" s="68">
        <f>(Table13568[[#This Row],[Expected Return]]-Table13568[[#This Row],[Tcosts]])*Table13568[[#This Row],[Investment]]</f>
        <v>0</v>
      </c>
      <c r="Q48" s="13" t="s">
        <v>276</v>
      </c>
    </row>
    <row r="49" spans="1:17" ht="16.2" thickBot="1" x14ac:dyDescent="0.35">
      <c r="A49" s="79" t="s">
        <v>348</v>
      </c>
      <c r="B49" s="74" t="s">
        <v>349</v>
      </c>
      <c r="C49" s="74">
        <v>92.24</v>
      </c>
      <c r="D49" s="74" t="s">
        <v>350</v>
      </c>
      <c r="E49" s="76">
        <v>6.9999999999999999E-4</v>
      </c>
      <c r="F49" s="74">
        <v>0.71</v>
      </c>
      <c r="G49" s="78">
        <v>2080000000</v>
      </c>
      <c r="H49" s="3" t="b">
        <f t="shared" si="1"/>
        <v>0</v>
      </c>
      <c r="I49" s="26">
        <f>Table13568[[#This Row],[Tech]]*$T$7+Table13568[[#This Row],[Beta]]*($T$6-$T$8)+$T$8</f>
        <v>8.1556000000000003E-2</v>
      </c>
      <c r="J49" s="64">
        <f>0</f>
        <v>0</v>
      </c>
      <c r="K49" s="61">
        <f>Table13568[[#This Row],[Investment]]/Table13568[[#This Row],[Dollar Volume]]</f>
        <v>0</v>
      </c>
      <c r="L49" s="34">
        <f>IFERROR(MAX($T$11+$T$12*LN(Table13568[[#This Row],[Frac ADV]]),0),0)*0.0001+0.005/Table13568[[#This Row],[Stock Price]]+Table13568[[#This Row],[Expense Ratio]]</f>
        <v>7.5420641803989588E-4</v>
      </c>
      <c r="M49" s="68">
        <f>(Table13568[[#This Row],[Expected Return]]-Table13568[[#This Row],[Tcosts]])*Table13568[[#This Row],[Investment]]</f>
        <v>0</v>
      </c>
      <c r="Q49" s="16" t="s">
        <v>280</v>
      </c>
    </row>
    <row r="50" spans="1:17" ht="16.2" thickBot="1" x14ac:dyDescent="0.35">
      <c r="A50" s="79" t="s">
        <v>547</v>
      </c>
      <c r="B50" s="74" t="s">
        <v>548</v>
      </c>
      <c r="C50" s="74">
        <v>74.650000000000006</v>
      </c>
      <c r="D50" s="74" t="s">
        <v>549</v>
      </c>
      <c r="E50" s="76">
        <v>8.9999999999999998E-4</v>
      </c>
      <c r="F50" s="74">
        <v>0.7</v>
      </c>
      <c r="G50" s="78">
        <v>1800000000</v>
      </c>
      <c r="H50" s="3" t="b">
        <f t="shared" si="1"/>
        <v>0</v>
      </c>
      <c r="I50" s="26">
        <f>Table13568[[#This Row],[Tech]]*$T$7+Table13568[[#This Row],[Beta]]*($T$6-$T$8)+$T$8</f>
        <v>8.0919999999999992E-2</v>
      </c>
      <c r="J50" s="64">
        <f>0</f>
        <v>0</v>
      </c>
      <c r="K50" s="61">
        <f>Table13568[[#This Row],[Investment]]/Table13568[[#This Row],[Dollar Volume]]</f>
        <v>0</v>
      </c>
      <c r="L50" s="34">
        <f>IFERROR(MAX($T$11+$T$12*LN(Table13568[[#This Row],[Frac ADV]]),0),0)*0.0001+0.005/Table13568[[#This Row],[Stock Price]]+Table13568[[#This Row],[Expense Ratio]]</f>
        <v>9.6697923643670461E-4</v>
      </c>
      <c r="M50" s="68">
        <f>(Table13568[[#This Row],[Expected Return]]-Table13568[[#This Row],[Tcosts]])*Table13568[[#This Row],[Investment]]</f>
        <v>0</v>
      </c>
      <c r="Q50" s="13" t="s">
        <v>284</v>
      </c>
    </row>
    <row r="51" spans="1:17" ht="16.2" thickBot="1" x14ac:dyDescent="0.35">
      <c r="A51" s="79" t="s">
        <v>571</v>
      </c>
      <c r="B51" s="74" t="s">
        <v>572</v>
      </c>
      <c r="C51" s="74">
        <v>49.94</v>
      </c>
      <c r="D51" s="74" t="s">
        <v>573</v>
      </c>
      <c r="E51" s="76">
        <v>2.0999999999999999E-3</v>
      </c>
      <c r="F51" s="74">
        <v>0.82</v>
      </c>
      <c r="G51" s="78">
        <v>618730000</v>
      </c>
      <c r="H51" s="3" t="b">
        <f t="shared" si="1"/>
        <v>0</v>
      </c>
      <c r="I51" s="26">
        <f>Table13568[[#This Row],[Tech]]*$T$7+Table13568[[#This Row],[Beta]]*($T$6-$T$8)+$T$8</f>
        <v>8.8551999999999992E-2</v>
      </c>
      <c r="J51" s="64">
        <f>0</f>
        <v>0</v>
      </c>
      <c r="K51" s="61">
        <f>Table13568[[#This Row],[Investment]]/Table13568[[#This Row],[Dollar Volume]]</f>
        <v>0</v>
      </c>
      <c r="L51" s="34">
        <f>IFERROR(MAX($T$11+$T$12*LN(Table13568[[#This Row],[Frac ADV]]),0),0)*0.0001+0.005/Table13568[[#This Row],[Stock Price]]+Table13568[[#This Row],[Expense Ratio]]</f>
        <v>2.2001201441730076E-3</v>
      </c>
      <c r="M51" s="68">
        <f>(Table13568[[#This Row],[Expected Return]]-Table13568[[#This Row],[Tcosts]])*Table13568[[#This Row],[Investment]]</f>
        <v>0</v>
      </c>
      <c r="Q51" s="16" t="s">
        <v>288</v>
      </c>
    </row>
    <row r="52" spans="1:17" ht="16.2" thickBot="1" x14ac:dyDescent="0.35">
      <c r="A52" s="79" t="s">
        <v>265</v>
      </c>
      <c r="B52" s="74" t="s">
        <v>266</v>
      </c>
      <c r="C52" s="74">
        <v>116.13</v>
      </c>
      <c r="D52" s="86" t="s">
        <v>267</v>
      </c>
      <c r="E52" s="76">
        <v>8.0000000000000004E-4</v>
      </c>
      <c r="F52" s="74">
        <v>1.08</v>
      </c>
      <c r="G52" s="78">
        <v>575520000</v>
      </c>
      <c r="H52" s="3" t="b">
        <f t="shared" si="1"/>
        <v>0</v>
      </c>
      <c r="I52" s="26">
        <f>Table13568[[#This Row],[Tech]]*$T$7+Table13568[[#This Row],[Beta]]*($T$6-$T$8)+$T$8</f>
        <v>0.10508800000000001</v>
      </c>
      <c r="J52" s="64">
        <f>0</f>
        <v>0</v>
      </c>
      <c r="K52" s="61">
        <f>Table13568[[#This Row],[Investment]]/Table13568[[#This Row],[Dollar Volume]]</f>
        <v>0</v>
      </c>
      <c r="L52" s="34">
        <f>IFERROR(MAX($T$11+$T$12*LN(Table13568[[#This Row],[Frac ADV]]),0),0)*0.0001+0.005/Table13568[[#This Row],[Stock Price]]+Table13568[[#This Row],[Expense Ratio]]</f>
        <v>8.4305519676224929E-4</v>
      </c>
      <c r="M52" s="68">
        <f>(Table13568[[#This Row],[Expected Return]]-Table13568[[#This Row],[Tcosts]])*Table13568[[#This Row],[Investment]]</f>
        <v>0</v>
      </c>
      <c r="Q52" s="13" t="s">
        <v>292</v>
      </c>
    </row>
    <row r="53" spans="1:17" ht="16.2" thickBot="1" x14ac:dyDescent="0.35">
      <c r="A53" s="79" t="s">
        <v>372</v>
      </c>
      <c r="B53" s="74" t="s">
        <v>373</v>
      </c>
      <c r="C53" s="74">
        <v>54.63</v>
      </c>
      <c r="D53" s="86" t="s">
        <v>374</v>
      </c>
      <c r="E53" s="76">
        <v>4.7000000000000002E-3</v>
      </c>
      <c r="F53" s="74">
        <v>1</v>
      </c>
      <c r="G53" s="78">
        <v>556260000</v>
      </c>
      <c r="H53" s="3" t="b">
        <f t="shared" si="1"/>
        <v>0</v>
      </c>
      <c r="I53" s="26">
        <f>Table13568[[#This Row],[Tech]]*$T$7+Table13568[[#This Row],[Beta]]*($T$6-$T$8)+$T$8</f>
        <v>0.1</v>
      </c>
      <c r="J53" s="64">
        <f>0</f>
        <v>0</v>
      </c>
      <c r="K53" s="61">
        <f>Table13568[[#This Row],[Investment]]/Table13568[[#This Row],[Dollar Volume]]</f>
        <v>0</v>
      </c>
      <c r="L53" s="34">
        <f>IFERROR(MAX($T$11+$T$12*LN(Table13568[[#This Row],[Frac ADV]]),0),0)*0.0001+0.005/Table13568[[#This Row],[Stock Price]]+Table13568[[#This Row],[Expense Ratio]]</f>
        <v>4.7915248032216733E-3</v>
      </c>
      <c r="M53" s="68">
        <f>(Table13568[[#This Row],[Expected Return]]-Table13568[[#This Row],[Tcosts]])*Table13568[[#This Row],[Investment]]</f>
        <v>0</v>
      </c>
      <c r="Q53" s="16" t="s">
        <v>181</v>
      </c>
    </row>
    <row r="54" spans="1:17" ht="16.2" thickBot="1" x14ac:dyDescent="0.35">
      <c r="A54" s="79" t="s">
        <v>182</v>
      </c>
      <c r="B54" s="74" t="s">
        <v>183</v>
      </c>
      <c r="C54" s="74">
        <v>335.05</v>
      </c>
      <c r="D54" s="86" t="s">
        <v>184</v>
      </c>
      <c r="E54" s="76">
        <v>2E-3</v>
      </c>
      <c r="F54" s="74">
        <v>1.08</v>
      </c>
      <c r="G54" s="78">
        <v>516090000</v>
      </c>
      <c r="H54" s="3" t="b">
        <f t="shared" si="1"/>
        <v>0</v>
      </c>
      <c r="I54" s="26">
        <f>Table13568[[#This Row],[Tech]]*$T$7+Table13568[[#This Row],[Beta]]*($T$6-$T$8)+$T$8</f>
        <v>0.10508800000000001</v>
      </c>
      <c r="J54" s="64">
        <f>0</f>
        <v>0</v>
      </c>
      <c r="K54" s="61">
        <f>Table13568[[#This Row],[Investment]]/Table13568[[#This Row],[Dollar Volume]]</f>
        <v>0</v>
      </c>
      <c r="L54" s="34">
        <f>IFERROR(MAX($T$11+$T$12*LN(Table13568[[#This Row],[Frac ADV]]),0),0)*0.0001+0.005/Table13568[[#This Row],[Stock Price]]+Table13568[[#This Row],[Expense Ratio]]</f>
        <v>2.0149231457991345E-3</v>
      </c>
      <c r="M54" s="68">
        <f>(Table13568[[#This Row],[Expected Return]]-Table13568[[#This Row],[Tcosts]])*Table13568[[#This Row],[Investment]]</f>
        <v>0</v>
      </c>
      <c r="Q54" s="13" t="s">
        <v>299</v>
      </c>
    </row>
    <row r="55" spans="1:17" ht="16.2" thickBot="1" x14ac:dyDescent="0.35">
      <c r="A55" s="79" t="s">
        <v>107</v>
      </c>
      <c r="B55" s="74" t="s">
        <v>108</v>
      </c>
      <c r="C55" s="74">
        <v>190.79</v>
      </c>
      <c r="D55" s="86" t="s">
        <v>109</v>
      </c>
      <c r="E55" s="76">
        <v>3.8E-3</v>
      </c>
      <c r="F55" s="74">
        <v>1.43</v>
      </c>
      <c r="G55" s="78">
        <v>480430000</v>
      </c>
      <c r="H55" s="3" t="b">
        <f t="shared" si="1"/>
        <v>1</v>
      </c>
      <c r="I55" s="26">
        <f>Table13568[[#This Row],[Tech]]*$T$7+Table13568[[#This Row],[Beta]]*($T$6-$T$8)+$T$8</f>
        <v>0.22734799999999999</v>
      </c>
      <c r="J55" s="64">
        <f>0</f>
        <v>0</v>
      </c>
      <c r="K55" s="61">
        <f>Table13568[[#This Row],[Investment]]/Table13568[[#This Row],[Dollar Volume]]</f>
        <v>0</v>
      </c>
      <c r="L55" s="34">
        <f>IFERROR(MAX($T$11+$T$12*LN(Table13568[[#This Row],[Frac ADV]]),0),0)*0.0001+0.005/Table13568[[#This Row],[Stock Price]]+Table13568[[#This Row],[Expense Ratio]]</f>
        <v>3.8262068242570367E-3</v>
      </c>
      <c r="M55" s="68">
        <f>(Table13568[[#This Row],[Expected Return]]-Table13568[[#This Row],[Tcosts]])*Table13568[[#This Row],[Investment]]</f>
        <v>0</v>
      </c>
      <c r="Q55" s="16" t="s">
        <v>303</v>
      </c>
    </row>
    <row r="56" spans="1:17" ht="16.2" thickBot="1" x14ac:dyDescent="0.35">
      <c r="A56" s="77" t="s">
        <v>384</v>
      </c>
      <c r="B56" s="73" t="s">
        <v>385</v>
      </c>
      <c r="C56" s="73">
        <v>40.65</v>
      </c>
      <c r="D56" s="85" t="s">
        <v>386</v>
      </c>
      <c r="E56" s="75">
        <v>1.6999999999999999E-3</v>
      </c>
      <c r="F56" s="73">
        <v>0.95</v>
      </c>
      <c r="G56" s="78">
        <v>469470000</v>
      </c>
      <c r="H56" s="3" t="b">
        <f t="shared" si="1"/>
        <v>0</v>
      </c>
      <c r="I56" s="26">
        <f>Table13568[[#This Row],[Tech]]*$T$7+Table13568[[#This Row],[Beta]]*($T$6-$T$8)+$T$8</f>
        <v>9.6820000000000003E-2</v>
      </c>
      <c r="J56" s="64">
        <f>0</f>
        <v>0</v>
      </c>
      <c r="K56" s="61">
        <f>Table13568[[#This Row],[Investment]]/Table13568[[#This Row],[Dollar Volume]]</f>
        <v>0</v>
      </c>
      <c r="L56" s="34">
        <f>IFERROR(MAX($T$11+$T$12*LN(Table13568[[#This Row],[Frac ADV]]),0),0)*0.0001+0.005/Table13568[[#This Row],[Stock Price]]+Table13568[[#This Row],[Expense Ratio]]</f>
        <v>1.8230012300123001E-3</v>
      </c>
      <c r="M56" s="68">
        <f>(Table13568[[#This Row],[Expected Return]]-Table13568[[#This Row],[Tcosts]])*Table13568[[#This Row],[Investment]]</f>
        <v>0</v>
      </c>
      <c r="Q56" s="13" t="s">
        <v>307</v>
      </c>
    </row>
    <row r="57" spans="1:17" ht="16.2" thickBot="1" x14ac:dyDescent="0.35">
      <c r="A57" s="79" t="s">
        <v>460</v>
      </c>
      <c r="B57" s="74" t="s">
        <v>461</v>
      </c>
      <c r="C57" s="74">
        <v>228.98</v>
      </c>
      <c r="D57" s="86" t="s">
        <v>462</v>
      </c>
      <c r="E57" s="76">
        <v>5.0000000000000001E-4</v>
      </c>
      <c r="F57" s="74">
        <v>0.84</v>
      </c>
      <c r="G57" s="78">
        <v>456530000</v>
      </c>
      <c r="H57" s="3" t="b">
        <f t="shared" si="1"/>
        <v>0</v>
      </c>
      <c r="I57" s="26">
        <f>Table13568[[#This Row],[Tech]]*$T$7+Table13568[[#This Row],[Beta]]*($T$6-$T$8)+$T$8</f>
        <v>8.9824000000000001E-2</v>
      </c>
      <c r="J57" s="64">
        <f>0</f>
        <v>0</v>
      </c>
      <c r="K57" s="61">
        <f>Table13568[[#This Row],[Investment]]/Table13568[[#This Row],[Dollar Volume]]</f>
        <v>0</v>
      </c>
      <c r="L57" s="34">
        <f>IFERROR(MAX($T$11+$T$12*LN(Table13568[[#This Row],[Frac ADV]]),0),0)*0.0001+0.005/Table13568[[#This Row],[Stock Price]]+Table13568[[#This Row],[Expense Ratio]]</f>
        <v>5.2183596820683026E-4</v>
      </c>
      <c r="M57" s="68">
        <f>(Table13568[[#This Row],[Expected Return]]-Table13568[[#This Row],[Tcosts]])*Table13568[[#This Row],[Investment]]</f>
        <v>0</v>
      </c>
      <c r="Q57" s="16" t="s">
        <v>311</v>
      </c>
    </row>
    <row r="58" spans="1:17" ht="16.2" thickBot="1" x14ac:dyDescent="0.35">
      <c r="A58" s="79" t="s">
        <v>135</v>
      </c>
      <c r="B58" s="74" t="s">
        <v>136</v>
      </c>
      <c r="C58" s="74">
        <v>430.93</v>
      </c>
      <c r="D58" s="86" t="s">
        <v>137</v>
      </c>
      <c r="E58" s="76">
        <v>6.9999999999999999E-4</v>
      </c>
      <c r="F58" s="74">
        <v>1.21</v>
      </c>
      <c r="G58" s="78">
        <v>434610000</v>
      </c>
      <c r="H58" s="3" t="b">
        <f t="shared" si="1"/>
        <v>0</v>
      </c>
      <c r="I58" s="26">
        <f>Table13568[[#This Row],[Tech]]*$T$7+Table13568[[#This Row],[Beta]]*($T$6-$T$8)+$T$8</f>
        <v>0.113356</v>
      </c>
      <c r="J58" s="64">
        <f>0</f>
        <v>0</v>
      </c>
      <c r="K58" s="61">
        <f>Table13568[[#This Row],[Investment]]/Table13568[[#This Row],[Dollar Volume]]</f>
        <v>0</v>
      </c>
      <c r="L58" s="34">
        <f>IFERROR(MAX($T$11+$T$12*LN(Table13568[[#This Row],[Frac ADV]]),0),0)*0.0001+0.005/Table13568[[#This Row],[Stock Price]]+Table13568[[#This Row],[Expense Ratio]]</f>
        <v>7.1160281252175526E-4</v>
      </c>
      <c r="M58" s="68">
        <f>(Table13568[[#This Row],[Expected Return]]-Table13568[[#This Row],[Tcosts]])*Table13568[[#This Row],[Investment]]</f>
        <v>0</v>
      </c>
      <c r="Q58" s="13" t="s">
        <v>315</v>
      </c>
    </row>
    <row r="59" spans="1:17" ht="16.2" thickBot="1" x14ac:dyDescent="0.35">
      <c r="A59" s="77" t="s">
        <v>165</v>
      </c>
      <c r="B59" s="73" t="s">
        <v>166</v>
      </c>
      <c r="C59" s="73">
        <v>42.54</v>
      </c>
      <c r="D59" s="85" t="s">
        <v>167</v>
      </c>
      <c r="E59" s="75">
        <v>3.8999999999999998E-3</v>
      </c>
      <c r="F59" s="73">
        <v>1.22</v>
      </c>
      <c r="G59" s="78">
        <v>416430000</v>
      </c>
      <c r="H59" s="3" t="b">
        <f t="shared" si="1"/>
        <v>0</v>
      </c>
      <c r="I59" s="26">
        <f>Table13568[[#This Row],[Tech]]*$T$7+Table13568[[#This Row],[Beta]]*($T$6-$T$8)+$T$8</f>
        <v>0.11399200000000001</v>
      </c>
      <c r="J59" s="64">
        <f>0</f>
        <v>0</v>
      </c>
      <c r="K59" s="61">
        <f>Table13568[[#This Row],[Investment]]/Table13568[[#This Row],[Dollar Volume]]</f>
        <v>0</v>
      </c>
      <c r="L59" s="34">
        <f>IFERROR(MAX($T$11+$T$12*LN(Table13568[[#This Row],[Frac ADV]]),0),0)*0.0001+0.005/Table13568[[#This Row],[Stock Price]]+Table13568[[#This Row],[Expense Ratio]]</f>
        <v>4.0175364362952512E-3</v>
      </c>
      <c r="M59" s="68">
        <f>(Table13568[[#This Row],[Expected Return]]-Table13568[[#This Row],[Tcosts]])*Table13568[[#This Row],[Investment]]</f>
        <v>0</v>
      </c>
      <c r="Q59" s="16" t="s">
        <v>319</v>
      </c>
    </row>
    <row r="60" spans="1:17" ht="16.2" thickBot="1" x14ac:dyDescent="0.35">
      <c r="A60" s="79" t="s">
        <v>304</v>
      </c>
      <c r="B60" s="74" t="s">
        <v>305</v>
      </c>
      <c r="C60" s="74">
        <v>200.79</v>
      </c>
      <c r="D60" s="86" t="s">
        <v>306</v>
      </c>
      <c r="E60" s="76">
        <v>2E-3</v>
      </c>
      <c r="F60" s="74">
        <v>0.78</v>
      </c>
      <c r="G60" s="78">
        <v>384710000</v>
      </c>
      <c r="H60" s="3" t="b">
        <f t="shared" si="1"/>
        <v>0</v>
      </c>
      <c r="I60" s="26">
        <f>Table13568[[#This Row],[Tech]]*$T$7+Table13568[[#This Row],[Beta]]*($T$6-$T$8)+$T$8</f>
        <v>8.6008000000000001E-2</v>
      </c>
      <c r="J60" s="64">
        <f>0</f>
        <v>0</v>
      </c>
      <c r="K60" s="61">
        <f>Table13568[[#This Row],[Investment]]/Table13568[[#This Row],[Dollar Volume]]</f>
        <v>0</v>
      </c>
      <c r="L60" s="34">
        <f>IFERROR(MAX($T$11+$T$12*LN(Table13568[[#This Row],[Frac ADV]]),0),0)*0.0001+0.005/Table13568[[#This Row],[Stock Price]]+Table13568[[#This Row],[Expense Ratio]]</f>
        <v>2.0249016385278152E-3</v>
      </c>
      <c r="M60" s="68">
        <f>(Table13568[[#This Row],[Expected Return]]-Table13568[[#This Row],[Tcosts]])*Table13568[[#This Row],[Investment]]</f>
        <v>0</v>
      </c>
      <c r="Q60" s="13" t="s">
        <v>323</v>
      </c>
    </row>
    <row r="61" spans="1:17" ht="16.2" thickBot="1" x14ac:dyDescent="0.35">
      <c r="A61" s="77" t="s">
        <v>237</v>
      </c>
      <c r="B61" s="73" t="s">
        <v>238</v>
      </c>
      <c r="C61" s="73">
        <v>57.24</v>
      </c>
      <c r="D61" s="85" t="s">
        <v>239</v>
      </c>
      <c r="E61" s="75">
        <v>2E-3</v>
      </c>
      <c r="F61" s="73">
        <v>1.1100000000000001</v>
      </c>
      <c r="G61" s="78">
        <v>381360000</v>
      </c>
      <c r="H61" s="3" t="b">
        <f t="shared" si="1"/>
        <v>0</v>
      </c>
      <c r="I61" s="26">
        <f>Table13568[[#This Row],[Tech]]*$T$7+Table13568[[#This Row],[Beta]]*($T$6-$T$8)+$T$8</f>
        <v>0.10699600000000001</v>
      </c>
      <c r="J61" s="64">
        <f>0</f>
        <v>0</v>
      </c>
      <c r="K61" s="61">
        <f>Table13568[[#This Row],[Investment]]/Table13568[[#This Row],[Dollar Volume]]</f>
        <v>0</v>
      </c>
      <c r="L61" s="34">
        <f>IFERROR(MAX($T$11+$T$12*LN(Table13568[[#This Row],[Frac ADV]]),0),0)*0.0001+0.005/Table13568[[#This Row],[Stock Price]]+Table13568[[#This Row],[Expense Ratio]]</f>
        <v>2.0873515024458422E-3</v>
      </c>
      <c r="M61" s="68">
        <f>(Table13568[[#This Row],[Expected Return]]-Table13568[[#This Row],[Tcosts]])*Table13568[[#This Row],[Investment]]</f>
        <v>0</v>
      </c>
      <c r="Q61" s="16" t="s">
        <v>327</v>
      </c>
    </row>
    <row r="62" spans="1:17" ht="16.2" thickBot="1" x14ac:dyDescent="0.35">
      <c r="A62" s="77" t="s">
        <v>488</v>
      </c>
      <c r="B62" s="73" t="s">
        <v>489</v>
      </c>
      <c r="C62" s="73">
        <v>71.34</v>
      </c>
      <c r="D62" s="85" t="s">
        <v>490</v>
      </c>
      <c r="E62" s="75">
        <v>4.7999999999999996E-3</v>
      </c>
      <c r="F62" s="73">
        <v>0.92</v>
      </c>
      <c r="G62" s="78">
        <v>379340000</v>
      </c>
      <c r="H62" s="3" t="b">
        <f t="shared" si="1"/>
        <v>0</v>
      </c>
      <c r="I62" s="26">
        <f>Table13568[[#This Row],[Tech]]*$T$7+Table13568[[#This Row],[Beta]]*($T$6-$T$8)+$T$8</f>
        <v>9.491200000000001E-2</v>
      </c>
      <c r="J62" s="64">
        <f>0</f>
        <v>0</v>
      </c>
      <c r="K62" s="61">
        <f>Table13568[[#This Row],[Investment]]/Table13568[[#This Row],[Dollar Volume]]</f>
        <v>0</v>
      </c>
      <c r="L62" s="34">
        <f>IFERROR(MAX($T$11+$T$12*LN(Table13568[[#This Row],[Frac ADV]]),0),0)*0.0001+0.005/Table13568[[#This Row],[Stock Price]]+Table13568[[#This Row],[Expense Ratio]]</f>
        <v>4.8700869077656292E-3</v>
      </c>
      <c r="M62" s="68">
        <f>(Table13568[[#This Row],[Expected Return]]-Table13568[[#This Row],[Tcosts]])*Table13568[[#This Row],[Investment]]</f>
        <v>0</v>
      </c>
      <c r="Q62" s="13" t="s">
        <v>331</v>
      </c>
    </row>
    <row r="63" spans="1:17" ht="16.2" thickBot="1" x14ac:dyDescent="0.35">
      <c r="A63" s="79" t="s">
        <v>416</v>
      </c>
      <c r="B63" s="74" t="s">
        <v>417</v>
      </c>
      <c r="C63" s="74">
        <v>61.91</v>
      </c>
      <c r="D63" s="86" t="s">
        <v>418</v>
      </c>
      <c r="E63" s="76">
        <v>2.9999999999999997E-4</v>
      </c>
      <c r="F63" s="74">
        <v>0.87</v>
      </c>
      <c r="G63" s="78">
        <v>378650000</v>
      </c>
      <c r="H63" s="3" t="b">
        <f t="shared" si="1"/>
        <v>0</v>
      </c>
      <c r="I63" s="26">
        <f>Table13568[[#This Row],[Tech]]*$T$7+Table13568[[#This Row],[Beta]]*($T$6-$T$8)+$T$8</f>
        <v>9.1732000000000008E-2</v>
      </c>
      <c r="J63" s="64">
        <f>0</f>
        <v>0</v>
      </c>
      <c r="K63" s="61">
        <f>Table13568[[#This Row],[Investment]]/Table13568[[#This Row],[Dollar Volume]]</f>
        <v>0</v>
      </c>
      <c r="L63" s="34">
        <f>IFERROR(MAX($T$11+$T$12*LN(Table13568[[#This Row],[Frac ADV]]),0),0)*0.0001+0.005/Table13568[[#This Row],[Stock Price]]+Table13568[[#This Row],[Expense Ratio]]</f>
        <v>3.8076239702794376E-4</v>
      </c>
      <c r="M63" s="68">
        <f>(Table13568[[#This Row],[Expected Return]]-Table13568[[#This Row],[Tcosts]])*Table13568[[#This Row],[Investment]]</f>
        <v>0</v>
      </c>
      <c r="Q63" s="16" t="s">
        <v>335</v>
      </c>
    </row>
    <row r="64" spans="1:17" ht="16.2" thickBot="1" x14ac:dyDescent="0.35">
      <c r="A64" s="77" t="s">
        <v>145</v>
      </c>
      <c r="B64" s="73" t="s">
        <v>146</v>
      </c>
      <c r="C64" s="73">
        <v>262.27</v>
      </c>
      <c r="D64" s="85" t="s">
        <v>147</v>
      </c>
      <c r="E64" s="75">
        <v>2E-3</v>
      </c>
      <c r="F64" s="73">
        <v>1.2</v>
      </c>
      <c r="G64" s="78">
        <v>377500000</v>
      </c>
      <c r="H64" s="3" t="b">
        <f t="shared" si="1"/>
        <v>0</v>
      </c>
      <c r="I64" s="26">
        <f>Table13568[[#This Row],[Tech]]*$T$7+Table13568[[#This Row],[Beta]]*($T$6-$T$8)+$T$8</f>
        <v>0.11272</v>
      </c>
      <c r="J64" s="64">
        <f>0</f>
        <v>0</v>
      </c>
      <c r="K64" s="61">
        <f>Table13568[[#This Row],[Investment]]/Table13568[[#This Row],[Dollar Volume]]</f>
        <v>0</v>
      </c>
      <c r="L64" s="34">
        <f>IFERROR(MAX($T$11+$T$12*LN(Table13568[[#This Row],[Frac ADV]]),0),0)*0.0001+0.005/Table13568[[#This Row],[Stock Price]]+Table13568[[#This Row],[Expense Ratio]]</f>
        <v>2.0190643230258896E-3</v>
      </c>
      <c r="M64" s="68">
        <f>(Table13568[[#This Row],[Expected Return]]-Table13568[[#This Row],[Tcosts]])*Table13568[[#This Row],[Investment]]</f>
        <v>0</v>
      </c>
      <c r="Q64" s="13" t="s">
        <v>339</v>
      </c>
    </row>
    <row r="65" spans="1:17" ht="16.2" thickBot="1" x14ac:dyDescent="0.35">
      <c r="A65" s="77" t="s">
        <v>261</v>
      </c>
      <c r="B65" s="73" t="s">
        <v>262</v>
      </c>
      <c r="C65" s="73">
        <v>145.65</v>
      </c>
      <c r="D65" s="85" t="s">
        <v>263</v>
      </c>
      <c r="E65" s="75">
        <v>3.2000000000000002E-3</v>
      </c>
      <c r="F65" s="73">
        <v>0.89</v>
      </c>
      <c r="G65" s="78">
        <v>370860000</v>
      </c>
      <c r="H65" s="3" t="b">
        <f t="shared" si="1"/>
        <v>0</v>
      </c>
      <c r="I65" s="26">
        <f>Table13568[[#This Row],[Tech]]*$T$7+Table13568[[#This Row],[Beta]]*($T$6-$T$8)+$T$8</f>
        <v>9.3004000000000003E-2</v>
      </c>
      <c r="J65" s="64">
        <f>0</f>
        <v>0</v>
      </c>
      <c r="K65" s="61">
        <f>Table13568[[#This Row],[Investment]]/Table13568[[#This Row],[Dollar Volume]]</f>
        <v>0</v>
      </c>
      <c r="L65" s="34">
        <f>IFERROR(MAX($T$11+$T$12*LN(Table13568[[#This Row],[Frac ADV]]),0),0)*0.0001+0.005/Table13568[[#This Row],[Stock Price]]+Table13568[[#This Row],[Expense Ratio]]</f>
        <v>3.2343288705801582E-3</v>
      </c>
      <c r="M65" s="68">
        <f>(Table13568[[#This Row],[Expected Return]]-Table13568[[#This Row],[Tcosts]])*Table13568[[#This Row],[Investment]]</f>
        <v>0</v>
      </c>
      <c r="Q65" s="16" t="s">
        <v>343</v>
      </c>
    </row>
    <row r="66" spans="1:17" ht="16.2" thickBot="1" x14ac:dyDescent="0.35">
      <c r="A66" s="77" t="s">
        <v>225</v>
      </c>
      <c r="B66" s="73" t="s">
        <v>226</v>
      </c>
      <c r="C66" s="73">
        <v>74.23</v>
      </c>
      <c r="D66" s="85" t="s">
        <v>227</v>
      </c>
      <c r="E66" s="75">
        <v>8.9999999999999998E-4</v>
      </c>
      <c r="F66" s="73">
        <v>1.01</v>
      </c>
      <c r="G66" s="78">
        <v>355810000</v>
      </c>
      <c r="H66" s="3" t="b">
        <f t="shared" ref="H66:H97" si="2">OR(
  ISNUMBER(SEARCH("technology",B66)),
  ISNUMBER(SEARCH("tech",B66)),
  ISNUMBER(SEARCH("qqq",B66)),
  ISNUMBER(SEARCH("semiconductor",B66)),
  ISNUMBER(SEARCH("information technology",B66)),
  ISNUMBER(SEARCH("nasdaq",B66)),
  ISNUMBER(SEARCH("communication",B66))
)</f>
        <v>0</v>
      </c>
      <c r="I66" s="26">
        <f>Table13568[[#This Row],[Tech]]*$T$7+Table13568[[#This Row],[Beta]]*($T$6-$T$8)+$T$8</f>
        <v>0.100636</v>
      </c>
      <c r="J66" s="64">
        <f>0</f>
        <v>0</v>
      </c>
      <c r="K66" s="61">
        <f>Table13568[[#This Row],[Investment]]/Table13568[[#This Row],[Dollar Volume]]</f>
        <v>0</v>
      </c>
      <c r="L66" s="34">
        <f>IFERROR(MAX($T$11+$T$12*LN(Table13568[[#This Row],[Frac ADV]]),0),0)*0.0001+0.005/Table13568[[#This Row],[Stock Price]]+Table13568[[#This Row],[Expense Ratio]]</f>
        <v>9.673582109659167E-4</v>
      </c>
      <c r="M66" s="68">
        <f>(Table13568[[#This Row],[Expected Return]]-Table13568[[#This Row],[Tcosts]])*Table13568[[#This Row],[Investment]]</f>
        <v>0</v>
      </c>
      <c r="Q66" s="13" t="s">
        <v>347</v>
      </c>
    </row>
    <row r="67" spans="1:17" ht="16.2" thickBot="1" x14ac:dyDescent="0.35">
      <c r="A67" s="79" t="s">
        <v>476</v>
      </c>
      <c r="B67" s="74" t="s">
        <v>477</v>
      </c>
      <c r="C67" s="74">
        <v>45.29</v>
      </c>
      <c r="D67" s="86" t="s">
        <v>478</v>
      </c>
      <c r="E67" s="76">
        <v>3.3E-3</v>
      </c>
      <c r="F67" s="74">
        <v>0.88</v>
      </c>
      <c r="G67" s="78">
        <v>345320000</v>
      </c>
      <c r="H67" s="3" t="b">
        <f t="shared" si="2"/>
        <v>0</v>
      </c>
      <c r="I67" s="26">
        <f>Table13568[[#This Row],[Tech]]*$T$7+Table13568[[#This Row],[Beta]]*($T$6-$T$8)+$T$8</f>
        <v>9.2368000000000006E-2</v>
      </c>
      <c r="J67" s="64">
        <f>0</f>
        <v>0</v>
      </c>
      <c r="K67" s="61">
        <f>Table13568[[#This Row],[Investment]]/Table13568[[#This Row],[Dollar Volume]]</f>
        <v>0</v>
      </c>
      <c r="L67" s="34">
        <f>IFERROR(MAX($T$11+$T$12*LN(Table13568[[#This Row],[Frac ADV]]),0),0)*0.0001+0.005/Table13568[[#This Row],[Stock Price]]+Table13568[[#This Row],[Expense Ratio]]</f>
        <v>3.4103996467211304E-3</v>
      </c>
      <c r="M67" s="68">
        <f>(Table13568[[#This Row],[Expected Return]]-Table13568[[#This Row],[Tcosts]])*Table13568[[#This Row],[Investment]]</f>
        <v>0</v>
      </c>
      <c r="Q67" s="16" t="s">
        <v>351</v>
      </c>
    </row>
    <row r="68" spans="1:17" ht="16.2" thickBot="1" x14ac:dyDescent="0.35">
      <c r="A68" s="77" t="s">
        <v>269</v>
      </c>
      <c r="B68" s="73" t="s">
        <v>270</v>
      </c>
      <c r="C68" s="73">
        <v>60.57</v>
      </c>
      <c r="D68" s="85" t="s">
        <v>271</v>
      </c>
      <c r="E68" s="75">
        <v>2.5999999999999999E-3</v>
      </c>
      <c r="F68" s="73">
        <v>1.03</v>
      </c>
      <c r="G68" s="78">
        <v>343900000</v>
      </c>
      <c r="H68" s="3" t="b">
        <f t="shared" si="2"/>
        <v>0</v>
      </c>
      <c r="I68" s="26">
        <f>Table13568[[#This Row],[Tech]]*$T$7+Table13568[[#This Row],[Beta]]*($T$6-$T$8)+$T$8</f>
        <v>0.10190800000000001</v>
      </c>
      <c r="J68" s="64">
        <f>0</f>
        <v>0</v>
      </c>
      <c r="K68" s="61">
        <f>Table13568[[#This Row],[Investment]]/Table13568[[#This Row],[Dollar Volume]]</f>
        <v>0</v>
      </c>
      <c r="L68" s="34">
        <f>IFERROR(MAX($T$11+$T$12*LN(Table13568[[#This Row],[Frac ADV]]),0),0)*0.0001+0.005/Table13568[[#This Row],[Stock Price]]+Table13568[[#This Row],[Expense Ratio]]</f>
        <v>2.6825491167244511E-3</v>
      </c>
      <c r="M68" s="68">
        <f>(Table13568[[#This Row],[Expected Return]]-Table13568[[#This Row],[Tcosts]])*Table13568[[#This Row],[Investment]]</f>
        <v>0</v>
      </c>
      <c r="Q68" s="13" t="s">
        <v>355</v>
      </c>
    </row>
    <row r="69" spans="1:17" ht="16.2" thickBot="1" x14ac:dyDescent="0.35">
      <c r="A69" s="79" t="s">
        <v>119</v>
      </c>
      <c r="B69" s="74" t="s">
        <v>120</v>
      </c>
      <c r="C69" s="74">
        <v>247.32</v>
      </c>
      <c r="D69" s="86" t="s">
        <v>121</v>
      </c>
      <c r="E69" s="76">
        <v>1.5E-3</v>
      </c>
      <c r="F69" s="74">
        <v>1.21</v>
      </c>
      <c r="G69" s="78">
        <v>341000000</v>
      </c>
      <c r="H69" s="3" t="b">
        <f t="shared" si="2"/>
        <v>1</v>
      </c>
      <c r="I69" s="26">
        <f>Table13568[[#This Row],[Tech]]*$T$7+Table13568[[#This Row],[Beta]]*($T$6-$T$8)+$T$8</f>
        <v>0.21335599999999999</v>
      </c>
      <c r="J69" s="64">
        <f>0</f>
        <v>0</v>
      </c>
      <c r="K69" s="61">
        <f>Table13568[[#This Row],[Investment]]/Table13568[[#This Row],[Dollar Volume]]</f>
        <v>0</v>
      </c>
      <c r="L69" s="34">
        <f>IFERROR(MAX($T$11+$T$12*LN(Table13568[[#This Row],[Frac ADV]]),0),0)*0.0001+0.005/Table13568[[#This Row],[Stock Price]]+Table13568[[#This Row],[Expense Ratio]]</f>
        <v>1.5202167232734919E-3</v>
      </c>
      <c r="M69" s="68">
        <f>(Table13568[[#This Row],[Expected Return]]-Table13568[[#This Row],[Tcosts]])*Table13568[[#This Row],[Investment]]</f>
        <v>0</v>
      </c>
      <c r="Q69" s="16" t="s">
        <v>359</v>
      </c>
    </row>
    <row r="70" spans="1:17" ht="16.2" thickBot="1" x14ac:dyDescent="0.35">
      <c r="A70" s="79" t="s">
        <v>440</v>
      </c>
      <c r="B70" s="74" t="s">
        <v>441</v>
      </c>
      <c r="C70" s="74">
        <v>644.5</v>
      </c>
      <c r="D70" s="86" t="s">
        <v>442</v>
      </c>
      <c r="E70" s="76">
        <v>2.3999999999999998E-3</v>
      </c>
      <c r="F70" s="74">
        <v>0.87</v>
      </c>
      <c r="G70" s="78">
        <v>323170000</v>
      </c>
      <c r="H70" s="3" t="b">
        <f t="shared" si="2"/>
        <v>0</v>
      </c>
      <c r="I70" s="26">
        <f>Table13568[[#This Row],[Tech]]*$T$7+Table13568[[#This Row],[Beta]]*($T$6-$T$8)+$T$8</f>
        <v>9.1732000000000008E-2</v>
      </c>
      <c r="J70" s="64">
        <f>0</f>
        <v>0</v>
      </c>
      <c r="K70" s="61">
        <f>Table13568[[#This Row],[Investment]]/Table13568[[#This Row],[Dollar Volume]]</f>
        <v>0</v>
      </c>
      <c r="L70" s="34">
        <f>IFERROR(MAX($T$11+$T$12*LN(Table13568[[#This Row],[Frac ADV]]),0),0)*0.0001+0.005/Table13568[[#This Row],[Stock Price]]+Table13568[[#This Row],[Expense Ratio]]</f>
        <v>2.407757951900698E-3</v>
      </c>
      <c r="M70" s="68">
        <f>(Table13568[[#This Row],[Expected Return]]-Table13568[[#This Row],[Tcosts]])*Table13568[[#This Row],[Investment]]</f>
        <v>0</v>
      </c>
      <c r="Q70" s="13" t="s">
        <v>363</v>
      </c>
    </row>
    <row r="71" spans="1:17" ht="16.2" thickBot="1" x14ac:dyDescent="0.35">
      <c r="A71" s="77" t="s">
        <v>101</v>
      </c>
      <c r="B71" s="73" t="s">
        <v>102</v>
      </c>
      <c r="C71" s="73">
        <v>139.21</v>
      </c>
      <c r="D71" s="85" t="s">
        <v>103</v>
      </c>
      <c r="E71" s="75">
        <v>8.0000000000000004E-4</v>
      </c>
      <c r="F71" s="73">
        <v>1.41</v>
      </c>
      <c r="G71" s="78">
        <v>309820000</v>
      </c>
      <c r="H71" s="3" t="b">
        <f t="shared" si="2"/>
        <v>1</v>
      </c>
      <c r="I71" s="26">
        <f>Table13568[[#This Row],[Tech]]*$T$7+Table13568[[#This Row],[Beta]]*($T$6-$T$8)+$T$8</f>
        <v>0.226076</v>
      </c>
      <c r="J71" s="64">
        <f>0</f>
        <v>0</v>
      </c>
      <c r="K71" s="61">
        <f>Table13568[[#This Row],[Investment]]/Table13568[[#This Row],[Dollar Volume]]</f>
        <v>0</v>
      </c>
      <c r="L71" s="34">
        <f>IFERROR(MAX($T$11+$T$12*LN(Table13568[[#This Row],[Frac ADV]]),0),0)*0.0001+0.005/Table13568[[#This Row],[Stock Price]]+Table13568[[#This Row],[Expense Ratio]]</f>
        <v>8.3591695998850657E-4</v>
      </c>
      <c r="M71" s="68">
        <f>(Table13568[[#This Row],[Expected Return]]-Table13568[[#This Row],[Tcosts]])*Table13568[[#This Row],[Investment]]</f>
        <v>0</v>
      </c>
      <c r="Q71" s="16" t="s">
        <v>367</v>
      </c>
    </row>
    <row r="72" spans="1:17" ht="16.2" thickBot="1" x14ac:dyDescent="0.35">
      <c r="A72" s="77" t="s">
        <v>253</v>
      </c>
      <c r="B72" s="73" t="s">
        <v>254</v>
      </c>
      <c r="C72" s="73">
        <v>26.85</v>
      </c>
      <c r="D72" s="85" t="s">
        <v>255</v>
      </c>
      <c r="E72" s="75">
        <v>2.9999999999999997E-4</v>
      </c>
      <c r="F72" s="73">
        <v>1.01</v>
      </c>
      <c r="G72" s="78">
        <v>301950000</v>
      </c>
      <c r="H72" s="3" t="b">
        <f t="shared" si="2"/>
        <v>0</v>
      </c>
      <c r="I72" s="26">
        <f>Table13568[[#This Row],[Tech]]*$T$7+Table13568[[#This Row],[Beta]]*($T$6-$T$8)+$T$8</f>
        <v>0.100636</v>
      </c>
      <c r="J72" s="64">
        <f>0</f>
        <v>0</v>
      </c>
      <c r="K72" s="61">
        <f>Table13568[[#This Row],[Investment]]/Table13568[[#This Row],[Dollar Volume]]</f>
        <v>0</v>
      </c>
      <c r="L72" s="34">
        <f>IFERROR(MAX($T$11+$T$12*LN(Table13568[[#This Row],[Frac ADV]]),0),0)*0.0001+0.005/Table13568[[#This Row],[Stock Price]]+Table13568[[#This Row],[Expense Ratio]]</f>
        <v>4.8621973929236493E-4</v>
      </c>
      <c r="M72" s="68">
        <f>(Table13568[[#This Row],[Expected Return]]-Table13568[[#This Row],[Tcosts]])*Table13568[[#This Row],[Investment]]</f>
        <v>0</v>
      </c>
      <c r="Q72" s="13" t="s">
        <v>371</v>
      </c>
    </row>
    <row r="73" spans="1:17" ht="16.2" thickBot="1" x14ac:dyDescent="0.35">
      <c r="A73" s="79" t="s">
        <v>392</v>
      </c>
      <c r="B73" s="74" t="s">
        <v>393</v>
      </c>
      <c r="C73" s="74">
        <v>32.200000000000003</v>
      </c>
      <c r="D73" s="86" t="s">
        <v>394</v>
      </c>
      <c r="E73" s="76">
        <v>4.0000000000000002E-4</v>
      </c>
      <c r="F73" s="74">
        <v>0.92</v>
      </c>
      <c r="G73" s="78">
        <v>292390000</v>
      </c>
      <c r="H73" s="3" t="b">
        <f t="shared" si="2"/>
        <v>0</v>
      </c>
      <c r="I73" s="26">
        <f>Table13568[[#This Row],[Tech]]*$T$7+Table13568[[#This Row],[Beta]]*($T$6-$T$8)+$T$8</f>
        <v>9.491200000000001E-2</v>
      </c>
      <c r="J73" s="64">
        <f>0</f>
        <v>0</v>
      </c>
      <c r="K73" s="61">
        <f>Table13568[[#This Row],[Investment]]/Table13568[[#This Row],[Dollar Volume]]</f>
        <v>0</v>
      </c>
      <c r="L73" s="34">
        <f>IFERROR(MAX($T$11+$T$12*LN(Table13568[[#This Row],[Frac ADV]]),0),0)*0.0001+0.005/Table13568[[#This Row],[Stock Price]]+Table13568[[#This Row],[Expense Ratio]]</f>
        <v>5.5527950310559006E-4</v>
      </c>
      <c r="M73" s="68">
        <f>(Table13568[[#This Row],[Expected Return]]-Table13568[[#This Row],[Tcosts]])*Table13568[[#This Row],[Investment]]</f>
        <v>0</v>
      </c>
      <c r="Q73" s="16" t="s">
        <v>375</v>
      </c>
    </row>
    <row r="74" spans="1:17" ht="16.2" thickBot="1" x14ac:dyDescent="0.35">
      <c r="A74" s="79" t="s">
        <v>155</v>
      </c>
      <c r="B74" s="74" t="s">
        <v>156</v>
      </c>
      <c r="C74" s="74">
        <v>272.94</v>
      </c>
      <c r="D74" s="86" t="s">
        <v>157</v>
      </c>
      <c r="E74" s="76">
        <v>2.9999999999999997E-4</v>
      </c>
      <c r="F74" s="74">
        <v>0.94</v>
      </c>
      <c r="G74" s="78">
        <v>267780000</v>
      </c>
      <c r="H74" s="3" t="b">
        <f t="shared" si="2"/>
        <v>0</v>
      </c>
      <c r="I74" s="26">
        <f>Table13568[[#This Row],[Tech]]*$T$7+Table13568[[#This Row],[Beta]]*($T$6-$T$8)+$T$8</f>
        <v>9.6183999999999992E-2</v>
      </c>
      <c r="J74" s="64">
        <f>0</f>
        <v>0</v>
      </c>
      <c r="K74" s="61">
        <f>Table13568[[#This Row],[Investment]]/Table13568[[#This Row],[Dollar Volume]]</f>
        <v>0</v>
      </c>
      <c r="L74" s="34">
        <f>IFERROR(MAX($T$11+$T$12*LN(Table13568[[#This Row],[Frac ADV]]),0),0)*0.0001+0.005/Table13568[[#This Row],[Stock Price]]+Table13568[[#This Row],[Expense Ratio]]</f>
        <v>3.1831904447863997E-4</v>
      </c>
      <c r="M74" s="68">
        <f>(Table13568[[#This Row],[Expected Return]]-Table13568[[#This Row],[Tcosts]])*Table13568[[#This Row],[Investment]]</f>
        <v>0</v>
      </c>
      <c r="Q74" s="13" t="s">
        <v>379</v>
      </c>
    </row>
    <row r="75" spans="1:17" ht="16.2" thickBot="1" x14ac:dyDescent="0.35">
      <c r="A75" s="77" t="s">
        <v>551</v>
      </c>
      <c r="B75" s="73" t="s">
        <v>552</v>
      </c>
      <c r="C75" s="73">
        <v>92.51</v>
      </c>
      <c r="D75" s="85" t="s">
        <v>553</v>
      </c>
      <c r="E75" s="75">
        <v>2.8E-3</v>
      </c>
      <c r="F75" s="73">
        <v>0.77</v>
      </c>
      <c r="G75" s="78">
        <v>242840000</v>
      </c>
      <c r="H75" s="3" t="b">
        <f t="shared" si="2"/>
        <v>0</v>
      </c>
      <c r="I75" s="26">
        <f>Table13568[[#This Row],[Tech]]*$T$7+Table13568[[#This Row],[Beta]]*($T$6-$T$8)+$T$8</f>
        <v>8.5372000000000003E-2</v>
      </c>
      <c r="J75" s="64">
        <f>0</f>
        <v>0</v>
      </c>
      <c r="K75" s="61">
        <f>Table13568[[#This Row],[Investment]]/Table13568[[#This Row],[Dollar Volume]]</f>
        <v>0</v>
      </c>
      <c r="L75" s="34">
        <f>IFERROR(MAX($T$11+$T$12*LN(Table13568[[#This Row],[Frac ADV]]),0),0)*0.0001+0.005/Table13568[[#This Row],[Stock Price]]+Table13568[[#This Row],[Expense Ratio]]</f>
        <v>2.8540482110042159E-3</v>
      </c>
      <c r="M75" s="68">
        <f>(Table13568[[#This Row],[Expected Return]]-Table13568[[#This Row],[Tcosts]])*Table13568[[#This Row],[Investment]]</f>
        <v>0</v>
      </c>
      <c r="Q75" s="16" t="s">
        <v>383</v>
      </c>
    </row>
    <row r="76" spans="1:17" ht="16.2" thickBot="1" x14ac:dyDescent="0.35">
      <c r="A76" s="79" t="s">
        <v>198</v>
      </c>
      <c r="B76" s="74" t="s">
        <v>199</v>
      </c>
      <c r="C76" s="74">
        <v>30.31</v>
      </c>
      <c r="D76" s="86" t="s">
        <v>200</v>
      </c>
      <c r="E76" s="76">
        <v>4.0000000000000002E-4</v>
      </c>
      <c r="F76" s="74">
        <v>0.98</v>
      </c>
      <c r="G76" s="78">
        <v>236760000</v>
      </c>
      <c r="H76" s="3" t="b">
        <f t="shared" si="2"/>
        <v>0</v>
      </c>
      <c r="I76" s="26">
        <f>Table13568[[#This Row],[Tech]]*$T$7+Table13568[[#This Row],[Beta]]*($T$6-$T$8)+$T$8</f>
        <v>9.872800000000001E-2</v>
      </c>
      <c r="J76" s="64">
        <f>0</f>
        <v>0</v>
      </c>
      <c r="K76" s="61">
        <f>Table13568[[#This Row],[Investment]]/Table13568[[#This Row],[Dollar Volume]]</f>
        <v>0</v>
      </c>
      <c r="L76" s="34">
        <f>IFERROR(MAX($T$11+$T$12*LN(Table13568[[#This Row],[Frac ADV]]),0),0)*0.0001+0.005/Table13568[[#This Row],[Stock Price]]+Table13568[[#This Row],[Expense Ratio]]</f>
        <v>5.6496205872649287E-4</v>
      </c>
      <c r="M76" s="68">
        <f>(Table13568[[#This Row],[Expected Return]]-Table13568[[#This Row],[Tcosts]])*Table13568[[#This Row],[Investment]]</f>
        <v>0</v>
      </c>
      <c r="Q76" s="13" t="s">
        <v>387</v>
      </c>
    </row>
    <row r="77" spans="1:17" ht="16.2" thickBot="1" x14ac:dyDescent="0.35">
      <c r="A77" s="77" t="s">
        <v>95</v>
      </c>
      <c r="B77" s="73" t="s">
        <v>96</v>
      </c>
      <c r="C77" s="73">
        <v>729.64</v>
      </c>
      <c r="D77" s="85" t="s">
        <v>97</v>
      </c>
      <c r="E77" s="75">
        <v>8.9999999999999998E-4</v>
      </c>
      <c r="F77" s="73">
        <v>1.43</v>
      </c>
      <c r="G77" s="78">
        <v>236140000</v>
      </c>
      <c r="H77" s="3" t="b">
        <f t="shared" si="2"/>
        <v>1</v>
      </c>
      <c r="I77" s="26">
        <f>Table13568[[#This Row],[Tech]]*$T$7+Table13568[[#This Row],[Beta]]*($T$6-$T$8)+$T$8</f>
        <v>0.22734799999999999</v>
      </c>
      <c r="J77" s="64">
        <f>0</f>
        <v>0</v>
      </c>
      <c r="K77" s="61">
        <f>Table13568[[#This Row],[Investment]]/Table13568[[#This Row],[Dollar Volume]]</f>
        <v>0</v>
      </c>
      <c r="L77" s="34">
        <f>IFERROR(MAX($T$11+$T$12*LN(Table13568[[#This Row],[Frac ADV]]),0),0)*0.0001+0.005/Table13568[[#This Row],[Stock Price]]+Table13568[[#This Row],[Expense Ratio]]</f>
        <v>9.0685269447946925E-4</v>
      </c>
      <c r="M77" s="68">
        <f>(Table13568[[#This Row],[Expected Return]]-Table13568[[#This Row],[Tcosts]])*Table13568[[#This Row],[Investment]]</f>
        <v>0</v>
      </c>
      <c r="Q77" s="16" t="s">
        <v>391</v>
      </c>
    </row>
    <row r="78" spans="1:17" ht="16.2" thickBot="1" x14ac:dyDescent="0.35">
      <c r="A78" s="77" t="s">
        <v>308</v>
      </c>
      <c r="B78" s="73" t="s">
        <v>309</v>
      </c>
      <c r="C78" s="73">
        <v>129.4</v>
      </c>
      <c r="D78" s="85" t="s">
        <v>310</v>
      </c>
      <c r="E78" s="75">
        <v>5.9999999999999995E-4</v>
      </c>
      <c r="F78" s="73">
        <v>0.92</v>
      </c>
      <c r="G78" s="78">
        <v>220460000</v>
      </c>
      <c r="H78" s="3" t="b">
        <f t="shared" si="2"/>
        <v>0</v>
      </c>
      <c r="I78" s="26">
        <f>Table13568[[#This Row],[Tech]]*$T$7+Table13568[[#This Row],[Beta]]*($T$6-$T$8)+$T$8</f>
        <v>9.491200000000001E-2</v>
      </c>
      <c r="J78" s="64">
        <f>0</f>
        <v>0</v>
      </c>
      <c r="K78" s="61">
        <f>Table13568[[#This Row],[Investment]]/Table13568[[#This Row],[Dollar Volume]]</f>
        <v>0</v>
      </c>
      <c r="L78" s="34">
        <f>IFERROR(MAX($T$11+$T$12*LN(Table13568[[#This Row],[Frac ADV]]),0),0)*0.0001+0.005/Table13568[[#This Row],[Stock Price]]+Table13568[[#This Row],[Expense Ratio]]</f>
        <v>6.3863987635239558E-4</v>
      </c>
      <c r="M78" s="68">
        <f>(Table13568[[#This Row],[Expected Return]]-Table13568[[#This Row],[Tcosts]])*Table13568[[#This Row],[Investment]]</f>
        <v>0</v>
      </c>
      <c r="Q78" s="13" t="s">
        <v>395</v>
      </c>
    </row>
    <row r="79" spans="1:17" ht="16.2" thickBot="1" x14ac:dyDescent="0.35">
      <c r="A79" s="77" t="s">
        <v>412</v>
      </c>
      <c r="B79" s="73" t="s">
        <v>413</v>
      </c>
      <c r="C79" s="73">
        <v>200.74</v>
      </c>
      <c r="D79" s="85" t="s">
        <v>414</v>
      </c>
      <c r="E79" s="75">
        <v>1.5E-3</v>
      </c>
      <c r="F79" s="73">
        <v>0.92</v>
      </c>
      <c r="G79" s="78">
        <v>220290000</v>
      </c>
      <c r="H79" s="3" t="b">
        <f t="shared" si="2"/>
        <v>0</v>
      </c>
      <c r="I79" s="26">
        <f>Table13568[[#This Row],[Tech]]*$T$7+Table13568[[#This Row],[Beta]]*($T$6-$T$8)+$T$8</f>
        <v>9.491200000000001E-2</v>
      </c>
      <c r="J79" s="64">
        <f>0</f>
        <v>0</v>
      </c>
      <c r="K79" s="61">
        <f>Table13568[[#This Row],[Investment]]/Table13568[[#This Row],[Dollar Volume]]</f>
        <v>0</v>
      </c>
      <c r="L79" s="34">
        <f>IFERROR(MAX($T$11+$T$12*LN(Table13568[[#This Row],[Frac ADV]]),0),0)*0.0001+0.005/Table13568[[#This Row],[Stock Price]]+Table13568[[#This Row],[Expense Ratio]]</f>
        <v>1.5249078409883432E-3</v>
      </c>
      <c r="M79" s="68">
        <f>(Table13568[[#This Row],[Expected Return]]-Table13568[[#This Row],[Tcosts]])*Table13568[[#This Row],[Investment]]</f>
        <v>0</v>
      </c>
      <c r="Q79" s="16" t="s">
        <v>399</v>
      </c>
    </row>
    <row r="80" spans="1:17" ht="16.2" thickBot="1" x14ac:dyDescent="0.35">
      <c r="A80" s="79" t="s">
        <v>300</v>
      </c>
      <c r="B80" s="74" t="s">
        <v>301</v>
      </c>
      <c r="C80" s="74">
        <v>126.87</v>
      </c>
      <c r="D80" s="86" t="s">
        <v>302</v>
      </c>
      <c r="E80" s="76">
        <v>8.9999999999999998E-4</v>
      </c>
      <c r="F80" s="74">
        <v>0.97</v>
      </c>
      <c r="G80" s="78">
        <v>209970000</v>
      </c>
      <c r="H80" s="3" t="b">
        <f t="shared" si="2"/>
        <v>0</v>
      </c>
      <c r="I80" s="26">
        <f>Table13568[[#This Row],[Tech]]*$T$7+Table13568[[#This Row],[Beta]]*($T$6-$T$8)+$T$8</f>
        <v>9.8092000000000013E-2</v>
      </c>
      <c r="J80" s="64">
        <f>0</f>
        <v>0</v>
      </c>
      <c r="K80" s="61">
        <f>Table13568[[#This Row],[Investment]]/Table13568[[#This Row],[Dollar Volume]]</f>
        <v>0</v>
      </c>
      <c r="L80" s="34">
        <f>IFERROR(MAX($T$11+$T$12*LN(Table13568[[#This Row],[Frac ADV]]),0),0)*0.0001+0.005/Table13568[[#This Row],[Stock Price]]+Table13568[[#This Row],[Expense Ratio]]</f>
        <v>9.3941042011507837E-4</v>
      </c>
      <c r="M80" s="68">
        <f>(Table13568[[#This Row],[Expected Return]]-Table13568[[#This Row],[Tcosts]])*Table13568[[#This Row],[Investment]]</f>
        <v>0</v>
      </c>
      <c r="Q80" s="13" t="s">
        <v>403</v>
      </c>
    </row>
    <row r="81" spans="1:17" ht="16.2" thickBot="1" x14ac:dyDescent="0.35">
      <c r="A81" s="79" t="s">
        <v>444</v>
      </c>
      <c r="B81" s="74" t="s">
        <v>445</v>
      </c>
      <c r="C81" s="74">
        <v>494.67</v>
      </c>
      <c r="D81" s="86" t="s">
        <v>446</v>
      </c>
      <c r="E81" s="76">
        <v>1.6000000000000001E-3</v>
      </c>
      <c r="F81" s="74">
        <v>0.86</v>
      </c>
      <c r="G81" s="78">
        <v>199200000</v>
      </c>
      <c r="H81" s="3" t="b">
        <f t="shared" si="2"/>
        <v>0</v>
      </c>
      <c r="I81" s="26">
        <f>Table13568[[#This Row],[Tech]]*$T$7+Table13568[[#This Row],[Beta]]*($T$6-$T$8)+$T$8</f>
        <v>9.109600000000001E-2</v>
      </c>
      <c r="J81" s="64">
        <f>0</f>
        <v>0</v>
      </c>
      <c r="K81" s="61">
        <f>Table13568[[#This Row],[Investment]]/Table13568[[#This Row],[Dollar Volume]]</f>
        <v>0</v>
      </c>
      <c r="L81" s="34">
        <f>IFERROR(MAX($T$11+$T$12*LN(Table13568[[#This Row],[Frac ADV]]),0),0)*0.0001+0.005/Table13568[[#This Row],[Stock Price]]+Table13568[[#This Row],[Expense Ratio]]</f>
        <v>1.6101077486000768E-3</v>
      </c>
      <c r="M81" s="68">
        <f>(Table13568[[#This Row],[Expected Return]]-Table13568[[#This Row],[Tcosts]])*Table13568[[#This Row],[Investment]]</f>
        <v>0</v>
      </c>
      <c r="Q81" s="16" t="s">
        <v>407</v>
      </c>
    </row>
    <row r="82" spans="1:17" ht="16.2" thickBot="1" x14ac:dyDescent="0.35">
      <c r="A82" s="79" t="s">
        <v>218</v>
      </c>
      <c r="B82" s="74" t="s">
        <v>219</v>
      </c>
      <c r="C82" s="74">
        <v>118.54</v>
      </c>
      <c r="D82" s="86" t="s">
        <v>220</v>
      </c>
      <c r="E82" s="76">
        <v>8.9999999999999998E-4</v>
      </c>
      <c r="F82" s="74">
        <v>1.06</v>
      </c>
      <c r="G82" s="78">
        <v>195490000</v>
      </c>
      <c r="H82" s="3" t="b">
        <f t="shared" si="2"/>
        <v>0</v>
      </c>
      <c r="I82" s="26">
        <f>Table13568[[#This Row],[Tech]]*$T$7+Table13568[[#This Row],[Beta]]*($T$6-$T$8)+$T$8</f>
        <v>0.10381600000000001</v>
      </c>
      <c r="J82" s="64">
        <f>0</f>
        <v>0</v>
      </c>
      <c r="K82" s="61">
        <f>Table13568[[#This Row],[Investment]]/Table13568[[#This Row],[Dollar Volume]]</f>
        <v>0</v>
      </c>
      <c r="L82" s="34">
        <f>IFERROR(MAX($T$11+$T$12*LN(Table13568[[#This Row],[Frac ADV]]),0),0)*0.0001+0.005/Table13568[[#This Row],[Stock Price]]+Table13568[[#This Row],[Expense Ratio]]</f>
        <v>9.4217985490129908E-4</v>
      </c>
      <c r="M82" s="68">
        <f>(Table13568[[#This Row],[Expected Return]]-Table13568[[#This Row],[Tcosts]])*Table13568[[#This Row],[Investment]]</f>
        <v>0</v>
      </c>
      <c r="Q82" s="13" t="s">
        <v>411</v>
      </c>
    </row>
    <row r="83" spans="1:17" ht="16.2" thickBot="1" x14ac:dyDescent="0.35">
      <c r="A83" s="79" t="s">
        <v>492</v>
      </c>
      <c r="B83" s="74" t="s">
        <v>493</v>
      </c>
      <c r="C83" s="74">
        <v>197.17</v>
      </c>
      <c r="D83" s="86" t="s">
        <v>494</v>
      </c>
      <c r="E83" s="76">
        <v>2.3999999999999998E-3</v>
      </c>
      <c r="F83" s="74">
        <v>0.88</v>
      </c>
      <c r="G83" s="78">
        <v>192260000</v>
      </c>
      <c r="H83" s="3" t="b">
        <f t="shared" si="2"/>
        <v>0</v>
      </c>
      <c r="I83" s="26">
        <f>Table13568[[#This Row],[Tech]]*$T$7+Table13568[[#This Row],[Beta]]*($T$6-$T$8)+$T$8</f>
        <v>9.2368000000000006E-2</v>
      </c>
      <c r="J83" s="64">
        <f>0</f>
        <v>0</v>
      </c>
      <c r="K83" s="61">
        <f>Table13568[[#This Row],[Investment]]/Table13568[[#This Row],[Dollar Volume]]</f>
        <v>0</v>
      </c>
      <c r="L83" s="34">
        <f>IFERROR(MAX($T$11+$T$12*LN(Table13568[[#This Row],[Frac ADV]]),0),0)*0.0001+0.005/Table13568[[#This Row],[Stock Price]]+Table13568[[#This Row],[Expense Ratio]]</f>
        <v>2.4253588274078205E-3</v>
      </c>
      <c r="M83" s="68">
        <f>(Table13568[[#This Row],[Expected Return]]-Table13568[[#This Row],[Tcosts]])*Table13568[[#This Row],[Investment]]</f>
        <v>0</v>
      </c>
      <c r="Q83" s="16" t="s">
        <v>415</v>
      </c>
    </row>
    <row r="84" spans="1:17" ht="16.2" thickBot="1" x14ac:dyDescent="0.35">
      <c r="A84" s="79" t="s">
        <v>364</v>
      </c>
      <c r="B84" s="74" t="s">
        <v>365</v>
      </c>
      <c r="C84" s="74">
        <v>270</v>
      </c>
      <c r="D84" s="86" t="s">
        <v>366</v>
      </c>
      <c r="E84" s="76">
        <v>5.0000000000000001E-4</v>
      </c>
      <c r="F84" s="74">
        <v>1.03</v>
      </c>
      <c r="G84" s="78">
        <v>181700000</v>
      </c>
      <c r="H84" s="3" t="b">
        <f t="shared" si="2"/>
        <v>0</v>
      </c>
      <c r="I84" s="26">
        <f>Table13568[[#This Row],[Tech]]*$T$7+Table13568[[#This Row],[Beta]]*($T$6-$T$8)+$T$8</f>
        <v>0.10190800000000001</v>
      </c>
      <c r="J84" s="64">
        <f>0</f>
        <v>0</v>
      </c>
      <c r="K84" s="61">
        <f>Table13568[[#This Row],[Investment]]/Table13568[[#This Row],[Dollar Volume]]</f>
        <v>0</v>
      </c>
      <c r="L84" s="34">
        <f>IFERROR(MAX($T$11+$T$12*LN(Table13568[[#This Row],[Frac ADV]]),0),0)*0.0001+0.005/Table13568[[#This Row],[Stock Price]]+Table13568[[#This Row],[Expense Ratio]]</f>
        <v>5.1851851851851853E-4</v>
      </c>
      <c r="M84" s="68">
        <f>(Table13568[[#This Row],[Expected Return]]-Table13568[[#This Row],[Tcosts]])*Table13568[[#This Row],[Investment]]</f>
        <v>0</v>
      </c>
      <c r="Q84" s="13" t="s">
        <v>419</v>
      </c>
    </row>
    <row r="85" spans="1:17" ht="16.2" thickBot="1" x14ac:dyDescent="0.35">
      <c r="A85" s="77" t="s">
        <v>293</v>
      </c>
      <c r="B85" s="73" t="s">
        <v>294</v>
      </c>
      <c r="C85" s="73">
        <v>106.19</v>
      </c>
      <c r="D85" s="85" t="s">
        <v>295</v>
      </c>
      <c r="E85" s="75">
        <v>4.0000000000000002E-4</v>
      </c>
      <c r="F85" s="73">
        <v>0.77</v>
      </c>
      <c r="G85" s="78">
        <v>166560000</v>
      </c>
      <c r="H85" s="3" t="b">
        <f t="shared" si="2"/>
        <v>0</v>
      </c>
      <c r="I85" s="26">
        <f>Table13568[[#This Row],[Tech]]*$T$7+Table13568[[#This Row],[Beta]]*($T$6-$T$8)+$T$8</f>
        <v>8.5372000000000003E-2</v>
      </c>
      <c r="J85" s="64">
        <f>0</f>
        <v>0</v>
      </c>
      <c r="K85" s="61">
        <f>Table13568[[#This Row],[Investment]]/Table13568[[#This Row],[Dollar Volume]]</f>
        <v>0</v>
      </c>
      <c r="L85" s="34">
        <f>IFERROR(MAX($T$11+$T$12*LN(Table13568[[#This Row],[Frac ADV]]),0),0)*0.0001+0.005/Table13568[[#This Row],[Stock Price]]+Table13568[[#This Row],[Expense Ratio]]</f>
        <v>4.4708541293907151E-4</v>
      </c>
      <c r="M85" s="68">
        <f>(Table13568[[#This Row],[Expected Return]]-Table13568[[#This Row],[Tcosts]])*Table13568[[#This Row],[Investment]]</f>
        <v>0</v>
      </c>
      <c r="Q85" s="16" t="s">
        <v>423</v>
      </c>
    </row>
    <row r="86" spans="1:17" ht="16.2" thickBot="1" x14ac:dyDescent="0.35">
      <c r="A86" s="77" t="s">
        <v>332</v>
      </c>
      <c r="B86" s="73" t="s">
        <v>333</v>
      </c>
      <c r="C86" s="73">
        <v>104.9</v>
      </c>
      <c r="D86" s="85" t="s">
        <v>334</v>
      </c>
      <c r="E86" s="75">
        <v>5.9999999999999995E-4</v>
      </c>
      <c r="F86" s="73">
        <v>0.99</v>
      </c>
      <c r="G86" s="78">
        <v>160270000</v>
      </c>
      <c r="H86" s="3" t="b">
        <f t="shared" si="2"/>
        <v>0</v>
      </c>
      <c r="I86" s="26">
        <f>Table13568[[#This Row],[Tech]]*$T$7+Table13568[[#This Row],[Beta]]*($T$6-$T$8)+$T$8</f>
        <v>9.9364000000000008E-2</v>
      </c>
      <c r="J86" s="64">
        <f>0</f>
        <v>0</v>
      </c>
      <c r="K86" s="61">
        <f>Table13568[[#This Row],[Investment]]/Table13568[[#This Row],[Dollar Volume]]</f>
        <v>0</v>
      </c>
      <c r="L86" s="34">
        <f>IFERROR(MAX($T$11+$T$12*LN(Table13568[[#This Row],[Frac ADV]]),0),0)*0.0001+0.005/Table13568[[#This Row],[Stock Price]]+Table13568[[#This Row],[Expense Ratio]]</f>
        <v>6.4766444232602471E-4</v>
      </c>
      <c r="M86" s="68">
        <f>(Table13568[[#This Row],[Expected Return]]-Table13568[[#This Row],[Tcosts]])*Table13568[[#This Row],[Investment]]</f>
        <v>0</v>
      </c>
      <c r="Q86" s="13" t="s">
        <v>427</v>
      </c>
    </row>
    <row r="87" spans="1:17" ht="16.2" thickBot="1" x14ac:dyDescent="0.35">
      <c r="A87" s="79" t="s">
        <v>336</v>
      </c>
      <c r="B87" s="74" t="s">
        <v>337</v>
      </c>
      <c r="C87" s="74">
        <v>148.97999999999999</v>
      </c>
      <c r="D87" s="86" t="s">
        <v>338</v>
      </c>
      <c r="E87" s="76">
        <v>2.9999999999999997E-4</v>
      </c>
      <c r="F87" s="74">
        <v>1</v>
      </c>
      <c r="G87" s="78">
        <v>159840000</v>
      </c>
      <c r="H87" s="3" t="b">
        <f t="shared" si="2"/>
        <v>0</v>
      </c>
      <c r="I87" s="26">
        <f>Table13568[[#This Row],[Tech]]*$T$7+Table13568[[#This Row],[Beta]]*($T$6-$T$8)+$T$8</f>
        <v>0.1</v>
      </c>
      <c r="J87" s="64">
        <f>0</f>
        <v>0</v>
      </c>
      <c r="K87" s="61">
        <f>Table13568[[#This Row],[Investment]]/Table13568[[#This Row],[Dollar Volume]]</f>
        <v>0</v>
      </c>
      <c r="L87" s="34">
        <f>IFERROR(MAX($T$11+$T$12*LN(Table13568[[#This Row],[Frac ADV]]),0),0)*0.0001+0.005/Table13568[[#This Row],[Stock Price]]+Table13568[[#This Row],[Expense Ratio]]</f>
        <v>3.3356155188615918E-4</v>
      </c>
      <c r="M87" s="68">
        <f>(Table13568[[#This Row],[Expected Return]]-Table13568[[#This Row],[Tcosts]])*Table13568[[#This Row],[Investment]]</f>
        <v>0</v>
      </c>
      <c r="Q87" s="16" t="s">
        <v>431</v>
      </c>
    </row>
    <row r="88" spans="1:17" ht="16.2" thickBot="1" x14ac:dyDescent="0.35">
      <c r="A88" s="77" t="s">
        <v>344</v>
      </c>
      <c r="B88" s="73" t="s">
        <v>345</v>
      </c>
      <c r="C88" s="73">
        <v>104.53</v>
      </c>
      <c r="D88" s="85" t="s">
        <v>346</v>
      </c>
      <c r="E88" s="75">
        <v>4.7000000000000002E-3</v>
      </c>
      <c r="F88" s="73">
        <v>0.92</v>
      </c>
      <c r="G88" s="78">
        <v>131540000</v>
      </c>
      <c r="H88" s="3" t="b">
        <f t="shared" si="2"/>
        <v>0</v>
      </c>
      <c r="I88" s="26">
        <f>Table13568[[#This Row],[Tech]]*$T$7+Table13568[[#This Row],[Beta]]*($T$6-$T$8)+$T$8</f>
        <v>9.491200000000001E-2</v>
      </c>
      <c r="J88" s="64">
        <f>0</f>
        <v>0</v>
      </c>
      <c r="K88" s="61">
        <f>Table13568[[#This Row],[Investment]]/Table13568[[#This Row],[Dollar Volume]]</f>
        <v>0</v>
      </c>
      <c r="L88" s="34">
        <f>IFERROR(MAX($T$11+$T$12*LN(Table13568[[#This Row],[Frac ADV]]),0),0)*0.0001+0.005/Table13568[[#This Row],[Stock Price]]+Table13568[[#This Row],[Expense Ratio]]</f>
        <v>4.7478331579450875E-3</v>
      </c>
      <c r="M88" s="68">
        <f>(Table13568[[#This Row],[Expected Return]]-Table13568[[#This Row],[Tcosts]])*Table13568[[#This Row],[Investment]]</f>
        <v>0</v>
      </c>
      <c r="Q88" s="13" t="s">
        <v>435</v>
      </c>
    </row>
    <row r="89" spans="1:17" ht="16.2" thickBot="1" x14ac:dyDescent="0.35">
      <c r="A89" s="77" t="s">
        <v>312</v>
      </c>
      <c r="B89" s="73" t="s">
        <v>313</v>
      </c>
      <c r="C89" s="73">
        <v>113.39</v>
      </c>
      <c r="D89" s="85" t="s">
        <v>314</v>
      </c>
      <c r="E89" s="75">
        <v>2.5000000000000001E-3</v>
      </c>
      <c r="F89" s="73">
        <v>0.95</v>
      </c>
      <c r="G89" s="78">
        <v>123340000</v>
      </c>
      <c r="H89" s="3" t="b">
        <f t="shared" si="2"/>
        <v>0</v>
      </c>
      <c r="I89" s="26">
        <f>Table13568[[#This Row],[Tech]]*$T$7+Table13568[[#This Row],[Beta]]*($T$6-$T$8)+$T$8</f>
        <v>9.6820000000000003E-2</v>
      </c>
      <c r="J89" s="64">
        <f>0</f>
        <v>0</v>
      </c>
      <c r="K89" s="61">
        <f>Table13568[[#This Row],[Investment]]/Table13568[[#This Row],[Dollar Volume]]</f>
        <v>0</v>
      </c>
      <c r="L89" s="34">
        <f>IFERROR(MAX($T$11+$T$12*LN(Table13568[[#This Row],[Frac ADV]]),0),0)*0.0001+0.005/Table13568[[#This Row],[Stock Price]]+Table13568[[#This Row],[Expense Ratio]]</f>
        <v>2.544095599259194E-3</v>
      </c>
      <c r="M89" s="68">
        <f>(Table13568[[#This Row],[Expected Return]]-Table13568[[#This Row],[Tcosts]])*Table13568[[#This Row],[Investment]]</f>
        <v>0</v>
      </c>
      <c r="Q89" s="16" t="s">
        <v>439</v>
      </c>
    </row>
    <row r="90" spans="1:17" ht="16.2" thickBot="1" x14ac:dyDescent="0.35">
      <c r="A90" s="77" t="s">
        <v>595</v>
      </c>
      <c r="B90" s="73" t="s">
        <v>596</v>
      </c>
      <c r="C90" s="73">
        <v>107.32</v>
      </c>
      <c r="D90" s="85" t="s">
        <v>597</v>
      </c>
      <c r="E90" s="75">
        <v>3.5999999999999999E-3</v>
      </c>
      <c r="F90" s="73">
        <v>0.74</v>
      </c>
      <c r="G90" s="78">
        <v>121420000</v>
      </c>
      <c r="H90" s="3" t="b">
        <f t="shared" si="2"/>
        <v>0</v>
      </c>
      <c r="I90" s="26">
        <f>Table13568[[#This Row],[Tech]]*$T$7+Table13568[[#This Row],[Beta]]*($T$6-$T$8)+$T$8</f>
        <v>8.346400000000001E-2</v>
      </c>
      <c r="J90" s="64">
        <f>0</f>
        <v>0</v>
      </c>
      <c r="K90" s="61">
        <f>Table13568[[#This Row],[Investment]]/Table13568[[#This Row],[Dollar Volume]]</f>
        <v>0</v>
      </c>
      <c r="L90" s="34">
        <f>IFERROR(MAX($T$11+$T$12*LN(Table13568[[#This Row],[Frac ADV]]),0),0)*0.0001+0.005/Table13568[[#This Row],[Stock Price]]+Table13568[[#This Row],[Expense Ratio]]</f>
        <v>3.6465896384644055E-3</v>
      </c>
      <c r="M90" s="68">
        <f>(Table13568[[#This Row],[Expected Return]]-Table13568[[#This Row],[Tcosts]])*Table13568[[#This Row],[Investment]]</f>
        <v>0</v>
      </c>
      <c r="Q90" s="13" t="s">
        <v>443</v>
      </c>
    </row>
    <row r="91" spans="1:17" ht="16.2" thickBot="1" x14ac:dyDescent="0.35">
      <c r="A91" s="77" t="s">
        <v>320</v>
      </c>
      <c r="B91" s="73" t="s">
        <v>321</v>
      </c>
      <c r="C91" s="73">
        <v>387.63</v>
      </c>
      <c r="D91" s="85" t="s">
        <v>322</v>
      </c>
      <c r="E91" s="75">
        <v>2E-3</v>
      </c>
      <c r="F91" s="73">
        <v>0.99</v>
      </c>
      <c r="G91" s="78">
        <v>106960000</v>
      </c>
      <c r="H91" s="3" t="b">
        <f t="shared" si="2"/>
        <v>0</v>
      </c>
      <c r="I91" s="26">
        <f>Table13568[[#This Row],[Tech]]*$T$7+Table13568[[#This Row],[Beta]]*($T$6-$T$8)+$T$8</f>
        <v>9.9364000000000008E-2</v>
      </c>
      <c r="J91" s="64">
        <f>0</f>
        <v>0</v>
      </c>
      <c r="K91" s="61">
        <f>Table13568[[#This Row],[Investment]]/Table13568[[#This Row],[Dollar Volume]]</f>
        <v>0</v>
      </c>
      <c r="L91" s="34">
        <f>IFERROR(MAX($T$11+$T$12*LN(Table13568[[#This Row],[Frac ADV]]),0),0)*0.0001+0.005/Table13568[[#This Row],[Stock Price]]+Table13568[[#This Row],[Expense Ratio]]</f>
        <v>2.0128988984340736E-3</v>
      </c>
      <c r="M91" s="68">
        <f>(Table13568[[#This Row],[Expected Return]]-Table13568[[#This Row],[Tcosts]])*Table13568[[#This Row],[Investment]]</f>
        <v>0</v>
      </c>
      <c r="Q91" s="16" t="s">
        <v>447</v>
      </c>
    </row>
    <row r="92" spans="1:17" ht="16.2" thickBot="1" x14ac:dyDescent="0.35">
      <c r="A92" s="79" t="s">
        <v>400</v>
      </c>
      <c r="B92" s="74" t="s">
        <v>401</v>
      </c>
      <c r="C92" s="74">
        <v>298.35000000000002</v>
      </c>
      <c r="D92" s="86" t="s">
        <v>402</v>
      </c>
      <c r="E92" s="76">
        <v>2.9999999999999997E-4</v>
      </c>
      <c r="F92" s="74">
        <v>0.83</v>
      </c>
      <c r="G92" s="78">
        <v>171250000</v>
      </c>
      <c r="H92" s="3" t="b">
        <f t="shared" si="2"/>
        <v>0</v>
      </c>
      <c r="I92" s="26">
        <f>Table13568[[#This Row],[Tech]]*$T$7+Table13568[[#This Row],[Beta]]*($T$6-$T$8)+$T$8</f>
        <v>8.9188000000000003E-2</v>
      </c>
      <c r="J92" s="64">
        <f>0</f>
        <v>0</v>
      </c>
      <c r="K92" s="61">
        <f>Table13568[[#This Row],[Investment]]/Table13568[[#This Row],[Dollar Volume]]</f>
        <v>0</v>
      </c>
      <c r="L92" s="34">
        <f>IFERROR(MAX($T$11+$T$12*LN(Table13568[[#This Row],[Frac ADV]]),0),0)*0.0001+0.005/Table13568[[#This Row],[Stock Price]]+Table13568[[#This Row],[Expense Ratio]]</f>
        <v>3.16758840288252E-4</v>
      </c>
      <c r="M92" s="68">
        <f>(Table13568[[#This Row],[Expected Return]]-Table13568[[#This Row],[Tcosts]])*Table13568[[#This Row],[Investment]]</f>
        <v>0</v>
      </c>
      <c r="Q92" s="13" t="s">
        <v>451</v>
      </c>
    </row>
    <row r="93" spans="1:17" ht="16.2" thickBot="1" x14ac:dyDescent="0.35">
      <c r="A93" s="77" t="s">
        <v>396</v>
      </c>
      <c r="B93" s="73" t="s">
        <v>397</v>
      </c>
      <c r="C93" s="73">
        <v>172.75</v>
      </c>
      <c r="D93" s="85" t="s">
        <v>398</v>
      </c>
      <c r="E93" s="75">
        <v>8.0000000000000004E-4</v>
      </c>
      <c r="F93" s="73">
        <v>0.92</v>
      </c>
      <c r="G93" s="78">
        <v>2910000000</v>
      </c>
      <c r="H93" s="3" t="b">
        <f t="shared" si="2"/>
        <v>0</v>
      </c>
      <c r="I93" s="26">
        <f>Table13568[[#This Row],[Tech]]*$T$7+Table13568[[#This Row],[Beta]]*($T$6-$T$8)+$T$8</f>
        <v>9.491200000000001E-2</v>
      </c>
      <c r="J93" s="64">
        <f>0</f>
        <v>0</v>
      </c>
      <c r="K93" s="61">
        <f>Table13568[[#This Row],[Investment]]/Table13568[[#This Row],[Dollar Volume]]</f>
        <v>0</v>
      </c>
      <c r="L93" s="34">
        <f>IFERROR(MAX($T$11+$T$12*LN(Table13568[[#This Row],[Frac ADV]]),0),0)*0.0001+0.005/Table13568[[#This Row],[Stock Price]]+Table13568[[#This Row],[Expense Ratio]]</f>
        <v>8.2894356005788717E-4</v>
      </c>
      <c r="M93" s="68">
        <f>(Table13568[[#This Row],[Expected Return]]-Table13568[[#This Row],[Tcosts]])*Table13568[[#This Row],[Investment]]</f>
        <v>0</v>
      </c>
      <c r="Q93" s="16" t="s">
        <v>455</v>
      </c>
    </row>
    <row r="94" spans="1:17" ht="16.2" thickBot="1" x14ac:dyDescent="0.35">
      <c r="A94" s="79" t="s">
        <v>432</v>
      </c>
      <c r="B94" s="74" t="s">
        <v>433</v>
      </c>
      <c r="C94" s="74">
        <v>145.96</v>
      </c>
      <c r="D94" s="86" t="s">
        <v>434</v>
      </c>
      <c r="E94" s="76">
        <v>5.9999999999999995E-4</v>
      </c>
      <c r="F94" s="74">
        <v>0.89</v>
      </c>
      <c r="G94" s="78">
        <v>173490000</v>
      </c>
      <c r="H94" s="3" t="b">
        <f t="shared" si="2"/>
        <v>0</v>
      </c>
      <c r="I94" s="26">
        <f>Table13568[[#This Row],[Tech]]*$T$7+Table13568[[#This Row],[Beta]]*($T$6-$T$8)+$T$8</f>
        <v>9.3004000000000003E-2</v>
      </c>
      <c r="J94" s="64">
        <f>0</f>
        <v>0</v>
      </c>
      <c r="K94" s="61">
        <f>Table13568[[#This Row],[Investment]]/Table13568[[#This Row],[Dollar Volume]]</f>
        <v>0</v>
      </c>
      <c r="L94" s="34">
        <f>IFERROR(MAX($T$11+$T$12*LN(Table13568[[#This Row],[Frac ADV]]),0),0)*0.0001+0.005/Table13568[[#This Row],[Stock Price]]+Table13568[[#This Row],[Expense Ratio]]</f>
        <v>6.3425596053713336E-4</v>
      </c>
      <c r="M94" s="68">
        <f>(Table13568[[#This Row],[Expected Return]]-Table13568[[#This Row],[Tcosts]])*Table13568[[#This Row],[Investment]]</f>
        <v>0</v>
      </c>
      <c r="Q94" s="13" t="s">
        <v>459</v>
      </c>
    </row>
    <row r="95" spans="1:17" ht="16.2" thickBot="1" x14ac:dyDescent="0.35">
      <c r="A95" s="79" t="s">
        <v>606</v>
      </c>
      <c r="B95" s="74" t="s">
        <v>607</v>
      </c>
      <c r="C95" s="74">
        <v>37.71</v>
      </c>
      <c r="D95" s="86" t="s">
        <v>608</v>
      </c>
      <c r="E95" s="76">
        <v>2.3E-3</v>
      </c>
      <c r="F95" s="74">
        <v>0.65</v>
      </c>
      <c r="G95" s="78">
        <v>85390000</v>
      </c>
      <c r="H95" s="3" t="b">
        <f t="shared" si="2"/>
        <v>0</v>
      </c>
      <c r="I95" s="26">
        <f>Table13568[[#This Row],[Tech]]*$T$7+Table13568[[#This Row],[Beta]]*($T$6-$T$8)+$T$8</f>
        <v>7.7740000000000004E-2</v>
      </c>
      <c r="J95" s="64">
        <f>0</f>
        <v>0</v>
      </c>
      <c r="K95" s="61">
        <f>Table13568[[#This Row],[Investment]]/Table13568[[#This Row],[Dollar Volume]]</f>
        <v>0</v>
      </c>
      <c r="L95" s="34">
        <f>IFERROR(MAX($T$11+$T$12*LN(Table13568[[#This Row],[Frac ADV]]),0),0)*0.0001+0.005/Table13568[[#This Row],[Stock Price]]+Table13568[[#This Row],[Expense Ratio]]</f>
        <v>2.4325908247149297E-3</v>
      </c>
      <c r="M95" s="68">
        <f>(Table13568[[#This Row],[Expected Return]]-Table13568[[#This Row],[Tcosts]])*Table13568[[#This Row],[Investment]]</f>
        <v>0</v>
      </c>
      <c r="Q95" s="16" t="s">
        <v>463</v>
      </c>
    </row>
    <row r="96" spans="1:17" ht="16.2" thickBot="1" x14ac:dyDescent="0.35">
      <c r="A96" s="79" t="s">
        <v>436</v>
      </c>
      <c r="B96" s="74" t="s">
        <v>437</v>
      </c>
      <c r="C96" s="74">
        <v>218.98</v>
      </c>
      <c r="D96" s="86" t="s">
        <v>438</v>
      </c>
      <c r="E96" s="76">
        <v>1.8E-3</v>
      </c>
      <c r="F96" s="74">
        <v>0.77</v>
      </c>
      <c r="G96" s="78">
        <v>1530000000</v>
      </c>
      <c r="H96" s="3" t="b">
        <f t="shared" si="2"/>
        <v>0</v>
      </c>
      <c r="I96" s="26">
        <f>Table13568[[#This Row],[Tech]]*$T$7+Table13568[[#This Row],[Beta]]*($T$6-$T$8)+$T$8</f>
        <v>8.5372000000000003E-2</v>
      </c>
      <c r="J96" s="64">
        <f>0</f>
        <v>0</v>
      </c>
      <c r="K96" s="61">
        <f>Table13568[[#This Row],[Investment]]/Table13568[[#This Row],[Dollar Volume]]</f>
        <v>0</v>
      </c>
      <c r="L96" s="34">
        <f>IFERROR(MAX($T$11+$T$12*LN(Table13568[[#This Row],[Frac ADV]]),0),0)*0.0001+0.005/Table13568[[#This Row],[Stock Price]]+Table13568[[#This Row],[Expense Ratio]]</f>
        <v>1.8228331354461593E-3</v>
      </c>
      <c r="M96" s="68">
        <f>(Table13568[[#This Row],[Expected Return]]-Table13568[[#This Row],[Tcosts]])*Table13568[[#This Row],[Investment]]</f>
        <v>0</v>
      </c>
      <c r="Q96" s="13" t="s">
        <v>467</v>
      </c>
    </row>
    <row r="97" spans="1:17" ht="16.2" thickBot="1" x14ac:dyDescent="0.35">
      <c r="A97" s="79" t="s">
        <v>452</v>
      </c>
      <c r="B97" s="74" t="s">
        <v>453</v>
      </c>
      <c r="C97" s="74">
        <v>130.80000000000001</v>
      </c>
      <c r="D97" s="86" t="s">
        <v>454</v>
      </c>
      <c r="E97" s="76">
        <v>5.8999999999999999E-3</v>
      </c>
      <c r="F97" s="74">
        <v>0.9</v>
      </c>
      <c r="G97" s="78">
        <v>334300000</v>
      </c>
      <c r="H97" s="3" t="b">
        <f t="shared" si="2"/>
        <v>0</v>
      </c>
      <c r="I97" s="26">
        <f>Table13568[[#This Row],[Tech]]*$T$7+Table13568[[#This Row],[Beta]]*($T$6-$T$8)+$T$8</f>
        <v>9.3640000000000001E-2</v>
      </c>
      <c r="J97" s="64">
        <f>0</f>
        <v>0</v>
      </c>
      <c r="K97" s="61">
        <f>Table13568[[#This Row],[Investment]]/Table13568[[#This Row],[Dollar Volume]]</f>
        <v>0</v>
      </c>
      <c r="L97" s="34">
        <f>IFERROR(MAX($T$11+$T$12*LN(Table13568[[#This Row],[Frac ADV]]),0),0)*0.0001+0.005/Table13568[[#This Row],[Stock Price]]+Table13568[[#This Row],[Expense Ratio]]</f>
        <v>5.9382262996941892E-3</v>
      </c>
      <c r="M97" s="68">
        <f>(Table13568[[#This Row],[Expected Return]]-Table13568[[#This Row],[Tcosts]])*Table13568[[#This Row],[Investment]]</f>
        <v>0</v>
      </c>
      <c r="Q97" s="16" t="s">
        <v>471</v>
      </c>
    </row>
    <row r="98" spans="1:17" ht="16.2" thickBot="1" x14ac:dyDescent="0.35">
      <c r="A98" s="77" t="s">
        <v>468</v>
      </c>
      <c r="B98" s="73" t="s">
        <v>469</v>
      </c>
      <c r="C98" s="73">
        <v>104.15</v>
      </c>
      <c r="D98" s="85" t="s">
        <v>470</v>
      </c>
      <c r="E98" s="75">
        <v>3.2000000000000002E-3</v>
      </c>
      <c r="F98" s="73">
        <v>0.73</v>
      </c>
      <c r="G98" s="78">
        <v>929280000</v>
      </c>
      <c r="H98" s="3" t="b">
        <f t="shared" ref="H98:H129" si="3">OR(
  ISNUMBER(SEARCH("technology",B98)),
  ISNUMBER(SEARCH("tech",B98)),
  ISNUMBER(SEARCH("qqq",B98)),
  ISNUMBER(SEARCH("semiconductor",B98)),
  ISNUMBER(SEARCH("information technology",B98)),
  ISNUMBER(SEARCH("nasdaq",B98)),
  ISNUMBER(SEARCH("communication",B98))
)</f>
        <v>0</v>
      </c>
      <c r="I98" s="26">
        <f>Table13568[[#This Row],[Tech]]*$T$7+Table13568[[#This Row],[Beta]]*($T$6-$T$8)+$T$8</f>
        <v>8.2828000000000013E-2</v>
      </c>
      <c r="J98" s="64">
        <f>0</f>
        <v>0</v>
      </c>
      <c r="K98" s="61">
        <f>Table13568[[#This Row],[Investment]]/Table13568[[#This Row],[Dollar Volume]]</f>
        <v>0</v>
      </c>
      <c r="L98" s="34">
        <f>IFERROR(MAX($T$11+$T$12*LN(Table13568[[#This Row],[Frac ADV]]),0),0)*0.0001+0.005/Table13568[[#This Row],[Stock Price]]+Table13568[[#This Row],[Expense Ratio]]</f>
        <v>3.2480076812289966E-3</v>
      </c>
      <c r="M98" s="68">
        <f>(Table13568[[#This Row],[Expected Return]]-Table13568[[#This Row],[Tcosts]])*Table13568[[#This Row],[Investment]]</f>
        <v>0</v>
      </c>
      <c r="Q98" s="13" t="s">
        <v>475</v>
      </c>
    </row>
    <row r="99" spans="1:17" ht="16.2" thickBot="1" x14ac:dyDescent="0.35">
      <c r="A99" s="79" t="s">
        <v>515</v>
      </c>
      <c r="B99" s="74" t="s">
        <v>516</v>
      </c>
      <c r="C99" s="74">
        <v>28.79</v>
      </c>
      <c r="D99" s="86" t="s">
        <v>517</v>
      </c>
      <c r="E99" s="76">
        <v>2.5000000000000001E-3</v>
      </c>
      <c r="F99" s="74">
        <v>0.82</v>
      </c>
      <c r="G99" s="78">
        <v>106450000</v>
      </c>
      <c r="H99" s="3" t="b">
        <f t="shared" si="3"/>
        <v>0</v>
      </c>
      <c r="I99" s="26">
        <f>Table13568[[#This Row],[Tech]]*$T$7+Table13568[[#This Row],[Beta]]*($T$6-$T$8)+$T$8</f>
        <v>8.8551999999999992E-2</v>
      </c>
      <c r="J99" s="64">
        <f>0</f>
        <v>0</v>
      </c>
      <c r="K99" s="61">
        <f>Table13568[[#This Row],[Investment]]/Table13568[[#This Row],[Dollar Volume]]</f>
        <v>0</v>
      </c>
      <c r="L99" s="34">
        <f>IFERROR(MAX($T$11+$T$12*LN(Table13568[[#This Row],[Frac ADV]]),0),0)*0.0001+0.005/Table13568[[#This Row],[Stock Price]]+Table13568[[#This Row],[Expense Ratio]]</f>
        <v>2.6736714136853077E-3</v>
      </c>
      <c r="M99" s="68">
        <f>(Table13568[[#This Row],[Expected Return]]-Table13568[[#This Row],[Tcosts]])*Table13568[[#This Row],[Investment]]</f>
        <v>0</v>
      </c>
      <c r="Q99" s="16" t="s">
        <v>479</v>
      </c>
    </row>
    <row r="100" spans="1:17" ht="16.2" thickBot="1" x14ac:dyDescent="0.35">
      <c r="A100" s="79" t="s">
        <v>523</v>
      </c>
      <c r="B100" s="74" t="s">
        <v>524</v>
      </c>
      <c r="C100" s="74">
        <v>58.66</v>
      </c>
      <c r="D100" s="86" t="s">
        <v>525</v>
      </c>
      <c r="E100" s="76">
        <v>4.0000000000000002E-4</v>
      </c>
      <c r="F100" s="74">
        <v>0.77</v>
      </c>
      <c r="G100" s="78">
        <v>458210000</v>
      </c>
      <c r="H100" s="3" t="b">
        <f t="shared" si="3"/>
        <v>0</v>
      </c>
      <c r="I100" s="26">
        <f>Table13568[[#This Row],[Tech]]*$T$7+Table13568[[#This Row],[Beta]]*($T$6-$T$8)+$T$8</f>
        <v>8.5372000000000003E-2</v>
      </c>
      <c r="J100" s="64">
        <f>0</f>
        <v>0</v>
      </c>
      <c r="K100" s="61">
        <f>Table13568[[#This Row],[Investment]]/Table13568[[#This Row],[Dollar Volume]]</f>
        <v>0</v>
      </c>
      <c r="L100" s="34">
        <f>IFERROR(MAX($T$11+$T$12*LN(Table13568[[#This Row],[Frac ADV]]),0),0)*0.0001+0.005/Table13568[[#This Row],[Stock Price]]+Table13568[[#This Row],[Expense Ratio]]</f>
        <v>4.8523695874531198E-4</v>
      </c>
      <c r="M100" s="68">
        <f>(Table13568[[#This Row],[Expected Return]]-Table13568[[#This Row],[Tcosts]])*Table13568[[#This Row],[Investment]]</f>
        <v>0</v>
      </c>
      <c r="Q100" s="13" t="s">
        <v>483</v>
      </c>
    </row>
    <row r="101" spans="1:17" ht="16.2" thickBot="1" x14ac:dyDescent="0.35">
      <c r="A101" s="77" t="s">
        <v>602</v>
      </c>
      <c r="B101" s="73" t="s">
        <v>603</v>
      </c>
      <c r="C101" s="73">
        <v>102.87</v>
      </c>
      <c r="D101" s="85" t="s">
        <v>604</v>
      </c>
      <c r="E101" s="75">
        <v>2E-3</v>
      </c>
      <c r="F101" s="73">
        <v>0.72</v>
      </c>
      <c r="G101" s="78">
        <v>754920000</v>
      </c>
      <c r="H101" s="3" t="b">
        <f t="shared" si="3"/>
        <v>0</v>
      </c>
      <c r="I101" s="26">
        <f>Table13568[[#This Row],[Tech]]*$T$7+Table13568[[#This Row],[Beta]]*($T$6-$T$8)+$T$8</f>
        <v>8.2192000000000001E-2</v>
      </c>
      <c r="J101" s="64">
        <f>0</f>
        <v>0</v>
      </c>
      <c r="K101" s="61">
        <f>Table13568[[#This Row],[Investment]]/Table13568[[#This Row],[Dollar Volume]]</f>
        <v>0</v>
      </c>
      <c r="L101" s="34">
        <f>IFERROR(MAX($T$11+$T$12*LN(Table13568[[#This Row],[Frac ADV]]),0),0)*0.0001+0.005/Table13568[[#This Row],[Stock Price]]+Table13568[[#This Row],[Expense Ratio]]</f>
        <v>2.048605035481676E-3</v>
      </c>
      <c r="M101" s="68">
        <f>(Table13568[[#This Row],[Expected Return]]-Table13568[[#This Row],[Tcosts]])*Table13568[[#This Row],[Investment]]</f>
        <v>0</v>
      </c>
      <c r="Q101" s="16" t="s">
        <v>487</v>
      </c>
    </row>
    <row r="102" spans="1:17" ht="16.2" thickBot="1" x14ac:dyDescent="0.35">
      <c r="A102" s="77" t="s">
        <v>368</v>
      </c>
      <c r="B102" s="73" t="s">
        <v>369</v>
      </c>
      <c r="C102" s="73">
        <v>90.28</v>
      </c>
      <c r="D102" s="85" t="s">
        <v>370</v>
      </c>
      <c r="E102" s="75">
        <v>2.3E-3</v>
      </c>
      <c r="F102" s="73">
        <v>0.68</v>
      </c>
      <c r="G102" s="78">
        <v>127800000</v>
      </c>
      <c r="H102" s="3" t="b">
        <f t="shared" si="3"/>
        <v>0</v>
      </c>
      <c r="I102" s="26">
        <f>Table13568[[#This Row],[Tech]]*$T$7+Table13568[[#This Row],[Beta]]*($T$6-$T$8)+$T$8</f>
        <v>7.964800000000001E-2</v>
      </c>
      <c r="J102" s="64">
        <f>0</f>
        <v>0</v>
      </c>
      <c r="K102" s="61">
        <f>Table13568[[#This Row],[Investment]]/Table13568[[#This Row],[Dollar Volume]]</f>
        <v>0</v>
      </c>
      <c r="L102" s="34">
        <f>IFERROR(MAX($T$11+$T$12*LN(Table13568[[#This Row],[Frac ADV]]),0),0)*0.0001+0.005/Table13568[[#This Row],[Stock Price]]+Table13568[[#This Row],[Expense Ratio]]</f>
        <v>2.3553832521045637E-3</v>
      </c>
      <c r="M102" s="68">
        <f>(Table13568[[#This Row],[Expected Return]]-Table13568[[#This Row],[Tcosts]])*Table13568[[#This Row],[Investment]]</f>
        <v>0</v>
      </c>
      <c r="Q102" s="13" t="s">
        <v>491</v>
      </c>
    </row>
    <row r="103" spans="1:17" ht="16.2" thickBot="1" x14ac:dyDescent="0.35">
      <c r="A103" s="79" t="s">
        <v>531</v>
      </c>
      <c r="B103" s="74" t="s">
        <v>532</v>
      </c>
      <c r="C103" s="74">
        <v>36.07</v>
      </c>
      <c r="D103" s="86" t="s">
        <v>533</v>
      </c>
      <c r="E103" s="76">
        <v>2.8999999999999998E-3</v>
      </c>
      <c r="F103" s="74">
        <v>0.66</v>
      </c>
      <c r="G103" s="78">
        <v>280020000</v>
      </c>
      <c r="H103" s="3" t="b">
        <f t="shared" si="3"/>
        <v>0</v>
      </c>
      <c r="I103" s="26">
        <f>Table13568[[#This Row],[Tech]]*$T$7+Table13568[[#This Row],[Beta]]*($T$6-$T$8)+$T$8</f>
        <v>7.8376000000000001E-2</v>
      </c>
      <c r="J103" s="64">
        <f>0</f>
        <v>0</v>
      </c>
      <c r="K103" s="61">
        <f>Table13568[[#This Row],[Investment]]/Table13568[[#This Row],[Dollar Volume]]</f>
        <v>0</v>
      </c>
      <c r="L103" s="34">
        <f>IFERROR(MAX($T$11+$T$12*LN(Table13568[[#This Row],[Frac ADV]]),0),0)*0.0001+0.005/Table13568[[#This Row],[Stock Price]]+Table13568[[#This Row],[Expense Ratio]]</f>
        <v>3.038619351261436E-3</v>
      </c>
      <c r="M103" s="68">
        <f>(Table13568[[#This Row],[Expected Return]]-Table13568[[#This Row],[Tcosts]])*Table13568[[#This Row],[Investment]]</f>
        <v>0</v>
      </c>
      <c r="Q103" s="16" t="s">
        <v>495</v>
      </c>
    </row>
    <row r="104" spans="1:17" ht="16.2" thickBot="1" x14ac:dyDescent="0.35">
      <c r="A104" s="77" t="s">
        <v>324</v>
      </c>
      <c r="B104" s="73" t="s">
        <v>325</v>
      </c>
      <c r="C104" s="73">
        <v>151.69999999999999</v>
      </c>
      <c r="D104" s="85" t="s">
        <v>326</v>
      </c>
      <c r="E104" s="75">
        <v>5.0000000000000001E-4</v>
      </c>
      <c r="F104" s="73">
        <v>0.69</v>
      </c>
      <c r="G104" s="78">
        <v>125040000</v>
      </c>
      <c r="H104" s="3" t="b">
        <f t="shared" si="3"/>
        <v>0</v>
      </c>
      <c r="I104" s="26">
        <f>Table13568[[#This Row],[Tech]]*$T$7+Table13568[[#This Row],[Beta]]*($T$6-$T$8)+$T$8</f>
        <v>8.0283999999999994E-2</v>
      </c>
      <c r="J104" s="64">
        <f>0</f>
        <v>0</v>
      </c>
      <c r="K104" s="61">
        <f>Table13568[[#This Row],[Investment]]/Table13568[[#This Row],[Dollar Volume]]</f>
        <v>0</v>
      </c>
      <c r="L104" s="34">
        <f>IFERROR(MAX($T$11+$T$12*LN(Table13568[[#This Row],[Frac ADV]]),0),0)*0.0001+0.005/Table13568[[#This Row],[Stock Price]]+Table13568[[#This Row],[Expense Ratio]]</f>
        <v>5.3295978905735001E-4</v>
      </c>
      <c r="M104" s="68">
        <f>(Table13568[[#This Row],[Expected Return]]-Table13568[[#This Row],[Tcosts]])*Table13568[[#This Row],[Investment]]</f>
        <v>0</v>
      </c>
      <c r="Q104" s="13" t="s">
        <v>498</v>
      </c>
    </row>
    <row r="105" spans="1:17" ht="16.2" thickBot="1" x14ac:dyDescent="0.35">
      <c r="A105" s="79" t="s">
        <v>543</v>
      </c>
      <c r="B105" s="74" t="s">
        <v>544</v>
      </c>
      <c r="C105" s="74">
        <v>89.17</v>
      </c>
      <c r="D105" s="86" t="s">
        <v>545</v>
      </c>
      <c r="E105" s="76">
        <v>4.0000000000000002E-4</v>
      </c>
      <c r="F105" s="74">
        <v>0.71</v>
      </c>
      <c r="G105" s="78">
        <v>224410000</v>
      </c>
      <c r="H105" s="3" t="b">
        <f t="shared" si="3"/>
        <v>0</v>
      </c>
      <c r="I105" s="26">
        <f>Table13568[[#This Row],[Tech]]*$T$7+Table13568[[#This Row],[Beta]]*($T$6-$T$8)+$T$8</f>
        <v>8.1556000000000003E-2</v>
      </c>
      <c r="J105" s="64">
        <f>0</f>
        <v>0</v>
      </c>
      <c r="K105" s="61">
        <f>Table13568[[#This Row],[Investment]]/Table13568[[#This Row],[Dollar Volume]]</f>
        <v>0</v>
      </c>
      <c r="L105" s="34">
        <f>IFERROR(MAX($T$11+$T$12*LN(Table13568[[#This Row],[Frac ADV]]),0),0)*0.0001+0.005/Table13568[[#This Row],[Stock Price]]+Table13568[[#This Row],[Expense Ratio]]</f>
        <v>4.5607267018055403E-4</v>
      </c>
      <c r="M105" s="68">
        <f>(Table13568[[#This Row],[Expected Return]]-Table13568[[#This Row],[Tcosts]])*Table13568[[#This Row],[Investment]]</f>
        <v>0</v>
      </c>
      <c r="Q105" s="16" t="s">
        <v>502</v>
      </c>
    </row>
    <row r="106" spans="1:17" ht="16.2" thickBot="1" x14ac:dyDescent="0.35">
      <c r="A106" s="77" t="s">
        <v>507</v>
      </c>
      <c r="B106" s="73" t="s">
        <v>508</v>
      </c>
      <c r="C106" s="73">
        <v>222.21</v>
      </c>
      <c r="D106" s="85" t="s">
        <v>509</v>
      </c>
      <c r="E106" s="75">
        <v>1.8E-3</v>
      </c>
      <c r="F106" s="73">
        <v>0.75</v>
      </c>
      <c r="G106" s="78">
        <v>153360000</v>
      </c>
      <c r="H106" s="3" t="b">
        <f t="shared" si="3"/>
        <v>0</v>
      </c>
      <c r="I106" s="26">
        <f>Table13568[[#This Row],[Tech]]*$T$7+Table13568[[#This Row],[Beta]]*($T$6-$T$8)+$T$8</f>
        <v>8.4100000000000008E-2</v>
      </c>
      <c r="J106" s="64">
        <f>0</f>
        <v>0</v>
      </c>
      <c r="K106" s="61">
        <f>Table13568[[#This Row],[Investment]]/Table13568[[#This Row],[Dollar Volume]]</f>
        <v>0</v>
      </c>
      <c r="L106" s="34">
        <f>IFERROR(MAX($T$11+$T$12*LN(Table13568[[#This Row],[Frac ADV]]),0),0)*0.0001+0.005/Table13568[[#This Row],[Stock Price]]+Table13568[[#This Row],[Expense Ratio]]</f>
        <v>1.8225012375680662E-3</v>
      </c>
      <c r="M106" s="68">
        <f>(Table13568[[#This Row],[Expected Return]]-Table13568[[#This Row],[Tcosts]])*Table13568[[#This Row],[Investment]]</f>
        <v>0</v>
      </c>
      <c r="Q106" s="13" t="s">
        <v>506</v>
      </c>
    </row>
    <row r="107" spans="1:17" ht="16.2" thickBot="1" x14ac:dyDescent="0.35">
      <c r="A107" s="79" t="s">
        <v>233</v>
      </c>
      <c r="B107" s="74" t="s">
        <v>234</v>
      </c>
      <c r="C107" s="74">
        <v>226.52</v>
      </c>
      <c r="D107" s="86" t="s">
        <v>235</v>
      </c>
      <c r="E107" s="76">
        <v>4.0000000000000002E-4</v>
      </c>
      <c r="F107" s="74">
        <v>0.78</v>
      </c>
      <c r="G107" s="78">
        <v>511880000</v>
      </c>
      <c r="H107" s="3" t="b">
        <f t="shared" si="3"/>
        <v>0</v>
      </c>
      <c r="I107" s="26">
        <f>Table13568[[#This Row],[Tech]]*$T$7+Table13568[[#This Row],[Beta]]*($T$6-$T$8)+$T$8</f>
        <v>8.6008000000000001E-2</v>
      </c>
      <c r="J107" s="64">
        <f>0</f>
        <v>0</v>
      </c>
      <c r="K107" s="61">
        <f>Table13568[[#This Row],[Investment]]/Table13568[[#This Row],[Dollar Volume]]</f>
        <v>0</v>
      </c>
      <c r="L107" s="34">
        <f>IFERROR(MAX($T$11+$T$12*LN(Table13568[[#This Row],[Frac ADV]]),0),0)*0.0001+0.005/Table13568[[#This Row],[Stock Price]]+Table13568[[#This Row],[Expense Ratio]]</f>
        <v>4.2207310612749429E-4</v>
      </c>
      <c r="M107" s="68">
        <f>(Table13568[[#This Row],[Expected Return]]-Table13568[[#This Row],[Tcosts]])*Table13568[[#This Row],[Investment]]</f>
        <v>0</v>
      </c>
      <c r="Q107" s="16" t="s">
        <v>510</v>
      </c>
    </row>
    <row r="108" spans="1:17" ht="16.2" thickBot="1" x14ac:dyDescent="0.35">
      <c r="A108" s="77" t="s">
        <v>587</v>
      </c>
      <c r="B108" s="73" t="s">
        <v>588</v>
      </c>
      <c r="C108" s="73">
        <v>83.77</v>
      </c>
      <c r="D108" s="85" t="s">
        <v>589</v>
      </c>
      <c r="E108" s="75">
        <v>2.5000000000000001E-3</v>
      </c>
      <c r="F108" s="73">
        <v>0.73</v>
      </c>
      <c r="G108" s="78">
        <v>98130000</v>
      </c>
      <c r="H108" s="3" t="b">
        <f t="shared" si="3"/>
        <v>0</v>
      </c>
      <c r="I108" s="26">
        <f>Table13568[[#This Row],[Tech]]*$T$7+Table13568[[#This Row],[Beta]]*($T$6-$T$8)+$T$8</f>
        <v>8.2828000000000013E-2</v>
      </c>
      <c r="J108" s="64">
        <f>0</f>
        <v>0</v>
      </c>
      <c r="K108" s="61">
        <f>Table13568[[#This Row],[Investment]]/Table13568[[#This Row],[Dollar Volume]]</f>
        <v>0</v>
      </c>
      <c r="L108" s="34">
        <f>IFERROR(MAX($T$11+$T$12*LN(Table13568[[#This Row],[Frac ADV]]),0),0)*0.0001+0.005/Table13568[[#This Row],[Stock Price]]+Table13568[[#This Row],[Expense Ratio]]</f>
        <v>2.5596872388683302E-3</v>
      </c>
      <c r="M108" s="68">
        <f>(Table13568[[#This Row],[Expected Return]]-Table13568[[#This Row],[Tcosts]])*Table13568[[#This Row],[Investment]]</f>
        <v>0</v>
      </c>
      <c r="Q108" s="13" t="s">
        <v>514</v>
      </c>
    </row>
    <row r="109" spans="1:17" ht="16.2" thickBot="1" x14ac:dyDescent="0.35">
      <c r="A109" s="79" t="s">
        <v>464</v>
      </c>
      <c r="B109" s="74" t="s">
        <v>465</v>
      </c>
      <c r="C109" s="74">
        <v>97.2</v>
      </c>
      <c r="D109" s="86" t="s">
        <v>466</v>
      </c>
      <c r="E109" s="76">
        <v>6.9999999999999999E-4</v>
      </c>
      <c r="F109" s="74">
        <v>0.73</v>
      </c>
      <c r="G109" s="78">
        <v>1900000000</v>
      </c>
      <c r="H109" s="3" t="b">
        <f t="shared" si="3"/>
        <v>0</v>
      </c>
      <c r="I109" s="26">
        <f>Table13568[[#This Row],[Tech]]*$T$7+Table13568[[#This Row],[Beta]]*($T$6-$T$8)+$T$8</f>
        <v>8.2828000000000013E-2</v>
      </c>
      <c r="J109" s="64">
        <f>0</f>
        <v>0</v>
      </c>
      <c r="K109" s="61">
        <f>Table13568[[#This Row],[Investment]]/Table13568[[#This Row],[Dollar Volume]]</f>
        <v>0</v>
      </c>
      <c r="L109" s="34">
        <f>IFERROR(MAX($T$11+$T$12*LN(Table13568[[#This Row],[Frac ADV]]),0),0)*0.0001+0.005/Table13568[[#This Row],[Stock Price]]+Table13568[[#This Row],[Expense Ratio]]</f>
        <v>7.5144032921810701E-4</v>
      </c>
      <c r="M109" s="68">
        <f>(Table13568[[#This Row],[Expected Return]]-Table13568[[#This Row],[Tcosts]])*Table13568[[#This Row],[Investment]]</f>
        <v>0</v>
      </c>
      <c r="Q109" s="16" t="s">
        <v>518</v>
      </c>
    </row>
    <row r="110" spans="1:17" ht="16.2" thickBot="1" x14ac:dyDescent="0.35">
      <c r="A110" s="77" t="s">
        <v>527</v>
      </c>
      <c r="B110" s="73" t="s">
        <v>528</v>
      </c>
      <c r="C110" s="73">
        <v>150.43</v>
      </c>
      <c r="D110" s="85" t="s">
        <v>529</v>
      </c>
      <c r="E110" s="75">
        <v>2.3E-3</v>
      </c>
      <c r="F110" s="73">
        <v>0.77</v>
      </c>
      <c r="G110" s="78">
        <v>126450000</v>
      </c>
      <c r="H110" s="3" t="b">
        <f t="shared" si="3"/>
        <v>0</v>
      </c>
      <c r="I110" s="26">
        <f>Table13568[[#This Row],[Tech]]*$T$7+Table13568[[#This Row],[Beta]]*($T$6-$T$8)+$T$8</f>
        <v>8.5372000000000003E-2</v>
      </c>
      <c r="J110" s="64">
        <f>0</f>
        <v>0</v>
      </c>
      <c r="K110" s="61">
        <f>Table13568[[#This Row],[Investment]]/Table13568[[#This Row],[Dollar Volume]]</f>
        <v>0</v>
      </c>
      <c r="L110" s="34">
        <f>IFERROR(MAX($T$11+$T$12*LN(Table13568[[#This Row],[Frac ADV]]),0),0)*0.0001+0.005/Table13568[[#This Row],[Stock Price]]+Table13568[[#This Row],[Expense Ratio]]</f>
        <v>2.3332380509206939E-3</v>
      </c>
      <c r="M110" s="68">
        <f>(Table13568[[#This Row],[Expected Return]]-Table13568[[#This Row],[Tcosts]])*Table13568[[#This Row],[Investment]]</f>
        <v>0</v>
      </c>
      <c r="Q110" s="13" t="s">
        <v>522</v>
      </c>
    </row>
    <row r="111" spans="1:17" ht="16.2" thickBot="1" x14ac:dyDescent="0.35">
      <c r="A111" s="79" t="s">
        <v>583</v>
      </c>
      <c r="B111" s="74" t="s">
        <v>584</v>
      </c>
      <c r="C111" s="74">
        <v>85.95</v>
      </c>
      <c r="D111" s="86" t="s">
        <v>585</v>
      </c>
      <c r="E111" s="76">
        <v>3.3E-3</v>
      </c>
      <c r="F111" s="74">
        <v>0.69</v>
      </c>
      <c r="G111" s="78">
        <v>140740000</v>
      </c>
      <c r="H111" s="3" t="b">
        <f t="shared" si="3"/>
        <v>0</v>
      </c>
      <c r="I111" s="26">
        <f>Table13568[[#This Row],[Tech]]*$T$7+Table13568[[#This Row],[Beta]]*($T$6-$T$8)+$T$8</f>
        <v>8.0283999999999994E-2</v>
      </c>
      <c r="J111" s="64">
        <f>0</f>
        <v>0</v>
      </c>
      <c r="K111" s="61">
        <f>Table13568[[#This Row],[Investment]]/Table13568[[#This Row],[Dollar Volume]]</f>
        <v>0</v>
      </c>
      <c r="L111" s="34">
        <f>IFERROR(MAX($T$11+$T$12*LN(Table13568[[#This Row],[Frac ADV]]),0),0)*0.0001+0.005/Table13568[[#This Row],[Stock Price]]+Table13568[[#This Row],[Expense Ratio]]</f>
        <v>3.3581733566026761E-3</v>
      </c>
      <c r="M111" s="68">
        <f>(Table13568[[#This Row],[Expected Return]]-Table13568[[#This Row],[Tcosts]])*Table13568[[#This Row],[Investment]]</f>
        <v>0</v>
      </c>
      <c r="Q111" s="16" t="s">
        <v>526</v>
      </c>
    </row>
    <row r="112" spans="1:17" ht="16.2" thickBot="1" x14ac:dyDescent="0.35">
      <c r="A112" s="77" t="s">
        <v>424</v>
      </c>
      <c r="B112" s="73" t="s">
        <v>425</v>
      </c>
      <c r="C112" s="73">
        <v>31.85</v>
      </c>
      <c r="D112" s="85" t="s">
        <v>426</v>
      </c>
      <c r="E112" s="75">
        <v>4.0000000000000002E-4</v>
      </c>
      <c r="F112" s="73">
        <v>0.72</v>
      </c>
      <c r="G112" s="78">
        <v>3310000000</v>
      </c>
      <c r="H112" s="3" t="b">
        <f t="shared" si="3"/>
        <v>0</v>
      </c>
      <c r="I112" s="26">
        <f>Table13568[[#This Row],[Tech]]*$T$7+Table13568[[#This Row],[Beta]]*($T$6-$T$8)+$T$8</f>
        <v>8.2192000000000001E-2</v>
      </c>
      <c r="J112" s="64">
        <f>0</f>
        <v>0</v>
      </c>
      <c r="K112" s="61">
        <f>Table13568[[#This Row],[Investment]]/Table13568[[#This Row],[Dollar Volume]]</f>
        <v>0</v>
      </c>
      <c r="L112" s="34">
        <f>IFERROR(MAX($T$11+$T$12*LN(Table13568[[#This Row],[Frac ADV]]),0),0)*0.0001+0.005/Table13568[[#This Row],[Stock Price]]+Table13568[[#This Row],[Expense Ratio]]</f>
        <v>5.5698587127158555E-4</v>
      </c>
      <c r="M112" s="68">
        <f>(Table13568[[#This Row],[Expected Return]]-Table13568[[#This Row],[Tcosts]])*Table13568[[#This Row],[Investment]]</f>
        <v>0</v>
      </c>
      <c r="Q112" s="13" t="s">
        <v>530</v>
      </c>
    </row>
    <row r="113" spans="1:17" ht="16.2" thickBot="1" x14ac:dyDescent="0.35">
      <c r="A113" s="79" t="s">
        <v>661</v>
      </c>
      <c r="B113" s="74" t="s">
        <v>662</v>
      </c>
      <c r="C113" s="74">
        <v>60.86</v>
      </c>
      <c r="D113" s="86" t="s">
        <v>663</v>
      </c>
      <c r="E113" s="76">
        <v>7.1999999999999998E-3</v>
      </c>
      <c r="F113" s="74">
        <v>0.71</v>
      </c>
      <c r="G113" s="78">
        <v>2060000000</v>
      </c>
      <c r="H113" s="3" t="b">
        <f t="shared" si="3"/>
        <v>0</v>
      </c>
      <c r="I113" s="26">
        <f>Table13568[[#This Row],[Tech]]*$T$7+Table13568[[#This Row],[Beta]]*($T$6-$T$8)+$T$8</f>
        <v>8.1556000000000003E-2</v>
      </c>
      <c r="J113" s="64">
        <f>0</f>
        <v>0</v>
      </c>
      <c r="K113" s="61">
        <f>Table13568[[#This Row],[Investment]]/Table13568[[#This Row],[Dollar Volume]]</f>
        <v>0</v>
      </c>
      <c r="L113" s="34">
        <f>IFERROR(MAX($T$11+$T$12*LN(Table13568[[#This Row],[Frac ADV]]),0),0)*0.0001+0.005/Table13568[[#This Row],[Stock Price]]+Table13568[[#This Row],[Expense Ratio]]</f>
        <v>7.2821557673348669E-3</v>
      </c>
      <c r="M113" s="68">
        <f>(Table13568[[#This Row],[Expected Return]]-Table13568[[#This Row],[Tcosts]])*Table13568[[#This Row],[Investment]]</f>
        <v>0</v>
      </c>
      <c r="Q113" s="16" t="s">
        <v>534</v>
      </c>
    </row>
    <row r="114" spans="1:17" ht="16.2" thickBot="1" x14ac:dyDescent="0.35">
      <c r="A114" s="77" t="s">
        <v>480</v>
      </c>
      <c r="B114" s="73" t="s">
        <v>481</v>
      </c>
      <c r="C114" s="73">
        <v>154.59</v>
      </c>
      <c r="D114" s="85" t="s">
        <v>482</v>
      </c>
      <c r="E114" s="75">
        <v>4.0000000000000002E-4</v>
      </c>
      <c r="F114" s="73">
        <v>0.74</v>
      </c>
      <c r="G114" s="78">
        <v>70210000</v>
      </c>
      <c r="H114" s="3" t="b">
        <f t="shared" si="3"/>
        <v>0</v>
      </c>
      <c r="I114" s="26">
        <f>Table13568[[#This Row],[Tech]]*$T$7+Table13568[[#This Row],[Beta]]*($T$6-$T$8)+$T$8</f>
        <v>8.346400000000001E-2</v>
      </c>
      <c r="J114" s="64">
        <f>0</f>
        <v>0</v>
      </c>
      <c r="K114" s="61">
        <f>Table13568[[#This Row],[Investment]]/Table13568[[#This Row],[Dollar Volume]]</f>
        <v>0</v>
      </c>
      <c r="L114" s="34">
        <f>IFERROR(MAX($T$11+$T$12*LN(Table13568[[#This Row],[Frac ADV]]),0),0)*0.0001+0.005/Table13568[[#This Row],[Stock Price]]+Table13568[[#This Row],[Expense Ratio]]</f>
        <v>4.3234361860404946E-4</v>
      </c>
      <c r="M114" s="68">
        <f>(Table13568[[#This Row],[Expected Return]]-Table13568[[#This Row],[Tcosts]])*Table13568[[#This Row],[Investment]]</f>
        <v>0</v>
      </c>
      <c r="Q114" s="13" t="s">
        <v>538</v>
      </c>
    </row>
    <row r="115" spans="1:17" ht="16.2" thickBot="1" x14ac:dyDescent="0.35">
      <c r="A115" s="79" t="s">
        <v>567</v>
      </c>
      <c r="B115" s="74" t="s">
        <v>568</v>
      </c>
      <c r="C115" s="74">
        <v>41.46</v>
      </c>
      <c r="D115" s="86" t="s">
        <v>569</v>
      </c>
      <c r="E115" s="76">
        <v>1.8E-3</v>
      </c>
      <c r="F115" s="74">
        <v>0.68</v>
      </c>
      <c r="G115" s="78">
        <v>86740000</v>
      </c>
      <c r="H115" s="3" t="b">
        <f t="shared" si="3"/>
        <v>0</v>
      </c>
      <c r="I115" s="26">
        <f>Table13568[[#This Row],[Tech]]*$T$7+Table13568[[#This Row],[Beta]]*($T$6-$T$8)+$T$8</f>
        <v>7.964800000000001E-2</v>
      </c>
      <c r="J115" s="64">
        <f>0</f>
        <v>0</v>
      </c>
      <c r="K115" s="61">
        <f>Table13568[[#This Row],[Investment]]/Table13568[[#This Row],[Dollar Volume]]</f>
        <v>0</v>
      </c>
      <c r="L115" s="34">
        <f>IFERROR(MAX($T$11+$T$12*LN(Table13568[[#This Row],[Frac ADV]]),0),0)*0.0001+0.005/Table13568[[#This Row],[Stock Price]]+Table13568[[#This Row],[Expense Ratio]]</f>
        <v>1.9205981669078629E-3</v>
      </c>
      <c r="M115" s="68">
        <f>(Table13568[[#This Row],[Expected Return]]-Table13568[[#This Row],[Tcosts]])*Table13568[[#This Row],[Investment]]</f>
        <v>0</v>
      </c>
      <c r="Q115" s="16" t="s">
        <v>542</v>
      </c>
    </row>
    <row r="116" spans="1:17" ht="16.2" thickBot="1" x14ac:dyDescent="0.35">
      <c r="A116" s="79" t="s">
        <v>638</v>
      </c>
      <c r="B116" s="74" t="s">
        <v>639</v>
      </c>
      <c r="C116" s="74">
        <v>55.21</v>
      </c>
      <c r="D116" s="86" t="s">
        <v>640</v>
      </c>
      <c r="E116" s="76">
        <v>2.7000000000000001E-3</v>
      </c>
      <c r="F116" s="74">
        <v>0.67</v>
      </c>
      <c r="G116" s="78">
        <v>45870000</v>
      </c>
      <c r="H116" s="3" t="b">
        <f t="shared" si="3"/>
        <v>0</v>
      </c>
      <c r="I116" s="26">
        <f>Table13568[[#This Row],[Tech]]*$T$7+Table13568[[#This Row],[Beta]]*($T$6-$T$8)+$T$8</f>
        <v>7.9011999999999999E-2</v>
      </c>
      <c r="J116" s="64">
        <f>0</f>
        <v>0</v>
      </c>
      <c r="K116" s="61">
        <f>Table13568[[#This Row],[Investment]]/Table13568[[#This Row],[Dollar Volume]]</f>
        <v>0</v>
      </c>
      <c r="L116" s="34">
        <f>IFERROR(MAX($T$11+$T$12*LN(Table13568[[#This Row],[Frac ADV]]),0),0)*0.0001+0.005/Table13568[[#This Row],[Stock Price]]+Table13568[[#This Row],[Expense Ratio]]</f>
        <v>2.7905633037493211E-3</v>
      </c>
      <c r="M116" s="68">
        <f>(Table13568[[#This Row],[Expected Return]]-Table13568[[#This Row],[Tcosts]])*Table13568[[#This Row],[Investment]]</f>
        <v>0</v>
      </c>
      <c r="Q116" s="13" t="s">
        <v>546</v>
      </c>
    </row>
    <row r="117" spans="1:17" ht="16.2" thickBot="1" x14ac:dyDescent="0.35">
      <c r="A117" s="79" t="s">
        <v>614</v>
      </c>
      <c r="B117" s="74" t="s">
        <v>615</v>
      </c>
      <c r="C117" s="74">
        <v>51.15</v>
      </c>
      <c r="D117" s="86" t="s">
        <v>616</v>
      </c>
      <c r="E117" s="76">
        <v>2.5000000000000001E-3</v>
      </c>
      <c r="F117" s="74">
        <v>0.67</v>
      </c>
      <c r="G117" s="78">
        <v>264190000</v>
      </c>
      <c r="H117" s="3" t="b">
        <f t="shared" si="3"/>
        <v>0</v>
      </c>
      <c r="I117" s="26">
        <f>Table13568[[#This Row],[Tech]]*$T$7+Table13568[[#This Row],[Beta]]*($T$6-$T$8)+$T$8</f>
        <v>7.9011999999999999E-2</v>
      </c>
      <c r="J117" s="64">
        <f>0</f>
        <v>0</v>
      </c>
      <c r="K117" s="61">
        <f>Table13568[[#This Row],[Investment]]/Table13568[[#This Row],[Dollar Volume]]</f>
        <v>0</v>
      </c>
      <c r="L117" s="34">
        <f>IFERROR(MAX($T$11+$T$12*LN(Table13568[[#This Row],[Frac ADV]]),0),0)*0.0001+0.005/Table13568[[#This Row],[Stock Price]]+Table13568[[#This Row],[Expense Ratio]]</f>
        <v>2.5977517106549365E-3</v>
      </c>
      <c r="M117" s="68">
        <f>(Table13568[[#This Row],[Expected Return]]-Table13568[[#This Row],[Tcosts]])*Table13568[[#This Row],[Investment]]</f>
        <v>0</v>
      </c>
      <c r="Q117" s="16" t="s">
        <v>550</v>
      </c>
    </row>
    <row r="118" spans="1:17" ht="16.2" thickBot="1" x14ac:dyDescent="0.35">
      <c r="A118" s="79" t="s">
        <v>503</v>
      </c>
      <c r="B118" s="74" t="s">
        <v>504</v>
      </c>
      <c r="C118" s="74">
        <v>97.52</v>
      </c>
      <c r="D118" s="86" t="s">
        <v>505</v>
      </c>
      <c r="E118" s="76">
        <v>5.9999999999999995E-4</v>
      </c>
      <c r="F118" s="74">
        <v>0.76</v>
      </c>
      <c r="G118" s="78">
        <v>62990000</v>
      </c>
      <c r="H118" s="3" t="b">
        <f t="shared" si="3"/>
        <v>0</v>
      </c>
      <c r="I118" s="26">
        <f>Table13568[[#This Row],[Tech]]*$T$7+Table13568[[#This Row],[Beta]]*($T$6-$T$8)+$T$8</f>
        <v>8.4736000000000006E-2</v>
      </c>
      <c r="J118" s="64">
        <f>0</f>
        <v>0</v>
      </c>
      <c r="K118" s="61">
        <f>Table13568[[#This Row],[Investment]]/Table13568[[#This Row],[Dollar Volume]]</f>
        <v>0</v>
      </c>
      <c r="L118" s="34">
        <f>IFERROR(MAX($T$11+$T$12*LN(Table13568[[#This Row],[Frac ADV]]),0),0)*0.0001+0.005/Table13568[[#This Row],[Stock Price]]+Table13568[[#This Row],[Expense Ratio]]</f>
        <v>6.5127153404429851E-4</v>
      </c>
      <c r="M118" s="68">
        <f>(Table13568[[#This Row],[Expected Return]]-Table13568[[#This Row],[Tcosts]])*Table13568[[#This Row],[Investment]]</f>
        <v>0</v>
      </c>
      <c r="Q118" s="13" t="s">
        <v>554</v>
      </c>
    </row>
    <row r="119" spans="1:17" ht="16.2" thickBot="1" x14ac:dyDescent="0.35">
      <c r="A119" s="77" t="s">
        <v>352</v>
      </c>
      <c r="B119" s="73" t="s">
        <v>353</v>
      </c>
      <c r="C119" s="73">
        <v>190.07</v>
      </c>
      <c r="D119" s="85" t="s">
        <v>354</v>
      </c>
      <c r="E119" s="75">
        <v>5.0000000000000001E-4</v>
      </c>
      <c r="F119" s="73">
        <v>0.69</v>
      </c>
      <c r="G119" s="78">
        <v>103250000</v>
      </c>
      <c r="H119" s="3" t="b">
        <f t="shared" si="3"/>
        <v>0</v>
      </c>
      <c r="I119" s="26">
        <f>Table13568[[#This Row],[Tech]]*$T$7+Table13568[[#This Row],[Beta]]*($T$6-$T$8)+$T$8</f>
        <v>8.0283999999999994E-2</v>
      </c>
      <c r="J119" s="64">
        <f>0</f>
        <v>0</v>
      </c>
      <c r="K119" s="61">
        <f>Table13568[[#This Row],[Investment]]/Table13568[[#This Row],[Dollar Volume]]</f>
        <v>0</v>
      </c>
      <c r="L119" s="34">
        <f>IFERROR(MAX($T$11+$T$12*LN(Table13568[[#This Row],[Frac ADV]]),0),0)*0.0001+0.005/Table13568[[#This Row],[Stock Price]]+Table13568[[#This Row],[Expense Ratio]]</f>
        <v>5.2630609775345923E-4</v>
      </c>
      <c r="M119" s="68">
        <f>(Table13568[[#This Row],[Expected Return]]-Table13568[[#This Row],[Tcosts]])*Table13568[[#This Row],[Investment]]</f>
        <v>0</v>
      </c>
      <c r="Q119" s="16" t="s">
        <v>558</v>
      </c>
    </row>
    <row r="120" spans="1:17" ht="16.2" thickBot="1" x14ac:dyDescent="0.35">
      <c r="A120" s="79" t="s">
        <v>289</v>
      </c>
      <c r="B120" s="74" t="s">
        <v>290</v>
      </c>
      <c r="C120" s="74">
        <v>82.13</v>
      </c>
      <c r="D120" s="86" t="s">
        <v>291</v>
      </c>
      <c r="E120" s="76">
        <v>5.0000000000000001E-4</v>
      </c>
      <c r="F120" s="74">
        <v>0.7</v>
      </c>
      <c r="G120" s="78">
        <v>125690000</v>
      </c>
      <c r="H120" s="3" t="b">
        <f t="shared" si="3"/>
        <v>0</v>
      </c>
      <c r="I120" s="26">
        <f>Table13568[[#This Row],[Tech]]*$T$7+Table13568[[#This Row],[Beta]]*($T$6-$T$8)+$T$8</f>
        <v>8.0919999999999992E-2</v>
      </c>
      <c r="J120" s="64">
        <f>0</f>
        <v>0</v>
      </c>
      <c r="K120" s="61">
        <f>Table13568[[#This Row],[Investment]]/Table13568[[#This Row],[Dollar Volume]]</f>
        <v>0</v>
      </c>
      <c r="L120" s="34">
        <f>IFERROR(MAX($T$11+$T$12*LN(Table13568[[#This Row],[Frac ADV]]),0),0)*0.0001+0.005/Table13568[[#This Row],[Stock Price]]+Table13568[[#This Row],[Expense Ratio]]</f>
        <v>5.6087909411907952E-4</v>
      </c>
      <c r="M120" s="68">
        <f>(Table13568[[#This Row],[Expected Return]]-Table13568[[#This Row],[Tcosts]])*Table13568[[#This Row],[Investment]]</f>
        <v>0</v>
      </c>
      <c r="Q120" s="13" t="s">
        <v>562</v>
      </c>
    </row>
    <row r="121" spans="1:17" ht="16.2" thickBot="1" x14ac:dyDescent="0.35">
      <c r="A121" s="79" t="s">
        <v>535</v>
      </c>
      <c r="B121" s="74" t="s">
        <v>536</v>
      </c>
      <c r="C121" s="74">
        <v>35.200000000000003</v>
      </c>
      <c r="D121" s="86" t="s">
        <v>537</v>
      </c>
      <c r="E121" s="76">
        <v>6.9999999999999999E-4</v>
      </c>
      <c r="F121" s="74">
        <v>0.67</v>
      </c>
      <c r="G121" s="78">
        <v>327520000</v>
      </c>
      <c r="H121" s="3" t="b">
        <f t="shared" si="3"/>
        <v>0</v>
      </c>
      <c r="I121" s="26">
        <f>Table13568[[#This Row],[Tech]]*$T$7+Table13568[[#This Row],[Beta]]*($T$6-$T$8)+$T$8</f>
        <v>7.9011999999999999E-2</v>
      </c>
      <c r="J121" s="64">
        <f>0</f>
        <v>0</v>
      </c>
      <c r="K121" s="61">
        <f>Table13568[[#This Row],[Investment]]/Table13568[[#This Row],[Dollar Volume]]</f>
        <v>0</v>
      </c>
      <c r="L121" s="34">
        <f>IFERROR(MAX($T$11+$T$12*LN(Table13568[[#This Row],[Frac ADV]]),0),0)*0.0001+0.005/Table13568[[#This Row],[Stock Price]]+Table13568[[#This Row],[Expense Ratio]]</f>
        <v>8.4204545454545448E-4</v>
      </c>
      <c r="M121" s="68">
        <f>(Table13568[[#This Row],[Expected Return]]-Table13568[[#This Row],[Tcosts]])*Table13568[[#This Row],[Investment]]</f>
        <v>0</v>
      </c>
      <c r="Q121" s="16" t="s">
        <v>566</v>
      </c>
    </row>
    <row r="122" spans="1:17" ht="16.2" thickBot="1" x14ac:dyDescent="0.35">
      <c r="A122" s="79" t="s">
        <v>511</v>
      </c>
      <c r="B122" s="74" t="s">
        <v>512</v>
      </c>
      <c r="C122" s="74">
        <v>80.260000000000005</v>
      </c>
      <c r="D122" s="86" t="s">
        <v>513</v>
      </c>
      <c r="E122" s="76">
        <v>4.0000000000000002E-4</v>
      </c>
      <c r="F122" s="74">
        <v>0.69</v>
      </c>
      <c r="G122" s="78">
        <v>253220000</v>
      </c>
      <c r="H122" s="3" t="b">
        <f t="shared" si="3"/>
        <v>0</v>
      </c>
      <c r="I122" s="26">
        <f>Table13568[[#This Row],[Tech]]*$T$7+Table13568[[#This Row],[Beta]]*($T$6-$T$8)+$T$8</f>
        <v>8.0283999999999994E-2</v>
      </c>
      <c r="J122" s="64">
        <f>0</f>
        <v>0</v>
      </c>
      <c r="K122" s="61">
        <f>Table13568[[#This Row],[Investment]]/Table13568[[#This Row],[Dollar Volume]]</f>
        <v>0</v>
      </c>
      <c r="L122" s="34">
        <f>IFERROR(MAX($T$11+$T$12*LN(Table13568[[#This Row],[Frac ADV]]),0),0)*0.0001+0.005/Table13568[[#This Row],[Stock Price]]+Table13568[[#This Row],[Expense Ratio]]</f>
        <v>4.6229753301769251E-4</v>
      </c>
      <c r="M122" s="68">
        <f>(Table13568[[#This Row],[Expected Return]]-Table13568[[#This Row],[Tcosts]])*Table13568[[#This Row],[Investment]]</f>
        <v>0</v>
      </c>
      <c r="Q122" s="13" t="s">
        <v>570</v>
      </c>
    </row>
    <row r="123" spans="1:17" ht="16.2" thickBot="1" x14ac:dyDescent="0.35">
      <c r="A123" s="77" t="s">
        <v>484</v>
      </c>
      <c r="B123" s="73" t="s">
        <v>485</v>
      </c>
      <c r="C123" s="73">
        <v>26.4</v>
      </c>
      <c r="D123" s="85" t="s">
        <v>486</v>
      </c>
      <c r="E123" s="75">
        <v>2.9999999999999997E-4</v>
      </c>
      <c r="F123" s="73">
        <v>0.72</v>
      </c>
      <c r="G123" s="78">
        <v>135250000</v>
      </c>
      <c r="H123" s="3" t="b">
        <f t="shared" si="3"/>
        <v>0</v>
      </c>
      <c r="I123" s="26">
        <f>Table13568[[#This Row],[Tech]]*$T$7+Table13568[[#This Row],[Beta]]*($T$6-$T$8)+$T$8</f>
        <v>8.2192000000000001E-2</v>
      </c>
      <c r="J123" s="64">
        <f>0</f>
        <v>0</v>
      </c>
      <c r="K123" s="61">
        <f>Table13568[[#This Row],[Investment]]/Table13568[[#This Row],[Dollar Volume]]</f>
        <v>0</v>
      </c>
      <c r="L123" s="34">
        <f>IFERROR(MAX($T$11+$T$12*LN(Table13568[[#This Row],[Frac ADV]]),0),0)*0.0001+0.005/Table13568[[#This Row],[Stock Price]]+Table13568[[#This Row],[Expense Ratio]]</f>
        <v>4.8939393939393945E-4</v>
      </c>
      <c r="M123" s="68">
        <f>(Table13568[[#This Row],[Expected Return]]-Table13568[[#This Row],[Tcosts]])*Table13568[[#This Row],[Investment]]</f>
        <v>0</v>
      </c>
      <c r="Q123" s="16" t="s">
        <v>574</v>
      </c>
    </row>
    <row r="124" spans="1:17" ht="16.2" thickBot="1" x14ac:dyDescent="0.35">
      <c r="A124" s="79" t="s">
        <v>496</v>
      </c>
      <c r="B124" s="74" t="s">
        <v>497</v>
      </c>
      <c r="C124" s="74">
        <v>56.91</v>
      </c>
      <c r="D124" s="86" t="s">
        <v>430</v>
      </c>
      <c r="E124" s="76">
        <v>2.5000000000000001E-3</v>
      </c>
      <c r="F124" s="74">
        <v>0.57999999999999996</v>
      </c>
      <c r="G124" s="78">
        <v>161370000</v>
      </c>
      <c r="H124" s="3" t="b">
        <f t="shared" si="3"/>
        <v>0</v>
      </c>
      <c r="I124" s="26">
        <f>Table13568[[#This Row],[Tech]]*$T$7+Table13568[[#This Row],[Beta]]*($T$6-$T$8)+$T$8</f>
        <v>7.3287999999999992E-2</v>
      </c>
      <c r="J124" s="64">
        <f>0</f>
        <v>0</v>
      </c>
      <c r="K124" s="61">
        <f>Table13568[[#This Row],[Investment]]/Table13568[[#This Row],[Dollar Volume]]</f>
        <v>0</v>
      </c>
      <c r="L124" s="34">
        <f>IFERROR(MAX($T$11+$T$12*LN(Table13568[[#This Row],[Frac ADV]]),0),0)*0.0001+0.005/Table13568[[#This Row],[Stock Price]]+Table13568[[#This Row],[Expense Ratio]]</f>
        <v>2.5878580214373573E-3</v>
      </c>
      <c r="M124" s="68">
        <f>(Table13568[[#This Row],[Expected Return]]-Table13568[[#This Row],[Tcosts]])*Table13568[[#This Row],[Investment]]</f>
        <v>0</v>
      </c>
      <c r="Q124" s="13" t="s">
        <v>578</v>
      </c>
    </row>
    <row r="125" spans="1:17" ht="16.2" thickBot="1" x14ac:dyDescent="0.35">
      <c r="A125" s="79" t="s">
        <v>555</v>
      </c>
      <c r="B125" s="74" t="s">
        <v>556</v>
      </c>
      <c r="C125" s="74">
        <v>48.65</v>
      </c>
      <c r="D125" s="86" t="s">
        <v>557</v>
      </c>
      <c r="E125" s="76">
        <v>2.9999999999999997E-4</v>
      </c>
      <c r="F125" s="74">
        <v>0.69</v>
      </c>
      <c r="G125" s="78">
        <v>132770000</v>
      </c>
      <c r="H125" s="3" t="b">
        <f t="shared" si="3"/>
        <v>0</v>
      </c>
      <c r="I125" s="26">
        <f>Table13568[[#This Row],[Tech]]*$T$7+Table13568[[#This Row],[Beta]]*($T$6-$T$8)+$T$8</f>
        <v>8.0283999999999994E-2</v>
      </c>
      <c r="J125" s="64">
        <f>0</f>
        <v>0</v>
      </c>
      <c r="K125" s="61">
        <f>Table13568[[#This Row],[Investment]]/Table13568[[#This Row],[Dollar Volume]]</f>
        <v>0</v>
      </c>
      <c r="L125" s="34">
        <f>IFERROR(MAX($T$11+$T$12*LN(Table13568[[#This Row],[Frac ADV]]),0),0)*0.0001+0.005/Table13568[[#This Row],[Stock Price]]+Table13568[[#This Row],[Expense Ratio]]</f>
        <v>4.0277492291880779E-4</v>
      </c>
      <c r="M125" s="68">
        <f>(Table13568[[#This Row],[Expected Return]]-Table13568[[#This Row],[Tcosts]])*Table13568[[#This Row],[Investment]]</f>
        <v>0</v>
      </c>
      <c r="Q125" s="16" t="s">
        <v>582</v>
      </c>
    </row>
    <row r="126" spans="1:17" ht="16.2" thickBot="1" x14ac:dyDescent="0.35">
      <c r="A126" s="79" t="s">
        <v>539</v>
      </c>
      <c r="B126" s="74" t="s">
        <v>540</v>
      </c>
      <c r="C126" s="74">
        <v>68.5</v>
      </c>
      <c r="D126" s="86" t="s">
        <v>541</v>
      </c>
      <c r="E126" s="76">
        <v>2.9999999999999997E-4</v>
      </c>
      <c r="F126" s="74">
        <v>0.71</v>
      </c>
      <c r="G126" s="78">
        <v>134650000</v>
      </c>
      <c r="H126" s="3" t="b">
        <f t="shared" si="3"/>
        <v>0</v>
      </c>
      <c r="I126" s="26">
        <f>Table13568[[#This Row],[Tech]]*$T$7+Table13568[[#This Row],[Beta]]*($T$6-$T$8)+$T$8</f>
        <v>8.1556000000000003E-2</v>
      </c>
      <c r="J126" s="64">
        <f>0</f>
        <v>0</v>
      </c>
      <c r="K126" s="61">
        <f>Table13568[[#This Row],[Investment]]/Table13568[[#This Row],[Dollar Volume]]</f>
        <v>0</v>
      </c>
      <c r="L126" s="34">
        <f>IFERROR(MAX($T$11+$T$12*LN(Table13568[[#This Row],[Frac ADV]]),0),0)*0.0001+0.005/Table13568[[#This Row],[Stock Price]]+Table13568[[#This Row],[Expense Ratio]]</f>
        <v>3.7299270072992699E-4</v>
      </c>
      <c r="M126" s="68">
        <f>(Table13568[[#This Row],[Expected Return]]-Table13568[[#This Row],[Tcosts]])*Table13568[[#This Row],[Investment]]</f>
        <v>0</v>
      </c>
      <c r="Q126" s="13" t="s">
        <v>586</v>
      </c>
    </row>
    <row r="127" spans="1:17" ht="16.2" thickBot="1" x14ac:dyDescent="0.35">
      <c r="A127" s="79" t="s">
        <v>634</v>
      </c>
      <c r="B127" s="74" t="s">
        <v>635</v>
      </c>
      <c r="C127" s="74">
        <v>48.43</v>
      </c>
      <c r="D127" s="86" t="s">
        <v>636</v>
      </c>
      <c r="E127" s="76">
        <v>3.0000000000000001E-3</v>
      </c>
      <c r="F127" s="74">
        <v>0.67</v>
      </c>
      <c r="G127" s="78">
        <v>97020000</v>
      </c>
      <c r="H127" s="3" t="b">
        <f t="shared" si="3"/>
        <v>0</v>
      </c>
      <c r="I127" s="26">
        <f>Table13568[[#This Row],[Tech]]*$T$7+Table13568[[#This Row],[Beta]]*($T$6-$T$8)+$T$8</f>
        <v>7.9011999999999999E-2</v>
      </c>
      <c r="J127" s="64">
        <f>0</f>
        <v>0</v>
      </c>
      <c r="K127" s="61">
        <f>Table13568[[#This Row],[Investment]]/Table13568[[#This Row],[Dollar Volume]]</f>
        <v>0</v>
      </c>
      <c r="L127" s="34">
        <f>IFERROR(MAX($T$11+$T$12*LN(Table13568[[#This Row],[Frac ADV]]),0),0)*0.0001+0.005/Table13568[[#This Row],[Stock Price]]+Table13568[[#This Row],[Expense Ratio]]</f>
        <v>3.1032417922775141E-3</v>
      </c>
      <c r="M127" s="68">
        <f>(Table13568[[#This Row],[Expected Return]]-Table13568[[#This Row],[Tcosts]])*Table13568[[#This Row],[Investment]]</f>
        <v>0</v>
      </c>
      <c r="Q127" s="16" t="s">
        <v>590</v>
      </c>
    </row>
    <row r="128" spans="1:17" ht="16.2" thickBot="1" x14ac:dyDescent="0.35">
      <c r="A128" s="79" t="s">
        <v>499</v>
      </c>
      <c r="B128" s="74" t="s">
        <v>500</v>
      </c>
      <c r="C128" s="74">
        <v>204.61</v>
      </c>
      <c r="D128" s="86" t="s">
        <v>501</v>
      </c>
      <c r="E128" s="76">
        <v>2.9999999999999997E-4</v>
      </c>
      <c r="F128" s="74">
        <v>0.69</v>
      </c>
      <c r="G128" s="78">
        <v>55380000</v>
      </c>
      <c r="H128" s="3" t="b">
        <f t="shared" si="3"/>
        <v>0</v>
      </c>
      <c r="I128" s="26">
        <f>Table13568[[#This Row],[Tech]]*$T$7+Table13568[[#This Row],[Beta]]*($T$6-$T$8)+$T$8</f>
        <v>8.0283999999999994E-2</v>
      </c>
      <c r="J128" s="64">
        <f>0</f>
        <v>0</v>
      </c>
      <c r="K128" s="61">
        <f>Table13568[[#This Row],[Investment]]/Table13568[[#This Row],[Dollar Volume]]</f>
        <v>0</v>
      </c>
      <c r="L128" s="34">
        <f>IFERROR(MAX($T$11+$T$12*LN(Table13568[[#This Row],[Frac ADV]]),0),0)*0.0001+0.005/Table13568[[#This Row],[Stock Price]]+Table13568[[#This Row],[Expense Ratio]]</f>
        <v>3.2443673329749276E-4</v>
      </c>
      <c r="M128" s="68">
        <f>(Table13568[[#This Row],[Expected Return]]-Table13568[[#This Row],[Tcosts]])*Table13568[[#This Row],[Investment]]</f>
        <v>0</v>
      </c>
      <c r="Q128" s="13" t="s">
        <v>594</v>
      </c>
    </row>
    <row r="129" spans="1:17" ht="16.2" thickBot="1" x14ac:dyDescent="0.35">
      <c r="A129" s="77" t="s">
        <v>408</v>
      </c>
      <c r="B129" s="73" t="s">
        <v>409</v>
      </c>
      <c r="C129" s="73">
        <v>156.38999999999999</v>
      </c>
      <c r="D129" s="85" t="s">
        <v>410</v>
      </c>
      <c r="E129" s="75">
        <v>5.9999999999999995E-4</v>
      </c>
      <c r="F129" s="73">
        <v>0.68</v>
      </c>
      <c r="G129" s="78">
        <v>90940000</v>
      </c>
      <c r="H129" s="3" t="b">
        <f t="shared" si="3"/>
        <v>0</v>
      </c>
      <c r="I129" s="26">
        <f>Table13568[[#This Row],[Tech]]*$T$7+Table13568[[#This Row],[Beta]]*($T$6-$T$8)+$T$8</f>
        <v>7.964800000000001E-2</v>
      </c>
      <c r="J129" s="64">
        <f>0</f>
        <v>0</v>
      </c>
      <c r="K129" s="61">
        <f>Table13568[[#This Row],[Investment]]/Table13568[[#This Row],[Dollar Volume]]</f>
        <v>0</v>
      </c>
      <c r="L129" s="34">
        <f>IFERROR(MAX($T$11+$T$12*LN(Table13568[[#This Row],[Frac ADV]]),0),0)*0.0001+0.005/Table13568[[#This Row],[Stock Price]]+Table13568[[#This Row],[Expense Ratio]]</f>
        <v>6.319713536671142E-4</v>
      </c>
      <c r="M129" s="68">
        <f>(Table13568[[#This Row],[Expected Return]]-Table13568[[#This Row],[Tcosts]])*Table13568[[#This Row],[Investment]]</f>
        <v>0</v>
      </c>
      <c r="Q129" s="16" t="s">
        <v>598</v>
      </c>
    </row>
    <row r="130" spans="1:17" ht="16.2" thickBot="1" x14ac:dyDescent="0.35">
      <c r="A130" s="79" t="s">
        <v>579</v>
      </c>
      <c r="B130" s="74" t="s">
        <v>580</v>
      </c>
      <c r="C130" s="74">
        <v>88.75</v>
      </c>
      <c r="D130" s="86" t="s">
        <v>581</v>
      </c>
      <c r="E130" s="76">
        <v>5.9999999999999995E-4</v>
      </c>
      <c r="F130" s="74">
        <v>0.68</v>
      </c>
      <c r="G130" s="78">
        <v>956440000</v>
      </c>
      <c r="H130" s="3" t="b">
        <f t="shared" ref="H130:H161" si="4">OR(
  ISNUMBER(SEARCH("technology",B130)),
  ISNUMBER(SEARCH("tech",B130)),
  ISNUMBER(SEARCH("qqq",B130)),
  ISNUMBER(SEARCH("semiconductor",B130)),
  ISNUMBER(SEARCH("information technology",B130)),
  ISNUMBER(SEARCH("nasdaq",B130)),
  ISNUMBER(SEARCH("communication",B130))
)</f>
        <v>0</v>
      </c>
      <c r="I130" s="26">
        <f>Table13568[[#This Row],[Tech]]*$T$7+Table13568[[#This Row],[Beta]]*($T$6-$T$8)+$T$8</f>
        <v>7.964800000000001E-2</v>
      </c>
      <c r="J130" s="64">
        <f>0</f>
        <v>0</v>
      </c>
      <c r="K130" s="61">
        <f>Table13568[[#This Row],[Investment]]/Table13568[[#This Row],[Dollar Volume]]</f>
        <v>0</v>
      </c>
      <c r="L130" s="34">
        <f>IFERROR(MAX($T$11+$T$12*LN(Table13568[[#This Row],[Frac ADV]]),0),0)*0.0001+0.005/Table13568[[#This Row],[Stock Price]]+Table13568[[#This Row],[Expense Ratio]]</f>
        <v>6.5633802816901401E-4</v>
      </c>
      <c r="M130" s="68">
        <f>(Table13568[[#This Row],[Expected Return]]-Table13568[[#This Row],[Tcosts]])*Table13568[[#This Row],[Investment]]</f>
        <v>0</v>
      </c>
      <c r="Q130" s="13" t="s">
        <v>601</v>
      </c>
    </row>
    <row r="131" spans="1:17" ht="16.2" thickBot="1" x14ac:dyDescent="0.35">
      <c r="A131" s="79" t="s">
        <v>448</v>
      </c>
      <c r="B131" s="74" t="s">
        <v>449</v>
      </c>
      <c r="C131" s="74">
        <v>85.05</v>
      </c>
      <c r="D131" s="86" t="s">
        <v>450</v>
      </c>
      <c r="E131" s="76">
        <v>4.0000000000000001E-3</v>
      </c>
      <c r="F131" s="74">
        <v>0.71</v>
      </c>
      <c r="G131" s="78">
        <v>392540000</v>
      </c>
      <c r="H131" s="3" t="b">
        <f t="shared" si="4"/>
        <v>0</v>
      </c>
      <c r="I131" s="26">
        <f>Table13568[[#This Row],[Tech]]*$T$7+Table13568[[#This Row],[Beta]]*($T$6-$T$8)+$T$8</f>
        <v>8.1556000000000003E-2</v>
      </c>
      <c r="J131" s="64">
        <f>0</f>
        <v>0</v>
      </c>
      <c r="K131" s="61">
        <f>Table13568[[#This Row],[Investment]]/Table13568[[#This Row],[Dollar Volume]]</f>
        <v>0</v>
      </c>
      <c r="L131" s="34">
        <f>IFERROR(MAX($T$11+$T$12*LN(Table13568[[#This Row],[Frac ADV]]),0),0)*0.0001+0.005/Table13568[[#This Row],[Stock Price]]+Table13568[[#This Row],[Expense Ratio]]</f>
        <v>4.0587889476778371E-3</v>
      </c>
      <c r="M131" s="68">
        <f>(Table13568[[#This Row],[Expected Return]]-Table13568[[#This Row],[Tcosts]])*Table13568[[#This Row],[Investment]]</f>
        <v>0</v>
      </c>
      <c r="Q131" s="16" t="s">
        <v>605</v>
      </c>
    </row>
    <row r="132" spans="1:17" ht="16.2" thickBot="1" x14ac:dyDescent="0.35">
      <c r="A132" s="79" t="s">
        <v>650</v>
      </c>
      <c r="B132" s="74" t="s">
        <v>651</v>
      </c>
      <c r="C132" s="74">
        <v>78.88</v>
      </c>
      <c r="D132" s="86" t="s">
        <v>652</v>
      </c>
      <c r="E132" s="76">
        <v>3.3E-3</v>
      </c>
      <c r="F132" s="74">
        <v>0.61</v>
      </c>
      <c r="G132" s="78">
        <v>174030000</v>
      </c>
      <c r="H132" s="3" t="b">
        <f t="shared" si="4"/>
        <v>0</v>
      </c>
      <c r="I132" s="26">
        <f>Table13568[[#This Row],[Tech]]*$T$7+Table13568[[#This Row],[Beta]]*($T$6-$T$8)+$T$8</f>
        <v>7.5196000000000013E-2</v>
      </c>
      <c r="J132" s="64">
        <f>0</f>
        <v>0</v>
      </c>
      <c r="K132" s="61">
        <f>Table13568[[#This Row],[Investment]]/Table13568[[#This Row],[Dollar Volume]]</f>
        <v>0</v>
      </c>
      <c r="L132" s="34">
        <f>IFERROR(MAX($T$11+$T$12*LN(Table13568[[#This Row],[Frac ADV]]),0),0)*0.0001+0.005/Table13568[[#This Row],[Stock Price]]+Table13568[[#This Row],[Expense Ratio]]</f>
        <v>3.3633874239350913E-3</v>
      </c>
      <c r="M132" s="68">
        <f>(Table13568[[#This Row],[Expected Return]]-Table13568[[#This Row],[Tcosts]])*Table13568[[#This Row],[Investment]]</f>
        <v>0</v>
      </c>
      <c r="Q132" s="13" t="s">
        <v>609</v>
      </c>
    </row>
    <row r="133" spans="1:17" ht="16.2" thickBot="1" x14ac:dyDescent="0.35">
      <c r="A133" s="79" t="s">
        <v>559</v>
      </c>
      <c r="B133" s="74" t="s">
        <v>560</v>
      </c>
      <c r="C133" s="74">
        <v>57.76</v>
      </c>
      <c r="D133" s="86" t="s">
        <v>561</v>
      </c>
      <c r="E133" s="76">
        <v>5.9999999999999995E-4</v>
      </c>
      <c r="F133" s="74">
        <v>0.66</v>
      </c>
      <c r="G133" s="78">
        <v>229180000</v>
      </c>
      <c r="H133" s="3" t="b">
        <f t="shared" si="4"/>
        <v>0</v>
      </c>
      <c r="I133" s="26">
        <f>Table13568[[#This Row],[Tech]]*$T$7+Table13568[[#This Row],[Beta]]*($T$6-$T$8)+$T$8</f>
        <v>7.8376000000000001E-2</v>
      </c>
      <c r="J133" s="64">
        <f>0</f>
        <v>0</v>
      </c>
      <c r="K133" s="61">
        <f>Table13568[[#This Row],[Investment]]/Table13568[[#This Row],[Dollar Volume]]</f>
        <v>0</v>
      </c>
      <c r="L133" s="34">
        <f>IFERROR(MAX($T$11+$T$12*LN(Table13568[[#This Row],[Frac ADV]]),0),0)*0.0001+0.005/Table13568[[#This Row],[Stock Price]]+Table13568[[#This Row],[Expense Ratio]]</f>
        <v>6.8656509695290858E-4</v>
      </c>
      <c r="M133" s="68">
        <f>(Table13568[[#This Row],[Expected Return]]-Table13568[[#This Row],[Tcosts]])*Table13568[[#This Row],[Investment]]</f>
        <v>0</v>
      </c>
      <c r="Q133" s="16" t="s">
        <v>613</v>
      </c>
    </row>
    <row r="134" spans="1:17" ht="16.2" thickBot="1" x14ac:dyDescent="0.35">
      <c r="A134" s="79" t="s">
        <v>456</v>
      </c>
      <c r="B134" s="74" t="s">
        <v>457</v>
      </c>
      <c r="C134" s="74">
        <v>67.73</v>
      </c>
      <c r="D134" s="86" t="s">
        <v>458</v>
      </c>
      <c r="E134" s="76">
        <v>5.0000000000000001E-3</v>
      </c>
      <c r="F134" s="74">
        <v>0.66</v>
      </c>
      <c r="G134" s="78">
        <v>91260000</v>
      </c>
      <c r="H134" s="3" t="b">
        <f t="shared" si="4"/>
        <v>0</v>
      </c>
      <c r="I134" s="26">
        <f>Table13568[[#This Row],[Tech]]*$T$7+Table13568[[#This Row],[Beta]]*($T$6-$T$8)+$T$8</f>
        <v>7.8376000000000001E-2</v>
      </c>
      <c r="J134" s="64">
        <f>0</f>
        <v>0</v>
      </c>
      <c r="K134" s="61">
        <f>Table13568[[#This Row],[Investment]]/Table13568[[#This Row],[Dollar Volume]]</f>
        <v>0</v>
      </c>
      <c r="L134" s="34">
        <f>IFERROR(MAX($T$11+$T$12*LN(Table13568[[#This Row],[Frac ADV]]),0),0)*0.0001+0.005/Table13568[[#This Row],[Stock Price]]+Table13568[[#This Row],[Expense Ratio]]</f>
        <v>5.0738225306363504E-3</v>
      </c>
      <c r="M134" s="68">
        <f>(Table13568[[#This Row],[Expected Return]]-Table13568[[#This Row],[Tcosts]])*Table13568[[#This Row],[Investment]]</f>
        <v>0</v>
      </c>
      <c r="Q134" s="13" t="s">
        <v>617</v>
      </c>
    </row>
    <row r="135" spans="1:17" ht="16.2" thickBot="1" x14ac:dyDescent="0.35">
      <c r="A135" s="77" t="s">
        <v>630</v>
      </c>
      <c r="B135" s="73" t="s">
        <v>631</v>
      </c>
      <c r="C135" s="73">
        <v>156.34</v>
      </c>
      <c r="D135" s="85" t="s">
        <v>632</v>
      </c>
      <c r="E135" s="75">
        <v>3.8E-3</v>
      </c>
      <c r="F135" s="73">
        <v>0.61</v>
      </c>
      <c r="G135" s="78">
        <v>96950000</v>
      </c>
      <c r="H135" s="3" t="b">
        <f t="shared" si="4"/>
        <v>0</v>
      </c>
      <c r="I135" s="26">
        <f>Table13568[[#This Row],[Tech]]*$T$7+Table13568[[#This Row],[Beta]]*($T$6-$T$8)+$T$8</f>
        <v>7.5196000000000013E-2</v>
      </c>
      <c r="J135" s="64">
        <f>0</f>
        <v>0</v>
      </c>
      <c r="K135" s="61">
        <f>Table13568[[#This Row],[Investment]]/Table13568[[#This Row],[Dollar Volume]]</f>
        <v>0</v>
      </c>
      <c r="L135" s="34">
        <f>IFERROR(MAX($T$11+$T$12*LN(Table13568[[#This Row],[Frac ADV]]),0),0)*0.0001+0.005/Table13568[[#This Row],[Stock Price]]+Table13568[[#This Row],[Expense Ratio]]</f>
        <v>3.83198157861072E-3</v>
      </c>
      <c r="M135" s="68">
        <f>(Table13568[[#This Row],[Expected Return]]-Table13568[[#This Row],[Tcosts]])*Table13568[[#This Row],[Investment]]</f>
        <v>0</v>
      </c>
      <c r="Q135" s="16" t="s">
        <v>621</v>
      </c>
    </row>
    <row r="136" spans="1:17" ht="16.2" thickBot="1" x14ac:dyDescent="0.35">
      <c r="A136" s="77" t="s">
        <v>575</v>
      </c>
      <c r="B136" s="73" t="s">
        <v>576</v>
      </c>
      <c r="C136" s="73">
        <v>50.29</v>
      </c>
      <c r="D136" s="85" t="s">
        <v>577</v>
      </c>
      <c r="E136" s="75">
        <v>6.9999999999999999E-4</v>
      </c>
      <c r="F136" s="73">
        <v>0.64</v>
      </c>
      <c r="G136" s="78">
        <v>54550000</v>
      </c>
      <c r="H136" s="3" t="b">
        <f t="shared" si="4"/>
        <v>0</v>
      </c>
      <c r="I136" s="26">
        <f>Table13568[[#This Row],[Tech]]*$T$7+Table13568[[#This Row],[Beta]]*($T$6-$T$8)+$T$8</f>
        <v>7.7104000000000006E-2</v>
      </c>
      <c r="J136" s="64">
        <f>0</f>
        <v>0</v>
      </c>
      <c r="K136" s="61">
        <f>Table13568[[#This Row],[Investment]]/Table13568[[#This Row],[Dollar Volume]]</f>
        <v>0</v>
      </c>
      <c r="L136" s="34">
        <f>IFERROR(MAX($T$11+$T$12*LN(Table13568[[#This Row],[Frac ADV]]),0),0)*0.0001+0.005/Table13568[[#This Row],[Stock Price]]+Table13568[[#This Row],[Expense Ratio]]</f>
        <v>7.9942334460131239E-4</v>
      </c>
      <c r="M136" s="68">
        <f>(Table13568[[#This Row],[Expected Return]]-Table13568[[#This Row],[Tcosts]])*Table13568[[#This Row],[Investment]]</f>
        <v>0</v>
      </c>
      <c r="Q136" s="13" t="s">
        <v>625</v>
      </c>
    </row>
    <row r="137" spans="1:17" ht="16.2" thickBot="1" x14ac:dyDescent="0.35">
      <c r="A137" s="79" t="s">
        <v>622</v>
      </c>
      <c r="B137" s="74" t="s">
        <v>623</v>
      </c>
      <c r="C137" s="74">
        <v>37.049999999999997</v>
      </c>
      <c r="D137" s="86" t="s">
        <v>624</v>
      </c>
      <c r="E137" s="76">
        <v>2.5000000000000001E-3</v>
      </c>
      <c r="F137" s="74">
        <v>0.59</v>
      </c>
      <c r="G137" s="78">
        <v>3810000000</v>
      </c>
      <c r="H137" s="3" t="b">
        <f t="shared" si="4"/>
        <v>0</v>
      </c>
      <c r="I137" s="26">
        <f>Table13568[[#This Row],[Tech]]*$T$7+Table13568[[#This Row],[Beta]]*($T$6-$T$8)+$T$8</f>
        <v>7.3924000000000004E-2</v>
      </c>
      <c r="J137" s="64">
        <f>0</f>
        <v>0</v>
      </c>
      <c r="K137" s="61">
        <f>Table13568[[#This Row],[Investment]]/Table13568[[#This Row],[Dollar Volume]]</f>
        <v>0</v>
      </c>
      <c r="L137" s="34">
        <f>IFERROR(MAX($T$11+$T$12*LN(Table13568[[#This Row],[Frac ADV]]),0),0)*0.0001+0.005/Table13568[[#This Row],[Stock Price]]+Table13568[[#This Row],[Expense Ratio]]</f>
        <v>2.6349527665317138E-3</v>
      </c>
      <c r="M137" s="68">
        <f>(Table13568[[#This Row],[Expected Return]]-Table13568[[#This Row],[Tcosts]])*Table13568[[#This Row],[Investment]]</f>
        <v>0</v>
      </c>
      <c r="Q137" s="16" t="s">
        <v>629</v>
      </c>
    </row>
    <row r="138" spans="1:17" ht="16.2" thickBot="1" x14ac:dyDescent="0.35">
      <c r="A138" s="79" t="s">
        <v>642</v>
      </c>
      <c r="B138" s="74" t="s">
        <v>643</v>
      </c>
      <c r="C138" s="74">
        <v>59.01</v>
      </c>
      <c r="D138" s="86" t="s">
        <v>644</v>
      </c>
      <c r="E138" s="76">
        <v>3.5000000000000001E-3</v>
      </c>
      <c r="F138" s="74">
        <v>0.61</v>
      </c>
      <c r="G138" s="78">
        <v>96500000</v>
      </c>
      <c r="H138" s="3" t="b">
        <f t="shared" si="4"/>
        <v>0</v>
      </c>
      <c r="I138" s="26">
        <f>Table13568[[#This Row],[Tech]]*$T$7+Table13568[[#This Row],[Beta]]*($T$6-$T$8)+$T$8</f>
        <v>7.5196000000000013E-2</v>
      </c>
      <c r="J138" s="64">
        <f>0</f>
        <v>0</v>
      </c>
      <c r="K138" s="61">
        <f>Table13568[[#This Row],[Investment]]/Table13568[[#This Row],[Dollar Volume]]</f>
        <v>0</v>
      </c>
      <c r="L138" s="34">
        <f>IFERROR(MAX($T$11+$T$12*LN(Table13568[[#This Row],[Frac ADV]]),0),0)*0.0001+0.005/Table13568[[#This Row],[Stock Price]]+Table13568[[#This Row],[Expense Ratio]]</f>
        <v>3.5847314014573802E-3</v>
      </c>
      <c r="M138" s="68">
        <f>(Table13568[[#This Row],[Expected Return]]-Table13568[[#This Row],[Tcosts]])*Table13568[[#This Row],[Investment]]</f>
        <v>0</v>
      </c>
      <c r="Q138" s="13" t="s">
        <v>633</v>
      </c>
    </row>
    <row r="139" spans="1:17" ht="16.2" thickBot="1" x14ac:dyDescent="0.35">
      <c r="A139" s="79" t="s">
        <v>618</v>
      </c>
      <c r="B139" s="74" t="s">
        <v>619</v>
      </c>
      <c r="C139" s="74">
        <v>53.98</v>
      </c>
      <c r="D139" s="86" t="s">
        <v>620</v>
      </c>
      <c r="E139" s="76">
        <v>8.0000000000000004E-4</v>
      </c>
      <c r="F139" s="74">
        <v>0.63</v>
      </c>
      <c r="G139" s="78">
        <v>93410000</v>
      </c>
      <c r="H139" s="3" t="b">
        <f t="shared" si="4"/>
        <v>0</v>
      </c>
      <c r="I139" s="26">
        <f>Table13568[[#This Row],[Tech]]*$T$7+Table13568[[#This Row],[Beta]]*($T$6-$T$8)+$T$8</f>
        <v>7.6468000000000008E-2</v>
      </c>
      <c r="J139" s="64">
        <f>0</f>
        <v>0</v>
      </c>
      <c r="K139" s="61">
        <f>Table13568[[#This Row],[Investment]]/Table13568[[#This Row],[Dollar Volume]]</f>
        <v>0</v>
      </c>
      <c r="L139" s="34">
        <f>IFERROR(MAX($T$11+$T$12*LN(Table13568[[#This Row],[Frac ADV]]),0),0)*0.0001+0.005/Table13568[[#This Row],[Stock Price]]+Table13568[[#This Row],[Expense Ratio]]</f>
        <v>8.9262689885142655E-4</v>
      </c>
      <c r="M139" s="68">
        <f>(Table13568[[#This Row],[Expected Return]]-Table13568[[#This Row],[Tcosts]])*Table13568[[#This Row],[Investment]]</f>
        <v>0</v>
      </c>
      <c r="Q139" s="16" t="s">
        <v>637</v>
      </c>
    </row>
    <row r="140" spans="1:17" ht="16.2" thickBot="1" x14ac:dyDescent="0.35">
      <c r="A140" s="77" t="s">
        <v>646</v>
      </c>
      <c r="B140" s="73" t="s">
        <v>647</v>
      </c>
      <c r="C140" s="73">
        <v>287.81</v>
      </c>
      <c r="D140" s="85" t="s">
        <v>648</v>
      </c>
      <c r="E140" s="75">
        <v>8.9999999999999998E-4</v>
      </c>
      <c r="F140" s="73">
        <v>0.53</v>
      </c>
      <c r="G140" s="78">
        <v>437940000</v>
      </c>
      <c r="H140" s="3" t="b">
        <f t="shared" si="4"/>
        <v>0</v>
      </c>
      <c r="I140" s="26">
        <f>Table13568[[#This Row],[Tech]]*$T$7+Table13568[[#This Row],[Beta]]*($T$6-$T$8)+$T$8</f>
        <v>7.0108000000000004E-2</v>
      </c>
      <c r="J140" s="64">
        <f>0</f>
        <v>0</v>
      </c>
      <c r="K140" s="61">
        <f>Table13568[[#This Row],[Investment]]/Table13568[[#This Row],[Dollar Volume]]</f>
        <v>0</v>
      </c>
      <c r="L140" s="34">
        <f>IFERROR(MAX($T$11+$T$12*LN(Table13568[[#This Row],[Frac ADV]]),0),0)*0.0001+0.005/Table13568[[#This Row],[Stock Price]]+Table13568[[#This Row],[Expense Ratio]]</f>
        <v>9.1737257218303734E-4</v>
      </c>
      <c r="M140" s="68">
        <f>(Table13568[[#This Row],[Expected Return]]-Table13568[[#This Row],[Tcosts]])*Table13568[[#This Row],[Investment]]</f>
        <v>0</v>
      </c>
      <c r="Q140" s="13" t="s">
        <v>641</v>
      </c>
    </row>
    <row r="141" spans="1:17" ht="16.2" thickBot="1" x14ac:dyDescent="0.35">
      <c r="A141" s="77" t="s">
        <v>610</v>
      </c>
      <c r="B141" s="73" t="s">
        <v>611</v>
      </c>
      <c r="C141" s="73">
        <v>138.38999999999999</v>
      </c>
      <c r="D141" s="85" t="s">
        <v>612</v>
      </c>
      <c r="E141" s="75">
        <v>8.0000000000000004E-4</v>
      </c>
      <c r="F141" s="73">
        <v>0.35</v>
      </c>
      <c r="G141" s="78">
        <v>3150000000</v>
      </c>
      <c r="H141" s="3" t="b">
        <f t="shared" si="4"/>
        <v>0</v>
      </c>
      <c r="I141" s="26">
        <f>Table13568[[#This Row],[Tech]]*$T$7+Table13568[[#This Row],[Beta]]*($T$6-$T$8)+$T$8</f>
        <v>5.8660000000000004E-2</v>
      </c>
      <c r="J141" s="64">
        <f>0</f>
        <v>0</v>
      </c>
      <c r="K141" s="61">
        <f>Table13568[[#This Row],[Investment]]/Table13568[[#This Row],[Dollar Volume]]</f>
        <v>0</v>
      </c>
      <c r="L141" s="34">
        <f>IFERROR(MAX($T$11+$T$12*LN(Table13568[[#This Row],[Frac ADV]]),0),0)*0.0001+0.005/Table13568[[#This Row],[Stock Price]]+Table13568[[#This Row],[Expense Ratio]]</f>
        <v>8.3612977816316207E-4</v>
      </c>
      <c r="M141" s="68">
        <f>(Table13568[[#This Row],[Expected Return]]-Table13568[[#This Row],[Tcosts]])*Table13568[[#This Row],[Investment]]</f>
        <v>0</v>
      </c>
      <c r="Q141" s="16" t="s">
        <v>645</v>
      </c>
    </row>
    <row r="142" spans="1:17" ht="16.2" thickBot="1" x14ac:dyDescent="0.35">
      <c r="A142" s="77" t="s">
        <v>654</v>
      </c>
      <c r="B142" s="73" t="s">
        <v>655</v>
      </c>
      <c r="C142" s="73">
        <v>113.28</v>
      </c>
      <c r="D142" s="85" t="s">
        <v>656</v>
      </c>
      <c r="E142" s="75">
        <v>3.5000000000000001E-3</v>
      </c>
      <c r="F142" s="73">
        <v>0.52</v>
      </c>
      <c r="G142" s="78">
        <v>273110000</v>
      </c>
      <c r="H142" s="3" t="b">
        <f t="shared" si="4"/>
        <v>0</v>
      </c>
      <c r="I142" s="26">
        <f>Table13568[[#This Row],[Tech]]*$T$7+Table13568[[#This Row],[Beta]]*($T$6-$T$8)+$T$8</f>
        <v>6.9472000000000006E-2</v>
      </c>
      <c r="J142" s="64">
        <f>0</f>
        <v>0</v>
      </c>
      <c r="K142" s="61">
        <f>Table13568[[#This Row],[Investment]]/Table13568[[#This Row],[Dollar Volume]]</f>
        <v>0</v>
      </c>
      <c r="L142" s="34">
        <f>IFERROR(MAX($T$11+$T$12*LN(Table13568[[#This Row],[Frac ADV]]),0),0)*0.0001+0.005/Table13568[[#This Row],[Stock Price]]+Table13568[[#This Row],[Expense Ratio]]</f>
        <v>3.5441384180790961E-3</v>
      </c>
      <c r="M142" s="68">
        <f>(Table13568[[#This Row],[Expected Return]]-Table13568[[#This Row],[Tcosts]])*Table13568[[#This Row],[Investment]]</f>
        <v>0</v>
      </c>
      <c r="Q142" s="13" t="s">
        <v>649</v>
      </c>
    </row>
    <row r="143" spans="1:17" ht="16.2" thickBot="1" x14ac:dyDescent="0.35">
      <c r="A143" s="79" t="s">
        <v>420</v>
      </c>
      <c r="B143" s="74" t="s">
        <v>421</v>
      </c>
      <c r="C143" s="74">
        <v>99.55</v>
      </c>
      <c r="D143" s="86" t="s">
        <v>422</v>
      </c>
      <c r="E143" s="76">
        <v>6.9999999999999999E-4</v>
      </c>
      <c r="F143" s="74">
        <v>0.56000000000000005</v>
      </c>
      <c r="G143" s="78">
        <v>251580000</v>
      </c>
      <c r="H143" s="3" t="b">
        <f t="shared" si="4"/>
        <v>0</v>
      </c>
      <c r="I143" s="26">
        <f>Table13568[[#This Row],[Tech]]*$T$7+Table13568[[#This Row],[Beta]]*($T$6-$T$8)+$T$8</f>
        <v>7.2016000000000011E-2</v>
      </c>
      <c r="J143" s="64">
        <f>0</f>
        <v>0</v>
      </c>
      <c r="K143" s="61">
        <f>Table13568[[#This Row],[Investment]]/Table13568[[#This Row],[Dollar Volume]]</f>
        <v>0</v>
      </c>
      <c r="L143" s="34">
        <f>IFERROR(MAX($T$11+$T$12*LN(Table13568[[#This Row],[Frac ADV]]),0),0)*0.0001+0.005/Table13568[[#This Row],[Stock Price]]+Table13568[[#This Row],[Expense Ratio]]</f>
        <v>7.5022601707684579E-4</v>
      </c>
      <c r="M143" s="68">
        <f>(Table13568[[#This Row],[Expected Return]]-Table13568[[#This Row],[Tcosts]])*Table13568[[#This Row],[Investment]]</f>
        <v>0</v>
      </c>
      <c r="Q143" s="16" t="s">
        <v>653</v>
      </c>
    </row>
    <row r="144" spans="1:17" ht="16.2" thickBot="1" x14ac:dyDescent="0.35">
      <c r="A144" s="77" t="s">
        <v>673</v>
      </c>
      <c r="B144" s="73" t="s">
        <v>674</v>
      </c>
      <c r="C144" s="73">
        <v>31.34</v>
      </c>
      <c r="D144" s="85" t="s">
        <v>675</v>
      </c>
      <c r="E144" s="75">
        <v>5.9999999999999995E-4</v>
      </c>
      <c r="F144" s="73">
        <v>0.55000000000000004</v>
      </c>
      <c r="G144" s="78">
        <v>87610000</v>
      </c>
      <c r="H144" s="3" t="b">
        <f t="shared" si="4"/>
        <v>0</v>
      </c>
      <c r="I144" s="26">
        <f>Table13568[[#This Row],[Tech]]*$T$7+Table13568[[#This Row],[Beta]]*($T$6-$T$8)+$T$8</f>
        <v>7.1379999999999999E-2</v>
      </c>
      <c r="J144" s="64">
        <f>0</f>
        <v>0</v>
      </c>
      <c r="K144" s="61">
        <f>Table13568[[#This Row],[Investment]]/Table13568[[#This Row],[Dollar Volume]]</f>
        <v>0</v>
      </c>
      <c r="L144" s="34">
        <f>IFERROR(MAX($T$11+$T$12*LN(Table13568[[#This Row],[Frac ADV]]),0),0)*0.0001+0.005/Table13568[[#This Row],[Stock Price]]+Table13568[[#This Row],[Expense Ratio]]</f>
        <v>7.5954052329291633E-4</v>
      </c>
      <c r="M144" s="68">
        <f>(Table13568[[#This Row],[Expected Return]]-Table13568[[#This Row],[Tcosts]])*Table13568[[#This Row],[Investment]]</f>
        <v>0</v>
      </c>
      <c r="Q144" s="13" t="s">
        <v>657</v>
      </c>
    </row>
    <row r="145" spans="1:17" ht="16.2" thickBot="1" x14ac:dyDescent="0.35">
      <c r="A145" s="79" t="s">
        <v>665</v>
      </c>
      <c r="B145" s="74" t="s">
        <v>666</v>
      </c>
      <c r="C145" s="74">
        <v>98.28</v>
      </c>
      <c r="D145" s="86" t="s">
        <v>667</v>
      </c>
      <c r="E145" s="76">
        <v>5.1000000000000004E-3</v>
      </c>
      <c r="F145" s="74">
        <v>0.53</v>
      </c>
      <c r="G145" s="78">
        <v>178060000</v>
      </c>
      <c r="H145" s="3" t="b">
        <f t="shared" si="4"/>
        <v>0</v>
      </c>
      <c r="I145" s="26">
        <f>Table13568[[#This Row],[Tech]]*$T$7+Table13568[[#This Row],[Beta]]*($T$6-$T$8)+$T$8</f>
        <v>7.0108000000000004E-2</v>
      </c>
      <c r="J145" s="64">
        <f>0</f>
        <v>0</v>
      </c>
      <c r="K145" s="61">
        <f>Table13568[[#This Row],[Investment]]/Table13568[[#This Row],[Dollar Volume]]</f>
        <v>0</v>
      </c>
      <c r="L145" s="34">
        <f>IFERROR(MAX($T$11+$T$12*LN(Table13568[[#This Row],[Frac ADV]]),0),0)*0.0001+0.005/Table13568[[#This Row],[Stock Price]]+Table13568[[#This Row],[Expense Ratio]]</f>
        <v>5.1508750508750516E-3</v>
      </c>
      <c r="M145" s="68">
        <f>(Table13568[[#This Row],[Expected Return]]-Table13568[[#This Row],[Tcosts]])*Table13568[[#This Row],[Investment]]</f>
        <v>0</v>
      </c>
      <c r="Q145" s="16" t="s">
        <v>660</v>
      </c>
    </row>
    <row r="146" spans="1:17" ht="16.2" thickBot="1" x14ac:dyDescent="0.35">
      <c r="A146" s="79" t="s">
        <v>681</v>
      </c>
      <c r="B146" s="74" t="s">
        <v>682</v>
      </c>
      <c r="C146" s="74">
        <v>95.19</v>
      </c>
      <c r="D146" s="86" t="s">
        <v>683</v>
      </c>
      <c r="E146" s="76">
        <v>1.5E-3</v>
      </c>
      <c r="F146" s="74">
        <v>0.49</v>
      </c>
      <c r="G146" s="78">
        <v>226700000</v>
      </c>
      <c r="H146" s="3" t="b">
        <f t="shared" si="4"/>
        <v>0</v>
      </c>
      <c r="I146" s="26">
        <f>Table13568[[#This Row],[Tech]]*$T$7+Table13568[[#This Row],[Beta]]*($T$6-$T$8)+$T$8</f>
        <v>6.7563999999999999E-2</v>
      </c>
      <c r="J146" s="64">
        <f>0</f>
        <v>0</v>
      </c>
      <c r="K146" s="61">
        <f>Table13568[[#This Row],[Investment]]/Table13568[[#This Row],[Dollar Volume]]</f>
        <v>0</v>
      </c>
      <c r="L146" s="34">
        <f>IFERROR(MAX($T$11+$T$12*LN(Table13568[[#This Row],[Frac ADV]]),0),0)*0.0001+0.005/Table13568[[#This Row],[Stock Price]]+Table13568[[#This Row],[Expense Ratio]]</f>
        <v>1.5525265258955773E-3</v>
      </c>
      <c r="M146" s="68">
        <f>(Table13568[[#This Row],[Expected Return]]-Table13568[[#This Row],[Tcosts]])*Table13568[[#This Row],[Investment]]</f>
        <v>0</v>
      </c>
      <c r="Q146" s="13" t="s">
        <v>664</v>
      </c>
    </row>
    <row r="147" spans="1:17" ht="16.2" thickBot="1" x14ac:dyDescent="0.35">
      <c r="A147" s="79" t="s">
        <v>626</v>
      </c>
      <c r="B147" s="74" t="s">
        <v>627</v>
      </c>
      <c r="C147" s="74">
        <v>50.27</v>
      </c>
      <c r="D147" s="86" t="s">
        <v>628</v>
      </c>
      <c r="E147" s="76">
        <v>8.5000000000000006E-3</v>
      </c>
      <c r="F147" s="74">
        <v>0.38</v>
      </c>
      <c r="G147" s="78">
        <v>126850000</v>
      </c>
      <c r="H147" s="3" t="b">
        <f t="shared" si="4"/>
        <v>0</v>
      </c>
      <c r="I147" s="26">
        <f>Table13568[[#This Row],[Tech]]*$T$7+Table13568[[#This Row],[Beta]]*($T$6-$T$8)+$T$8</f>
        <v>6.0568000000000004E-2</v>
      </c>
      <c r="J147" s="64">
        <f>0</f>
        <v>0</v>
      </c>
      <c r="K147" s="61">
        <f>Table13568[[#This Row],[Investment]]/Table13568[[#This Row],[Dollar Volume]]</f>
        <v>0</v>
      </c>
      <c r="L147" s="34">
        <f>IFERROR(MAX($T$11+$T$12*LN(Table13568[[#This Row],[Frac ADV]]),0),0)*0.0001+0.005/Table13568[[#This Row],[Stock Price]]+Table13568[[#This Row],[Expense Ratio]]</f>
        <v>8.5994629003381742E-3</v>
      </c>
      <c r="M147" s="68">
        <f>(Table13568[[#This Row],[Expected Return]]-Table13568[[#This Row],[Tcosts]])*Table13568[[#This Row],[Investment]]</f>
        <v>0</v>
      </c>
      <c r="Q147" s="16" t="s">
        <v>668</v>
      </c>
    </row>
    <row r="148" spans="1:17" ht="16.2" thickBot="1" x14ac:dyDescent="0.35">
      <c r="A148" s="77" t="s">
        <v>563</v>
      </c>
      <c r="B148" s="73" t="s">
        <v>564</v>
      </c>
      <c r="C148" s="73">
        <v>156</v>
      </c>
      <c r="D148" s="85" t="s">
        <v>565</v>
      </c>
      <c r="E148" s="75">
        <v>8.0000000000000004E-4</v>
      </c>
      <c r="F148" s="73">
        <v>0.47</v>
      </c>
      <c r="G148" s="78">
        <v>61790000</v>
      </c>
      <c r="H148" s="3" t="b">
        <f t="shared" si="4"/>
        <v>0</v>
      </c>
      <c r="I148" s="26">
        <f>Table13568[[#This Row],[Tech]]*$T$7+Table13568[[#This Row],[Beta]]*($T$6-$T$8)+$T$8</f>
        <v>6.6292000000000004E-2</v>
      </c>
      <c r="J148" s="64">
        <f>0</f>
        <v>0</v>
      </c>
      <c r="K148" s="61">
        <f>Table13568[[#This Row],[Investment]]/Table13568[[#This Row],[Dollar Volume]]</f>
        <v>0</v>
      </c>
      <c r="L148" s="34">
        <f>IFERROR(MAX($T$11+$T$12*LN(Table13568[[#This Row],[Frac ADV]]),0),0)*0.0001+0.005/Table13568[[#This Row],[Stock Price]]+Table13568[[#This Row],[Expense Ratio]]</f>
        <v>8.3205128205128206E-4</v>
      </c>
      <c r="M148" s="68">
        <f>(Table13568[[#This Row],[Expected Return]]-Table13568[[#This Row],[Tcosts]])*Table13568[[#This Row],[Investment]]</f>
        <v>0</v>
      </c>
      <c r="Q148" s="13" t="s">
        <v>672</v>
      </c>
    </row>
    <row r="149" spans="1:17" ht="16.2" thickBot="1" x14ac:dyDescent="0.35">
      <c r="A149" s="77" t="s">
        <v>677</v>
      </c>
      <c r="B149" s="73" t="s">
        <v>678</v>
      </c>
      <c r="C149" s="73">
        <v>154.11000000000001</v>
      </c>
      <c r="D149" s="85" t="s">
        <v>679</v>
      </c>
      <c r="E149" s="75">
        <v>3.5000000000000001E-3</v>
      </c>
      <c r="F149" s="73">
        <v>0.48</v>
      </c>
      <c r="G149" s="78">
        <v>722670000</v>
      </c>
      <c r="H149" s="3" t="b">
        <f t="shared" si="4"/>
        <v>0</v>
      </c>
      <c r="I149" s="26">
        <f>Table13568[[#This Row],[Tech]]*$T$7+Table13568[[#This Row],[Beta]]*($T$6-$T$8)+$T$8</f>
        <v>6.6928000000000001E-2</v>
      </c>
      <c r="J149" s="64">
        <f>0</f>
        <v>0</v>
      </c>
      <c r="K149" s="61">
        <f>Table13568[[#This Row],[Investment]]/Table13568[[#This Row],[Dollar Volume]]</f>
        <v>0</v>
      </c>
      <c r="L149" s="34">
        <f>IFERROR(MAX($T$11+$T$12*LN(Table13568[[#This Row],[Frac ADV]]),0),0)*0.0001+0.005/Table13568[[#This Row],[Stock Price]]+Table13568[[#This Row],[Expense Ratio]]</f>
        <v>3.5324443579261566E-3</v>
      </c>
      <c r="M149" s="68">
        <f>(Table13568[[#This Row],[Expected Return]]-Table13568[[#This Row],[Tcosts]])*Table13568[[#This Row],[Investment]]</f>
        <v>0</v>
      </c>
      <c r="Q149" s="16" t="s">
        <v>676</v>
      </c>
    </row>
    <row r="150" spans="1:17" ht="16.2" thickBot="1" x14ac:dyDescent="0.35">
      <c r="A150" s="77" t="s">
        <v>669</v>
      </c>
      <c r="B150" s="73" t="s">
        <v>670</v>
      </c>
      <c r="C150" s="73">
        <v>93.25</v>
      </c>
      <c r="D150" s="85" t="s">
        <v>671</v>
      </c>
      <c r="E150" s="75">
        <v>1.2999999999999999E-3</v>
      </c>
      <c r="F150" s="73">
        <v>0.42</v>
      </c>
      <c r="G150" s="78">
        <v>102790000</v>
      </c>
      <c r="H150" s="3" t="b">
        <f t="shared" si="4"/>
        <v>0</v>
      </c>
      <c r="I150" s="26">
        <f>Table13568[[#This Row],[Tech]]*$T$7+Table13568[[#This Row],[Beta]]*($T$6-$T$8)+$T$8</f>
        <v>6.3112000000000001E-2</v>
      </c>
      <c r="J150" s="64">
        <f>0</f>
        <v>0</v>
      </c>
      <c r="K150" s="61">
        <f>Table13568[[#This Row],[Investment]]/Table13568[[#This Row],[Dollar Volume]]</f>
        <v>0</v>
      </c>
      <c r="L150" s="34">
        <f>IFERROR(MAX($T$11+$T$12*LN(Table13568[[#This Row],[Frac ADV]]),0),0)*0.0001+0.005/Table13568[[#This Row],[Stock Price]]+Table13568[[#This Row],[Expense Ratio]]</f>
        <v>1.3536193029490616E-3</v>
      </c>
      <c r="M150" s="68">
        <f>(Table13568[[#This Row],[Expected Return]]-Table13568[[#This Row],[Tcosts]])*Table13568[[#This Row],[Investment]]</f>
        <v>0</v>
      </c>
      <c r="Q150" s="13" t="s">
        <v>680</v>
      </c>
    </row>
    <row r="151" spans="1:17" ht="16.2" thickBot="1" x14ac:dyDescent="0.35">
      <c r="A151" s="79" t="s">
        <v>658</v>
      </c>
      <c r="B151" s="74" t="s">
        <v>659</v>
      </c>
      <c r="C151" s="74">
        <v>45.25</v>
      </c>
      <c r="D151" s="86" t="s">
        <v>354</v>
      </c>
      <c r="E151" s="76">
        <v>8.0000000000000004E-4</v>
      </c>
      <c r="F151" s="74">
        <v>0.32</v>
      </c>
      <c r="G151" s="78">
        <v>72150000</v>
      </c>
      <c r="H151" s="3" t="b">
        <f t="shared" si="4"/>
        <v>0</v>
      </c>
      <c r="I151" s="26">
        <f>Table13568[[#This Row],[Tech]]*$T$7+Table13568[[#This Row],[Beta]]*($T$6-$T$8)+$T$8</f>
        <v>5.6752000000000004E-2</v>
      </c>
      <c r="J151" s="64">
        <f>0</f>
        <v>0</v>
      </c>
      <c r="K151" s="61">
        <f>Table13568[[#This Row],[Investment]]/Table13568[[#This Row],[Dollar Volume]]</f>
        <v>0</v>
      </c>
      <c r="L151" s="34">
        <f>IFERROR(MAX($T$11+$T$12*LN(Table13568[[#This Row],[Frac ADV]]),0),0)*0.0001+0.005/Table13568[[#This Row],[Stock Price]]+Table13568[[#This Row],[Expense Ratio]]</f>
        <v>9.104972375690608E-4</v>
      </c>
      <c r="M151" s="68">
        <f>(Table13568[[#This Row],[Expected Return]]-Table13568[[#This Row],[Tcosts]])*Table13568[[#This Row],[Investment]]</f>
        <v>0</v>
      </c>
      <c r="Q151" s="16" t="s">
        <v>684</v>
      </c>
    </row>
    <row r="152" spans="1:17" ht="16.2" thickBot="1" x14ac:dyDescent="0.35">
      <c r="A152" s="77" t="s">
        <v>709</v>
      </c>
      <c r="B152" s="73" t="s">
        <v>710</v>
      </c>
      <c r="C152" s="73">
        <v>31.48</v>
      </c>
      <c r="D152" s="85" t="s">
        <v>711</v>
      </c>
      <c r="E152" s="75">
        <v>4.4999999999999997E-3</v>
      </c>
      <c r="F152" s="73">
        <v>0.33</v>
      </c>
      <c r="G152" s="78">
        <v>157240000</v>
      </c>
      <c r="H152" s="3" t="b">
        <f t="shared" si="4"/>
        <v>0</v>
      </c>
      <c r="I152" s="26">
        <f>Table13568[[#This Row],[Tech]]*$T$7+Table13568[[#This Row],[Beta]]*($T$6-$T$8)+$T$8</f>
        <v>5.7388000000000008E-2</v>
      </c>
      <c r="J152" s="64">
        <f>0</f>
        <v>0</v>
      </c>
      <c r="K152" s="61">
        <f>Table13568[[#This Row],[Investment]]/Table13568[[#This Row],[Dollar Volume]]</f>
        <v>0</v>
      </c>
      <c r="L152" s="34">
        <f>IFERROR(MAX($T$11+$T$12*LN(Table13568[[#This Row],[Frac ADV]]),0),0)*0.0001+0.005/Table13568[[#This Row],[Stock Price]]+Table13568[[#This Row],[Expense Ratio]]</f>
        <v>4.6588310038119434E-3</v>
      </c>
      <c r="M152" s="68">
        <f>(Table13568[[#This Row],[Expected Return]]-Table13568[[#This Row],[Tcosts]])*Table13568[[#This Row],[Investment]]</f>
        <v>0</v>
      </c>
      <c r="Q152" s="13" t="s">
        <v>688</v>
      </c>
    </row>
    <row r="153" spans="1:17" ht="16.2" thickBot="1" x14ac:dyDescent="0.35">
      <c r="A153" s="79" t="s">
        <v>685</v>
      </c>
      <c r="B153" s="74" t="s">
        <v>686</v>
      </c>
      <c r="C153" s="74">
        <v>89.21</v>
      </c>
      <c r="D153" s="86" t="s">
        <v>687</v>
      </c>
      <c r="E153" s="76">
        <v>8.0000000000000004E-4</v>
      </c>
      <c r="F153" s="74">
        <v>0.21</v>
      </c>
      <c r="G153" s="78">
        <v>113530000</v>
      </c>
      <c r="H153" s="3" t="b">
        <f t="shared" si="4"/>
        <v>0</v>
      </c>
      <c r="I153" s="26">
        <f>Table13568[[#This Row],[Tech]]*$T$7+Table13568[[#This Row],[Beta]]*($T$6-$T$8)+$T$8</f>
        <v>4.9756000000000002E-2</v>
      </c>
      <c r="J153" s="64">
        <f>0</f>
        <v>0</v>
      </c>
      <c r="K153" s="61">
        <f>Table13568[[#This Row],[Investment]]/Table13568[[#This Row],[Dollar Volume]]</f>
        <v>0</v>
      </c>
      <c r="L153" s="34">
        <f>IFERROR(MAX($T$11+$T$12*LN(Table13568[[#This Row],[Frac ADV]]),0),0)*0.0001+0.005/Table13568[[#This Row],[Stock Price]]+Table13568[[#This Row],[Expense Ratio]]</f>
        <v>8.5604752830400186E-4</v>
      </c>
      <c r="M153" s="68">
        <f>(Table13568[[#This Row],[Expected Return]]-Table13568[[#This Row],[Tcosts]])*Table13568[[#This Row],[Investment]]</f>
        <v>0</v>
      </c>
      <c r="Q153" s="16" t="s">
        <v>692</v>
      </c>
    </row>
    <row r="154" spans="1:17" ht="16.2" thickBot="1" x14ac:dyDescent="0.35">
      <c r="A154" s="79" t="s">
        <v>689</v>
      </c>
      <c r="B154" s="74" t="s">
        <v>690</v>
      </c>
      <c r="C154" s="74">
        <v>80.790000000000006</v>
      </c>
      <c r="D154" s="86" t="s">
        <v>691</v>
      </c>
      <c r="E154" s="76">
        <v>4.8999999999999998E-3</v>
      </c>
      <c r="F154" s="74">
        <v>0.2</v>
      </c>
      <c r="G154" s="78">
        <v>112700000</v>
      </c>
      <c r="H154" s="3" t="b">
        <f t="shared" si="4"/>
        <v>0</v>
      </c>
      <c r="I154" s="26">
        <f>Table13568[[#This Row],[Tech]]*$T$7+Table13568[[#This Row],[Beta]]*($T$6-$T$8)+$T$8</f>
        <v>4.9120000000000004E-2</v>
      </c>
      <c r="J154" s="64">
        <f>0</f>
        <v>0</v>
      </c>
      <c r="K154" s="61">
        <f>Table13568[[#This Row],[Investment]]/Table13568[[#This Row],[Dollar Volume]]</f>
        <v>0</v>
      </c>
      <c r="L154" s="34">
        <f>IFERROR(MAX($T$11+$T$12*LN(Table13568[[#This Row],[Frac ADV]]),0),0)*0.0001+0.005/Table13568[[#This Row],[Stock Price]]+Table13568[[#This Row],[Expense Ratio]]</f>
        <v>4.9618888476296568E-3</v>
      </c>
      <c r="M154" s="68">
        <f>(Table13568[[#This Row],[Expected Return]]-Table13568[[#This Row],[Tcosts]])*Table13568[[#This Row],[Investment]]</f>
        <v>0</v>
      </c>
      <c r="Q154" s="13" t="s">
        <v>696</v>
      </c>
    </row>
    <row r="155" spans="1:17" ht="16.2" thickBot="1" x14ac:dyDescent="0.35">
      <c r="A155" s="77" t="s">
        <v>693</v>
      </c>
      <c r="B155" s="73" t="s">
        <v>694</v>
      </c>
      <c r="C155" s="73">
        <v>37.450000000000003</v>
      </c>
      <c r="D155" s="85" t="s">
        <v>695</v>
      </c>
      <c r="E155" s="75">
        <v>8.0000000000000004E-4</v>
      </c>
      <c r="F155" s="73">
        <v>0.21</v>
      </c>
      <c r="G155" s="78">
        <v>76130000</v>
      </c>
      <c r="H155" s="3" t="b">
        <f t="shared" si="4"/>
        <v>0</v>
      </c>
      <c r="I155" s="26">
        <f>Table13568[[#This Row],[Tech]]*$T$7+Table13568[[#This Row],[Beta]]*($T$6-$T$8)+$T$8</f>
        <v>4.9756000000000002E-2</v>
      </c>
      <c r="J155" s="64">
        <f>0</f>
        <v>0</v>
      </c>
      <c r="K155" s="61">
        <f>Table13568[[#This Row],[Investment]]/Table13568[[#This Row],[Dollar Volume]]</f>
        <v>0</v>
      </c>
      <c r="L155" s="34">
        <f>IFERROR(MAX($T$11+$T$12*LN(Table13568[[#This Row],[Frac ADV]]),0),0)*0.0001+0.005/Table13568[[#This Row],[Stock Price]]+Table13568[[#This Row],[Expense Ratio]]</f>
        <v>9.3351134846461951E-4</v>
      </c>
      <c r="M155" s="68">
        <f>(Table13568[[#This Row],[Expected Return]]-Table13568[[#This Row],[Tcosts]])*Table13568[[#This Row],[Investment]]</f>
        <v>0</v>
      </c>
      <c r="Q155" s="16" t="s">
        <v>700</v>
      </c>
    </row>
    <row r="156" spans="1:17" ht="16.2" thickBot="1" x14ac:dyDescent="0.35">
      <c r="A156" s="79" t="s">
        <v>697</v>
      </c>
      <c r="B156" s="74" t="s">
        <v>698</v>
      </c>
      <c r="C156" s="74">
        <v>50.71</v>
      </c>
      <c r="D156" s="86" t="s">
        <v>699</v>
      </c>
      <c r="E156" s="76">
        <v>2E-3</v>
      </c>
      <c r="F156" s="74">
        <v>0.05</v>
      </c>
      <c r="G156" s="78">
        <v>117390000</v>
      </c>
      <c r="H156" s="3" t="b">
        <f t="shared" si="4"/>
        <v>0</v>
      </c>
      <c r="I156" s="26">
        <f>Table13568[[#This Row],[Tech]]*$T$7+Table13568[[#This Row],[Beta]]*($T$6-$T$8)+$T$8</f>
        <v>3.9580000000000004E-2</v>
      </c>
      <c r="J156" s="64">
        <f>0</f>
        <v>0</v>
      </c>
      <c r="K156" s="61">
        <f>Table13568[[#This Row],[Investment]]/Table13568[[#This Row],[Dollar Volume]]</f>
        <v>0</v>
      </c>
      <c r="L156" s="34">
        <f>IFERROR(MAX($T$11+$T$12*LN(Table13568[[#This Row],[Frac ADV]]),0),0)*0.0001+0.005/Table13568[[#This Row],[Stock Price]]+Table13568[[#This Row],[Expense Ratio]]</f>
        <v>2.0985998816801421E-3</v>
      </c>
      <c r="M156" s="68">
        <f>(Table13568[[#This Row],[Expected Return]]-Table13568[[#This Row],[Tcosts]])*Table13568[[#This Row],[Investment]]</f>
        <v>0</v>
      </c>
      <c r="Q156" s="13" t="s">
        <v>704</v>
      </c>
    </row>
    <row r="157" spans="1:17" ht="16.2" thickBot="1" x14ac:dyDescent="0.35">
      <c r="A157" s="79" t="s">
        <v>739</v>
      </c>
      <c r="B157" s="74" t="s">
        <v>740</v>
      </c>
      <c r="C157" s="74">
        <v>50.47</v>
      </c>
      <c r="D157" s="86" t="s">
        <v>741</v>
      </c>
      <c r="E157" s="76">
        <v>6.9999999999999999E-4</v>
      </c>
      <c r="F157" s="74">
        <v>-0.01</v>
      </c>
      <c r="G157" s="78">
        <v>202270000</v>
      </c>
      <c r="H157" s="3" t="b">
        <f t="shared" si="4"/>
        <v>0</v>
      </c>
      <c r="I157" s="26">
        <f>Table13568[[#This Row],[Tech]]*$T$7+Table13568[[#This Row],[Beta]]*($T$6-$T$8)+$T$8</f>
        <v>3.5764000000000004E-2</v>
      </c>
      <c r="J157" s="64">
        <f>0</f>
        <v>0</v>
      </c>
      <c r="K157" s="61">
        <f>Table13568[[#This Row],[Investment]]/Table13568[[#This Row],[Dollar Volume]]</f>
        <v>0</v>
      </c>
      <c r="L157" s="34">
        <f>IFERROR(MAX($T$11+$T$12*LN(Table13568[[#This Row],[Frac ADV]]),0),0)*0.0001+0.005/Table13568[[#This Row],[Stock Price]]+Table13568[[#This Row],[Expense Ratio]]</f>
        <v>7.9906875371507831E-4</v>
      </c>
      <c r="M157" s="68">
        <f>(Table13568[[#This Row],[Expected Return]]-Table13568[[#This Row],[Tcosts]])*Table13568[[#This Row],[Investment]]</f>
        <v>0</v>
      </c>
      <c r="Q157" s="16" t="s">
        <v>708</v>
      </c>
    </row>
    <row r="158" spans="1:17" ht="16.2" thickBot="1" x14ac:dyDescent="0.35">
      <c r="A158" s="79" t="s">
        <v>705</v>
      </c>
      <c r="B158" s="74" t="s">
        <v>706</v>
      </c>
      <c r="C158" s="74">
        <v>97.25</v>
      </c>
      <c r="D158" s="86" t="s">
        <v>707</v>
      </c>
      <c r="E158" s="76">
        <v>3.8999999999999998E-3</v>
      </c>
      <c r="F158" s="74">
        <v>0.14000000000000001</v>
      </c>
      <c r="G158" s="78">
        <v>150780000</v>
      </c>
      <c r="H158" s="3" t="b">
        <f t="shared" si="4"/>
        <v>0</v>
      </c>
      <c r="I158" s="26">
        <f>Table13568[[#This Row],[Tech]]*$T$7+Table13568[[#This Row],[Beta]]*($T$6-$T$8)+$T$8</f>
        <v>4.5304000000000004E-2</v>
      </c>
      <c r="J158" s="64">
        <f>0</f>
        <v>0</v>
      </c>
      <c r="K158" s="61">
        <f>Table13568[[#This Row],[Investment]]/Table13568[[#This Row],[Dollar Volume]]</f>
        <v>0</v>
      </c>
      <c r="L158" s="34">
        <f>IFERROR(MAX($T$11+$T$12*LN(Table13568[[#This Row],[Frac ADV]]),0),0)*0.0001+0.005/Table13568[[#This Row],[Stock Price]]+Table13568[[#This Row],[Expense Ratio]]</f>
        <v>3.9514138817480721E-3</v>
      </c>
      <c r="M158" s="68">
        <f>(Table13568[[#This Row],[Expected Return]]-Table13568[[#This Row],[Tcosts]])*Table13568[[#This Row],[Investment]]</f>
        <v>0</v>
      </c>
      <c r="Q158" s="13" t="s">
        <v>712</v>
      </c>
    </row>
    <row r="159" spans="1:17" ht="16.2" thickBot="1" x14ac:dyDescent="0.35">
      <c r="A159" s="77" t="s">
        <v>783</v>
      </c>
      <c r="B159" s="73" t="s">
        <v>784</v>
      </c>
      <c r="C159" s="73">
        <v>54.2</v>
      </c>
      <c r="D159" s="85" t="s">
        <v>785</v>
      </c>
      <c r="E159" s="75">
        <v>4.0000000000000002E-4</v>
      </c>
      <c r="F159" s="73">
        <v>-0.01</v>
      </c>
      <c r="G159" s="78">
        <v>34700000</v>
      </c>
      <c r="H159" s="3" t="b">
        <f t="shared" si="4"/>
        <v>0</v>
      </c>
      <c r="I159" s="26">
        <f>Table13568[[#This Row],[Tech]]*$T$7+Table13568[[#This Row],[Beta]]*($T$6-$T$8)+$T$8</f>
        <v>3.5764000000000004E-2</v>
      </c>
      <c r="J159" s="64">
        <f>0</f>
        <v>0</v>
      </c>
      <c r="K159" s="61">
        <f>Table13568[[#This Row],[Investment]]/Table13568[[#This Row],[Dollar Volume]]</f>
        <v>0</v>
      </c>
      <c r="L159" s="34">
        <f>IFERROR(MAX($T$11+$T$12*LN(Table13568[[#This Row],[Frac ADV]]),0),0)*0.0001+0.005/Table13568[[#This Row],[Stock Price]]+Table13568[[#This Row],[Expense Ratio]]</f>
        <v>4.9225092250922511E-4</v>
      </c>
      <c r="M159" s="68">
        <f>(Table13568[[#This Row],[Expected Return]]-Table13568[[#This Row],[Tcosts]])*Table13568[[#This Row],[Investment]]</f>
        <v>0</v>
      </c>
      <c r="Q159" s="16" t="s">
        <v>716</v>
      </c>
    </row>
    <row r="160" spans="1:17" ht="16.2" thickBot="1" x14ac:dyDescent="0.35">
      <c r="A160" s="77" t="s">
        <v>736</v>
      </c>
      <c r="B160" s="73" t="s">
        <v>737</v>
      </c>
      <c r="C160" s="73">
        <v>50.68</v>
      </c>
      <c r="D160" s="85" t="s">
        <v>738</v>
      </c>
      <c r="E160" s="75">
        <v>1.8E-3</v>
      </c>
      <c r="F160" s="73">
        <v>0.01</v>
      </c>
      <c r="G160" s="78">
        <v>61090000</v>
      </c>
      <c r="H160" s="3" t="b">
        <f t="shared" si="4"/>
        <v>0</v>
      </c>
      <c r="I160" s="26">
        <f>Table13568[[#This Row],[Tech]]*$T$7+Table13568[[#This Row],[Beta]]*($T$6-$T$8)+$T$8</f>
        <v>3.7035999999999999E-2</v>
      </c>
      <c r="J160" s="64">
        <f>0</f>
        <v>0</v>
      </c>
      <c r="K160" s="61">
        <f>Table13568[[#This Row],[Investment]]/Table13568[[#This Row],[Dollar Volume]]</f>
        <v>0</v>
      </c>
      <c r="L160" s="34">
        <f>IFERROR(MAX($T$11+$T$12*LN(Table13568[[#This Row],[Frac ADV]]),0),0)*0.0001+0.005/Table13568[[#This Row],[Stock Price]]+Table13568[[#This Row],[Expense Ratio]]</f>
        <v>1.8986582478295185E-3</v>
      </c>
      <c r="M160" s="68">
        <f>(Table13568[[#This Row],[Expected Return]]-Table13568[[#This Row],[Tcosts]])*Table13568[[#This Row],[Investment]]</f>
        <v>0</v>
      </c>
      <c r="Q160" s="13" t="s">
        <v>720</v>
      </c>
    </row>
    <row r="161" spans="1:17" ht="16.2" thickBot="1" x14ac:dyDescent="0.35">
      <c r="A161" s="77" t="s">
        <v>815</v>
      </c>
      <c r="B161" s="73" t="s">
        <v>816</v>
      </c>
      <c r="C161" s="73">
        <v>49.68</v>
      </c>
      <c r="D161" s="85" t="s">
        <v>817</v>
      </c>
      <c r="E161" s="75">
        <v>1.5E-3</v>
      </c>
      <c r="F161" s="73">
        <v>0.02</v>
      </c>
      <c r="G161" s="78">
        <v>130580000</v>
      </c>
      <c r="H161" s="3" t="b">
        <f t="shared" si="4"/>
        <v>0</v>
      </c>
      <c r="I161" s="26">
        <f>Table13568[[#This Row],[Tech]]*$T$7+Table13568[[#This Row],[Beta]]*($T$6-$T$8)+$T$8</f>
        <v>3.7672000000000004E-2</v>
      </c>
      <c r="J161" s="64">
        <f>0</f>
        <v>0</v>
      </c>
      <c r="K161" s="61">
        <f>Table13568[[#This Row],[Investment]]/Table13568[[#This Row],[Dollar Volume]]</f>
        <v>0</v>
      </c>
      <c r="L161" s="34">
        <f>IFERROR(MAX($T$11+$T$12*LN(Table13568[[#This Row],[Frac ADV]]),0),0)*0.0001+0.005/Table13568[[#This Row],[Stock Price]]+Table13568[[#This Row],[Expense Ratio]]</f>
        <v>1.6006441223832529E-3</v>
      </c>
      <c r="M161" s="68">
        <f>(Table13568[[#This Row],[Expected Return]]-Table13568[[#This Row],[Tcosts]])*Table13568[[#This Row],[Investment]]</f>
        <v>0</v>
      </c>
      <c r="Q161" s="16" t="s">
        <v>723</v>
      </c>
    </row>
    <row r="162" spans="1:17" ht="16.2" thickBot="1" x14ac:dyDescent="0.35">
      <c r="A162" s="79" t="s">
        <v>771</v>
      </c>
      <c r="B162" s="74" t="s">
        <v>772</v>
      </c>
      <c r="C162" s="74">
        <v>24.39</v>
      </c>
      <c r="D162" s="86" t="s">
        <v>773</v>
      </c>
      <c r="E162" s="76">
        <v>2.9999999999999997E-4</v>
      </c>
      <c r="F162" s="74">
        <v>-0.02</v>
      </c>
      <c r="G162" s="78">
        <v>462550000</v>
      </c>
      <c r="H162" s="3" t="b">
        <f t="shared" ref="H162:H193" si="5">OR(
  ISNUMBER(SEARCH("technology",B162)),
  ISNUMBER(SEARCH("tech",B162)),
  ISNUMBER(SEARCH("qqq",B162)),
  ISNUMBER(SEARCH("semiconductor",B162)),
  ISNUMBER(SEARCH("information technology",B162)),
  ISNUMBER(SEARCH("nasdaq",B162)),
  ISNUMBER(SEARCH("communication",B162))
)</f>
        <v>0</v>
      </c>
      <c r="I162" s="26">
        <f>Table13568[[#This Row],[Tech]]*$T$7+Table13568[[#This Row],[Beta]]*($T$6-$T$8)+$T$8</f>
        <v>3.5128E-2</v>
      </c>
      <c r="J162" s="64">
        <f>0</f>
        <v>0</v>
      </c>
      <c r="K162" s="61">
        <f>Table13568[[#This Row],[Investment]]/Table13568[[#This Row],[Dollar Volume]]</f>
        <v>0</v>
      </c>
      <c r="L162" s="34">
        <f>IFERROR(MAX($T$11+$T$12*LN(Table13568[[#This Row],[Frac ADV]]),0),0)*0.0001+0.005/Table13568[[#This Row],[Stock Price]]+Table13568[[#This Row],[Expense Ratio]]</f>
        <v>5.0500205002050017E-4</v>
      </c>
      <c r="M162" s="68">
        <f>(Table13568[[#This Row],[Expected Return]]-Table13568[[#This Row],[Tcosts]])*Table13568[[#This Row],[Investment]]</f>
        <v>0</v>
      </c>
      <c r="Q162" s="13" t="s">
        <v>727</v>
      </c>
    </row>
    <row r="163" spans="1:17" ht="16.2" thickBot="1" x14ac:dyDescent="0.35">
      <c r="A163" s="77" t="s">
        <v>866</v>
      </c>
      <c r="B163" s="73" t="s">
        <v>867</v>
      </c>
      <c r="C163" s="73">
        <v>74.66</v>
      </c>
      <c r="D163" s="85" t="s">
        <v>868</v>
      </c>
      <c r="E163" s="75">
        <v>2.9999999999999997E-4</v>
      </c>
      <c r="F163" s="73">
        <v>-0.05</v>
      </c>
      <c r="G163" s="78">
        <v>80470000</v>
      </c>
      <c r="H163" s="3" t="b">
        <f t="shared" si="5"/>
        <v>0</v>
      </c>
      <c r="I163" s="26">
        <f>Table13568[[#This Row],[Tech]]*$T$7+Table13568[[#This Row],[Beta]]*($T$6-$T$8)+$T$8</f>
        <v>3.322E-2</v>
      </c>
      <c r="J163" s="64">
        <f>0</f>
        <v>0</v>
      </c>
      <c r="K163" s="61">
        <f>Table13568[[#This Row],[Investment]]/Table13568[[#This Row],[Dollar Volume]]</f>
        <v>0</v>
      </c>
      <c r="L163" s="34">
        <f>IFERROR(MAX($T$11+$T$12*LN(Table13568[[#This Row],[Frac ADV]]),0),0)*0.0001+0.005/Table13568[[#This Row],[Stock Price]]+Table13568[[#This Row],[Expense Ratio]]</f>
        <v>3.6697026520225018E-4</v>
      </c>
      <c r="M163" s="68">
        <f>(Table13568[[#This Row],[Expected Return]]-Table13568[[#This Row],[Tcosts]])*Table13568[[#This Row],[Investment]]</f>
        <v>0</v>
      </c>
      <c r="Q163" s="16" t="s">
        <v>731</v>
      </c>
    </row>
    <row r="164" spans="1:17" ht="16.2" thickBot="1" x14ac:dyDescent="0.35">
      <c r="A164" s="77" t="s">
        <v>811</v>
      </c>
      <c r="B164" s="73" t="s">
        <v>812</v>
      </c>
      <c r="C164" s="73">
        <v>46.89</v>
      </c>
      <c r="D164" s="85" t="s">
        <v>813</v>
      </c>
      <c r="E164" s="75">
        <v>5.9999999999999995E-4</v>
      </c>
      <c r="F164" s="73">
        <v>-0.04</v>
      </c>
      <c r="G164" s="78">
        <v>90770000</v>
      </c>
      <c r="H164" s="3" t="b">
        <f t="shared" si="5"/>
        <v>0</v>
      </c>
      <c r="I164" s="26">
        <f>Table13568[[#This Row],[Tech]]*$T$7+Table13568[[#This Row],[Beta]]*($T$6-$T$8)+$T$8</f>
        <v>3.3856000000000004E-2</v>
      </c>
      <c r="J164" s="64">
        <f>0</f>
        <v>0</v>
      </c>
      <c r="K164" s="61">
        <f>Table13568[[#This Row],[Investment]]/Table13568[[#This Row],[Dollar Volume]]</f>
        <v>0</v>
      </c>
      <c r="L164" s="34">
        <f>IFERROR(MAX($T$11+$T$12*LN(Table13568[[#This Row],[Frac ADV]]),0),0)*0.0001+0.005/Table13568[[#This Row],[Stock Price]]+Table13568[[#This Row],[Expense Ratio]]</f>
        <v>7.0663254425250581E-4</v>
      </c>
      <c r="M164" s="68">
        <f>(Table13568[[#This Row],[Expected Return]]-Table13568[[#This Row],[Tcosts]])*Table13568[[#This Row],[Investment]]</f>
        <v>0</v>
      </c>
      <c r="Q164" s="13" t="s">
        <v>735</v>
      </c>
    </row>
    <row r="165" spans="1:17" ht="16.2" thickBot="1" x14ac:dyDescent="0.35">
      <c r="A165" s="79" t="s">
        <v>835</v>
      </c>
      <c r="B165" s="74" t="s">
        <v>836</v>
      </c>
      <c r="C165" s="74">
        <v>26.82</v>
      </c>
      <c r="D165" s="86" t="s">
        <v>837</v>
      </c>
      <c r="E165" s="76">
        <v>2.9999999999999997E-4</v>
      </c>
      <c r="F165" s="74">
        <v>-0.05</v>
      </c>
      <c r="G165" s="78">
        <v>113530000</v>
      </c>
      <c r="H165" s="3" t="b">
        <f t="shared" si="5"/>
        <v>0</v>
      </c>
      <c r="I165" s="26">
        <f>Table13568[[#This Row],[Tech]]*$T$7+Table13568[[#This Row],[Beta]]*($T$6-$T$8)+$T$8</f>
        <v>3.322E-2</v>
      </c>
      <c r="J165" s="64">
        <f>0</f>
        <v>0</v>
      </c>
      <c r="K165" s="61">
        <f>Table13568[[#This Row],[Investment]]/Table13568[[#This Row],[Dollar Volume]]</f>
        <v>0</v>
      </c>
      <c r="L165" s="34">
        <f>IFERROR(MAX($T$11+$T$12*LN(Table13568[[#This Row],[Frac ADV]]),0),0)*0.0001+0.005/Table13568[[#This Row],[Stock Price]]+Table13568[[#This Row],[Expense Ratio]]</f>
        <v>4.8642803877703205E-4</v>
      </c>
      <c r="M165" s="68">
        <f>(Table13568[[#This Row],[Expected Return]]-Table13568[[#This Row],[Tcosts]])*Table13568[[#This Row],[Investment]]</f>
        <v>0</v>
      </c>
      <c r="Q165" s="16" t="s">
        <v>692</v>
      </c>
    </row>
    <row r="166" spans="1:17" ht="16.2" thickBot="1" x14ac:dyDescent="0.35">
      <c r="A166" s="79" t="s">
        <v>795</v>
      </c>
      <c r="B166" s="74" t="s">
        <v>796</v>
      </c>
      <c r="C166" s="74">
        <v>82.93</v>
      </c>
      <c r="D166" s="86" t="s">
        <v>797</v>
      </c>
      <c r="E166" s="76">
        <v>1.5E-3</v>
      </c>
      <c r="F166" s="74">
        <v>-0.02</v>
      </c>
      <c r="G166" s="78">
        <v>111170000</v>
      </c>
      <c r="H166" s="3" t="b">
        <f t="shared" si="5"/>
        <v>0</v>
      </c>
      <c r="I166" s="26">
        <f>Table13568[[#This Row],[Tech]]*$T$7+Table13568[[#This Row],[Beta]]*($T$6-$T$8)+$T$8</f>
        <v>3.5128E-2</v>
      </c>
      <c r="J166" s="64">
        <f>0</f>
        <v>0</v>
      </c>
      <c r="K166" s="61">
        <f>Table13568[[#This Row],[Investment]]/Table13568[[#This Row],[Dollar Volume]]</f>
        <v>0</v>
      </c>
      <c r="L166" s="34">
        <f>IFERROR(MAX($T$11+$T$12*LN(Table13568[[#This Row],[Frac ADV]]),0),0)*0.0001+0.005/Table13568[[#This Row],[Stock Price]]+Table13568[[#This Row],[Expense Ratio]]</f>
        <v>1.5602918123718799E-3</v>
      </c>
      <c r="M166" s="68">
        <f>(Table13568[[#This Row],[Expected Return]]-Table13568[[#This Row],[Tcosts]])*Table13568[[#This Row],[Investment]]</f>
        <v>0</v>
      </c>
      <c r="Q166" s="13" t="s">
        <v>742</v>
      </c>
    </row>
    <row r="167" spans="1:17" ht="16.2" thickBot="1" x14ac:dyDescent="0.35">
      <c r="A167" s="79" t="s">
        <v>732</v>
      </c>
      <c r="B167" s="74" t="s">
        <v>733</v>
      </c>
      <c r="C167" s="74">
        <v>79.97</v>
      </c>
      <c r="D167" s="86" t="s">
        <v>734</v>
      </c>
      <c r="E167" s="76">
        <v>2.9999999999999997E-4</v>
      </c>
      <c r="F167" s="74">
        <v>-0.01</v>
      </c>
      <c r="G167" s="78">
        <v>267070000</v>
      </c>
      <c r="H167" s="3" t="b">
        <f t="shared" si="5"/>
        <v>0</v>
      </c>
      <c r="I167" s="26">
        <f>Table13568[[#This Row],[Tech]]*$T$7+Table13568[[#This Row],[Beta]]*($T$6-$T$8)+$T$8</f>
        <v>3.5764000000000004E-2</v>
      </c>
      <c r="J167" s="64">
        <f>0</f>
        <v>0</v>
      </c>
      <c r="K167" s="61">
        <f>Table13568[[#This Row],[Investment]]/Table13568[[#This Row],[Dollar Volume]]</f>
        <v>0</v>
      </c>
      <c r="L167" s="34">
        <f>IFERROR(MAX($T$11+$T$12*LN(Table13568[[#This Row],[Frac ADV]]),0),0)*0.0001+0.005/Table13568[[#This Row],[Stock Price]]+Table13568[[#This Row],[Expense Ratio]]</f>
        <v>3.6252344629235963E-4</v>
      </c>
      <c r="M167" s="68">
        <f>(Table13568[[#This Row],[Expected Return]]-Table13568[[#This Row],[Tcosts]])*Table13568[[#This Row],[Investment]]</f>
        <v>0</v>
      </c>
      <c r="Q167" s="16" t="s">
        <v>746</v>
      </c>
    </row>
    <row r="168" spans="1:17" ht="16.2" thickBot="1" x14ac:dyDescent="0.35">
      <c r="A168" s="77" t="s">
        <v>819</v>
      </c>
      <c r="B168" s="73" t="s">
        <v>820</v>
      </c>
      <c r="C168" s="73">
        <v>84.22</v>
      </c>
      <c r="D168" s="85" t="s">
        <v>821</v>
      </c>
      <c r="E168" s="75">
        <v>2.9999999999999997E-4</v>
      </c>
      <c r="F168" s="73">
        <v>-0.01</v>
      </c>
      <c r="G168" s="78">
        <v>117950000</v>
      </c>
      <c r="H168" s="3" t="b">
        <f t="shared" si="5"/>
        <v>0</v>
      </c>
      <c r="I168" s="26">
        <f>Table13568[[#This Row],[Tech]]*$T$7+Table13568[[#This Row],[Beta]]*($T$6-$T$8)+$T$8</f>
        <v>3.5764000000000004E-2</v>
      </c>
      <c r="J168" s="64">
        <f>0</f>
        <v>0</v>
      </c>
      <c r="K168" s="61">
        <f>Table13568[[#This Row],[Investment]]/Table13568[[#This Row],[Dollar Volume]]</f>
        <v>0</v>
      </c>
      <c r="L168" s="34">
        <f>IFERROR(MAX($T$11+$T$12*LN(Table13568[[#This Row],[Frac ADV]]),0),0)*0.0001+0.005/Table13568[[#This Row],[Stock Price]]+Table13568[[#This Row],[Expense Ratio]]</f>
        <v>3.5936832106388028E-4</v>
      </c>
      <c r="M168" s="68">
        <f>(Table13568[[#This Row],[Expected Return]]-Table13568[[#This Row],[Tcosts]])*Table13568[[#This Row],[Investment]]</f>
        <v>0</v>
      </c>
      <c r="Q168" s="13" t="s">
        <v>750</v>
      </c>
    </row>
    <row r="169" spans="1:17" ht="16.2" thickBot="1" x14ac:dyDescent="0.35">
      <c r="A169" s="77" t="s">
        <v>763</v>
      </c>
      <c r="B169" s="73" t="s">
        <v>764</v>
      </c>
      <c r="C169" s="73">
        <v>58.82</v>
      </c>
      <c r="D169" s="85" t="s">
        <v>765</v>
      </c>
      <c r="E169" s="75">
        <v>2.9999999999999997E-4</v>
      </c>
      <c r="F169" s="73">
        <v>-0.02</v>
      </c>
      <c r="G169" s="78">
        <v>25390000</v>
      </c>
      <c r="H169" s="3" t="b">
        <f t="shared" si="5"/>
        <v>0</v>
      </c>
      <c r="I169" s="26">
        <f>Table13568[[#This Row],[Tech]]*$T$7+Table13568[[#This Row],[Beta]]*($T$6-$T$8)+$T$8</f>
        <v>3.5128E-2</v>
      </c>
      <c r="J169" s="64">
        <f>0</f>
        <v>0</v>
      </c>
      <c r="K169" s="61">
        <f>Table13568[[#This Row],[Investment]]/Table13568[[#This Row],[Dollar Volume]]</f>
        <v>0</v>
      </c>
      <c r="L169" s="34">
        <f>IFERROR(MAX($T$11+$T$12*LN(Table13568[[#This Row],[Frac ADV]]),0),0)*0.0001+0.005/Table13568[[#This Row],[Stock Price]]+Table13568[[#This Row],[Expense Ratio]]</f>
        <v>3.8500510030601832E-4</v>
      </c>
      <c r="M169" s="68">
        <f>(Table13568[[#This Row],[Expected Return]]-Table13568[[#This Row],[Tcosts]])*Table13568[[#This Row],[Investment]]</f>
        <v>0</v>
      </c>
      <c r="Q169" s="16" t="s">
        <v>754</v>
      </c>
    </row>
    <row r="170" spans="1:17" ht="16.2" thickBot="1" x14ac:dyDescent="0.35">
      <c r="A170" s="77" t="s">
        <v>803</v>
      </c>
      <c r="B170" s="73" t="s">
        <v>804</v>
      </c>
      <c r="C170" s="73">
        <v>49.74</v>
      </c>
      <c r="D170" s="85" t="s">
        <v>805</v>
      </c>
      <c r="E170" s="75">
        <v>2.9999999999999997E-4</v>
      </c>
      <c r="F170" s="73">
        <v>-0.04</v>
      </c>
      <c r="G170" s="78">
        <v>125670000</v>
      </c>
      <c r="H170" s="3" t="b">
        <f t="shared" si="5"/>
        <v>0</v>
      </c>
      <c r="I170" s="26">
        <f>Table13568[[#This Row],[Tech]]*$T$7+Table13568[[#This Row],[Beta]]*($T$6-$T$8)+$T$8</f>
        <v>3.3856000000000004E-2</v>
      </c>
      <c r="J170" s="64">
        <f>0</f>
        <v>0</v>
      </c>
      <c r="K170" s="61">
        <f>Table13568[[#This Row],[Investment]]/Table13568[[#This Row],[Dollar Volume]]</f>
        <v>0</v>
      </c>
      <c r="L170" s="34">
        <f>IFERROR(MAX($T$11+$T$12*LN(Table13568[[#This Row],[Frac ADV]]),0),0)*0.0001+0.005/Table13568[[#This Row],[Stock Price]]+Table13568[[#This Row],[Expense Ratio]]</f>
        <v>4.0052271813429834E-4</v>
      </c>
      <c r="M170" s="68">
        <f>(Table13568[[#This Row],[Expected Return]]-Table13568[[#This Row],[Tcosts]])*Table13568[[#This Row],[Investment]]</f>
        <v>0</v>
      </c>
      <c r="Q170" s="13" t="s">
        <v>758</v>
      </c>
    </row>
    <row r="171" spans="1:17" ht="16.2" thickBot="1" x14ac:dyDescent="0.35">
      <c r="A171" s="77" t="s">
        <v>874</v>
      </c>
      <c r="B171" s="73" t="s">
        <v>875</v>
      </c>
      <c r="C171" s="73">
        <v>50.77</v>
      </c>
      <c r="D171" s="85" t="s">
        <v>726</v>
      </c>
      <c r="E171" s="75">
        <v>2.9999999999999997E-4</v>
      </c>
      <c r="F171" s="73">
        <v>-0.05</v>
      </c>
      <c r="G171" s="78">
        <v>177210000</v>
      </c>
      <c r="H171" s="3" t="b">
        <f t="shared" si="5"/>
        <v>0</v>
      </c>
      <c r="I171" s="26">
        <f>Table13568[[#This Row],[Tech]]*$T$7+Table13568[[#This Row],[Beta]]*($T$6-$T$8)+$T$8</f>
        <v>3.322E-2</v>
      </c>
      <c r="J171" s="64">
        <f>0</f>
        <v>0</v>
      </c>
      <c r="K171" s="61">
        <f>Table13568[[#This Row],[Investment]]/Table13568[[#This Row],[Dollar Volume]]</f>
        <v>0</v>
      </c>
      <c r="L171" s="34">
        <f>IFERROR(MAX($T$11+$T$12*LN(Table13568[[#This Row],[Frac ADV]]),0),0)*0.0001+0.005/Table13568[[#This Row],[Stock Price]]+Table13568[[#This Row],[Expense Ratio]]</f>
        <v>3.9848335631278314E-4</v>
      </c>
      <c r="M171" s="68">
        <f>(Table13568[[#This Row],[Expected Return]]-Table13568[[#This Row],[Tcosts]])*Table13568[[#This Row],[Investment]]</f>
        <v>0</v>
      </c>
      <c r="Q171" s="16" t="s">
        <v>762</v>
      </c>
    </row>
    <row r="172" spans="1:17" ht="16.2" thickBot="1" x14ac:dyDescent="0.35">
      <c r="A172" s="79" t="s">
        <v>842</v>
      </c>
      <c r="B172" s="74" t="s">
        <v>843</v>
      </c>
      <c r="C172" s="74">
        <v>60.21</v>
      </c>
      <c r="D172" s="86" t="s">
        <v>844</v>
      </c>
      <c r="E172" s="76">
        <v>2.9999999999999997E-4</v>
      </c>
      <c r="F172" s="74">
        <v>-0.09</v>
      </c>
      <c r="G172" s="78">
        <v>176940000</v>
      </c>
      <c r="H172" s="3" t="b">
        <f t="shared" si="5"/>
        <v>0</v>
      </c>
      <c r="I172" s="26">
        <f>Table13568[[#This Row],[Tech]]*$T$7+Table13568[[#This Row],[Beta]]*($T$6-$T$8)+$T$8</f>
        <v>3.0676000000000002E-2</v>
      </c>
      <c r="J172" s="64">
        <f>0</f>
        <v>0</v>
      </c>
      <c r="K172" s="61">
        <f>Table13568[[#This Row],[Investment]]/Table13568[[#This Row],[Dollar Volume]]</f>
        <v>0</v>
      </c>
      <c r="L172" s="34">
        <f>IFERROR(MAX($T$11+$T$12*LN(Table13568[[#This Row],[Frac ADV]]),0),0)*0.0001+0.005/Table13568[[#This Row],[Stock Price]]+Table13568[[#This Row],[Expense Ratio]]</f>
        <v>3.8304268393954491E-4</v>
      </c>
      <c r="M172" s="68">
        <f>(Table13568[[#This Row],[Expected Return]]-Table13568[[#This Row],[Tcosts]])*Table13568[[#This Row],[Investment]]</f>
        <v>0</v>
      </c>
      <c r="Q172" s="13" t="s">
        <v>766</v>
      </c>
    </row>
    <row r="173" spans="1:17" ht="16.2" thickBot="1" x14ac:dyDescent="0.35">
      <c r="A173" s="77" t="s">
        <v>713</v>
      </c>
      <c r="B173" s="73" t="s">
        <v>714</v>
      </c>
      <c r="C173" s="73">
        <v>100.48</v>
      </c>
      <c r="D173" s="85" t="s">
        <v>715</v>
      </c>
      <c r="E173" s="75">
        <v>8.9999999999999998E-4</v>
      </c>
      <c r="F173" s="73">
        <v>0.01</v>
      </c>
      <c r="G173" s="78">
        <v>203900000</v>
      </c>
      <c r="H173" s="3" t="b">
        <f t="shared" si="5"/>
        <v>0</v>
      </c>
      <c r="I173" s="26">
        <f>Table13568[[#This Row],[Tech]]*$T$7+Table13568[[#This Row],[Beta]]*($T$6-$T$8)+$T$8</f>
        <v>3.7035999999999999E-2</v>
      </c>
      <c r="J173" s="64">
        <f>0</f>
        <v>0</v>
      </c>
      <c r="K173" s="61">
        <f>Table13568[[#This Row],[Investment]]/Table13568[[#This Row],[Dollar Volume]]</f>
        <v>0</v>
      </c>
      <c r="L173" s="34">
        <f>IFERROR(MAX($T$11+$T$12*LN(Table13568[[#This Row],[Frac ADV]]),0),0)*0.0001+0.005/Table13568[[#This Row],[Stock Price]]+Table13568[[#This Row],[Expense Ratio]]</f>
        <v>9.4976114649681525E-4</v>
      </c>
      <c r="M173" s="68">
        <f>(Table13568[[#This Row],[Expected Return]]-Table13568[[#This Row],[Tcosts]])*Table13568[[#This Row],[Investment]]</f>
        <v>0</v>
      </c>
      <c r="Q173" s="16" t="s">
        <v>770</v>
      </c>
    </row>
    <row r="174" spans="1:17" ht="16.2" thickBot="1" x14ac:dyDescent="0.35">
      <c r="A174" s="77" t="s">
        <v>701</v>
      </c>
      <c r="B174" s="73" t="s">
        <v>702</v>
      </c>
      <c r="C174" s="73">
        <v>53.11</v>
      </c>
      <c r="D174" s="85" t="s">
        <v>703</v>
      </c>
      <c r="E174" s="75">
        <v>4.0000000000000001E-3</v>
      </c>
      <c r="F174" s="73">
        <v>7.0000000000000007E-2</v>
      </c>
      <c r="G174" s="78">
        <v>44860000</v>
      </c>
      <c r="H174" s="3" t="b">
        <f t="shared" si="5"/>
        <v>0</v>
      </c>
      <c r="I174" s="26">
        <f>Table13568[[#This Row],[Tech]]*$T$7+Table13568[[#This Row],[Beta]]*($T$6-$T$8)+$T$8</f>
        <v>4.0851999999999999E-2</v>
      </c>
      <c r="J174" s="64">
        <f>0</f>
        <v>0</v>
      </c>
      <c r="K174" s="61">
        <f>Table13568[[#This Row],[Investment]]/Table13568[[#This Row],[Dollar Volume]]</f>
        <v>0</v>
      </c>
      <c r="L174" s="34">
        <f>IFERROR(MAX($T$11+$T$12*LN(Table13568[[#This Row],[Frac ADV]]),0),0)*0.0001+0.005/Table13568[[#This Row],[Stock Price]]+Table13568[[#This Row],[Expense Ratio]]</f>
        <v>4.0941442289587652E-3</v>
      </c>
      <c r="M174" s="68">
        <f>(Table13568[[#This Row],[Expected Return]]-Table13568[[#This Row],[Tcosts]])*Table13568[[#This Row],[Investment]]</f>
        <v>0</v>
      </c>
      <c r="Q174" s="13" t="s">
        <v>774</v>
      </c>
    </row>
    <row r="175" spans="1:17" ht="16.2" thickBot="1" x14ac:dyDescent="0.35">
      <c r="A175" s="79" t="s">
        <v>724</v>
      </c>
      <c r="B175" s="74" t="s">
        <v>725</v>
      </c>
      <c r="C175" s="74">
        <v>91.47</v>
      </c>
      <c r="D175" s="86" t="s">
        <v>726</v>
      </c>
      <c r="E175" s="76">
        <v>1.4E-3</v>
      </c>
      <c r="F175" s="74">
        <v>0.01</v>
      </c>
      <c r="G175" s="78">
        <v>546640000</v>
      </c>
      <c r="H175" s="3" t="b">
        <f t="shared" si="5"/>
        <v>0</v>
      </c>
      <c r="I175" s="26">
        <f>Table13568[[#This Row],[Tech]]*$T$7+Table13568[[#This Row],[Beta]]*($T$6-$T$8)+$T$8</f>
        <v>3.7035999999999999E-2</v>
      </c>
      <c r="J175" s="64">
        <f>0</f>
        <v>0</v>
      </c>
      <c r="K175" s="61">
        <f>Table13568[[#This Row],[Investment]]/Table13568[[#This Row],[Dollar Volume]]</f>
        <v>0</v>
      </c>
      <c r="L175" s="34">
        <f>IFERROR(MAX($T$11+$T$12*LN(Table13568[[#This Row],[Frac ADV]]),0),0)*0.0001+0.005/Table13568[[#This Row],[Stock Price]]+Table13568[[#This Row],[Expense Ratio]]</f>
        <v>1.4546627309500384E-3</v>
      </c>
      <c r="M175" s="68">
        <f>(Table13568[[#This Row],[Expected Return]]-Table13568[[#This Row],[Tcosts]])*Table13568[[#This Row],[Investment]]</f>
        <v>0</v>
      </c>
      <c r="Q175" s="16" t="s">
        <v>778</v>
      </c>
    </row>
    <row r="176" spans="1:17" ht="16.2" thickBot="1" x14ac:dyDescent="0.35">
      <c r="A176" s="77" t="s">
        <v>767</v>
      </c>
      <c r="B176" s="73" t="s">
        <v>768</v>
      </c>
      <c r="C176" s="73">
        <v>110.22</v>
      </c>
      <c r="D176" s="85" t="s">
        <v>769</v>
      </c>
      <c r="E176" s="75">
        <v>1.5E-3</v>
      </c>
      <c r="F176" s="73">
        <v>0.01</v>
      </c>
      <c r="G176" s="78">
        <v>42740000</v>
      </c>
      <c r="H176" s="3" t="b">
        <f t="shared" si="5"/>
        <v>0</v>
      </c>
      <c r="I176" s="26">
        <f>Table13568[[#This Row],[Tech]]*$T$7+Table13568[[#This Row],[Beta]]*($T$6-$T$8)+$T$8</f>
        <v>3.7035999999999999E-2</v>
      </c>
      <c r="J176" s="64">
        <f>0</f>
        <v>0</v>
      </c>
      <c r="K176" s="61">
        <f>Table13568[[#This Row],[Investment]]/Table13568[[#This Row],[Dollar Volume]]</f>
        <v>0</v>
      </c>
      <c r="L176" s="34">
        <f>IFERROR(MAX($T$11+$T$12*LN(Table13568[[#This Row],[Frac ADV]]),0),0)*0.0001+0.005/Table13568[[#This Row],[Stock Price]]+Table13568[[#This Row],[Expense Ratio]]</f>
        <v>1.5453638178189078E-3</v>
      </c>
      <c r="M176" s="68">
        <f>(Table13568[[#This Row],[Expected Return]]-Table13568[[#This Row],[Tcosts]])*Table13568[[#This Row],[Investment]]</f>
        <v>0</v>
      </c>
      <c r="Q176" s="13" t="s">
        <v>782</v>
      </c>
    </row>
    <row r="177" spans="1:17" ht="16.2" thickBot="1" x14ac:dyDescent="0.35">
      <c r="A177" s="79" t="s">
        <v>743</v>
      </c>
      <c r="B177" s="74" t="s">
        <v>744</v>
      </c>
      <c r="C177" s="74">
        <v>48.8</v>
      </c>
      <c r="D177" s="86" t="s">
        <v>745</v>
      </c>
      <c r="E177" s="76">
        <v>6.9999999999999999E-4</v>
      </c>
      <c r="F177" s="74">
        <v>-0.01</v>
      </c>
      <c r="G177" s="78">
        <v>45530000</v>
      </c>
      <c r="H177" s="3" t="b">
        <f t="shared" si="5"/>
        <v>0</v>
      </c>
      <c r="I177" s="26">
        <f>Table13568[[#This Row],[Tech]]*$T$7+Table13568[[#This Row],[Beta]]*($T$6-$T$8)+$T$8</f>
        <v>3.5764000000000004E-2</v>
      </c>
      <c r="J177" s="64">
        <f>0</f>
        <v>0</v>
      </c>
      <c r="K177" s="61">
        <f>Table13568[[#This Row],[Investment]]/Table13568[[#This Row],[Dollar Volume]]</f>
        <v>0</v>
      </c>
      <c r="L177" s="34">
        <f>IFERROR(MAX($T$11+$T$12*LN(Table13568[[#This Row],[Frac ADV]]),0),0)*0.0001+0.005/Table13568[[#This Row],[Stock Price]]+Table13568[[#This Row],[Expense Ratio]]</f>
        <v>8.0245901639344264E-4</v>
      </c>
      <c r="M177" s="68">
        <f>(Table13568[[#This Row],[Expected Return]]-Table13568[[#This Row],[Tcosts]])*Table13568[[#This Row],[Investment]]</f>
        <v>0</v>
      </c>
      <c r="Q177" s="16" t="s">
        <v>786</v>
      </c>
    </row>
    <row r="178" spans="1:17" ht="16.2" thickBot="1" x14ac:dyDescent="0.35">
      <c r="A178" s="77" t="s">
        <v>791</v>
      </c>
      <c r="B178" s="73" t="s">
        <v>792</v>
      </c>
      <c r="C178" s="73">
        <v>100.51</v>
      </c>
      <c r="D178" s="85" t="s">
        <v>793</v>
      </c>
      <c r="E178" s="75">
        <v>3.5999999999999999E-3</v>
      </c>
      <c r="F178" s="73">
        <v>0.02</v>
      </c>
      <c r="G178" s="78">
        <v>99420000</v>
      </c>
      <c r="H178" s="3" t="b">
        <f t="shared" si="5"/>
        <v>0</v>
      </c>
      <c r="I178" s="26">
        <f>Table13568[[#This Row],[Tech]]*$T$7+Table13568[[#This Row],[Beta]]*($T$6-$T$8)+$T$8</f>
        <v>3.7672000000000004E-2</v>
      </c>
      <c r="J178" s="64">
        <f>0</f>
        <v>0</v>
      </c>
      <c r="K178" s="61">
        <f>Table13568[[#This Row],[Investment]]/Table13568[[#This Row],[Dollar Volume]]</f>
        <v>0</v>
      </c>
      <c r="L178" s="34">
        <f>IFERROR(MAX($T$11+$T$12*LN(Table13568[[#This Row],[Frac ADV]]),0),0)*0.0001+0.005/Table13568[[#This Row],[Stock Price]]+Table13568[[#This Row],[Expense Ratio]]</f>
        <v>3.6497462939011041E-3</v>
      </c>
      <c r="M178" s="68">
        <f>(Table13568[[#This Row],[Expected Return]]-Table13568[[#This Row],[Tcosts]])*Table13568[[#This Row],[Investment]]</f>
        <v>0</v>
      </c>
      <c r="Q178" s="13" t="s">
        <v>790</v>
      </c>
    </row>
    <row r="179" spans="1:17" ht="16.2" thickBot="1" x14ac:dyDescent="0.35">
      <c r="A179" s="77" t="s">
        <v>799</v>
      </c>
      <c r="B179" s="73" t="s">
        <v>800</v>
      </c>
      <c r="C179" s="73">
        <v>78.98</v>
      </c>
      <c r="D179" s="85" t="s">
        <v>801</v>
      </c>
      <c r="E179" s="75">
        <v>2.9999999999999997E-4</v>
      </c>
      <c r="F179" s="73">
        <v>-0.04</v>
      </c>
      <c r="G179" s="78">
        <v>35920000</v>
      </c>
      <c r="H179" s="3" t="b">
        <f t="shared" si="5"/>
        <v>0</v>
      </c>
      <c r="I179" s="26">
        <f>Table13568[[#This Row],[Tech]]*$T$7+Table13568[[#This Row],[Beta]]*($T$6-$T$8)+$T$8</f>
        <v>3.3856000000000004E-2</v>
      </c>
      <c r="J179" s="64">
        <f>0</f>
        <v>0</v>
      </c>
      <c r="K179" s="61">
        <f>Table13568[[#This Row],[Investment]]/Table13568[[#This Row],[Dollar Volume]]</f>
        <v>0</v>
      </c>
      <c r="L179" s="34">
        <f>IFERROR(MAX($T$11+$T$12*LN(Table13568[[#This Row],[Frac ADV]]),0),0)*0.0001+0.005/Table13568[[#This Row],[Stock Price]]+Table13568[[#This Row],[Expense Ratio]]</f>
        <v>3.6330716637123319E-4</v>
      </c>
      <c r="M179" s="68">
        <f>(Table13568[[#This Row],[Expected Return]]-Table13568[[#This Row],[Tcosts]])*Table13568[[#This Row],[Investment]]</f>
        <v>0</v>
      </c>
      <c r="Q179" s="16" t="s">
        <v>794</v>
      </c>
    </row>
    <row r="180" spans="1:17" ht="16.2" thickBot="1" x14ac:dyDescent="0.35">
      <c r="A180" s="79" t="s">
        <v>807</v>
      </c>
      <c r="B180" s="74" t="s">
        <v>808</v>
      </c>
      <c r="C180" s="74">
        <v>108.09</v>
      </c>
      <c r="D180" s="86" t="s">
        <v>809</v>
      </c>
      <c r="E180" s="76">
        <v>5.0000000000000001E-4</v>
      </c>
      <c r="F180" s="74">
        <v>-0.04</v>
      </c>
      <c r="G180" s="78">
        <v>5330000000</v>
      </c>
      <c r="H180" s="3" t="b">
        <f t="shared" si="5"/>
        <v>0</v>
      </c>
      <c r="I180" s="26">
        <f>Table13568[[#This Row],[Tech]]*$T$7+Table13568[[#This Row],[Beta]]*($T$6-$T$8)+$T$8</f>
        <v>3.3856000000000004E-2</v>
      </c>
      <c r="J180" s="64">
        <f>0</f>
        <v>0</v>
      </c>
      <c r="K180" s="61">
        <f>Table13568[[#This Row],[Investment]]/Table13568[[#This Row],[Dollar Volume]]</f>
        <v>0</v>
      </c>
      <c r="L180" s="34">
        <f>IFERROR(MAX($T$11+$T$12*LN(Table13568[[#This Row],[Frac ADV]]),0),0)*0.0001+0.005/Table13568[[#This Row],[Stock Price]]+Table13568[[#This Row],[Expense Ratio]]</f>
        <v>5.4625774817281892E-4</v>
      </c>
      <c r="M180" s="68">
        <f>(Table13568[[#This Row],[Expected Return]]-Table13568[[#This Row],[Tcosts]])*Table13568[[#This Row],[Investment]]</f>
        <v>0</v>
      </c>
      <c r="Q180" s="13" t="s">
        <v>798</v>
      </c>
    </row>
    <row r="181" spans="1:17" ht="16.2" thickBot="1" x14ac:dyDescent="0.35">
      <c r="A181" s="79" t="s">
        <v>862</v>
      </c>
      <c r="B181" s="74" t="s">
        <v>863</v>
      </c>
      <c r="C181" s="74">
        <v>23.19</v>
      </c>
      <c r="D181" s="86" t="s">
        <v>864</v>
      </c>
      <c r="E181" s="76">
        <v>5.0000000000000001E-4</v>
      </c>
      <c r="F181" s="74">
        <v>-0.08</v>
      </c>
      <c r="G181" s="78">
        <v>152890000</v>
      </c>
      <c r="H181" s="3" t="b">
        <f t="shared" si="5"/>
        <v>0</v>
      </c>
      <c r="I181" s="26">
        <f>Table13568[[#This Row],[Tech]]*$T$7+Table13568[[#This Row],[Beta]]*($T$6-$T$8)+$T$8</f>
        <v>3.1312E-2</v>
      </c>
      <c r="J181" s="64">
        <f>0</f>
        <v>0</v>
      </c>
      <c r="K181" s="61">
        <f>Table13568[[#This Row],[Investment]]/Table13568[[#This Row],[Dollar Volume]]</f>
        <v>0</v>
      </c>
      <c r="L181" s="34">
        <f>IFERROR(MAX($T$11+$T$12*LN(Table13568[[#This Row],[Frac ADV]]),0),0)*0.0001+0.005/Table13568[[#This Row],[Stock Price]]+Table13568[[#This Row],[Expense Ratio]]</f>
        <v>7.1561017680034497E-4</v>
      </c>
      <c r="M181" s="68">
        <f>(Table13568[[#This Row],[Expected Return]]-Table13568[[#This Row],[Tcosts]])*Table13568[[#This Row],[Investment]]</f>
        <v>0</v>
      </c>
      <c r="Q181" s="16" t="s">
        <v>802</v>
      </c>
    </row>
    <row r="182" spans="1:17" ht="16.2" thickBot="1" x14ac:dyDescent="0.35">
      <c r="A182" s="77" t="s">
        <v>759</v>
      </c>
      <c r="B182" s="73" t="s">
        <v>760</v>
      </c>
      <c r="C182" s="73">
        <v>46.44</v>
      </c>
      <c r="D182" s="85" t="s">
        <v>761</v>
      </c>
      <c r="E182" s="75">
        <v>3.5999999999999999E-3</v>
      </c>
      <c r="F182" s="73">
        <v>-0.06</v>
      </c>
      <c r="G182" s="78">
        <v>113370000</v>
      </c>
      <c r="H182" s="3" t="b">
        <f t="shared" si="5"/>
        <v>0</v>
      </c>
      <c r="I182" s="26">
        <f>Table13568[[#This Row],[Tech]]*$T$7+Table13568[[#This Row],[Beta]]*($T$6-$T$8)+$T$8</f>
        <v>3.2584000000000002E-2</v>
      </c>
      <c r="J182" s="64">
        <f>0</f>
        <v>0</v>
      </c>
      <c r="K182" s="61">
        <f>Table13568[[#This Row],[Investment]]/Table13568[[#This Row],[Dollar Volume]]</f>
        <v>0</v>
      </c>
      <c r="L182" s="34">
        <f>IFERROR(MAX($T$11+$T$12*LN(Table13568[[#This Row],[Frac ADV]]),0),0)*0.0001+0.005/Table13568[[#This Row],[Stock Price]]+Table13568[[#This Row],[Expense Ratio]]</f>
        <v>3.7076658053402239E-3</v>
      </c>
      <c r="M182" s="68">
        <f>(Table13568[[#This Row],[Expected Return]]-Table13568[[#This Row],[Tcosts]])*Table13568[[#This Row],[Investment]]</f>
        <v>0</v>
      </c>
      <c r="Q182" s="13" t="s">
        <v>806</v>
      </c>
    </row>
    <row r="183" spans="1:17" ht="16.2" thickBot="1" x14ac:dyDescent="0.35">
      <c r="A183" s="77" t="s">
        <v>751</v>
      </c>
      <c r="B183" s="73" t="s">
        <v>752</v>
      </c>
      <c r="C183" s="73">
        <v>451.39</v>
      </c>
      <c r="D183" s="85" t="s">
        <v>753</v>
      </c>
      <c r="E183" s="75">
        <v>4.0000000000000001E-3</v>
      </c>
      <c r="F183" s="73">
        <v>-0.05</v>
      </c>
      <c r="G183" s="78">
        <v>83690000</v>
      </c>
      <c r="H183" s="3" t="b">
        <f t="shared" si="5"/>
        <v>0</v>
      </c>
      <c r="I183" s="26">
        <f>Table13568[[#This Row],[Tech]]*$T$7+Table13568[[#This Row],[Beta]]*($T$6-$T$8)+$T$8</f>
        <v>3.322E-2</v>
      </c>
      <c r="J183" s="64">
        <f>0</f>
        <v>0</v>
      </c>
      <c r="K183" s="61">
        <f>Table13568[[#This Row],[Investment]]/Table13568[[#This Row],[Dollar Volume]]</f>
        <v>0</v>
      </c>
      <c r="L183" s="34">
        <f>IFERROR(MAX($T$11+$T$12*LN(Table13568[[#This Row],[Frac ADV]]),0),0)*0.0001+0.005/Table13568[[#This Row],[Stock Price]]+Table13568[[#This Row],[Expense Ratio]]</f>
        <v>4.0110768958107178E-3</v>
      </c>
      <c r="M183" s="68">
        <f>(Table13568[[#This Row],[Expected Return]]-Table13568[[#This Row],[Tcosts]])*Table13568[[#This Row],[Investment]]</f>
        <v>0</v>
      </c>
      <c r="Q183" s="16" t="s">
        <v>810</v>
      </c>
    </row>
    <row r="184" spans="1:17" ht="16.2" thickBot="1" x14ac:dyDescent="0.35">
      <c r="A184" s="77" t="s">
        <v>717</v>
      </c>
      <c r="B184" s="73" t="s">
        <v>718</v>
      </c>
      <c r="C184" s="73">
        <v>53.05</v>
      </c>
      <c r="D184" s="85" t="s">
        <v>719</v>
      </c>
      <c r="E184" s="75">
        <v>4.0000000000000002E-4</v>
      </c>
      <c r="F184" s="73">
        <v>0</v>
      </c>
      <c r="G184" s="78">
        <v>67300000</v>
      </c>
      <c r="H184" s="3" t="b">
        <f t="shared" si="5"/>
        <v>0</v>
      </c>
      <c r="I184" s="26">
        <f>Table13568[[#This Row],[Tech]]*$T$7+Table13568[[#This Row],[Beta]]*($T$6-$T$8)+$T$8</f>
        <v>3.6400000000000002E-2</v>
      </c>
      <c r="J184" s="64">
        <f>0</f>
        <v>0</v>
      </c>
      <c r="K184" s="61">
        <f>Table13568[[#This Row],[Investment]]/Table13568[[#This Row],[Dollar Volume]]</f>
        <v>0</v>
      </c>
      <c r="L184" s="34">
        <f>IFERROR(MAX($T$11+$T$12*LN(Table13568[[#This Row],[Frac ADV]]),0),0)*0.0001+0.005/Table13568[[#This Row],[Stock Price]]+Table13568[[#This Row],[Expense Ratio]]</f>
        <v>4.9425070688030159E-4</v>
      </c>
      <c r="M184" s="68">
        <f>(Table13568[[#This Row],[Expected Return]]-Table13568[[#This Row],[Tcosts]])*Table13568[[#This Row],[Investment]]</f>
        <v>0</v>
      </c>
      <c r="Q184" s="13" t="s">
        <v>814</v>
      </c>
    </row>
    <row r="185" spans="1:17" ht="16.2" thickBot="1" x14ac:dyDescent="0.35">
      <c r="A185" s="77" t="s">
        <v>846</v>
      </c>
      <c r="B185" s="73" t="s">
        <v>847</v>
      </c>
      <c r="C185" s="73">
        <v>25.19</v>
      </c>
      <c r="D185" s="85" t="s">
        <v>848</v>
      </c>
      <c r="E185" s="75">
        <v>2.9999999999999997E-4</v>
      </c>
      <c r="F185" s="73">
        <v>-0.09</v>
      </c>
      <c r="G185" s="78">
        <v>2160000000</v>
      </c>
      <c r="H185" s="3" t="b">
        <f t="shared" si="5"/>
        <v>0</v>
      </c>
      <c r="I185" s="26">
        <f>Table13568[[#This Row],[Tech]]*$T$7+Table13568[[#This Row],[Beta]]*($T$6-$T$8)+$T$8</f>
        <v>3.0676000000000002E-2</v>
      </c>
      <c r="J185" s="64">
        <f>0</f>
        <v>0</v>
      </c>
      <c r="K185" s="61">
        <f>Table13568[[#This Row],[Investment]]/Table13568[[#This Row],[Dollar Volume]]</f>
        <v>0</v>
      </c>
      <c r="L185" s="34">
        <f>IFERROR(MAX($T$11+$T$12*LN(Table13568[[#This Row],[Frac ADV]]),0),0)*0.0001+0.005/Table13568[[#This Row],[Stock Price]]+Table13568[[#This Row],[Expense Ratio]]</f>
        <v>4.9849146486701066E-4</v>
      </c>
      <c r="M185" s="68">
        <f>(Table13568[[#This Row],[Expected Return]]-Table13568[[#This Row],[Tcosts]])*Table13568[[#This Row],[Investment]]</f>
        <v>0</v>
      </c>
      <c r="Q185" s="16" t="s">
        <v>818</v>
      </c>
    </row>
    <row r="186" spans="1:17" ht="16.2" thickBot="1" x14ac:dyDescent="0.35">
      <c r="A186" s="77" t="s">
        <v>775</v>
      </c>
      <c r="B186" s="73" t="s">
        <v>776</v>
      </c>
      <c r="C186" s="73">
        <v>78.34</v>
      </c>
      <c r="D186" s="85" t="s">
        <v>777</v>
      </c>
      <c r="E186" s="75">
        <v>2.9999999999999997E-4</v>
      </c>
      <c r="F186" s="73">
        <v>-0.08</v>
      </c>
      <c r="G186" s="78">
        <v>110680000</v>
      </c>
      <c r="H186" s="3" t="b">
        <f t="shared" si="5"/>
        <v>0</v>
      </c>
      <c r="I186" s="26">
        <f>Table13568[[#This Row],[Tech]]*$T$7+Table13568[[#This Row],[Beta]]*($T$6-$T$8)+$T$8</f>
        <v>3.1312E-2</v>
      </c>
      <c r="J186" s="64">
        <f>0</f>
        <v>0</v>
      </c>
      <c r="K186" s="61">
        <f>Table13568[[#This Row],[Investment]]/Table13568[[#This Row],[Dollar Volume]]</f>
        <v>0</v>
      </c>
      <c r="L186" s="34">
        <f>IFERROR(MAX($T$11+$T$12*LN(Table13568[[#This Row],[Frac ADV]]),0),0)*0.0001+0.005/Table13568[[#This Row],[Stock Price]]+Table13568[[#This Row],[Expense Ratio]]</f>
        <v>3.6382435537401071E-4</v>
      </c>
      <c r="M186" s="68">
        <f>(Table13568[[#This Row],[Expected Return]]-Table13568[[#This Row],[Tcosts]])*Table13568[[#This Row],[Investment]]</f>
        <v>0</v>
      </c>
      <c r="Q186" s="13" t="s">
        <v>822</v>
      </c>
    </row>
    <row r="187" spans="1:17" ht="16.2" thickBot="1" x14ac:dyDescent="0.35">
      <c r="A187" s="77" t="s">
        <v>823</v>
      </c>
      <c r="B187" s="73" t="s">
        <v>824</v>
      </c>
      <c r="C187" s="73">
        <v>100.67</v>
      </c>
      <c r="D187" s="85" t="s">
        <v>825</v>
      </c>
      <c r="E187" s="75">
        <v>2.9999999999999997E-4</v>
      </c>
      <c r="F187" s="73">
        <v>-0.06</v>
      </c>
      <c r="G187" s="78">
        <v>103190000</v>
      </c>
      <c r="H187" s="3" t="b">
        <f t="shared" si="5"/>
        <v>0</v>
      </c>
      <c r="I187" s="26">
        <f>Table13568[[#This Row],[Tech]]*$T$7+Table13568[[#This Row],[Beta]]*($T$6-$T$8)+$T$8</f>
        <v>3.2584000000000002E-2</v>
      </c>
      <c r="J187" s="64">
        <f>0</f>
        <v>0</v>
      </c>
      <c r="K187" s="61">
        <f>Table13568[[#This Row],[Investment]]/Table13568[[#This Row],[Dollar Volume]]</f>
        <v>0</v>
      </c>
      <c r="L187" s="34">
        <f>IFERROR(MAX($T$11+$T$12*LN(Table13568[[#This Row],[Frac ADV]]),0),0)*0.0001+0.005/Table13568[[#This Row],[Stock Price]]+Table13568[[#This Row],[Expense Ratio]]</f>
        <v>3.4966722956193501E-4</v>
      </c>
      <c r="M187" s="68">
        <f>(Table13568[[#This Row],[Expected Return]]-Table13568[[#This Row],[Tcosts]])*Table13568[[#This Row],[Investment]]</f>
        <v>0</v>
      </c>
      <c r="Q187" s="16" t="s">
        <v>826</v>
      </c>
    </row>
    <row r="188" spans="1:17" ht="16.2" thickBot="1" x14ac:dyDescent="0.35">
      <c r="A188" s="79" t="s">
        <v>755</v>
      </c>
      <c r="B188" s="74" t="s">
        <v>756</v>
      </c>
      <c r="C188" s="74">
        <v>119.82</v>
      </c>
      <c r="D188" s="86" t="s">
        <v>757</v>
      </c>
      <c r="E188" s="76">
        <v>1.5E-3</v>
      </c>
      <c r="F188" s="74">
        <v>-0.09</v>
      </c>
      <c r="G188" s="78">
        <v>51210000</v>
      </c>
      <c r="H188" s="3" t="b">
        <f t="shared" si="5"/>
        <v>0</v>
      </c>
      <c r="I188" s="26">
        <f>Table13568[[#This Row],[Tech]]*$T$7+Table13568[[#This Row],[Beta]]*($T$6-$T$8)+$T$8</f>
        <v>3.0676000000000002E-2</v>
      </c>
      <c r="J188" s="64">
        <f>0</f>
        <v>0</v>
      </c>
      <c r="K188" s="61">
        <f>Table13568[[#This Row],[Investment]]/Table13568[[#This Row],[Dollar Volume]]</f>
        <v>0</v>
      </c>
      <c r="L188" s="34">
        <f>IFERROR(MAX($T$11+$T$12*LN(Table13568[[#This Row],[Frac ADV]]),0),0)*0.0001+0.005/Table13568[[#This Row],[Stock Price]]+Table13568[[#This Row],[Expense Ratio]]</f>
        <v>1.541729260557503E-3</v>
      </c>
      <c r="M188" s="68">
        <f>(Table13568[[#This Row],[Expected Return]]-Table13568[[#This Row],[Tcosts]])*Table13568[[#This Row],[Investment]]</f>
        <v>0</v>
      </c>
      <c r="Q188" s="13" t="s">
        <v>830</v>
      </c>
    </row>
    <row r="189" spans="1:17" ht="16.2" thickBot="1" x14ac:dyDescent="0.35">
      <c r="A189" s="77" t="s">
        <v>831</v>
      </c>
      <c r="B189" s="73" t="s">
        <v>832</v>
      </c>
      <c r="C189" s="73">
        <v>97.25</v>
      </c>
      <c r="D189" s="85" t="s">
        <v>833</v>
      </c>
      <c r="E189" s="75">
        <v>1E-3</v>
      </c>
      <c r="F189" s="73">
        <v>-0.05</v>
      </c>
      <c r="G189" s="78">
        <v>140630000</v>
      </c>
      <c r="H189" s="3" t="b">
        <f t="shared" si="5"/>
        <v>0</v>
      </c>
      <c r="I189" s="26">
        <f>Table13568[[#This Row],[Tech]]*$T$7+Table13568[[#This Row],[Beta]]*($T$6-$T$8)+$T$8</f>
        <v>3.322E-2</v>
      </c>
      <c r="J189" s="64">
        <f>0</f>
        <v>0</v>
      </c>
      <c r="K189" s="61">
        <f>Table13568[[#This Row],[Investment]]/Table13568[[#This Row],[Dollar Volume]]</f>
        <v>0</v>
      </c>
      <c r="L189" s="34">
        <f>IFERROR(MAX($T$11+$T$12*LN(Table13568[[#This Row],[Frac ADV]]),0),0)*0.0001+0.005/Table13568[[#This Row],[Stock Price]]+Table13568[[#This Row],[Expense Ratio]]</f>
        <v>1.0514138817480721E-3</v>
      </c>
      <c r="M189" s="68">
        <f>(Table13568[[#This Row],[Expected Return]]-Table13568[[#This Row],[Tcosts]])*Table13568[[#This Row],[Investment]]</f>
        <v>0</v>
      </c>
      <c r="Q189" s="16" t="s">
        <v>834</v>
      </c>
    </row>
    <row r="190" spans="1:17" ht="16.2" thickBot="1" x14ac:dyDescent="0.35">
      <c r="A190" s="79" t="s">
        <v>839</v>
      </c>
      <c r="B190" s="74" t="s">
        <v>840</v>
      </c>
      <c r="C190" s="74">
        <v>111.25</v>
      </c>
      <c r="D190" s="86" t="s">
        <v>730</v>
      </c>
      <c r="E190" s="76">
        <v>1.8E-3</v>
      </c>
      <c r="F190" s="74">
        <v>-0.04</v>
      </c>
      <c r="G190" s="78">
        <v>75700000</v>
      </c>
      <c r="H190" s="3" t="b">
        <f t="shared" si="5"/>
        <v>0</v>
      </c>
      <c r="I190" s="26">
        <f>Table13568[[#This Row],[Tech]]*$T$7+Table13568[[#This Row],[Beta]]*($T$6-$T$8)+$T$8</f>
        <v>3.3856000000000004E-2</v>
      </c>
      <c r="J190" s="64">
        <f>0</f>
        <v>0</v>
      </c>
      <c r="K190" s="61">
        <f>Table13568[[#This Row],[Investment]]/Table13568[[#This Row],[Dollar Volume]]</f>
        <v>0</v>
      </c>
      <c r="L190" s="34">
        <f>IFERROR(MAX($T$11+$T$12*LN(Table13568[[#This Row],[Frac ADV]]),0),0)*0.0001+0.005/Table13568[[#This Row],[Stock Price]]+Table13568[[#This Row],[Expense Ratio]]</f>
        <v>1.844943820224719E-3</v>
      </c>
      <c r="M190" s="68">
        <f>(Table13568[[#This Row],[Expected Return]]-Table13568[[#This Row],[Tcosts]])*Table13568[[#This Row],[Investment]]</f>
        <v>0</v>
      </c>
      <c r="Q190" s="13" t="s">
        <v>838</v>
      </c>
    </row>
    <row r="191" spans="1:17" ht="16.2" thickBot="1" x14ac:dyDescent="0.35">
      <c r="A191" s="77" t="s">
        <v>827</v>
      </c>
      <c r="B191" s="73" t="s">
        <v>828</v>
      </c>
      <c r="C191" s="73">
        <v>47.56</v>
      </c>
      <c r="D191" s="85" t="s">
        <v>829</v>
      </c>
      <c r="E191" s="75">
        <v>2.9999999999999997E-4</v>
      </c>
      <c r="F191" s="73">
        <v>-0.06</v>
      </c>
      <c r="G191" s="78">
        <v>42420000</v>
      </c>
      <c r="H191" s="3" t="b">
        <f t="shared" si="5"/>
        <v>0</v>
      </c>
      <c r="I191" s="26">
        <f>Table13568[[#This Row],[Tech]]*$T$7+Table13568[[#This Row],[Beta]]*($T$6-$T$8)+$T$8</f>
        <v>3.2584000000000002E-2</v>
      </c>
      <c r="J191" s="64">
        <f>0</f>
        <v>0</v>
      </c>
      <c r="K191" s="61">
        <f>Table13568[[#This Row],[Investment]]/Table13568[[#This Row],[Dollar Volume]]</f>
        <v>0</v>
      </c>
      <c r="L191" s="34">
        <f>IFERROR(MAX($T$11+$T$12*LN(Table13568[[#This Row],[Frac ADV]]),0),0)*0.0001+0.005/Table13568[[#This Row],[Stock Price]]+Table13568[[#This Row],[Expense Ratio]]</f>
        <v>4.0513036164844401E-4</v>
      </c>
      <c r="M191" s="68">
        <f>(Table13568[[#This Row],[Expected Return]]-Table13568[[#This Row],[Tcosts]])*Table13568[[#This Row],[Investment]]</f>
        <v>0</v>
      </c>
      <c r="Q191" s="16" t="s">
        <v>841</v>
      </c>
    </row>
    <row r="192" spans="1:17" ht="16.2" thickBot="1" x14ac:dyDescent="0.35">
      <c r="A192" s="77" t="s">
        <v>858</v>
      </c>
      <c r="B192" s="73" t="s">
        <v>859</v>
      </c>
      <c r="C192" s="73">
        <v>96.83</v>
      </c>
      <c r="D192" s="85" t="s">
        <v>860</v>
      </c>
      <c r="E192" s="75">
        <v>1.5E-3</v>
      </c>
      <c r="F192" s="73">
        <v>-0.12</v>
      </c>
      <c r="G192" s="78">
        <v>146800000</v>
      </c>
      <c r="H192" s="3" t="b">
        <f t="shared" si="5"/>
        <v>0</v>
      </c>
      <c r="I192" s="26">
        <f>Table13568[[#This Row],[Tech]]*$T$7+Table13568[[#This Row],[Beta]]*($T$6-$T$8)+$T$8</f>
        <v>2.8768000000000002E-2</v>
      </c>
      <c r="J192" s="64">
        <f>0</f>
        <v>0</v>
      </c>
      <c r="K192" s="61">
        <f>Table13568[[#This Row],[Investment]]/Table13568[[#This Row],[Dollar Volume]]</f>
        <v>0</v>
      </c>
      <c r="L192" s="34">
        <f>IFERROR(MAX($T$11+$T$12*LN(Table13568[[#This Row],[Frac ADV]]),0),0)*0.0001+0.005/Table13568[[#This Row],[Stock Price]]+Table13568[[#This Row],[Expense Ratio]]</f>
        <v>1.5516368893937829E-3</v>
      </c>
      <c r="M192" s="68">
        <f>(Table13568[[#This Row],[Expected Return]]-Table13568[[#This Row],[Tcosts]])*Table13568[[#This Row],[Investment]]</f>
        <v>0</v>
      </c>
      <c r="Q192" s="13" t="s">
        <v>845</v>
      </c>
    </row>
    <row r="193" spans="1:17" ht="16.2" thickBot="1" x14ac:dyDescent="0.35">
      <c r="A193" s="77" t="s">
        <v>728</v>
      </c>
      <c r="B193" s="73" t="s">
        <v>729</v>
      </c>
      <c r="C193" s="73">
        <v>102.99</v>
      </c>
      <c r="D193" s="85" t="s">
        <v>730</v>
      </c>
      <c r="E193" s="75">
        <v>2.9999999999999997E-4</v>
      </c>
      <c r="F193" s="73">
        <v>-0.01</v>
      </c>
      <c r="G193" s="78">
        <v>32800000</v>
      </c>
      <c r="H193" s="3" t="b">
        <f t="shared" si="5"/>
        <v>0</v>
      </c>
      <c r="I193" s="26">
        <f>Table13568[[#This Row],[Tech]]*$T$7+Table13568[[#This Row],[Beta]]*($T$6-$T$8)+$T$8</f>
        <v>3.5764000000000004E-2</v>
      </c>
      <c r="J193" s="64">
        <f>0</f>
        <v>0</v>
      </c>
      <c r="K193" s="61">
        <f>Table13568[[#This Row],[Investment]]/Table13568[[#This Row],[Dollar Volume]]</f>
        <v>0</v>
      </c>
      <c r="L193" s="34">
        <f>IFERROR(MAX($T$11+$T$12*LN(Table13568[[#This Row],[Frac ADV]]),0),0)*0.0001+0.005/Table13568[[#This Row],[Stock Price]]+Table13568[[#This Row],[Expense Ratio]]</f>
        <v>3.4854840275754927E-4</v>
      </c>
      <c r="M193" s="68">
        <f>(Table13568[[#This Row],[Expected Return]]-Table13568[[#This Row],[Tcosts]])*Table13568[[#This Row],[Investment]]</f>
        <v>0</v>
      </c>
      <c r="Q193" s="16" t="s">
        <v>849</v>
      </c>
    </row>
    <row r="194" spans="1:17" ht="16.2" thickBot="1" x14ac:dyDescent="0.35">
      <c r="A194" s="77" t="s">
        <v>854</v>
      </c>
      <c r="B194" s="73" t="s">
        <v>855</v>
      </c>
      <c r="C194" s="73">
        <v>103.39</v>
      </c>
      <c r="D194" s="85" t="s">
        <v>856</v>
      </c>
      <c r="E194" s="75">
        <v>1.5E-3</v>
      </c>
      <c r="F194" s="73">
        <v>-0.17</v>
      </c>
      <c r="G194" s="78">
        <v>32170000</v>
      </c>
      <c r="H194" s="3" t="b">
        <f t="shared" ref="H194:H201" si="6">OR(
  ISNUMBER(SEARCH("technology",B194)),
  ISNUMBER(SEARCH("tech",B194)),
  ISNUMBER(SEARCH("qqq",B194)),
  ISNUMBER(SEARCH("semiconductor",B194)),
  ISNUMBER(SEARCH("information technology",B194)),
  ISNUMBER(SEARCH("nasdaq",B194)),
  ISNUMBER(SEARCH("communication",B194))
)</f>
        <v>0</v>
      </c>
      <c r="I194" s="26">
        <f>Table13568[[#This Row],[Tech]]*$T$7+Table13568[[#This Row],[Beta]]*($T$6-$T$8)+$T$8</f>
        <v>2.5588E-2</v>
      </c>
      <c r="J194" s="64">
        <f>0</f>
        <v>0</v>
      </c>
      <c r="K194" s="61">
        <f>Table13568[[#This Row],[Investment]]/Table13568[[#This Row],[Dollar Volume]]</f>
        <v>0</v>
      </c>
      <c r="L194" s="34">
        <f>IFERROR(MAX($T$11+$T$12*LN(Table13568[[#This Row],[Frac ADV]]),0),0)*0.0001+0.005/Table13568[[#This Row],[Stock Price]]+Table13568[[#This Row],[Expense Ratio]]</f>
        <v>1.5483605764580713E-3</v>
      </c>
      <c r="M194" s="68">
        <f>(Table13568[[#This Row],[Expected Return]]-Table13568[[#This Row],[Tcosts]])*Table13568[[#This Row],[Investment]]</f>
        <v>0</v>
      </c>
      <c r="Q194" s="13" t="s">
        <v>853</v>
      </c>
    </row>
    <row r="195" spans="1:17" ht="16.2" thickBot="1" x14ac:dyDescent="0.35">
      <c r="A195" s="77" t="s">
        <v>850</v>
      </c>
      <c r="B195" s="73" t="s">
        <v>851</v>
      </c>
      <c r="C195" s="73">
        <v>89.23</v>
      </c>
      <c r="D195" s="85" t="s">
        <v>852</v>
      </c>
      <c r="E195" s="75">
        <v>1.5E-3</v>
      </c>
      <c r="F195" s="73">
        <v>-0.18</v>
      </c>
      <c r="G195" s="78">
        <v>66080000</v>
      </c>
      <c r="H195" s="3" t="b">
        <f t="shared" si="6"/>
        <v>0</v>
      </c>
      <c r="I195" s="26">
        <f>Table13568[[#This Row],[Tech]]*$T$7+Table13568[[#This Row],[Beta]]*($T$6-$T$8)+$T$8</f>
        <v>2.4952000000000002E-2</v>
      </c>
      <c r="J195" s="64">
        <f>0</f>
        <v>0</v>
      </c>
      <c r="K195" s="61">
        <f>Table13568[[#This Row],[Investment]]/Table13568[[#This Row],[Dollar Volume]]</f>
        <v>0</v>
      </c>
      <c r="L195" s="33">
        <f>IFERROR(MAX($T$11+$T$12*LN(Table13568[[#This Row],[Frac ADV]]),0),0)*0.0001+0.005/Table13568[[#This Row],[Stock Price]]+Table13568[[#This Row],[Expense Ratio]]</f>
        <v>1.5560349658186709E-3</v>
      </c>
      <c r="M195" s="68">
        <f>(Table13568[[#This Row],[Expected Return]]-Table13568[[#This Row],[Tcosts]])*Table13568[[#This Row],[Investment]]</f>
        <v>0</v>
      </c>
      <c r="Q195" s="16" t="s">
        <v>857</v>
      </c>
    </row>
    <row r="196" spans="1:17" ht="16.2" thickBot="1" x14ac:dyDescent="0.35">
      <c r="A196" s="77" t="s">
        <v>779</v>
      </c>
      <c r="B196" s="73" t="s">
        <v>780</v>
      </c>
      <c r="C196" s="73">
        <v>26.87</v>
      </c>
      <c r="D196" s="85" t="s">
        <v>781</v>
      </c>
      <c r="E196" s="75">
        <v>6.4000000000000003E-3</v>
      </c>
      <c r="F196" s="73">
        <v>0.03</v>
      </c>
      <c r="G196" s="78">
        <v>24040000</v>
      </c>
      <c r="H196" s="3" t="b">
        <f t="shared" si="6"/>
        <v>0</v>
      </c>
      <c r="I196" s="26">
        <f>Table13568[[#This Row],[Tech]]*$T$7+Table13568[[#This Row],[Beta]]*($T$6-$T$8)+$T$8</f>
        <v>3.8308000000000002E-2</v>
      </c>
      <c r="J196" s="64">
        <f>0</f>
        <v>0</v>
      </c>
      <c r="K196" s="61">
        <f>Table13568[[#This Row],[Investment]]/Table13568[[#This Row],[Dollar Volume]]</f>
        <v>0</v>
      </c>
      <c r="L196" s="34">
        <f>IFERROR(MAX($T$11+$T$12*LN(Table13568[[#This Row],[Frac ADV]]),0),0)*0.0001+0.005/Table13568[[#This Row],[Stock Price]]+Table13568[[#This Row],[Expense Ratio]]</f>
        <v>6.5860811313732791E-3</v>
      </c>
      <c r="M196" s="68">
        <f>(Table13568[[#This Row],[Expected Return]]-Table13568[[#This Row],[Tcosts]])*Table13568[[#This Row],[Investment]]</f>
        <v>0</v>
      </c>
      <c r="Q196" s="13" t="s">
        <v>861</v>
      </c>
    </row>
    <row r="197" spans="1:17" ht="16.2" thickBot="1" x14ac:dyDescent="0.35">
      <c r="A197" s="77" t="s">
        <v>747</v>
      </c>
      <c r="B197" s="73" t="s">
        <v>748</v>
      </c>
      <c r="C197" s="73">
        <v>111.22</v>
      </c>
      <c r="D197" s="85" t="s">
        <v>749</v>
      </c>
      <c r="E197" s="75">
        <v>1.4E-3</v>
      </c>
      <c r="F197" s="73">
        <v>0</v>
      </c>
      <c r="G197" s="78">
        <v>84260000</v>
      </c>
      <c r="H197" s="3" t="b">
        <f t="shared" si="6"/>
        <v>0</v>
      </c>
      <c r="I197" s="26">
        <f>Table13568[[#This Row],[Tech]]*$T$7+Table13568[[#This Row],[Beta]]*($T$6-$T$8)+$T$8</f>
        <v>3.6400000000000002E-2</v>
      </c>
      <c r="J197" s="64">
        <f>0</f>
        <v>0</v>
      </c>
      <c r="K197" s="61">
        <f>Table13568[[#This Row],[Investment]]/Table13568[[#This Row],[Dollar Volume]]</f>
        <v>0</v>
      </c>
      <c r="L197" s="34">
        <f>IFERROR(MAX($T$11+$T$12*LN(Table13568[[#This Row],[Frac ADV]]),0),0)*0.0001+0.005/Table13568[[#This Row],[Stock Price]]+Table13568[[#This Row],[Expense Ratio]]</f>
        <v>1.4449559431756879E-3</v>
      </c>
      <c r="M197" s="68">
        <f>(Table13568[[#This Row],[Expected Return]]-Table13568[[#This Row],[Tcosts]])*Table13568[[#This Row],[Investment]]</f>
        <v>0</v>
      </c>
      <c r="Q197" s="16" t="s">
        <v>865</v>
      </c>
    </row>
    <row r="198" spans="1:17" ht="16.2" thickBot="1" x14ac:dyDescent="0.35">
      <c r="A198" s="77" t="s">
        <v>877</v>
      </c>
      <c r="B198" s="73" t="s">
        <v>878</v>
      </c>
      <c r="C198" s="73">
        <v>96.14</v>
      </c>
      <c r="D198" s="85" t="s">
        <v>844</v>
      </c>
      <c r="E198" s="75">
        <v>4.0000000000000002E-4</v>
      </c>
      <c r="F198" s="73">
        <v>-0.05</v>
      </c>
      <c r="G198" s="78">
        <v>301030000</v>
      </c>
      <c r="H198" s="3" t="b">
        <f t="shared" si="6"/>
        <v>0</v>
      </c>
      <c r="I198" s="26">
        <f>Table13568[[#This Row],[Tech]]*$T$7+Table13568[[#This Row],[Beta]]*($T$6-$T$8)+$T$8</f>
        <v>3.322E-2</v>
      </c>
      <c r="J198" s="64">
        <f>0</f>
        <v>0</v>
      </c>
      <c r="K198" s="61">
        <f>Table13568[[#This Row],[Investment]]/Table13568[[#This Row],[Dollar Volume]]</f>
        <v>0</v>
      </c>
      <c r="L198" s="34">
        <f>IFERROR(MAX($T$11+$T$12*LN(Table13568[[#This Row],[Frac ADV]]),0),0)*0.0001+0.005/Table13568[[#This Row],[Stock Price]]+Table13568[[#This Row],[Expense Ratio]]</f>
        <v>4.5200748907842732E-4</v>
      </c>
      <c r="M198" s="68">
        <f>(Table13568[[#This Row],[Expected Return]]-Table13568[[#This Row],[Tcosts]])*Table13568[[#This Row],[Investment]]</f>
        <v>0</v>
      </c>
      <c r="Q198" s="13" t="s">
        <v>869</v>
      </c>
    </row>
    <row r="199" spans="1:17" ht="16.2" thickBot="1" x14ac:dyDescent="0.35">
      <c r="A199" s="77" t="s">
        <v>787</v>
      </c>
      <c r="B199" s="73" t="s">
        <v>788</v>
      </c>
      <c r="C199" s="73">
        <v>50.41</v>
      </c>
      <c r="D199" s="85" t="s">
        <v>789</v>
      </c>
      <c r="E199" s="75">
        <v>1.5E-3</v>
      </c>
      <c r="F199" s="73">
        <v>-0.01</v>
      </c>
      <c r="G199" s="78">
        <v>98510000</v>
      </c>
      <c r="H199" s="3" t="b">
        <f t="shared" si="6"/>
        <v>0</v>
      </c>
      <c r="I199" s="26">
        <f>Table13568[[#This Row],[Tech]]*$T$7+Table13568[[#This Row],[Beta]]*($T$6-$T$8)+$T$8</f>
        <v>3.5764000000000004E-2</v>
      </c>
      <c r="J199" s="64">
        <f>0</f>
        <v>0</v>
      </c>
      <c r="K199" s="61">
        <f>Table13568[[#This Row],[Investment]]/Table13568[[#This Row],[Dollar Volume]]</f>
        <v>0</v>
      </c>
      <c r="L199" s="34">
        <f>IFERROR(MAX($T$11+$T$12*LN(Table13568[[#This Row],[Frac ADV]]),0),0)*0.0001+0.005/Table13568[[#This Row],[Stock Price]]+Table13568[[#This Row],[Expense Ratio]]</f>
        <v>1.5991866693116446E-3</v>
      </c>
      <c r="M199" s="68">
        <f>(Table13568[[#This Row],[Expected Return]]-Table13568[[#This Row],[Tcosts]])*Table13568[[#This Row],[Investment]]</f>
        <v>0</v>
      </c>
      <c r="Q199" s="16" t="s">
        <v>873</v>
      </c>
    </row>
    <row r="200" spans="1:17" ht="16.2" thickBot="1" x14ac:dyDescent="0.35">
      <c r="A200" s="79" t="s">
        <v>721</v>
      </c>
      <c r="B200" s="74" t="s">
        <v>722</v>
      </c>
      <c r="C200" s="74">
        <v>52.14</v>
      </c>
      <c r="D200" s="86" t="s">
        <v>703</v>
      </c>
      <c r="E200" s="76">
        <v>4.0000000000000002E-4</v>
      </c>
      <c r="F200" s="74">
        <v>0</v>
      </c>
      <c r="G200" s="78">
        <v>64050000</v>
      </c>
      <c r="H200" s="3" t="b">
        <f t="shared" si="6"/>
        <v>0</v>
      </c>
      <c r="I200" s="26">
        <f>Table13568[[#This Row],[Tech]]*$T$7+Table13568[[#This Row],[Beta]]*($T$6-$T$8)+$T$8</f>
        <v>3.6400000000000002E-2</v>
      </c>
      <c r="J200" s="64">
        <f>0</f>
        <v>0</v>
      </c>
      <c r="K200" s="61">
        <f>Table13568[[#This Row],[Investment]]/Table13568[[#This Row],[Dollar Volume]]</f>
        <v>0</v>
      </c>
      <c r="L200" s="34">
        <f>IFERROR(MAX($T$11+$T$12*LN(Table13568[[#This Row],[Frac ADV]]),0),0)*0.0001+0.005/Table13568[[#This Row],[Stock Price]]+Table13568[[#This Row],[Expense Ratio]]</f>
        <v>4.9589566551591874E-4</v>
      </c>
      <c r="M200" s="68">
        <f>(Table13568[[#This Row],[Expected Return]]-Table13568[[#This Row],[Tcosts]])*Table13568[[#This Row],[Investment]]</f>
        <v>0</v>
      </c>
      <c r="Q200" s="13" t="s">
        <v>876</v>
      </c>
    </row>
    <row r="201" spans="1:17" ht="15.6" x14ac:dyDescent="0.3">
      <c r="A201" s="80" t="s">
        <v>870</v>
      </c>
      <c r="B201" s="81" t="s">
        <v>871</v>
      </c>
      <c r="C201" s="81">
        <v>92.48</v>
      </c>
      <c r="D201" s="87" t="s">
        <v>872</v>
      </c>
      <c r="E201" s="82">
        <v>2.5000000000000001E-3</v>
      </c>
      <c r="F201" s="81">
        <v>-0.05</v>
      </c>
      <c r="G201" s="83">
        <v>24620000</v>
      </c>
      <c r="H201" s="5" t="b">
        <f t="shared" si="6"/>
        <v>0</v>
      </c>
      <c r="I201" s="36">
        <f>Table13568[[#This Row],[Tech]]*$T$7+Table13568[[#This Row],[Beta]]*($T$6-$T$8)+$T$8</f>
        <v>3.322E-2</v>
      </c>
      <c r="J201" s="64">
        <f>0</f>
        <v>0</v>
      </c>
      <c r="K201" s="62">
        <f>Table13568[[#This Row],[Investment]]/Table13568[[#This Row],[Dollar Volume]]</f>
        <v>0</v>
      </c>
      <c r="L201" s="37">
        <f>IFERROR(MAX($T$11+$T$12*LN(Table13568[[#This Row],[Frac ADV]]),0),0)*0.0001+0.005/Table13568[[#This Row],[Stock Price]]+Table13568[[#This Row],[Expense Ratio]]</f>
        <v>2.5540657439446367E-3</v>
      </c>
      <c r="M201" s="69">
        <f>(Table13568[[#This Row],[Expected Return]]-Table13568[[#This Row],[Tcosts]])*Table13568[[#This Row],[Investment]]</f>
        <v>0</v>
      </c>
      <c r="Q201" s="38" t="s">
        <v>879</v>
      </c>
    </row>
  </sheetData>
  <hyperlinks>
    <hyperlink ref="A56" r:id="rId1" xr:uid="{41B6511A-613F-B348-99D1-8303FD4C8804}"/>
    <hyperlink ref="A57" r:id="rId2" xr:uid="{118093B6-A1DF-1140-B257-DDD827E43937}"/>
    <hyperlink ref="A71" r:id="rId3" xr:uid="{68AD2E25-42E1-0D4C-95DF-FF05E2D6A2B2}"/>
    <hyperlink ref="A77" r:id="rId4" xr:uid="{F433309B-3ED8-C947-B9EB-D0D772F78599}"/>
    <hyperlink ref="A69" r:id="rId5" xr:uid="{F3261296-B593-F04C-9DB0-5A733FB3B61F}"/>
    <hyperlink ref="A58" r:id="rId6" xr:uid="{4DAE0189-ED23-6742-B76C-6E3D810DFBEA}"/>
    <hyperlink ref="A55" r:id="rId7" xr:uid="{E4CF65DC-536A-224E-B3A1-C24C01C00797}"/>
    <hyperlink ref="A62" r:id="rId8" xr:uid="{5D3A2640-E9D1-5542-885F-0FE4A82E3322}"/>
    <hyperlink ref="A61" r:id="rId9" xr:uid="{15F28C93-2321-EB42-95C6-2ED0D5A70AEB}"/>
    <hyperlink ref="A87" r:id="rId10" xr:uid="{F3AA32BD-57E9-8B46-A9B3-3F2BBE7C42B0}"/>
    <hyperlink ref="A83" r:id="rId11" xr:uid="{3EE61748-730B-214B-874C-0CEECA82D0F5}"/>
    <hyperlink ref="A54" r:id="rId12" xr:uid="{3285FF32-5C8D-2548-A4D4-0BF34F04263E}"/>
    <hyperlink ref="A74" r:id="rId13" xr:uid="{77BA76D0-81C9-C84D-8195-715A413EE48A}"/>
    <hyperlink ref="A80" r:id="rId14" xr:uid="{4E5D3507-1EFB-FD41-A941-2AA6DF1ED366}"/>
    <hyperlink ref="A59" r:id="rId15" xr:uid="{DCADE983-A8E1-5D4D-881F-0AEA5954F7B1}"/>
    <hyperlink ref="A82" r:id="rId16" xr:uid="{5731F72C-B3D5-3347-8443-32DA4078BDAB}"/>
    <hyperlink ref="A52" r:id="rId17" xr:uid="{6FE6D645-A4A9-EE4C-B01A-6DF1631D8A38}"/>
    <hyperlink ref="A53" r:id="rId18" xr:uid="{BAF3443C-8334-5843-80C4-31B34DAEB1B3}"/>
    <hyperlink ref="A68" r:id="rId19" xr:uid="{B71263C6-E19D-A443-8056-DE8B2D951252}"/>
    <hyperlink ref="A89" r:id="rId20" xr:uid="{324764F2-6831-BB4E-A302-B929F434A067}"/>
    <hyperlink ref="A60" r:id="rId21" xr:uid="{639CBAE0-84FC-1D42-823E-794F317497CE}"/>
    <hyperlink ref="A76" r:id="rId22" xr:uid="{4B834DE4-C133-6048-9437-56D19097626C}"/>
    <hyperlink ref="A84" r:id="rId23" xr:uid="{5015FF9C-9B83-8845-888F-6A70AED2EAF2}"/>
    <hyperlink ref="A66" r:id="rId24" xr:uid="{9ABCD9FF-A291-3D40-8029-F7FBEBBB60C0}"/>
    <hyperlink ref="A85" r:id="rId25" xr:uid="{5BEA9C5E-61B7-DF45-8605-0B8490504C7C}"/>
    <hyperlink ref="A64" r:id="rId26" xr:uid="{4373393F-5C4A-F149-BD5A-76AA23A2E06A}"/>
    <hyperlink ref="A75" r:id="rId27" xr:uid="{BD8715C4-1797-F946-BA14-3C617666FF87}"/>
    <hyperlink ref="A67" r:id="rId28" xr:uid="{D0DB75A2-B2AB-5C4E-B760-71082B822F1D}"/>
    <hyperlink ref="A86" r:id="rId29" xr:uid="{D6F9199B-DBE4-794F-8A52-65857FA806A8}"/>
    <hyperlink ref="A91" r:id="rId30" xr:uid="{860FA71C-861A-3C4E-8BB3-C448DB794815}"/>
    <hyperlink ref="A90" r:id="rId31" xr:uid="{F1997A0C-C7BC-0E47-81A2-C0FB0DA1D15B}"/>
    <hyperlink ref="A63" r:id="rId32" xr:uid="{9DFF9F4B-6E8B-3E42-B333-961C826F2138}"/>
    <hyperlink ref="A81" r:id="rId33" xr:uid="{BF374FD6-A4E5-4248-800A-ED034719CF8E}"/>
    <hyperlink ref="A72" r:id="rId34" xr:uid="{F66D5A68-F408-704C-BA38-B47667045F3F}"/>
    <hyperlink ref="A65" r:id="rId35" xr:uid="{35BF9916-B932-3846-8A90-D0FEFCCB5624}"/>
    <hyperlink ref="A70" r:id="rId36" xr:uid="{AC526607-D33A-064B-AA82-A494FFAFCCC6}"/>
    <hyperlink ref="A78" r:id="rId37" xr:uid="{A8AF01FE-3A02-7846-9DEF-51DFEC8C3A92}"/>
    <hyperlink ref="A73" r:id="rId38" xr:uid="{E4609B9B-CFF9-9348-808E-1B3F9E0FC724}"/>
    <hyperlink ref="A79" r:id="rId39" xr:uid="{8F2CC26C-4AE7-7540-B564-AEE2A8934CB8}"/>
    <hyperlink ref="A88" r:id="rId40" xr:uid="{F013214E-0EDB-5F49-A2C5-6FEFF3202ADB}"/>
    <hyperlink ref="A92" r:id="rId41" xr:uid="{FA731B5A-EA1D-D743-8C56-90632F7900EE}"/>
    <hyperlink ref="A93" r:id="rId42" xr:uid="{BF6E57A5-3EDE-4B40-B580-FB0EA8B20DAC}"/>
    <hyperlink ref="A94" r:id="rId43" xr:uid="{45F53345-758D-D34E-A402-CB743D93DE8D}"/>
    <hyperlink ref="A95" r:id="rId44" xr:uid="{E6754F3D-EB13-EA47-9930-A693498CE6D9}"/>
    <hyperlink ref="A96" r:id="rId45" xr:uid="{D5E259A6-7D96-4548-85D7-8F18AF7AC15E}"/>
    <hyperlink ref="A97" r:id="rId46" xr:uid="{9CA1FCE8-9625-144A-AF3E-8DEB344936B3}"/>
    <hyperlink ref="A98" r:id="rId47" xr:uid="{9AF8BDC3-10E0-1F4F-A7C9-DF63F7C25E7F}"/>
    <hyperlink ref="A99" r:id="rId48" xr:uid="{8A6ED392-9E49-7D44-988F-BB558A3C2238}"/>
    <hyperlink ref="A100" r:id="rId49" xr:uid="{AA00AF0E-D877-264A-B5B2-FDBB29A6DBCD}"/>
    <hyperlink ref="A101" r:id="rId50" xr:uid="{39EE4CEF-A87C-084E-8211-F5A85E4F5F36}"/>
    <hyperlink ref="A102" r:id="rId51" xr:uid="{40AA260B-CC59-D24E-9CFC-0B38B8A6E26A}"/>
    <hyperlink ref="A103" r:id="rId52" xr:uid="{54D89445-097D-0140-B485-6352CB49DD75}"/>
    <hyperlink ref="A104" r:id="rId53" xr:uid="{021703D1-9951-3348-A8D4-83A6B95A8932}"/>
    <hyperlink ref="A105" r:id="rId54" xr:uid="{A82F7AC4-B595-724D-8210-A6479A8A66D3}"/>
    <hyperlink ref="A106" r:id="rId55" xr:uid="{3D753C36-02D3-3B4B-86A3-364A7A37C1A7}"/>
    <hyperlink ref="A107" r:id="rId56" xr:uid="{442B6440-312F-7D4E-87A0-31DBAEC84ADC}"/>
    <hyperlink ref="A108" r:id="rId57" xr:uid="{0D9FBC4F-E497-704D-A0D6-C8958C123861}"/>
    <hyperlink ref="A109" r:id="rId58" xr:uid="{976AD91A-A580-3A47-B3CE-20D7CB60436C}"/>
    <hyperlink ref="A110" r:id="rId59" xr:uid="{B54C8F39-23FA-BB41-898E-ABAC9CDD7A88}"/>
    <hyperlink ref="A111" r:id="rId60" xr:uid="{20FE7882-0954-904C-A103-E2C9FC028D7C}"/>
    <hyperlink ref="A112" r:id="rId61" xr:uid="{9703D031-C991-CD49-935A-6E0452CBEC3F}"/>
    <hyperlink ref="A113" r:id="rId62" xr:uid="{D28B875B-9252-1D4B-BF9B-72883E240B4C}"/>
    <hyperlink ref="A114" r:id="rId63" xr:uid="{D528CC8E-1413-9A47-B39E-935DDF3AC73A}"/>
    <hyperlink ref="A115" r:id="rId64" xr:uid="{40CBFF9C-C6B3-B64C-A337-9462E1F888DD}"/>
    <hyperlink ref="A116" r:id="rId65" xr:uid="{1DC63C20-E8DD-3E46-95AE-589122691477}"/>
    <hyperlink ref="A117" r:id="rId66" xr:uid="{FEA9A0E5-CED5-D348-9207-6719C4274C2C}"/>
    <hyperlink ref="A118" r:id="rId67" xr:uid="{DD2451C9-D152-BD43-8669-A0EA0B2F7CBF}"/>
    <hyperlink ref="A119" r:id="rId68" xr:uid="{F4E45F54-801A-004E-8477-BF0EC8AC4684}"/>
    <hyperlink ref="A120" r:id="rId69" xr:uid="{01726D26-DB53-AD4A-9EC6-A877647813E4}"/>
    <hyperlink ref="A121" r:id="rId70" xr:uid="{C53BFD7C-8407-364F-AEDA-BA4C6A338A10}"/>
    <hyperlink ref="A122" r:id="rId71" xr:uid="{FC70B076-A0AC-AC42-B114-2479A39D2D26}"/>
    <hyperlink ref="A123" r:id="rId72" xr:uid="{3D5EB07F-778B-A842-BE91-0B4D20F1C56D}"/>
    <hyperlink ref="A124" r:id="rId73" xr:uid="{A2C15170-4E9A-FA4A-937C-3229C7A9A183}"/>
    <hyperlink ref="A125" r:id="rId74" xr:uid="{C9D6ED94-32A4-C340-A3E6-2AF660D17F2B}"/>
    <hyperlink ref="A126" r:id="rId75" xr:uid="{4AF02E11-CCA7-0647-AA65-CF7D782EFD26}"/>
    <hyperlink ref="A127" r:id="rId76" xr:uid="{66079435-E006-C74C-8448-B71083823B9B}"/>
    <hyperlink ref="A128" r:id="rId77" xr:uid="{952C8D0B-CE16-0044-BB2C-EECF337F9B79}"/>
    <hyperlink ref="A129" r:id="rId78" xr:uid="{BAFAD47F-E09C-1140-8682-244D306DFA99}"/>
    <hyperlink ref="A130" r:id="rId79" xr:uid="{AAB1D8DF-82E1-1B4F-A048-8F33E16D65CF}"/>
    <hyperlink ref="A131" r:id="rId80" xr:uid="{A161E048-FB20-1346-A10B-CDED1908BC4A}"/>
    <hyperlink ref="A132" r:id="rId81" xr:uid="{FE5419A2-C625-D24D-AB26-8407261CE385}"/>
    <hyperlink ref="A133" r:id="rId82" xr:uid="{48A969C0-324E-7248-A124-884D960FAF6B}"/>
    <hyperlink ref="A134" r:id="rId83" xr:uid="{E37E57BD-CD1B-8744-8152-0D273E540943}"/>
    <hyperlink ref="A135" r:id="rId84" xr:uid="{05730A74-83F4-7B47-A8B6-6143963BE220}"/>
    <hyperlink ref="A136" r:id="rId85" xr:uid="{3803C75E-219E-E44A-96C1-37F1CCE17796}"/>
    <hyperlink ref="A137" r:id="rId86" xr:uid="{B8C571CB-FA74-8045-95FF-1042A0030615}"/>
    <hyperlink ref="A138" r:id="rId87" xr:uid="{B70F165E-E00F-8E45-824E-AAB812902281}"/>
    <hyperlink ref="A139" r:id="rId88" xr:uid="{FFFC6EA4-B919-BC49-B196-671E770ADEF6}"/>
    <hyperlink ref="A140" r:id="rId89" xr:uid="{D076FA96-1550-5645-8E32-9747F075320A}"/>
    <hyperlink ref="A141" r:id="rId90" xr:uid="{946DA5DA-B007-D44D-AFD8-8FF1679011DF}"/>
    <hyperlink ref="A142" r:id="rId91" xr:uid="{AEDDB2DE-A805-8343-B033-A51F37D54D3C}"/>
    <hyperlink ref="A143" r:id="rId92" xr:uid="{928BA555-0E32-0B4C-9041-3160C258E70B}"/>
    <hyperlink ref="A144" r:id="rId93" xr:uid="{27A99669-25C2-E641-9BEF-ACF2D60428E5}"/>
    <hyperlink ref="A145" r:id="rId94" xr:uid="{CAC3009C-9948-AC46-AC64-648B24FA45E8}"/>
    <hyperlink ref="A146" r:id="rId95" xr:uid="{A1410253-C577-344F-A46D-6E563D7494D6}"/>
    <hyperlink ref="A147" r:id="rId96" xr:uid="{8ACBD814-F675-204C-8D9D-ADEF162A4F7F}"/>
    <hyperlink ref="A148" r:id="rId97" xr:uid="{B1E953B3-36B8-F946-B6A6-D0B1627919B6}"/>
    <hyperlink ref="A149" r:id="rId98" xr:uid="{53F3869F-C78D-9046-BAAB-399DB1710F3D}"/>
    <hyperlink ref="A150" r:id="rId99" xr:uid="{9B9FC0DD-D9B3-CA4A-BFDD-B4A1092F685C}"/>
    <hyperlink ref="A151" r:id="rId100" xr:uid="{FF2EB6C2-021B-F449-AC65-001451192526}"/>
    <hyperlink ref="A152" r:id="rId101" xr:uid="{C36D5603-7E09-6643-9CAE-35795494A688}"/>
    <hyperlink ref="A153" r:id="rId102" xr:uid="{9B15876E-8426-D64F-87A1-83BADBA24480}"/>
    <hyperlink ref="A154" r:id="rId103" xr:uid="{75E47AC8-5A71-5941-B40F-76998D2F7174}"/>
    <hyperlink ref="A155" r:id="rId104" xr:uid="{38E13D76-ED28-1246-9EF8-7D54EA8C96D7}"/>
    <hyperlink ref="A156" r:id="rId105" xr:uid="{41ECD829-C7F9-0149-A9E0-92A5C2A02470}"/>
    <hyperlink ref="A157" r:id="rId106" xr:uid="{33498C52-5C4B-A54D-9551-5AC6164144E0}"/>
    <hyperlink ref="A158" r:id="rId107" xr:uid="{744F6E85-42D6-9C47-B880-FE3506858FC3}"/>
    <hyperlink ref="A159" r:id="rId108" xr:uid="{DA72E760-42BE-D344-9295-1DDED4C4E3D7}"/>
    <hyperlink ref="A160" r:id="rId109" xr:uid="{6048ABEA-F9AE-9546-A73F-770DA8C18F92}"/>
    <hyperlink ref="A161" r:id="rId110" xr:uid="{7CBEAEDE-D87E-B547-B785-81C34620049D}"/>
    <hyperlink ref="A162" r:id="rId111" xr:uid="{8BCB1541-10BF-7E4B-8DF6-6F4FFF30099A}"/>
    <hyperlink ref="A163" r:id="rId112" xr:uid="{A1EA0965-37C5-E94B-A384-C4997E7054E6}"/>
    <hyperlink ref="A164" r:id="rId113" xr:uid="{2D5E870D-67AF-5246-A8F7-3AF34062B5CD}"/>
    <hyperlink ref="A165" r:id="rId114" xr:uid="{E727B04F-8E1E-5344-A93A-9009FC624A75}"/>
    <hyperlink ref="A166" r:id="rId115" xr:uid="{71BBD175-43EE-A44A-91AC-9C448524843D}"/>
    <hyperlink ref="A167" r:id="rId116" xr:uid="{15FC9BB7-BC10-2447-A9D1-9CDB6208B95A}"/>
    <hyperlink ref="A168" r:id="rId117" xr:uid="{0D1BF6E1-8EE4-9343-AAD6-D4CEB17C7922}"/>
    <hyperlink ref="A169" r:id="rId118" xr:uid="{4BD2D5D8-E6CD-3042-84F6-128496F8AE97}"/>
    <hyperlink ref="A170" r:id="rId119" xr:uid="{8450637B-3E39-0246-8422-22FEB7FB3D60}"/>
    <hyperlink ref="A171" r:id="rId120" xr:uid="{F5330935-439B-584D-A3C1-2CD040B2CE07}"/>
    <hyperlink ref="A172" r:id="rId121" xr:uid="{863E9C61-A47C-094E-A155-1055A00E37A8}"/>
    <hyperlink ref="A173" r:id="rId122" xr:uid="{3B4D27C7-91CF-2646-9B6C-DCEE636FD7AA}"/>
    <hyperlink ref="A174" r:id="rId123" xr:uid="{B2570FBA-51FC-4144-8FDB-B4741D048501}"/>
    <hyperlink ref="A175" r:id="rId124" xr:uid="{C1C9015F-37C0-9748-8BAB-E9538D53DD08}"/>
    <hyperlink ref="A176" r:id="rId125" xr:uid="{F2EFAF58-A5FB-F246-9BB8-AE5BF211A30C}"/>
    <hyperlink ref="A177" r:id="rId126" xr:uid="{95674197-F50D-E24B-B933-E47E10CAC337}"/>
    <hyperlink ref="A178" r:id="rId127" xr:uid="{CDCF865D-B47A-104A-BCAD-F3EB6DC9CA89}"/>
    <hyperlink ref="A179" r:id="rId128" xr:uid="{B4415BB9-2285-4B49-8502-C06A49D08E9F}"/>
    <hyperlink ref="A180" r:id="rId129" xr:uid="{3EE9D752-1087-9C42-AA97-95E74079308C}"/>
    <hyperlink ref="A181" r:id="rId130" xr:uid="{89FED34D-6AC7-DB42-BC8B-1377C9DEBDAF}"/>
    <hyperlink ref="A182" r:id="rId131" xr:uid="{EAD46135-CDAA-A842-9CE6-F349B750D5E3}"/>
    <hyperlink ref="A183" r:id="rId132" xr:uid="{7D9916EB-6D28-8D4B-923F-99B199200489}"/>
    <hyperlink ref="A184" r:id="rId133" xr:uid="{09AF8981-E2BE-B249-B23E-AEBAB0747E46}"/>
    <hyperlink ref="A185" r:id="rId134" xr:uid="{F31E5EDE-121F-FA4A-BAE8-1113CA3D3A78}"/>
    <hyperlink ref="A186" r:id="rId135" xr:uid="{0EFEE33A-A7B1-D948-A515-33E1614F2655}"/>
    <hyperlink ref="A187" r:id="rId136" xr:uid="{21452C85-23B4-034F-80A8-3C3F91A2884B}"/>
    <hyperlink ref="A188" r:id="rId137" xr:uid="{6DDC16ED-DB7B-4041-8C80-3A09808AA9DB}"/>
    <hyperlink ref="A189" r:id="rId138" xr:uid="{E147B20F-A174-204D-8D68-D33383F2D11D}"/>
    <hyperlink ref="A190" r:id="rId139" xr:uid="{565446DA-9290-EA49-B5FE-63ACC3023F0C}"/>
    <hyperlink ref="A191" r:id="rId140" xr:uid="{8EF49116-3B09-0F49-A748-4A8BDFB5F770}"/>
    <hyperlink ref="A192" r:id="rId141" xr:uid="{CE048A05-1B9E-014C-98A7-AC51614EBEA3}"/>
    <hyperlink ref="A193" r:id="rId142" xr:uid="{11E70E3A-CC98-824F-AA00-2F3F578E0EB7}"/>
    <hyperlink ref="A194" r:id="rId143" xr:uid="{029E4219-6630-8948-B9A1-6CB5FDD8B6F2}"/>
    <hyperlink ref="A195" r:id="rId144" xr:uid="{BA8CEC29-F5E2-B14A-BB1A-16BBFDB46B66}"/>
    <hyperlink ref="A196" r:id="rId145" xr:uid="{EF9D29E3-EC19-144A-8F09-FD57976BB6EA}"/>
    <hyperlink ref="A197" r:id="rId146" xr:uid="{6155345B-AA40-C94A-9042-28FDF17D0275}"/>
    <hyperlink ref="A198" r:id="rId147" xr:uid="{071BEE3E-22F9-E945-9152-9FBEFA639C5F}"/>
    <hyperlink ref="A199" r:id="rId148" xr:uid="{D6448A1A-52B1-3D42-A959-E2926C15539C}"/>
    <hyperlink ref="A200" r:id="rId149" xr:uid="{BE096148-AF08-954A-B8D2-69C2603C1B5E}"/>
    <hyperlink ref="A201" r:id="rId150" xr:uid="{1DDF9A71-DC44-6D43-944E-E121C25DD9B3}"/>
    <hyperlink ref="A3" r:id="rId151" xr:uid="{C0BEA44A-67E8-864B-9772-9E232371D414}"/>
    <hyperlink ref="A2" r:id="rId152" xr:uid="{4C760E47-A8D2-7F45-8DC7-92D6DB1B8DE4}"/>
    <hyperlink ref="A5" r:id="rId153" xr:uid="{C1D6E7AD-A0C7-D347-A6F8-FDAFCF3C58B0}"/>
    <hyperlink ref="A4" r:id="rId154" xr:uid="{DFCB8C3F-15C2-9946-8D2F-09C2CB04C24B}"/>
    <hyperlink ref="A6" r:id="rId155" xr:uid="{58F66FA4-BA86-FE4F-B1D7-922405519137}"/>
    <hyperlink ref="A7" r:id="rId156" xr:uid="{577457B9-3056-124D-BFFA-EB4E7E9C2593}"/>
    <hyperlink ref="A8" r:id="rId157" xr:uid="{32C5DB61-ADAA-EC43-8F7E-365EFB8E8BBF}"/>
    <hyperlink ref="A9" r:id="rId158" xr:uid="{4599BB86-A21E-7B43-9645-41F772EE8315}"/>
    <hyperlink ref="A10" r:id="rId159" xr:uid="{ED3C0E58-733D-E741-BDAE-87D85257E3D2}"/>
    <hyperlink ref="A11" r:id="rId160" xr:uid="{98BA9C44-0D63-5941-86EB-B93A9B70AF6F}"/>
    <hyperlink ref="A26" r:id="rId161" xr:uid="{EE385462-255F-8E4F-9F45-7CC8A78051B5}"/>
    <hyperlink ref="A12" r:id="rId162" xr:uid="{28B4E366-7F62-2E49-B3EC-19AC1D05936B}"/>
    <hyperlink ref="A14" r:id="rId163" xr:uid="{70C016DB-A5E6-D84A-B8C5-BF7F0316236B}"/>
    <hyperlink ref="A13" r:id="rId164" xr:uid="{BD10F8EF-5C1C-2B46-A5E3-1E2833646715}"/>
    <hyperlink ref="A15" r:id="rId165" xr:uid="{E2C04B8B-2A5F-8D44-8CA5-5CE88626FDDE}"/>
    <hyperlink ref="A16" r:id="rId166" xr:uid="{3253EFAF-80A5-9C4E-B773-B13C1F98DA15}"/>
    <hyperlink ref="A21" r:id="rId167" xr:uid="{BDBB2F05-C96E-064F-9639-08D7C82591A2}"/>
    <hyperlink ref="A23" r:id="rId168" xr:uid="{C9D41006-1D95-EA43-A2F8-A3C492A1BC7A}"/>
    <hyperlink ref="A22" r:id="rId169" xr:uid="{0402A992-2950-C549-B251-3A4E4649C9C4}"/>
    <hyperlink ref="A17" r:id="rId170" xr:uid="{9D22CA2C-F208-1D49-80AC-BD5BC0BD9944}"/>
    <hyperlink ref="A18" r:id="rId171" xr:uid="{D04A2EA6-E0FB-694C-98B0-C66A47F4EB9F}"/>
    <hyperlink ref="A24" r:id="rId172" xr:uid="{AED9CA1E-237B-0942-8A28-21AEA95D0D26}"/>
    <hyperlink ref="A25" r:id="rId173" xr:uid="{F42FD659-DD03-0349-8313-65B13B66EB0C}"/>
    <hyperlink ref="A27" r:id="rId174" xr:uid="{F19D706E-4F4C-CD4E-8EEB-9174C0CEF21F}"/>
    <hyperlink ref="A19" r:id="rId175" xr:uid="{E09A73AB-B093-A44D-915D-0937370E5BF1}"/>
    <hyperlink ref="A20" r:id="rId176" xr:uid="{9D931636-BF83-4648-AD9C-6FF6DEA4389E}"/>
    <hyperlink ref="A28" r:id="rId177" xr:uid="{362E4A71-D13D-4E42-A69F-B3809C3E7564}"/>
    <hyperlink ref="A29" r:id="rId178" xr:uid="{398384FB-870B-C548-9391-8E07D6CF24B4}"/>
    <hyperlink ref="A30" r:id="rId179" xr:uid="{5DCE3E31-643F-3F4B-8BEC-0D85B56E5044}"/>
    <hyperlink ref="A31" r:id="rId180" xr:uid="{DED55DB1-2BD7-9646-B473-4454BE946278}"/>
    <hyperlink ref="A32" r:id="rId181" xr:uid="{9ACB25C1-04DD-814C-B841-B8543A619295}"/>
    <hyperlink ref="A33" r:id="rId182" xr:uid="{EFFB1785-DCC9-CA45-A364-4BA3ED93121B}"/>
    <hyperlink ref="A34" r:id="rId183" xr:uid="{A44F429C-930D-CC4C-962D-846D19BF35BF}"/>
    <hyperlink ref="A35" r:id="rId184" xr:uid="{2AB37F92-A75C-8A4F-AE2F-9485F2E1A8D0}"/>
    <hyperlink ref="A36" r:id="rId185" xr:uid="{FEB8B355-05DE-064E-A11E-AD4A3267D10A}"/>
    <hyperlink ref="A37" r:id="rId186" xr:uid="{DCF81D4F-2B8A-A240-99BB-6CE60D8C2C65}"/>
    <hyperlink ref="A38" r:id="rId187" xr:uid="{E7F59A5E-B6A6-6B46-868E-94E299F0CD95}"/>
    <hyperlink ref="A39" r:id="rId188" xr:uid="{EBC13BEB-5641-FD48-8DDA-41E9364C8FED}"/>
    <hyperlink ref="A40" r:id="rId189" xr:uid="{8AF6F91A-F919-9E40-BD6D-1A1272E31C16}"/>
    <hyperlink ref="A41" r:id="rId190" xr:uid="{87D5C72C-23A7-ED49-A2F1-92153957C46C}"/>
    <hyperlink ref="A42" r:id="rId191" xr:uid="{93EDD528-8045-A145-88AE-52B5F9552695}"/>
    <hyperlink ref="A43" r:id="rId192" xr:uid="{DD159E1E-ECBB-CF48-8B68-BB29059C6B3D}"/>
    <hyperlink ref="A44" r:id="rId193" xr:uid="{FF5AE8BD-CD47-AE43-9864-DD5AD5DC7B6F}"/>
    <hyperlink ref="A45" r:id="rId194" xr:uid="{2E415C40-957E-EF47-9B77-8C78074EF1FF}"/>
    <hyperlink ref="A46" r:id="rId195" xr:uid="{5F08B980-9A79-B745-BD69-B04506266C97}"/>
    <hyperlink ref="A47" r:id="rId196" xr:uid="{27D647E9-70FD-CA42-B321-E1EB384D542C}"/>
    <hyperlink ref="A48" r:id="rId197" xr:uid="{8C5D5AF0-A5DE-6741-BB98-0E840CEE758D}"/>
    <hyperlink ref="A49" r:id="rId198" xr:uid="{F39CE54C-8554-3B42-A75C-B369EC465F4D}"/>
    <hyperlink ref="A50" r:id="rId199" xr:uid="{78E0CE59-C8E7-1B41-AC50-F0CF2C870315}"/>
    <hyperlink ref="A51" r:id="rId200" xr:uid="{DAE4DADA-66AD-DD48-8B34-3D4FA89559BC}"/>
  </hyperlinks>
  <pageMargins left="0.7" right="0.7" top="0.75" bottom="0.75" header="0.3" footer="0.3"/>
  <drawing r:id="rId201"/>
  <legacyDrawing r:id="rId202"/>
  <tableParts count="1">
    <tablePart r:id="rId20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6F0E6-1C0D-7A47-AFF3-BBA27975C243}">
  <dimension ref="A1:E65"/>
  <sheetViews>
    <sheetView showGridLines="0" zoomScale="92" workbookViewId="0">
      <selection activeCell="C65" sqref="C65"/>
    </sheetView>
  </sheetViews>
  <sheetFormatPr defaultColWidth="11.44140625" defaultRowHeight="14.4" x14ac:dyDescent="0.3"/>
  <cols>
    <col min="1" max="1" width="2.33203125" customWidth="1"/>
    <col min="2" max="2" width="6.109375" bestFit="1" customWidth="1"/>
    <col min="3" max="3" width="18.109375" bestFit="1" customWidth="1"/>
    <col min="4" max="4" width="23.88671875" customWidth="1"/>
    <col min="5" max="5" width="12.109375" bestFit="1" customWidth="1"/>
  </cols>
  <sheetData>
    <row r="1" spans="1:5" x14ac:dyDescent="0.3">
      <c r="A1" s="90" t="s">
        <v>882</v>
      </c>
    </row>
    <row r="2" spans="1:5" x14ac:dyDescent="0.3">
      <c r="A2" s="90" t="s">
        <v>883</v>
      </c>
    </row>
    <row r="3" spans="1:5" x14ac:dyDescent="0.3">
      <c r="A3" s="90" t="s">
        <v>884</v>
      </c>
    </row>
    <row r="6" spans="1:5" ht="15" thickBot="1" x14ac:dyDescent="0.35">
      <c r="A6" t="s">
        <v>885</v>
      </c>
    </row>
    <row r="7" spans="1:5" x14ac:dyDescent="0.3">
      <c r="B7" s="93"/>
      <c r="C7" s="93"/>
      <c r="D7" s="93" t="s">
        <v>886</v>
      </c>
      <c r="E7" s="93" t="s">
        <v>887</v>
      </c>
    </row>
    <row r="8" spans="1:5" ht="15" thickBot="1" x14ac:dyDescent="0.35">
      <c r="B8" s="94" t="s">
        <v>888</v>
      </c>
      <c r="C8" s="94" t="s">
        <v>889</v>
      </c>
      <c r="D8" s="94" t="s">
        <v>81</v>
      </c>
      <c r="E8" s="94" t="s">
        <v>890</v>
      </c>
    </row>
    <row r="9" spans="1:5" x14ac:dyDescent="0.3">
      <c r="B9" s="91" t="s">
        <v>891</v>
      </c>
      <c r="C9" s="91" t="str">
        <f>'Model B Realism (26)'!B2</f>
        <v>Vanguard Extended Market ETF</v>
      </c>
      <c r="D9" s="112">
        <f>'Model B Realism (26)'!J2</f>
        <v>1017046038.6796005</v>
      </c>
      <c r="E9" s="91">
        <v>0</v>
      </c>
    </row>
    <row r="10" spans="1:5" x14ac:dyDescent="0.3">
      <c r="B10" s="91" t="s">
        <v>892</v>
      </c>
      <c r="C10" s="91" t="str">
        <f>'Model B Realism (26)'!B3</f>
        <v>Fidelity MSCI Information Technology Index ETF</v>
      </c>
      <c r="D10" s="112">
        <f>'Model B Realism (26)'!J3</f>
        <v>967000345.85772455</v>
      </c>
      <c r="E10" s="91">
        <v>0</v>
      </c>
    </row>
    <row r="11" spans="1:5" x14ac:dyDescent="0.3">
      <c r="B11" s="91" t="s">
        <v>893</v>
      </c>
      <c r="C11" s="91" t="str">
        <f>'Model B Realism (26)'!B4</f>
        <v>iShares Russell 1000 Growth ETF</v>
      </c>
      <c r="D11" s="112">
        <f>'Model B Realism (26)'!J4</f>
        <v>155000336.52060074</v>
      </c>
      <c r="E11" s="91">
        <v>0</v>
      </c>
    </row>
    <row r="12" spans="1:5" x14ac:dyDescent="0.3">
      <c r="B12" s="91" t="s">
        <v>894</v>
      </c>
      <c r="C12" s="91" t="str">
        <f>'Model B Realism (26)'!B5</f>
        <v>Avantis U.S. Equity ETF</v>
      </c>
      <c r="D12" s="112">
        <f>'Model B Realism (26)'!J5</f>
        <v>145061979.63177964</v>
      </c>
      <c r="E12" s="91">
        <v>0</v>
      </c>
    </row>
    <row r="13" spans="1:5" x14ac:dyDescent="0.3">
      <c r="B13" s="91" t="s">
        <v>895</v>
      </c>
      <c r="C13" s="91" t="str">
        <f>'Model B Realism (26)'!B6</f>
        <v>Invesco QQQ Trust Series I</v>
      </c>
      <c r="D13" s="112">
        <f>'Model B Realism (26)'!J6</f>
        <v>111400300.32197088</v>
      </c>
      <c r="E13" s="91">
        <v>0</v>
      </c>
    </row>
    <row r="14" spans="1:5" x14ac:dyDescent="0.3">
      <c r="B14" s="91" t="s">
        <v>896</v>
      </c>
      <c r="C14" s="91" t="str">
        <f>'Model B Realism (26)'!B7</f>
        <v>iShares Semiconductor ETF</v>
      </c>
      <c r="D14" s="112">
        <f>'Model B Realism (26)'!J7</f>
        <v>110000399.48324703</v>
      </c>
      <c r="E14" s="91">
        <v>0</v>
      </c>
    </row>
    <row r="15" spans="1:5" x14ac:dyDescent="0.3">
      <c r="B15" s="91" t="s">
        <v>897</v>
      </c>
      <c r="C15" s="91" t="str">
        <f>'Model B Realism (26)'!B8</f>
        <v>Vanguard Growth ETF</v>
      </c>
      <c r="D15" s="112">
        <f>'Model B Realism (26)'!J8</f>
        <v>97600505.289182901</v>
      </c>
      <c r="E15" s="91">
        <v>0</v>
      </c>
    </row>
    <row r="16" spans="1:5" x14ac:dyDescent="0.3">
      <c r="B16" s="91" t="s">
        <v>898</v>
      </c>
      <c r="C16" s="91" t="str">
        <f>'Model B Realism (26)'!B9</f>
        <v>State Street SPDR Portfolio S&amp;P 1500 Composite Stock Market ETF</v>
      </c>
      <c r="D16" s="112">
        <f>'Model B Realism (26)'!J9</f>
        <v>64724294.197159104</v>
      </c>
      <c r="E16" s="91">
        <v>0</v>
      </c>
    </row>
    <row r="17" spans="2:5" x14ac:dyDescent="0.3">
      <c r="B17" s="91" t="s">
        <v>899</v>
      </c>
      <c r="C17" s="91" t="str">
        <f>'Model B Realism (26)'!B10</f>
        <v>iShares S&amp;P 500 Growth ETF</v>
      </c>
      <c r="D17" s="112">
        <f>'Model B Realism (26)'!J10</f>
        <v>61400295.933146872</v>
      </c>
      <c r="E17" s="91">
        <v>0</v>
      </c>
    </row>
    <row r="18" spans="2:5" x14ac:dyDescent="0.3">
      <c r="B18" s="91" t="s">
        <v>900</v>
      </c>
      <c r="C18" s="91" t="str">
        <f>'Model B Realism (26)'!B11</f>
        <v>VanEck Semiconductor ETF</v>
      </c>
      <c r="D18" s="112">
        <f>'Model B Realism (26)'!J11</f>
        <v>47000393.201257922</v>
      </c>
      <c r="E18" s="91">
        <v>0</v>
      </c>
    </row>
    <row r="19" spans="2:5" x14ac:dyDescent="0.3">
      <c r="B19" s="91" t="s">
        <v>901</v>
      </c>
      <c r="C19" s="91" t="str">
        <f>'Model B Realism (26)'!B12</f>
        <v>State Street Communication Services Select Sector SPDR ETF</v>
      </c>
      <c r="D19" s="112">
        <f>'Model B Realism (26)'!J12</f>
        <v>37400248.204080492</v>
      </c>
      <c r="E19" s="91">
        <v>0</v>
      </c>
    </row>
    <row r="20" spans="2:5" x14ac:dyDescent="0.3">
      <c r="B20" s="91" t="s">
        <v>902</v>
      </c>
      <c r="C20" s="91" t="str">
        <f>'Model B Realism (26)'!B13</f>
        <v>iShares Russell Mid-Cap Growth ETF</v>
      </c>
      <c r="D20" s="112">
        <f>'Model B Realism (26)'!J13</f>
        <v>30021639.552829958</v>
      </c>
      <c r="E20" s="91">
        <v>0</v>
      </c>
    </row>
    <row r="21" spans="2:5" x14ac:dyDescent="0.3">
      <c r="B21" s="91" t="s">
        <v>903</v>
      </c>
      <c r="C21" s="91" t="str">
        <f>'Model B Realism (26)'!B14</f>
        <v>iShares U.S. Aerospace &amp; Defense ETF</v>
      </c>
      <c r="D21" s="112">
        <f>'Model B Realism (26)'!J14</f>
        <v>28512567.138399333</v>
      </c>
      <c r="E21" s="91">
        <v>0</v>
      </c>
    </row>
    <row r="22" spans="2:5" x14ac:dyDescent="0.3">
      <c r="B22" s="91" t="s">
        <v>904</v>
      </c>
      <c r="C22" s="91" t="str">
        <f>'Model B Realism (26)'!B15</f>
        <v>iShares MSCI USA Momentum Factor ETF</v>
      </c>
      <c r="D22" s="112">
        <f>'Model B Realism (26)'!J15</f>
        <v>27200160.655078568</v>
      </c>
      <c r="E22" s="91">
        <v>0</v>
      </c>
    </row>
    <row r="23" spans="2:5" x14ac:dyDescent="0.3">
      <c r="B23" s="91" t="s">
        <v>905</v>
      </c>
      <c r="C23" s="91" t="str">
        <f>'Model B Realism (26)'!B16</f>
        <v>iShares Core S&amp;P U.S. Growth ETF</v>
      </c>
      <c r="D23" s="112">
        <f>'Model B Realism (26)'!J16</f>
        <v>20400304.413204636</v>
      </c>
      <c r="E23" s="91">
        <v>0</v>
      </c>
    </row>
    <row r="24" spans="2:5" x14ac:dyDescent="0.3">
      <c r="B24" s="91" t="s">
        <v>906</v>
      </c>
      <c r="C24" s="91" t="str">
        <f>'Model B Realism (26)'!B17</f>
        <v>Direxion Daily Semiconductor Bull 3x Shares</v>
      </c>
      <c r="D24" s="112">
        <f>'Model B Realism (26)'!J17</f>
        <v>14259371.164982434</v>
      </c>
      <c r="E24" s="91">
        <v>0</v>
      </c>
    </row>
    <row r="25" spans="2:5" x14ac:dyDescent="0.3">
      <c r="B25" s="91" t="s">
        <v>907</v>
      </c>
      <c r="C25" s="91" t="str">
        <f>'Model B Realism (26)'!B18</f>
        <v>Invesco S&amp;P 500 Momentum ETF</v>
      </c>
      <c r="D25" s="112">
        <f>'Model B Realism (26)'!J18</f>
        <v>14023403.781264756</v>
      </c>
      <c r="E25" s="91">
        <v>0</v>
      </c>
    </row>
    <row r="26" spans="2:5" x14ac:dyDescent="0.3">
      <c r="B26" s="91" t="s">
        <v>908</v>
      </c>
      <c r="C26" s="91" t="str">
        <f>'Model B Realism (26)'!B19</f>
        <v>Schwab U.S. Large-Cap Growth ETF</v>
      </c>
      <c r="D26" s="112">
        <f>'Model B Realism (26)'!J19</f>
        <v>10322289.885471826</v>
      </c>
      <c r="E26" s="91">
        <v>0</v>
      </c>
    </row>
    <row r="27" spans="2:5" x14ac:dyDescent="0.3">
      <c r="B27" s="91" t="s">
        <v>909</v>
      </c>
      <c r="C27" s="91" t="str">
        <f>'Model B Realism (26)'!B20</f>
        <v>ProShares UltraPro QQQ</v>
      </c>
      <c r="D27" s="112">
        <f>'Model B Realism (26)'!J20</f>
        <v>9389469.3998216502</v>
      </c>
      <c r="E27" s="91">
        <v>0</v>
      </c>
    </row>
    <row r="28" spans="2:5" x14ac:dyDescent="0.3">
      <c r="B28" s="91" t="s">
        <v>910</v>
      </c>
      <c r="C28" s="91" t="str">
        <f>'Model B Realism (26)'!B21</f>
        <v>Vanguard Total Stock Market ETF</v>
      </c>
      <c r="D28" s="112">
        <f>'Model B Realism (26)'!J21</f>
        <v>9233838.2679195479</v>
      </c>
      <c r="E28" s="91">
        <v>0</v>
      </c>
    </row>
    <row r="29" spans="2:5" x14ac:dyDescent="0.3">
      <c r="B29" s="91" t="s">
        <v>911</v>
      </c>
      <c r="C29" s="91" t="str">
        <f>'Model B Realism (26)'!B22</f>
        <v>Vanguard Small-Cap Growth ETF</v>
      </c>
      <c r="D29" s="112">
        <f>'Model B Realism (26)'!J22</f>
        <v>8756844.4127802979</v>
      </c>
      <c r="E29" s="91">
        <v>0</v>
      </c>
    </row>
    <row r="30" spans="2:5" x14ac:dyDescent="0.3">
      <c r="B30" s="91" t="s">
        <v>912</v>
      </c>
      <c r="C30" s="91" t="str">
        <f>'Model B Realism (26)'!B23</f>
        <v>Schwab U.S. Broad Market ETF</v>
      </c>
      <c r="D30" s="112">
        <f>'Model B Realism (26)'!J23</f>
        <v>8246388.9627286643</v>
      </c>
      <c r="E30" s="91">
        <v>0</v>
      </c>
    </row>
    <row r="31" spans="2:5" x14ac:dyDescent="0.3">
      <c r="B31" s="91" t="s">
        <v>913</v>
      </c>
      <c r="C31" s="91" t="str">
        <f>'Model B Realism (26)'!B24</f>
        <v>iShares Russell 1000 ETF</v>
      </c>
      <c r="D31" s="112">
        <f>'Model B Realism (26)'!J24</f>
        <v>3189494.6837607636</v>
      </c>
      <c r="E31" s="91">
        <v>0</v>
      </c>
    </row>
    <row r="32" spans="2:5" x14ac:dyDescent="0.3">
      <c r="B32" s="91" t="s">
        <v>914</v>
      </c>
      <c r="C32" s="91" t="str">
        <f>'Model B Realism (26)'!B25</f>
        <v>State Street SPDR S&amp;P 500 ETF</v>
      </c>
      <c r="D32" s="112">
        <f>'Model B Realism (26)'!J25</f>
        <v>1700633.8323654633</v>
      </c>
      <c r="E32" s="91">
        <v>0</v>
      </c>
    </row>
    <row r="33" spans="1:5" x14ac:dyDescent="0.3">
      <c r="B33" s="91" t="s">
        <v>915</v>
      </c>
      <c r="C33" s="91" t="str">
        <f>'Model B Realism (26)'!B26</f>
        <v>iShares Core Dividend Growth ETF</v>
      </c>
      <c r="D33" s="112">
        <f>'Model B Realism (26)'!J26</f>
        <v>1108456.5295945858</v>
      </c>
      <c r="E33" s="91">
        <v>0</v>
      </c>
    </row>
    <row r="34" spans="1:5" ht="15" thickBot="1" x14ac:dyDescent="0.35">
      <c r="B34" s="92" t="s">
        <v>916</v>
      </c>
      <c r="C34" s="91" t="str">
        <f>'Model B Realism (26)'!B27</f>
        <v>State Street SPDR Portfolio S&amp;P 500 ETF</v>
      </c>
      <c r="D34" s="112">
        <f>'Model B Realism (26)'!J27</f>
        <v>4.8480473319759305E-5</v>
      </c>
      <c r="E34" s="92">
        <v>0</v>
      </c>
    </row>
    <row r="36" spans="1:5" ht="15" thickBot="1" x14ac:dyDescent="0.35">
      <c r="A36" t="s">
        <v>917</v>
      </c>
    </row>
    <row r="37" spans="1:5" x14ac:dyDescent="0.3">
      <c r="B37" s="93"/>
      <c r="C37" s="93"/>
      <c r="D37" s="93" t="s">
        <v>62</v>
      </c>
      <c r="E37" s="93" t="s">
        <v>918</v>
      </c>
    </row>
    <row r="38" spans="1:5" ht="15" thickBot="1" x14ac:dyDescent="0.35">
      <c r="B38" s="94" t="s">
        <v>888</v>
      </c>
      <c r="C38" s="94" t="s">
        <v>889</v>
      </c>
      <c r="D38" s="94" t="s">
        <v>81</v>
      </c>
      <c r="E38" s="94" t="s">
        <v>919</v>
      </c>
    </row>
    <row r="39" spans="1:5" x14ac:dyDescent="0.3">
      <c r="B39" s="91" t="s">
        <v>920</v>
      </c>
      <c r="C39" s="91" t="str">
        <f>'Model B Realism (26)'!B2</f>
        <v>Vanguard Extended Market ETF</v>
      </c>
      <c r="D39" s="114">
        <f>'Model B Realism (26)'!K2</f>
        <v>1.2728986716891121E-2</v>
      </c>
      <c r="E39" s="91">
        <v>0</v>
      </c>
    </row>
    <row r="40" spans="1:5" x14ac:dyDescent="0.3">
      <c r="B40" s="91" t="s">
        <v>921</v>
      </c>
      <c r="C40" s="91" t="str">
        <f>'Model B Realism (26)'!B3</f>
        <v>Fidelity MSCI Information Technology Index ETF</v>
      </c>
      <c r="D40" s="114">
        <f>'Model B Realism (26)'!K3</f>
        <v>2.0000007153210434E-2</v>
      </c>
      <c r="E40" s="91">
        <v>0</v>
      </c>
    </row>
    <row r="41" spans="1:5" x14ac:dyDescent="0.3">
      <c r="B41" s="91" t="s">
        <v>922</v>
      </c>
      <c r="C41" s="91" t="str">
        <f>'Model B Realism (26)'!B4</f>
        <v>iShares Russell 1000 Growth ETF</v>
      </c>
      <c r="D41" s="114">
        <f>'Model B Realism (26)'!K4</f>
        <v>2.0000043422013E-2</v>
      </c>
      <c r="E41" s="91">
        <v>0</v>
      </c>
    </row>
    <row r="42" spans="1:5" x14ac:dyDescent="0.3">
      <c r="B42" s="91" t="s">
        <v>923</v>
      </c>
      <c r="C42" s="91" t="str">
        <f>'Model B Realism (26)'!B5</f>
        <v>Avantis U.S. Equity ETF</v>
      </c>
      <c r="D42" s="114">
        <f>'Model B Realism (26)'!K5</f>
        <v>1.5750486387815378E-2</v>
      </c>
      <c r="E42" s="91">
        <v>0</v>
      </c>
    </row>
    <row r="43" spans="1:5" x14ac:dyDescent="0.3">
      <c r="B43" s="91" t="s">
        <v>924</v>
      </c>
      <c r="C43" s="91" t="str">
        <f>'Model B Realism (26)'!B6</f>
        <v>Invesco QQQ Trust Series I</v>
      </c>
      <c r="D43" s="114">
        <f>'Model B Realism (26)'!K6</f>
        <v>2.0000053917768559E-2</v>
      </c>
      <c r="E43" s="91">
        <v>0</v>
      </c>
    </row>
    <row r="44" spans="1:5" x14ac:dyDescent="0.3">
      <c r="B44" s="91" t="s">
        <v>925</v>
      </c>
      <c r="C44" s="91" t="str">
        <f>'Model B Realism (26)'!B7</f>
        <v>iShares Semiconductor ETF</v>
      </c>
      <c r="D44" s="114">
        <f>'Model B Realism (26)'!K7</f>
        <v>2.0000072633317642E-2</v>
      </c>
      <c r="E44" s="91">
        <v>0</v>
      </c>
    </row>
    <row r="45" spans="1:5" x14ac:dyDescent="0.3">
      <c r="B45" s="91" t="s">
        <v>926</v>
      </c>
      <c r="C45" s="91" t="str">
        <f>'Model B Realism (26)'!B8</f>
        <v>Vanguard Growth ETF</v>
      </c>
      <c r="D45" s="114">
        <f>'Model B Realism (26)'!K8</f>
        <v>2.0000103542865348E-2</v>
      </c>
      <c r="E45" s="91">
        <v>0</v>
      </c>
    </row>
    <row r="46" spans="1:5" x14ac:dyDescent="0.3">
      <c r="B46" s="91" t="s">
        <v>927</v>
      </c>
      <c r="C46" s="91" t="str">
        <f>'Model B Realism (26)'!B9</f>
        <v>State Street SPDR Portfolio S&amp;P 1500 Composite Stock Market ETF</v>
      </c>
      <c r="D46" s="114">
        <f>'Model B Realism (26)'!K9</f>
        <v>1.4479707874084811E-2</v>
      </c>
      <c r="E46" s="91">
        <v>0</v>
      </c>
    </row>
    <row r="47" spans="1:5" x14ac:dyDescent="0.3">
      <c r="B47" s="91" t="s">
        <v>928</v>
      </c>
      <c r="C47" s="91" t="str">
        <f>'Model B Realism (26)'!B10</f>
        <v>iShares S&amp;P 500 Growth ETF</v>
      </c>
      <c r="D47" s="114">
        <f>'Model B Realism (26)'!K10</f>
        <v>2.0000096395161846E-2</v>
      </c>
      <c r="E47" s="91">
        <v>0</v>
      </c>
    </row>
    <row r="48" spans="1:5" x14ac:dyDescent="0.3">
      <c r="B48" s="91" t="s">
        <v>929</v>
      </c>
      <c r="C48" s="91" t="str">
        <f>'Model B Realism (26)'!B11</f>
        <v>VanEck Semiconductor ETF</v>
      </c>
      <c r="D48" s="114">
        <f>'Model B Realism (26)'!K11</f>
        <v>2.0000167319684223E-2</v>
      </c>
      <c r="E48" s="91">
        <v>0</v>
      </c>
    </row>
    <row r="49" spans="2:5" x14ac:dyDescent="0.3">
      <c r="B49" s="91" t="s">
        <v>930</v>
      </c>
      <c r="C49" s="91" t="str">
        <f>'Model B Realism (26)'!B12</f>
        <v>State Street Communication Services Select Sector SPDR ETF</v>
      </c>
      <c r="D49" s="114">
        <f>'Model B Realism (26)'!K12</f>
        <v>2.0000132729454809E-2</v>
      </c>
      <c r="E49" s="91">
        <v>0</v>
      </c>
    </row>
    <row r="50" spans="2:5" x14ac:dyDescent="0.3">
      <c r="B50" s="91" t="s">
        <v>931</v>
      </c>
      <c r="C50" s="91" t="str">
        <f>'Model B Realism (26)'!B13</f>
        <v>iShares Russell Mid-Cap Growth ETF</v>
      </c>
      <c r="D50" s="114">
        <f>'Model B Realism (26)'!K13</f>
        <v>1.830587777611583E-2</v>
      </c>
      <c r="E50" s="91">
        <v>0</v>
      </c>
    </row>
    <row r="51" spans="2:5" x14ac:dyDescent="0.3">
      <c r="B51" s="91" t="s">
        <v>932</v>
      </c>
      <c r="C51" s="91" t="str">
        <f>'Model B Realism (26)'!B14</f>
        <v>iShares U.S. Aerospace &amp; Defense ETF</v>
      </c>
      <c r="D51" s="114">
        <f>'Model B Realism (26)'!K14</f>
        <v>1.2396768321043188E-2</v>
      </c>
      <c r="E51" s="91">
        <v>0</v>
      </c>
    </row>
    <row r="52" spans="2:5" x14ac:dyDescent="0.3">
      <c r="B52" s="91" t="s">
        <v>933</v>
      </c>
      <c r="C52" s="91" t="str">
        <f>'Model B Realism (26)'!B15</f>
        <v>iShares MSCI USA Momentum Factor ETF</v>
      </c>
      <c r="D52" s="114">
        <f>'Model B Realism (26)'!K15</f>
        <v>2.0000118128734239E-2</v>
      </c>
      <c r="E52" s="91">
        <v>0</v>
      </c>
    </row>
    <row r="53" spans="2:5" x14ac:dyDescent="0.3">
      <c r="B53" s="91" t="s">
        <v>934</v>
      </c>
      <c r="C53" s="91" t="str">
        <f>'Model B Realism (26)'!B16</f>
        <v>iShares Core S&amp;P U.S. Growth ETF</v>
      </c>
      <c r="D53" s="114">
        <f>'Model B Realism (26)'!K16</f>
        <v>2.0000298444318269E-2</v>
      </c>
      <c r="E53" s="91">
        <v>0</v>
      </c>
    </row>
    <row r="54" spans="2:5" x14ac:dyDescent="0.3">
      <c r="B54" s="91" t="s">
        <v>935</v>
      </c>
      <c r="C54" s="91" t="str">
        <f>'Model B Realism (26)'!B17</f>
        <v>Direxion Daily Semiconductor Bull 3x Shares</v>
      </c>
      <c r="D54" s="114">
        <f>'Model B Realism (26)'!K17</f>
        <v>2.0000520604505835E-2</v>
      </c>
      <c r="E54" s="91">
        <v>0</v>
      </c>
    </row>
    <row r="55" spans="2:5" x14ac:dyDescent="0.3">
      <c r="B55" s="91" t="s">
        <v>936</v>
      </c>
      <c r="C55" s="91" t="str">
        <f>'Model B Realism (26)'!B18</f>
        <v>Invesco S&amp;P 500 Momentum ETF</v>
      </c>
      <c r="D55" s="114">
        <f>'Model B Realism (26)'!K18</f>
        <v>2.0000575884282615E-2</v>
      </c>
      <c r="E55" s="91">
        <v>0</v>
      </c>
    </row>
    <row r="56" spans="2:5" x14ac:dyDescent="0.3">
      <c r="B56" s="91" t="s">
        <v>937</v>
      </c>
      <c r="C56" s="91" t="str">
        <f>'Model B Realism (26)'!B19</f>
        <v>Schwab U.S. Large-Cap Growth ETF</v>
      </c>
      <c r="D56" s="114">
        <f>'Model B Realism (26)'!K19</f>
        <v>2.0000949224886797E-2</v>
      </c>
      <c r="E56" s="91">
        <v>0</v>
      </c>
    </row>
    <row r="57" spans="2:5" x14ac:dyDescent="0.3">
      <c r="B57" s="91" t="s">
        <v>938</v>
      </c>
      <c r="C57" s="91" t="str">
        <f>'Model B Realism (26)'!B20</f>
        <v>ProShares UltraPro QQQ</v>
      </c>
      <c r="D57" s="114">
        <f>'Model B Realism (26)'!K20</f>
        <v>2.0000147825892284E-2</v>
      </c>
      <c r="E57" s="91">
        <v>0</v>
      </c>
    </row>
    <row r="58" spans="2:5" x14ac:dyDescent="0.3">
      <c r="B58" s="91" t="s">
        <v>939</v>
      </c>
      <c r="C58" s="91" t="str">
        <f>'Model B Realism (26)'!B21</f>
        <v>Vanguard Total Stock Market ETF</v>
      </c>
      <c r="D58" s="114">
        <f>'Model B Realism (26)'!K21</f>
        <v>7.1580141611779441E-3</v>
      </c>
      <c r="E58" s="91">
        <v>0</v>
      </c>
    </row>
    <row r="59" spans="2:5" x14ac:dyDescent="0.3">
      <c r="B59" s="91" t="s">
        <v>940</v>
      </c>
      <c r="C59" s="91" t="str">
        <f>'Model B Realism (26)'!B22</f>
        <v>Vanguard Small-Cap Growth ETF</v>
      </c>
      <c r="D59" s="114">
        <f>'Model B Realism (26)'!K22</f>
        <v>1.0100283062988383E-2</v>
      </c>
      <c r="E59" s="91">
        <v>0</v>
      </c>
    </row>
    <row r="60" spans="2:5" x14ac:dyDescent="0.3">
      <c r="B60" s="91" t="s">
        <v>941</v>
      </c>
      <c r="C60" s="91" t="str">
        <f>'Model B Realism (26)'!B23</f>
        <v>Schwab U.S. Broad Market ETF</v>
      </c>
      <c r="D60" s="114">
        <f>'Model B Realism (26)'!K23</f>
        <v>6.5447531450227494E-3</v>
      </c>
      <c r="E60" s="91">
        <v>0</v>
      </c>
    </row>
    <row r="61" spans="2:5" x14ac:dyDescent="0.3">
      <c r="B61" s="91" t="s">
        <v>942</v>
      </c>
      <c r="C61" s="91" t="str">
        <f>'Model B Realism (26)'!B24</f>
        <v>iShares Russell 1000 ETF</v>
      </c>
      <c r="D61" s="114">
        <f>'Model B Realism (26)'!K24</f>
        <v>2.8477631105006816E-3</v>
      </c>
      <c r="E61" s="91">
        <v>0</v>
      </c>
    </row>
    <row r="62" spans="2:5" x14ac:dyDescent="0.3">
      <c r="B62" s="91" t="s">
        <v>943</v>
      </c>
      <c r="C62" s="91" t="str">
        <f>'Model B Realism (26)'!B25</f>
        <v>State Street SPDR S&amp;P 500 ETF</v>
      </c>
      <c r="D62" s="114">
        <f>'Model B Realism (26)'!K25</f>
        <v>1.7379120457467307E-3</v>
      </c>
      <c r="E62" s="91">
        <v>0</v>
      </c>
    </row>
    <row r="63" spans="2:5" x14ac:dyDescent="0.3">
      <c r="B63" s="91" t="s">
        <v>944</v>
      </c>
      <c r="C63" s="91" t="str">
        <f>'Model B Realism (26)'!B26</f>
        <v>iShares Core Dividend Growth ETF</v>
      </c>
      <c r="D63" s="114">
        <f>'Model B Realism (26)'!K26</f>
        <v>9.0486247313843735E-5</v>
      </c>
      <c r="E63" s="91">
        <v>0</v>
      </c>
    </row>
    <row r="64" spans="2:5" x14ac:dyDescent="0.3">
      <c r="B64" s="91" t="s">
        <v>945</v>
      </c>
      <c r="C64" s="91" t="str">
        <f>'Model B Realism (26)'!B27</f>
        <v>State Street SPDR Portfolio S&amp;P 500 ETF</v>
      </c>
      <c r="D64" s="114">
        <f>'Model B Realism (26)'!K27</f>
        <v>5.432046669403501E-14</v>
      </c>
      <c r="E64" s="91">
        <v>0</v>
      </c>
    </row>
    <row r="65" spans="2:5" ht="15" thickBot="1" x14ac:dyDescent="0.35">
      <c r="B65" s="92" t="s">
        <v>946</v>
      </c>
      <c r="C65" s="117" t="s">
        <v>947</v>
      </c>
      <c r="D65" s="114"/>
      <c r="E65" s="92">
        <f>'Model B Realism (26)'!T16</f>
        <v>3000000000.000001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19976-8039-4CFF-8EEF-37A877995239}">
  <dimension ref="A1:V201"/>
  <sheetViews>
    <sheetView topLeftCell="M9" zoomScale="125" zoomScaleNormal="100" workbookViewId="0">
      <selection activeCell="S27" sqref="S27"/>
    </sheetView>
  </sheetViews>
  <sheetFormatPr defaultColWidth="8.88671875" defaultRowHeight="15" customHeight="1" x14ac:dyDescent="0.3"/>
  <cols>
    <col min="1" max="1" width="11.6640625" customWidth="1"/>
    <col min="2" max="2" width="60.44140625" bestFit="1" customWidth="1"/>
    <col min="3" max="3" width="14.44140625" customWidth="1"/>
    <col min="4" max="4" width="27.44140625" style="88" customWidth="1"/>
    <col min="5" max="5" width="15.44140625" customWidth="1"/>
    <col min="6" max="6" width="12.44140625" customWidth="1"/>
    <col min="7" max="7" width="17" customWidth="1"/>
    <col min="8" max="8" width="9.6640625" customWidth="1"/>
    <col min="9" max="9" width="18.6640625" bestFit="1" customWidth="1"/>
    <col min="10" max="10" width="28.109375" style="71" bestFit="1" customWidth="1"/>
    <col min="11" max="11" width="12.44140625" style="63" bestFit="1" customWidth="1"/>
    <col min="12" max="12" width="26.88671875" bestFit="1" customWidth="1"/>
    <col min="13" max="13" width="25.33203125" style="41" customWidth="1"/>
    <col min="17" max="17" width="14.6640625" customWidth="1"/>
    <col min="19" max="19" width="34.44140625" bestFit="1" customWidth="1"/>
    <col min="20" max="20" width="19.44140625" customWidth="1"/>
    <col min="21" max="21" width="34.109375" bestFit="1" customWidth="1"/>
    <col min="22" max="22" width="12.88671875" customWidth="1"/>
  </cols>
  <sheetData>
    <row r="1" spans="1:22" ht="15" customHeight="1" x14ac:dyDescent="0.3">
      <c r="A1" s="7" t="s">
        <v>52</v>
      </c>
      <c r="B1" s="8" t="s">
        <v>53</v>
      </c>
      <c r="C1" s="8" t="s">
        <v>54</v>
      </c>
      <c r="D1" s="84" t="s">
        <v>55</v>
      </c>
      <c r="E1" s="8" t="s">
        <v>56</v>
      </c>
      <c r="F1" s="8" t="s">
        <v>57</v>
      </c>
      <c r="G1" s="9" t="s">
        <v>58</v>
      </c>
      <c r="H1" s="9" t="s">
        <v>59</v>
      </c>
      <c r="I1" s="23" t="s">
        <v>60</v>
      </c>
      <c r="J1" s="70" t="s">
        <v>61</v>
      </c>
      <c r="K1" s="60" t="s">
        <v>62</v>
      </c>
      <c r="L1" s="23" t="s">
        <v>63</v>
      </c>
      <c r="M1" s="66" t="s">
        <v>64</v>
      </c>
      <c r="Q1" s="1" t="s">
        <v>65</v>
      </c>
      <c r="S1" t="s">
        <v>66</v>
      </c>
    </row>
    <row r="2" spans="1:22" ht="15" customHeight="1" x14ac:dyDescent="0.3">
      <c r="A2" s="79" t="s">
        <v>356</v>
      </c>
      <c r="B2" s="74" t="s">
        <v>357</v>
      </c>
      <c r="C2" s="74">
        <v>115.66</v>
      </c>
      <c r="D2" s="74" t="s">
        <v>358</v>
      </c>
      <c r="E2" s="76">
        <v>1.5E-3</v>
      </c>
      <c r="F2" s="74">
        <v>0.98</v>
      </c>
      <c r="G2" s="78">
        <v>79900000000</v>
      </c>
      <c r="H2" s="25" t="b">
        <f t="shared" ref="H2:H33" si="0">OR(
  ISNUMBER(SEARCH("technology",B2)),
  ISNUMBER(SEARCH("tech",B2)),
  ISNUMBER(SEARCH("qqq",B2)),
  ISNUMBER(SEARCH("semiconductor",B2)),
  ISNUMBER(SEARCH("information technology",B2)),
  ISNUMBER(SEARCH("nasdaq",B2)),
  ISNUMBER(SEARCH("communication",B2))
)</f>
        <v>0</v>
      </c>
      <c r="I2" s="26">
        <f>Table13567[[#This Row],[Tech]]*$T$7+Table13567[[#This Row],[Beta]]*($T$6-$T$8)+$T$8</f>
        <v>9.872800000000001E-2</v>
      </c>
      <c r="J2" s="64">
        <v>981524600</v>
      </c>
      <c r="K2" s="61">
        <f>Table13567[[#This Row],[Investment]]/Table13567[[#This Row],[Dollar Volume]]</f>
        <v>1.2284413016270338E-2</v>
      </c>
      <c r="L2" s="34">
        <f>IFERROR(MAX($T$11+$T$12*LN(Table13567[[#This Row],[Frac ADV]]),0),0)*0.0001+0.005/Table13567[[#This Row],[Stock Price]]+Table13567[[#This Row],[Expense Ratio]]</f>
        <v>1.1250290555316048E-2</v>
      </c>
      <c r="M2" s="67">
        <f>(Table13567[[#This Row],[Expected Return]]-Table13567[[#This Row],[Tcosts]])*Table13567[[#This Row],[Investment]]</f>
        <v>85861523.771609649</v>
      </c>
      <c r="Q2" s="13" t="s">
        <v>70</v>
      </c>
    </row>
    <row r="3" spans="1:22" ht="15" customHeight="1" x14ac:dyDescent="0.3">
      <c r="A3" s="77" t="s">
        <v>113</v>
      </c>
      <c r="B3" s="73" t="s">
        <v>114</v>
      </c>
      <c r="C3" s="73">
        <v>600.64</v>
      </c>
      <c r="D3" s="73" t="s">
        <v>115</v>
      </c>
      <c r="E3" s="75">
        <v>2E-3</v>
      </c>
      <c r="F3" s="73">
        <v>1.22</v>
      </c>
      <c r="G3" s="78">
        <v>48350000000</v>
      </c>
      <c r="H3" s="3" t="b">
        <f t="shared" si="0"/>
        <v>1</v>
      </c>
      <c r="I3" s="26">
        <f>Table13567[[#This Row],[Tech]]*$T$7+Table13567[[#This Row],[Beta]]*($T$6-$T$8)+$T$8</f>
        <v>0.21399200000000002</v>
      </c>
      <c r="J3" s="64">
        <v>967000000</v>
      </c>
      <c r="K3" s="61">
        <f>Table13567[[#This Row],[Investment]]/Table13567[[#This Row],[Dollar Volume]]</f>
        <v>0.02</v>
      </c>
      <c r="L3" s="34">
        <f>IFERROR(MAX($T$11+$T$12*LN(Table13567[[#This Row],[Frac ADV]]),0),0)*0.0001+0.005/Table13567[[#This Row],[Stock Price]]+Table13567[[#This Row],[Expense Ratio]]</f>
        <v>1.4102775395820159E-2</v>
      </c>
      <c r="M3" s="68">
        <f>(Table13567[[#This Row],[Expected Return]]-Table13567[[#This Row],[Tcosts]])*Table13567[[#This Row],[Investment]]</f>
        <v>193292880.19224191</v>
      </c>
      <c r="Q3" s="16" t="s">
        <v>74</v>
      </c>
      <c r="S3" t="s">
        <v>75</v>
      </c>
    </row>
    <row r="4" spans="1:22" ht="15" customHeight="1" x14ac:dyDescent="0.3">
      <c r="A4" s="79" t="s">
        <v>190</v>
      </c>
      <c r="B4" s="74" t="s">
        <v>191</v>
      </c>
      <c r="C4" s="74">
        <v>119.49</v>
      </c>
      <c r="D4" s="74" t="s">
        <v>192</v>
      </c>
      <c r="E4" s="76">
        <v>1.8E-3</v>
      </c>
      <c r="F4" s="74">
        <v>1.21</v>
      </c>
      <c r="G4" s="78">
        <v>9210000000</v>
      </c>
      <c r="H4" s="3" t="b">
        <f t="shared" si="0"/>
        <v>0</v>
      </c>
      <c r="I4" s="26">
        <f>Table13567[[#This Row],[Tech]]*$T$7+Table13567[[#This Row],[Beta]]*($T$6-$T$8)+$T$8</f>
        <v>0.113356</v>
      </c>
      <c r="J4" s="64">
        <v>184200000</v>
      </c>
      <c r="K4" s="61">
        <f>Table13567[[#This Row],[Investment]]/Table13567[[#This Row],[Dollar Volume]]</f>
        <v>0.02</v>
      </c>
      <c r="L4" s="34">
        <f>IFERROR(MAX($T$11+$T$12*LN(Table13567[[#This Row],[Frac ADV]]),0),0)*0.0001+0.005/Table13567[[#This Row],[Stock Price]]+Table13567[[#This Row],[Expense Ratio]]</f>
        <v>1.3936295447720721E-2</v>
      </c>
      <c r="M4" s="68">
        <f>(Table13567[[#This Row],[Expected Return]]-Table13567[[#This Row],[Tcosts]])*Table13567[[#This Row],[Investment]]</f>
        <v>18313109.578529842</v>
      </c>
      <c r="Q4" s="13" t="s">
        <v>79</v>
      </c>
      <c r="S4" t="s">
        <v>80</v>
      </c>
      <c r="T4" t="s">
        <v>81</v>
      </c>
      <c r="U4" t="s">
        <v>82</v>
      </c>
    </row>
    <row r="5" spans="1:22" ht="15" customHeight="1" x14ac:dyDescent="0.3">
      <c r="A5" s="77" t="s">
        <v>285</v>
      </c>
      <c r="B5" s="73" t="s">
        <v>286</v>
      </c>
      <c r="C5" s="73">
        <v>80.16</v>
      </c>
      <c r="D5" s="73" t="s">
        <v>287</v>
      </c>
      <c r="E5" s="75">
        <v>2.0000000000000001E-4</v>
      </c>
      <c r="F5" s="73">
        <v>0.99</v>
      </c>
      <c r="G5" s="78">
        <v>7750000000</v>
      </c>
      <c r="H5" s="3" t="b">
        <f t="shared" si="0"/>
        <v>0</v>
      </c>
      <c r="I5" s="26">
        <f>Table13567[[#This Row],[Tech]]*$T$7+Table13567[[#This Row],[Beta]]*($T$6-$T$8)+$T$8</f>
        <v>9.9364000000000008E-2</v>
      </c>
      <c r="J5" s="64">
        <v>155000000</v>
      </c>
      <c r="K5" s="61">
        <f>Table13567[[#This Row],[Investment]]/Table13567[[#This Row],[Dollar Volume]]</f>
        <v>0.02</v>
      </c>
      <c r="L5" s="34">
        <f>IFERROR(MAX($T$11+$T$12*LN(Table13567[[#This Row],[Frac ADV]]),0),0)*0.0001+0.005/Table13567[[#This Row],[Stock Price]]+Table13567[[#This Row],[Expense Ratio]]</f>
        <v>1.2356826191405334E-2</v>
      </c>
      <c r="M5" s="68">
        <f>(Table13567[[#This Row],[Expected Return]]-Table13567[[#This Row],[Tcosts]])*Table13567[[#This Row],[Investment]]</f>
        <v>13486111.940332174</v>
      </c>
      <c r="Q5" s="16" t="s">
        <v>86</v>
      </c>
      <c r="S5" t="s">
        <v>87</v>
      </c>
      <c r="T5" s="17">
        <v>1000000000</v>
      </c>
      <c r="U5" t="s">
        <v>88</v>
      </c>
    </row>
    <row r="6" spans="1:22" ht="15" customHeight="1" x14ac:dyDescent="0.3">
      <c r="A6" s="79" t="s">
        <v>89</v>
      </c>
      <c r="B6" s="74" t="s">
        <v>90</v>
      </c>
      <c r="C6" s="74">
        <v>217.72</v>
      </c>
      <c r="D6" s="74" t="s">
        <v>91</v>
      </c>
      <c r="E6" s="76">
        <v>8.0000000000000004E-4</v>
      </c>
      <c r="F6" s="74">
        <v>1.43</v>
      </c>
      <c r="G6" s="78">
        <v>5570000000</v>
      </c>
      <c r="H6" s="3" t="b">
        <f t="shared" si="0"/>
        <v>1</v>
      </c>
      <c r="I6" s="26">
        <f>Table13567[[#This Row],[Tech]]*$T$7+Table13567[[#This Row],[Beta]]*($T$6-$T$8)+$T$8</f>
        <v>0.22734799999999999</v>
      </c>
      <c r="J6" s="64">
        <v>111400000</v>
      </c>
      <c r="K6" s="61">
        <f>Table13567[[#This Row],[Investment]]/Table13567[[#This Row],[Dollar Volume]]</f>
        <v>0.02</v>
      </c>
      <c r="L6" s="34">
        <f>IFERROR(MAX($T$11+$T$12*LN(Table13567[[#This Row],[Frac ADV]]),0),0)*0.0001+0.005/Table13567[[#This Row],[Stock Price]]+Table13567[[#This Row],[Expense Ratio]]</f>
        <v>1.2917416218406265E-2</v>
      </c>
      <c r="M6" s="68">
        <f>(Table13567[[#This Row],[Expected Return]]-Table13567[[#This Row],[Tcosts]])*Table13567[[#This Row],[Investment]]</f>
        <v>23887567.033269543</v>
      </c>
      <c r="Q6" s="13" t="s">
        <v>92</v>
      </c>
      <c r="S6" t="s">
        <v>93</v>
      </c>
      <c r="T6" s="18">
        <v>0.1</v>
      </c>
      <c r="U6" t="s">
        <v>94</v>
      </c>
    </row>
    <row r="7" spans="1:22" ht="15" customHeight="1" x14ac:dyDescent="0.3">
      <c r="A7" s="79" t="s">
        <v>202</v>
      </c>
      <c r="B7" s="74" t="s">
        <v>203</v>
      </c>
      <c r="C7" s="74">
        <v>213.85</v>
      </c>
      <c r="D7" s="74" t="s">
        <v>204</v>
      </c>
      <c r="E7" s="76">
        <v>5.0000000000000001E-4</v>
      </c>
      <c r="F7" s="74">
        <v>1.07</v>
      </c>
      <c r="G7" s="78">
        <v>5500000000</v>
      </c>
      <c r="H7" s="3" t="b">
        <f t="shared" si="0"/>
        <v>0</v>
      </c>
      <c r="I7" s="26">
        <f>Table13567[[#This Row],[Tech]]*$T$7+Table13567[[#This Row],[Beta]]*($T$6-$T$8)+$T$8</f>
        <v>0.104452</v>
      </c>
      <c r="J7" s="64">
        <v>110000000</v>
      </c>
      <c r="K7" s="61">
        <f>Table13567[[#This Row],[Investment]]/Table13567[[#This Row],[Dollar Volume]]</f>
        <v>0.02</v>
      </c>
      <c r="L7" s="34">
        <f>IFERROR(MAX($T$11+$T$12*LN(Table13567[[#This Row],[Frac ADV]]),0),0)*0.0001+0.005/Table13567[[#This Row],[Stock Price]]+Table13567[[#This Row],[Expense Ratio]]</f>
        <v>1.261783181634904E-2</v>
      </c>
      <c r="M7" s="68">
        <f>(Table13567[[#This Row],[Expected Return]]-Table13567[[#This Row],[Tcosts]])*Table13567[[#This Row],[Investment]]</f>
        <v>10101758.500201605</v>
      </c>
      <c r="Q7" s="16" t="s">
        <v>98</v>
      </c>
      <c r="S7" t="s">
        <v>99</v>
      </c>
      <c r="T7" s="18">
        <v>0.1</v>
      </c>
      <c r="U7" t="s">
        <v>100</v>
      </c>
    </row>
    <row r="8" spans="1:22" ht="15" customHeight="1" x14ac:dyDescent="0.3">
      <c r="A8" s="77" t="s">
        <v>245</v>
      </c>
      <c r="B8" s="73" t="s">
        <v>246</v>
      </c>
      <c r="C8" s="73">
        <v>681.27</v>
      </c>
      <c r="D8" s="73" t="s">
        <v>247</v>
      </c>
      <c r="E8" s="75">
        <v>8.9999999999999998E-4</v>
      </c>
      <c r="F8" s="73">
        <v>1</v>
      </c>
      <c r="G8" s="78">
        <v>4470000000</v>
      </c>
      <c r="H8" s="3" t="b">
        <f t="shared" si="0"/>
        <v>0</v>
      </c>
      <c r="I8" s="26">
        <f>Table13567[[#This Row],[Tech]]*$T$7+Table13567[[#This Row],[Beta]]*($T$6-$T$8)+$T$8</f>
        <v>0.1</v>
      </c>
      <c r="J8" s="64">
        <v>89400000</v>
      </c>
      <c r="K8" s="61">
        <f>Table13567[[#This Row],[Investment]]/Table13567[[#This Row],[Dollar Volume]]</f>
        <v>0.02</v>
      </c>
      <c r="L8" s="34">
        <f>IFERROR(MAX($T$11+$T$12*LN(Table13567[[#This Row],[Frac ADV]]),0),0)*0.0001+0.005/Table13567[[#This Row],[Stock Price]]+Table13567[[#This Row],[Expense Ratio]]</f>
        <v>1.3001790175981867E-2</v>
      </c>
      <c r="M8" s="68">
        <f>(Table13567[[#This Row],[Expected Return]]-Table13567[[#This Row],[Tcosts]])*Table13567[[#This Row],[Investment]]</f>
        <v>7777639.9582672212</v>
      </c>
      <c r="Q8" s="13" t="s">
        <v>104</v>
      </c>
      <c r="S8" t="s">
        <v>105</v>
      </c>
      <c r="T8" s="19">
        <v>3.6400000000000002E-2</v>
      </c>
      <c r="U8" t="s">
        <v>106</v>
      </c>
      <c r="V8" s="21">
        <v>46076</v>
      </c>
    </row>
    <row r="9" spans="1:22" ht="15" customHeight="1" x14ac:dyDescent="0.3">
      <c r="A9" s="77" t="s">
        <v>150</v>
      </c>
      <c r="B9" s="73" t="s">
        <v>151</v>
      </c>
      <c r="C9" s="73">
        <v>448.96</v>
      </c>
      <c r="D9" s="73" t="s">
        <v>152</v>
      </c>
      <c r="E9" s="75">
        <v>1.8E-3</v>
      </c>
      <c r="F9" s="73">
        <v>1.22</v>
      </c>
      <c r="G9" s="78">
        <v>2350000000</v>
      </c>
      <c r="H9" s="3" t="b">
        <f t="shared" si="0"/>
        <v>0</v>
      </c>
      <c r="I9" s="26">
        <f>Table13567[[#This Row],[Tech]]*$T$7+Table13567[[#This Row],[Beta]]*($T$6-$T$8)+$T$8</f>
        <v>0.11399200000000001</v>
      </c>
      <c r="J9" s="64">
        <v>47000000</v>
      </c>
      <c r="K9" s="61">
        <f>Table13567[[#This Row],[Investment]]/Table13567[[#This Row],[Dollar Volume]]</f>
        <v>0.02</v>
      </c>
      <c r="L9" s="34">
        <f>IFERROR(MAX($T$11+$T$12*LN(Table13567[[#This Row],[Frac ADV]]),0),0)*0.0001+0.005/Table13567[[#This Row],[Stock Price]]+Table13567[[#This Row],[Expense Ratio]]</f>
        <v>1.3905587791512318E-2</v>
      </c>
      <c r="M9" s="68">
        <f>(Table13567[[#This Row],[Expected Return]]-Table13567[[#This Row],[Tcosts]])*Table13567[[#This Row],[Investment]]</f>
        <v>4704061.3737989208</v>
      </c>
      <c r="Q9" s="16" t="s">
        <v>110</v>
      </c>
      <c r="S9" t="s">
        <v>111</v>
      </c>
      <c r="T9" s="19">
        <f>T8+2%</f>
        <v>5.6400000000000006E-2</v>
      </c>
      <c r="U9" t="s">
        <v>112</v>
      </c>
    </row>
    <row r="10" spans="1:22" ht="15" customHeight="1" x14ac:dyDescent="0.3">
      <c r="A10" s="77" t="s">
        <v>206</v>
      </c>
      <c r="B10" s="73" t="s">
        <v>207</v>
      </c>
      <c r="C10" s="73">
        <v>26.29</v>
      </c>
      <c r="D10" s="73" t="s">
        <v>208</v>
      </c>
      <c r="E10" s="75">
        <v>2.9999999999999997E-4</v>
      </c>
      <c r="F10" s="73">
        <v>1</v>
      </c>
      <c r="G10" s="78">
        <v>1870000000</v>
      </c>
      <c r="H10" s="3" t="b">
        <f t="shared" si="0"/>
        <v>0</v>
      </c>
      <c r="I10" s="26">
        <f>Table13567[[#This Row],[Tech]]*$T$7+Table13567[[#This Row],[Beta]]*($T$6-$T$8)+$T$8</f>
        <v>0.1</v>
      </c>
      <c r="J10" s="64">
        <v>37400000</v>
      </c>
      <c r="K10" s="61">
        <f>Table13567[[#This Row],[Investment]]/Table13567[[#This Row],[Dollar Volume]]</f>
        <v>0.02</v>
      </c>
      <c r="L10" s="34">
        <f>IFERROR(MAX($T$11+$T$12*LN(Table13567[[#This Row],[Frac ADV]]),0),0)*0.0001+0.005/Table13567[[#This Row],[Stock Price]]+Table13567[[#This Row],[Expense Ratio]]</f>
        <v>1.2584637324559337E-2</v>
      </c>
      <c r="M10" s="68">
        <f>(Table13567[[#This Row],[Expected Return]]-Table13567[[#This Row],[Tcosts]])*Table13567[[#This Row],[Investment]]</f>
        <v>3269334.564061481</v>
      </c>
      <c r="Q10" s="13" t="s">
        <v>116</v>
      </c>
      <c r="S10" t="s">
        <v>117</v>
      </c>
      <c r="U10" s="22" t="s">
        <v>118</v>
      </c>
    </row>
    <row r="11" spans="1:22" ht="15" customHeight="1" x14ac:dyDescent="0.3">
      <c r="A11" s="77" t="s">
        <v>277</v>
      </c>
      <c r="B11" s="73" t="s">
        <v>278</v>
      </c>
      <c r="C11" s="73">
        <v>82.87</v>
      </c>
      <c r="D11" s="73" t="s">
        <v>279</v>
      </c>
      <c r="E11" s="75">
        <v>2.9999999999999997E-4</v>
      </c>
      <c r="F11" s="73">
        <v>0.99</v>
      </c>
      <c r="G11" s="78">
        <v>1800000000</v>
      </c>
      <c r="H11" s="3" t="b">
        <f t="shared" si="0"/>
        <v>0</v>
      </c>
      <c r="I11" s="26">
        <f>Table13567[[#This Row],[Tech]]*$T$7+Table13567[[#This Row],[Beta]]*($T$6-$T$8)+$T$8</f>
        <v>9.9364000000000008E-2</v>
      </c>
      <c r="J11" s="64">
        <v>36000000</v>
      </c>
      <c r="K11" s="61">
        <f>Table13567[[#This Row],[Investment]]/Table13567[[#This Row],[Dollar Volume]]</f>
        <v>0.02</v>
      </c>
      <c r="L11" s="34">
        <f>IFERROR(MAX($T$11+$T$12*LN(Table13567[[#This Row],[Frac ADV]]),0),0)*0.0001+0.005/Table13567[[#This Row],[Stock Price]]+Table13567[[#This Row],[Expense Ratio]]</f>
        <v>1.2454786407090771E-2</v>
      </c>
      <c r="M11" s="68">
        <f>(Table13567[[#This Row],[Expected Return]]-Table13567[[#This Row],[Tcosts]])*Table13567[[#This Row],[Investment]]</f>
        <v>3128731.6893447326</v>
      </c>
      <c r="Q11" s="16" t="s">
        <v>122</v>
      </c>
      <c r="S11" t="s">
        <v>11</v>
      </c>
      <c r="T11" s="20">
        <v>312.56343894969302</v>
      </c>
    </row>
    <row r="12" spans="1:22" ht="15" customHeight="1" x14ac:dyDescent="0.3">
      <c r="A12" s="77" t="s">
        <v>123</v>
      </c>
      <c r="B12" s="73" t="s">
        <v>124</v>
      </c>
      <c r="C12" s="73">
        <v>114.64</v>
      </c>
      <c r="D12" s="73" t="s">
        <v>125</v>
      </c>
      <c r="E12" s="75">
        <v>8.0000000000000004E-4</v>
      </c>
      <c r="F12" s="73">
        <v>0.94</v>
      </c>
      <c r="G12" s="78">
        <v>1780000000</v>
      </c>
      <c r="H12" s="3" t="b">
        <f t="shared" si="0"/>
        <v>1</v>
      </c>
      <c r="I12" s="26">
        <f>Table13567[[#This Row],[Tech]]*$T$7+Table13567[[#This Row],[Beta]]*($T$6-$T$8)+$T$8</f>
        <v>0.19618400000000003</v>
      </c>
      <c r="J12" s="64">
        <v>35600000</v>
      </c>
      <c r="K12" s="61">
        <f>Table13567[[#This Row],[Investment]]/Table13567[[#This Row],[Dollar Volume]]</f>
        <v>0.02</v>
      </c>
      <c r="L12" s="34">
        <f>IFERROR(MAX($T$11+$T$12*LN(Table13567[[#This Row],[Frac ADV]]),0),0)*0.0001+0.005/Table13567[[#This Row],[Stock Price]]+Table13567[[#This Row],[Expense Ratio]]</f>
        <v>1.2938065736042507E-2</v>
      </c>
      <c r="M12" s="68">
        <f>(Table13567[[#This Row],[Expected Return]]-Table13567[[#This Row],[Tcosts]])*Table13567[[#This Row],[Investment]]</f>
        <v>6523555.2597968876</v>
      </c>
      <c r="Q12" s="13" t="s">
        <v>126</v>
      </c>
      <c r="S12" t="s">
        <v>12</v>
      </c>
      <c r="T12" s="20">
        <v>48.982055899151902</v>
      </c>
    </row>
    <row r="13" spans="1:22" ht="15" customHeight="1" x14ac:dyDescent="0.3">
      <c r="A13" s="77" t="s">
        <v>76</v>
      </c>
      <c r="B13" s="73" t="s">
        <v>77</v>
      </c>
      <c r="C13" s="73">
        <v>351.5</v>
      </c>
      <c r="D13" s="73" t="s">
        <v>78</v>
      </c>
      <c r="E13" s="75">
        <v>3.3999999999999998E-3</v>
      </c>
      <c r="F13" s="73">
        <v>1.74</v>
      </c>
      <c r="G13" s="78">
        <v>1360000000</v>
      </c>
      <c r="H13" s="3" t="b">
        <f t="shared" si="0"/>
        <v>1</v>
      </c>
      <c r="I13" s="26">
        <f>Table13567[[#This Row],[Tech]]*$T$7+Table13567[[#This Row],[Beta]]*($T$6-$T$8)+$T$8</f>
        <v>0.24706400000000001</v>
      </c>
      <c r="J13" s="64">
        <v>27200000</v>
      </c>
      <c r="K13" s="61">
        <f>Table13567[[#This Row],[Investment]]/Table13567[[#This Row],[Dollar Volume]]</f>
        <v>0.02</v>
      </c>
      <c r="L13" s="34">
        <f>IFERROR(MAX($T$11+$T$12*LN(Table13567[[#This Row],[Frac ADV]]),0),0)*0.0001+0.005/Table13567[[#This Row],[Stock Price]]+Table13567[[#This Row],[Expense Ratio]]</f>
        <v>1.5508675692971192E-2</v>
      </c>
      <c r="M13" s="68">
        <f>(Table13567[[#This Row],[Expected Return]]-Table13567[[#This Row],[Tcosts]])*Table13567[[#This Row],[Investment]]</f>
        <v>6298304.8211511839</v>
      </c>
      <c r="Q13" s="16" t="s">
        <v>130</v>
      </c>
    </row>
    <row r="14" spans="1:22" ht="15" customHeight="1" x14ac:dyDescent="0.3">
      <c r="A14" s="77" t="s">
        <v>71</v>
      </c>
      <c r="B14" s="73" t="s">
        <v>72</v>
      </c>
      <c r="C14" s="73">
        <v>406.11</v>
      </c>
      <c r="D14" s="73" t="s">
        <v>73</v>
      </c>
      <c r="E14" s="75">
        <v>3.5000000000000001E-3</v>
      </c>
      <c r="F14" s="73">
        <v>1.71</v>
      </c>
      <c r="G14" s="78">
        <v>1260000000</v>
      </c>
      <c r="H14" s="3" t="b">
        <f t="shared" si="0"/>
        <v>1</v>
      </c>
      <c r="I14" s="26">
        <f>Table13567[[#This Row],[Tech]]*$T$7+Table13567[[#This Row],[Beta]]*($T$6-$T$8)+$T$8</f>
        <v>0.24515599999999999</v>
      </c>
      <c r="J14" s="64">
        <v>25200000</v>
      </c>
      <c r="K14" s="61">
        <f>Table13567[[#This Row],[Investment]]/Table13567[[#This Row],[Dollar Volume]]</f>
        <v>0.02</v>
      </c>
      <c r="L14" s="34">
        <f>IFERROR(MAX($T$11+$T$12*LN(Table13567[[#This Row],[Frac ADV]]),0),0)*0.0001+0.005/Table13567[[#This Row],[Stock Price]]+Table13567[[#This Row],[Expense Ratio]]</f>
        <v>1.5606762877094308E-2</v>
      </c>
      <c r="M14" s="68">
        <f>(Table13567[[#This Row],[Expected Return]]-Table13567[[#This Row],[Tcosts]])*Table13567[[#This Row],[Investment]]</f>
        <v>5784640.7754972233</v>
      </c>
      <c r="Q14" s="13" t="s">
        <v>134</v>
      </c>
      <c r="U14" t="s">
        <v>880</v>
      </c>
      <c r="V14" t="s">
        <v>881</v>
      </c>
    </row>
    <row r="15" spans="1:22" ht="15" customHeight="1" x14ac:dyDescent="0.3">
      <c r="A15" s="79" t="s">
        <v>160</v>
      </c>
      <c r="B15" s="74" t="s">
        <v>161</v>
      </c>
      <c r="C15" s="74">
        <v>118.27</v>
      </c>
      <c r="D15" s="74" t="s">
        <v>162</v>
      </c>
      <c r="E15" s="76">
        <v>1.2999999999999999E-3</v>
      </c>
      <c r="F15" s="74">
        <v>1.23</v>
      </c>
      <c r="G15" s="78">
        <v>1220000000</v>
      </c>
      <c r="H15" s="3" t="b">
        <f t="shared" si="0"/>
        <v>0</v>
      </c>
      <c r="I15" s="26">
        <f>Table13567[[#This Row],[Tech]]*$T$7+Table13567[[#This Row],[Beta]]*($T$6-$T$8)+$T$8</f>
        <v>0.11462800000000001</v>
      </c>
      <c r="J15" s="64">
        <v>24400000</v>
      </c>
      <c r="K15" s="61">
        <f>Table13567[[#This Row],[Investment]]/Table13567[[#This Row],[Dollar Volume]]</f>
        <v>0.02</v>
      </c>
      <c r="L15" s="34">
        <f>IFERROR(MAX($T$11+$T$12*LN(Table13567[[#This Row],[Frac ADV]]),0),0)*0.0001+0.005/Table13567[[#This Row],[Stock Price]]+Table13567[[#This Row],[Expense Ratio]]</f>
        <v>1.3436727089701749E-2</v>
      </c>
      <c r="M15" s="68">
        <f>(Table13567[[#This Row],[Expected Return]]-Table13567[[#This Row],[Tcosts]])*Table13567[[#This Row],[Investment]]</f>
        <v>2469067.0590112773</v>
      </c>
      <c r="Q15" s="16" t="s">
        <v>138</v>
      </c>
      <c r="S15" t="s">
        <v>139</v>
      </c>
      <c r="T15" s="48">
        <f>SUM(Table13567[Exp Profit])</f>
        <v>401654164.80323005</v>
      </c>
    </row>
    <row r="16" spans="1:22" ht="15" customHeight="1" x14ac:dyDescent="0.3">
      <c r="A16" s="79" t="s">
        <v>257</v>
      </c>
      <c r="B16" s="74" t="s">
        <v>258</v>
      </c>
      <c r="C16" s="74">
        <v>232.53</v>
      </c>
      <c r="D16" s="74" t="s">
        <v>259</v>
      </c>
      <c r="E16" s="76">
        <v>3.8E-3</v>
      </c>
      <c r="F16" s="74">
        <v>1.05</v>
      </c>
      <c r="G16" s="78">
        <v>1120000000</v>
      </c>
      <c r="H16" s="3" t="b">
        <f t="shared" si="0"/>
        <v>0</v>
      </c>
      <c r="I16" s="26">
        <f>Table13567[[#This Row],[Tech]]*$T$7+Table13567[[#This Row],[Beta]]*($T$6-$T$8)+$T$8</f>
        <v>0.10318000000000001</v>
      </c>
      <c r="J16" s="64">
        <v>22400000</v>
      </c>
      <c r="K16" s="61">
        <f>Table13567[[#This Row],[Investment]]/Table13567[[#This Row],[Dollar Volume]]</f>
        <v>0.02</v>
      </c>
      <c r="L16" s="34">
        <f>IFERROR(MAX($T$11+$T$12*LN(Table13567[[#This Row],[Frac ADV]]),0),0)*0.0001+0.005/Table13567[[#This Row],[Stock Price]]+Table13567[[#This Row],[Expense Ratio]]</f>
        <v>1.5915953543719157E-2</v>
      </c>
      <c r="M16" s="68">
        <f>(Table13567[[#This Row],[Expected Return]]-Table13567[[#This Row],[Tcosts]])*Table13567[[#This Row],[Investment]]</f>
        <v>1954714.6406206912</v>
      </c>
      <c r="Q16" s="13" t="s">
        <v>143</v>
      </c>
      <c r="S16" t="s">
        <v>144</v>
      </c>
      <c r="T16" s="48">
        <f>SUM(Table13567[Investment])</f>
        <v>3000000000</v>
      </c>
      <c r="U16" s="40">
        <f>T5*3</f>
        <v>3000000000</v>
      </c>
      <c r="V16">
        <f>T18/T5</f>
        <v>0.28885416480323006</v>
      </c>
    </row>
    <row r="17" spans="1:20" ht="15" customHeight="1" x14ac:dyDescent="0.3">
      <c r="A17" s="77" t="s">
        <v>210</v>
      </c>
      <c r="B17" s="73" t="s">
        <v>211</v>
      </c>
      <c r="C17" s="73">
        <v>310.33</v>
      </c>
      <c r="D17" s="73" t="s">
        <v>212</v>
      </c>
      <c r="E17" s="75">
        <v>5.0000000000000001E-4</v>
      </c>
      <c r="F17" s="73">
        <v>1.06</v>
      </c>
      <c r="G17" s="78">
        <v>1070000000</v>
      </c>
      <c r="H17" s="3" t="b">
        <f t="shared" si="0"/>
        <v>0</v>
      </c>
      <c r="I17" s="26">
        <f>Table13567[[#This Row],[Tech]]*$T$7+Table13567[[#This Row],[Beta]]*($T$6-$T$8)+$T$8</f>
        <v>0.10381600000000001</v>
      </c>
      <c r="J17" s="64">
        <v>21400000</v>
      </c>
      <c r="K17" s="61">
        <f>Table13567[[#This Row],[Investment]]/Table13567[[#This Row],[Dollar Volume]]</f>
        <v>0.02</v>
      </c>
      <c r="L17" s="34">
        <f>IFERROR(MAX($T$11+$T$12*LN(Table13567[[#This Row],[Frac ADV]]),0),0)*0.0001+0.005/Table13567[[#This Row],[Stock Price]]+Table13567[[#This Row],[Expense Ratio]]</f>
        <v>1.2610562822805312E-2</v>
      </c>
      <c r="M17" s="68">
        <f>(Table13567[[#This Row],[Expected Return]]-Table13567[[#This Row],[Tcosts]])*Table13567[[#This Row],[Investment]]</f>
        <v>1951796.3555919663</v>
      </c>
      <c r="Q17" s="16" t="s">
        <v>148</v>
      </c>
      <c r="S17" t="s">
        <v>149</v>
      </c>
      <c r="T17" s="48">
        <f>MAX((T16-T5),0)*T9</f>
        <v>112800000.00000001</v>
      </c>
    </row>
    <row r="18" spans="1:20" ht="15" customHeight="1" x14ac:dyDescent="0.3">
      <c r="A18" s="77" t="s">
        <v>186</v>
      </c>
      <c r="B18" s="73" t="s">
        <v>187</v>
      </c>
      <c r="C18" s="73">
        <v>460.15</v>
      </c>
      <c r="D18" s="73" t="s">
        <v>188</v>
      </c>
      <c r="E18" s="75">
        <v>2.9999999999999997E-4</v>
      </c>
      <c r="F18" s="73">
        <v>1.24</v>
      </c>
      <c r="G18" s="78">
        <v>1020000000</v>
      </c>
      <c r="H18" s="3" t="b">
        <f t="shared" si="0"/>
        <v>0</v>
      </c>
      <c r="I18" s="26">
        <f>Table13567[[#This Row],[Tech]]*$T$7+Table13567[[#This Row],[Beta]]*($T$6-$T$8)+$T$8</f>
        <v>0.11526400000000001</v>
      </c>
      <c r="J18" s="64">
        <v>20400000</v>
      </c>
      <c r="K18" s="61">
        <f>Table13567[[#This Row],[Investment]]/Table13567[[#This Row],[Dollar Volume]]</f>
        <v>0.02</v>
      </c>
      <c r="L18" s="34">
        <f>IFERROR(MAX($T$11+$T$12*LN(Table13567[[#This Row],[Frac ADV]]),0),0)*0.0001+0.005/Table13567[[#This Row],[Stock Price]]+Table13567[[#This Row],[Expense Ratio]]</f>
        <v>1.24053169638537E-2</v>
      </c>
      <c r="M18" s="68">
        <f>(Table13567[[#This Row],[Expected Return]]-Table13567[[#This Row],[Tcosts]])*Table13567[[#This Row],[Investment]]</f>
        <v>2098317.1339373845</v>
      </c>
      <c r="Q18" s="13" t="s">
        <v>153</v>
      </c>
      <c r="S18" t="s">
        <v>154</v>
      </c>
      <c r="T18" s="50">
        <f>T15-T17</f>
        <v>288854164.80323005</v>
      </c>
    </row>
    <row r="19" spans="1:20" ht="15" customHeight="1" thickBot="1" x14ac:dyDescent="0.35">
      <c r="A19" s="79" t="s">
        <v>214</v>
      </c>
      <c r="B19" s="74" t="s">
        <v>215</v>
      </c>
      <c r="C19" s="74">
        <v>132.91</v>
      </c>
      <c r="D19" s="74" t="s">
        <v>216</v>
      </c>
      <c r="E19" s="76">
        <v>2.3E-3</v>
      </c>
      <c r="F19" s="74">
        <v>1.1299999999999999</v>
      </c>
      <c r="G19" s="78">
        <v>978550000</v>
      </c>
      <c r="H19" s="3" t="b">
        <f t="shared" si="0"/>
        <v>0</v>
      </c>
      <c r="I19" s="26">
        <f>Table13567[[#This Row],[Tech]]*$T$7+Table13567[[#This Row],[Beta]]*($T$6-$T$8)+$T$8</f>
        <v>0.108268</v>
      </c>
      <c r="J19" s="64">
        <v>19571000</v>
      </c>
      <c r="K19" s="61">
        <f>Table13567[[#This Row],[Investment]]/Table13567[[#This Row],[Dollar Volume]]</f>
        <v>0.02</v>
      </c>
      <c r="L19" s="34">
        <f>IFERROR(MAX($T$11+$T$12*LN(Table13567[[#This Row],[Frac ADV]]),0),0)*0.0001+0.005/Table13567[[#This Row],[Stock Price]]+Table13567[[#This Row],[Expense Ratio]]</f>
        <v>1.4432070383631821E-2</v>
      </c>
      <c r="M19" s="68">
        <f>(Table13567[[#This Row],[Expected Return]]-Table13567[[#This Row],[Tcosts]])*Table13567[[#This Row],[Investment]]</f>
        <v>1836462.9785219417</v>
      </c>
      <c r="Q19" s="16" t="s">
        <v>158</v>
      </c>
      <c r="S19" t="s">
        <v>159</v>
      </c>
      <c r="T19" s="39">
        <f>COUNTIF(J2:J201,"&gt;0")</f>
        <v>25</v>
      </c>
    </row>
    <row r="20" spans="1:20" ht="15" customHeight="1" thickBot="1" x14ac:dyDescent="0.35">
      <c r="A20" s="79" t="s">
        <v>222</v>
      </c>
      <c r="B20" s="74" t="s">
        <v>223</v>
      </c>
      <c r="C20" s="74">
        <v>250.2</v>
      </c>
      <c r="D20" s="74" t="s">
        <v>224</v>
      </c>
      <c r="E20" s="76">
        <v>1.5E-3</v>
      </c>
      <c r="F20" s="74">
        <v>1.17</v>
      </c>
      <c r="G20" s="78">
        <v>968150000</v>
      </c>
      <c r="H20" s="3" t="b">
        <f t="shared" si="0"/>
        <v>0</v>
      </c>
      <c r="I20" s="26">
        <f>Table13567[[#This Row],[Tech]]*$T$7+Table13567[[#This Row],[Beta]]*($T$6-$T$8)+$T$8</f>
        <v>0.11081200000000001</v>
      </c>
      <c r="J20" s="64">
        <v>19363000</v>
      </c>
      <c r="K20" s="61">
        <f>Table13567[[#This Row],[Investment]]/Table13567[[#This Row],[Dollar Volume]]</f>
        <v>0.02</v>
      </c>
      <c r="L20" s="34">
        <f>IFERROR(MAX($T$11+$T$12*LN(Table13567[[#This Row],[Frac ADV]]),0),0)*0.0001+0.005/Table13567[[#This Row],[Stock Price]]+Table13567[[#This Row],[Expense Ratio]]</f>
        <v>1.3614434954694103E-2</v>
      </c>
      <c r="M20" s="68">
        <f>(Table13567[[#This Row],[Expected Return]]-Table13567[[#This Row],[Tcosts]])*Table13567[[#This Row],[Investment]]</f>
        <v>1882036.4519722583</v>
      </c>
      <c r="Q20" s="13" t="s">
        <v>163</v>
      </c>
      <c r="S20" s="119" t="s">
        <v>164</v>
      </c>
      <c r="T20" s="40">
        <f>T18+T5</f>
        <v>1288854164.80323</v>
      </c>
    </row>
    <row r="21" spans="1:20" ht="15" customHeight="1" thickBot="1" x14ac:dyDescent="0.35">
      <c r="A21" s="79" t="s">
        <v>591</v>
      </c>
      <c r="B21" s="74" t="s">
        <v>592</v>
      </c>
      <c r="C21" s="74">
        <v>73.28</v>
      </c>
      <c r="D21" s="74" t="s">
        <v>593</v>
      </c>
      <c r="E21" s="76">
        <v>8.0000000000000004E-4</v>
      </c>
      <c r="F21" s="74">
        <v>0.7</v>
      </c>
      <c r="G21" s="78">
        <v>736290000</v>
      </c>
      <c r="H21" s="3" t="b">
        <f t="shared" si="0"/>
        <v>0</v>
      </c>
      <c r="I21" s="26">
        <f>Table13567[[#This Row],[Tech]]*$T$7+Table13567[[#This Row],[Beta]]*($T$6-$T$8)+$T$8</f>
        <v>8.0919999999999992E-2</v>
      </c>
      <c r="J21" s="64">
        <v>14725800</v>
      </c>
      <c r="K21" s="61">
        <f>Table13567[[#This Row],[Investment]]/Table13567[[#This Row],[Dollar Volume]]</f>
        <v>0.02</v>
      </c>
      <c r="L21" s="34">
        <f>IFERROR(MAX($T$11+$T$12*LN(Table13567[[#This Row],[Frac ADV]]),0),0)*0.0001+0.005/Table13567[[#This Row],[Stock Price]]+Table13567[[#This Row],[Expense Ratio]]</f>
        <v>1.2962682382952371E-2</v>
      </c>
      <c r="M21" s="68">
        <f>(Table13567[[#This Row],[Expected Return]]-Table13567[[#This Row],[Tcosts]])*Table13567[[#This Row],[Investment]]</f>
        <v>1000725.8677651199</v>
      </c>
      <c r="Q21" s="16" t="s">
        <v>168</v>
      </c>
      <c r="S21" s="119" t="s">
        <v>169</v>
      </c>
      <c r="T21" s="121">
        <f>T18/T5</f>
        <v>0.28885416480323006</v>
      </c>
    </row>
    <row r="22" spans="1:20" ht="15" customHeight="1" thickBot="1" x14ac:dyDescent="0.35">
      <c r="A22" s="77" t="s">
        <v>140</v>
      </c>
      <c r="B22" s="73" t="s">
        <v>141</v>
      </c>
      <c r="C22" s="73">
        <v>30.51</v>
      </c>
      <c r="D22" s="73" t="s">
        <v>142</v>
      </c>
      <c r="E22" s="75">
        <v>4.0000000000000002E-4</v>
      </c>
      <c r="F22" s="73">
        <v>1.24</v>
      </c>
      <c r="G22" s="78">
        <v>722110000</v>
      </c>
      <c r="H22" s="3" t="b">
        <f t="shared" si="0"/>
        <v>0</v>
      </c>
      <c r="I22" s="26">
        <f>Table13567[[#This Row],[Tech]]*$T$7+Table13567[[#This Row],[Beta]]*($T$6-$T$8)+$T$8</f>
        <v>0.11526400000000001</v>
      </c>
      <c r="J22" s="64">
        <v>14442200</v>
      </c>
      <c r="K22" s="61">
        <f>Table13567[[#This Row],[Investment]]/Table13567[[#This Row],[Dollar Volume]]</f>
        <v>0.02</v>
      </c>
      <c r="L22" s="34">
        <f>IFERROR(MAX($T$11+$T$12*LN(Table13567[[#This Row],[Frac ADV]]),0),0)*0.0001+0.005/Table13567[[#This Row],[Stock Price]]+Table13567[[#This Row],[Expense Ratio]]</f>
        <v>1.2658331636758481E-2</v>
      </c>
      <c r="M22" s="68">
        <f>(Table13567[[#This Row],[Expected Return]]-Table13567[[#This Row],[Tcosts]])*Table13567[[#This Row],[Investment]]</f>
        <v>1481851.5836356068</v>
      </c>
      <c r="Q22" s="13" t="s">
        <v>173</v>
      </c>
    </row>
    <row r="23" spans="1:20" ht="15" customHeight="1" x14ac:dyDescent="0.3">
      <c r="A23" s="79" t="s">
        <v>131</v>
      </c>
      <c r="B23" s="74" t="s">
        <v>132</v>
      </c>
      <c r="C23" s="74">
        <v>163.69</v>
      </c>
      <c r="D23" s="74" t="s">
        <v>133</v>
      </c>
      <c r="E23" s="76">
        <v>4.0000000000000002E-4</v>
      </c>
      <c r="F23" s="74">
        <v>1.19</v>
      </c>
      <c r="G23" s="78">
        <v>582850000</v>
      </c>
      <c r="H23" s="3" t="b">
        <f t="shared" si="0"/>
        <v>0</v>
      </c>
      <c r="I23" s="26">
        <f>Table13567[[#This Row],[Tech]]*$T$7+Table13567[[#This Row],[Beta]]*($T$6-$T$8)+$T$8</f>
        <v>0.112084</v>
      </c>
      <c r="J23" s="64">
        <v>11657000</v>
      </c>
      <c r="K23" s="61">
        <f>Table13567[[#This Row],[Investment]]/Table13567[[#This Row],[Dollar Volume]]</f>
        <v>0.02</v>
      </c>
      <c r="L23" s="34">
        <f>IFERROR(MAX($T$11+$T$12*LN(Table13567[[#This Row],[Frac ADV]]),0),0)*0.0001+0.005/Table13567[[#This Row],[Stock Price]]+Table13567[[#This Row],[Expense Ratio]]</f>
        <v>1.2524996485309551E-2</v>
      </c>
      <c r="M23" s="68">
        <f>(Table13567[[#This Row],[Expected Return]]-Table13567[[#This Row],[Tcosts]])*Table13567[[#This Row],[Investment]]</f>
        <v>1160559.3039707465</v>
      </c>
      <c r="Q23" s="16" t="s">
        <v>177</v>
      </c>
    </row>
    <row r="24" spans="1:20" ht="15" customHeight="1" x14ac:dyDescent="0.3">
      <c r="A24" s="79" t="s">
        <v>376</v>
      </c>
      <c r="B24" s="74" t="s">
        <v>377</v>
      </c>
      <c r="C24" s="74">
        <v>336.01</v>
      </c>
      <c r="D24" s="74" t="s">
        <v>378</v>
      </c>
      <c r="E24" s="76">
        <v>2.9999999999999997E-4</v>
      </c>
      <c r="F24" s="74">
        <v>1</v>
      </c>
      <c r="G24" s="78">
        <v>469470000</v>
      </c>
      <c r="H24" s="3" t="b">
        <f t="shared" si="0"/>
        <v>0</v>
      </c>
      <c r="I24" s="26">
        <f>Table13567[[#This Row],[Tech]]*$T$7+Table13567[[#This Row],[Beta]]*($T$6-$T$8)+$T$8</f>
        <v>0.1</v>
      </c>
      <c r="J24" s="64">
        <v>9389400</v>
      </c>
      <c r="K24" s="61">
        <f>Table13567[[#This Row],[Investment]]/Table13567[[#This Row],[Dollar Volume]]</f>
        <v>0.02</v>
      </c>
      <c r="L24" s="34">
        <f>IFERROR(MAX($T$11+$T$12*LN(Table13567[[#This Row],[Frac ADV]]),0),0)*0.0001+0.005/Table13567[[#This Row],[Stock Price]]+Table13567[[#This Row],[Expense Ratio]]</f>
        <v>1.2409331451412981E-2</v>
      </c>
      <c r="M24" s="68">
        <f>(Table13567[[#This Row],[Expected Return]]-Table13567[[#This Row],[Tcosts]])*Table13567[[#This Row],[Investment]]</f>
        <v>822423.82327010296</v>
      </c>
      <c r="Q24" s="13" t="s">
        <v>181</v>
      </c>
    </row>
    <row r="25" spans="1:20" ht="15" customHeight="1" x14ac:dyDescent="0.3">
      <c r="A25" s="77" t="s">
        <v>83</v>
      </c>
      <c r="B25" s="73" t="s">
        <v>84</v>
      </c>
      <c r="C25" s="73">
        <v>63.1</v>
      </c>
      <c r="D25" s="73" t="s">
        <v>85</v>
      </c>
      <c r="E25" s="75">
        <v>7.4999999999999997E-3</v>
      </c>
      <c r="F25" s="73">
        <v>1.6633</v>
      </c>
      <c r="G25" s="78">
        <v>456530000</v>
      </c>
      <c r="H25" s="3" t="b">
        <f t="shared" si="0"/>
        <v>1</v>
      </c>
      <c r="I25" s="26">
        <f>Table13567[[#This Row],[Tech]]*$T$7+Table13567[[#This Row],[Beta]]*($T$6-$T$8)+$T$8</f>
        <v>0.24218588000000002</v>
      </c>
      <c r="J25" s="64">
        <v>9130600</v>
      </c>
      <c r="K25" s="61">
        <f>Table13567[[#This Row],[Investment]]/Table13567[[#This Row],[Dollar Volume]]</f>
        <v>0.02</v>
      </c>
      <c r="L25" s="34">
        <f>IFERROR(MAX($T$11+$T$12*LN(Table13567[[#This Row],[Frac ADV]]),0),0)*0.0001+0.005/Table13567[[#This Row],[Stock Price]]+Table13567[[#This Row],[Expense Ratio]]</f>
        <v>1.9673690244598471E-2</v>
      </c>
      <c r="M25" s="68">
        <f>(Table13567[[#This Row],[Expected Return]]-Table13567[[#This Row],[Tcosts]])*Table13567[[#This Row],[Investment]]</f>
        <v>2031669.7997806694</v>
      </c>
      <c r="Q25" s="16" t="s">
        <v>185</v>
      </c>
    </row>
    <row r="26" spans="1:20" ht="15.6" x14ac:dyDescent="0.3">
      <c r="A26" s="79" t="s">
        <v>281</v>
      </c>
      <c r="B26" s="74" t="s">
        <v>282</v>
      </c>
      <c r="C26" s="74">
        <v>373.29</v>
      </c>
      <c r="D26" s="74" t="s">
        <v>283</v>
      </c>
      <c r="E26" s="76">
        <v>1.5E-3</v>
      </c>
      <c r="F26" s="74">
        <v>1</v>
      </c>
      <c r="G26" s="78">
        <v>309820000</v>
      </c>
      <c r="H26" s="3" t="b">
        <f t="shared" si="0"/>
        <v>0</v>
      </c>
      <c r="I26" s="26">
        <f>Table13567[[#This Row],[Tech]]*$T$7+Table13567[[#This Row],[Beta]]*($T$6-$T$8)+$T$8</f>
        <v>0.1</v>
      </c>
      <c r="J26" s="64">
        <v>6196400</v>
      </c>
      <c r="K26" s="61">
        <f>Table13567[[#This Row],[Investment]]/Table13567[[#This Row],[Dollar Volume]]</f>
        <v>0.02</v>
      </c>
      <c r="L26" s="34">
        <f>IFERROR(MAX($T$11+$T$12*LN(Table13567[[#This Row],[Frac ADV]]),0),0)*0.0001+0.005/Table13567[[#This Row],[Stock Price]]+Table13567[[#This Row],[Expense Ratio]]</f>
        <v>1.3607845353755711E-2</v>
      </c>
      <c r="M26" s="68">
        <f>(Table13567[[#This Row],[Expected Return]]-Table13567[[#This Row],[Tcosts]])*Table13567[[#This Row],[Investment]]</f>
        <v>535320.34704998811</v>
      </c>
      <c r="Q26" s="13" t="s">
        <v>189</v>
      </c>
    </row>
    <row r="27" spans="1:20" ht="15.6" x14ac:dyDescent="0.3">
      <c r="A27" s="77" t="s">
        <v>67</v>
      </c>
      <c r="B27" s="73" t="s">
        <v>68</v>
      </c>
      <c r="C27" s="73">
        <v>48.26</v>
      </c>
      <c r="D27" s="73" t="s">
        <v>69</v>
      </c>
      <c r="E27" s="75">
        <v>8.2000000000000007E-3</v>
      </c>
      <c r="F27" s="73">
        <v>3.58</v>
      </c>
      <c r="G27" s="78">
        <v>469470000</v>
      </c>
      <c r="H27" s="3" t="b">
        <f t="shared" si="0"/>
        <v>1</v>
      </c>
      <c r="I27" s="26">
        <f>Table13567[[#This Row],[Tech]]*$T$7+Table13567[[#This Row],[Beta]]*($T$6-$T$8)+$T$8</f>
        <v>0.36408800000000002</v>
      </c>
      <c r="J27" s="64">
        <f>0</f>
        <v>0</v>
      </c>
      <c r="K27" s="61">
        <f>Table13567[[#This Row],[Investment]]/Table13567[[#This Row],[Dollar Volume]]</f>
        <v>0</v>
      </c>
      <c r="L27" s="34">
        <f>IFERROR(MAX($T$11+$T$12*LN(Table13567[[#This Row],[Frac ADV]]),0),0)*0.0001+0.005/Table13567[[#This Row],[Stock Price]]+Table13567[[#This Row],[Expense Ratio]]</f>
        <v>8.3036054703688363E-3</v>
      </c>
      <c r="M27" s="68">
        <f>(Table13567[[#This Row],[Expected Return]]-Table13567[[#This Row],[Tcosts]])*Table13567[[#This Row],[Investment]]</f>
        <v>0</v>
      </c>
      <c r="Q27" s="16" t="s">
        <v>193</v>
      </c>
    </row>
    <row r="28" spans="1:20" ht="15.6" x14ac:dyDescent="0.3">
      <c r="A28" s="77" t="s">
        <v>174</v>
      </c>
      <c r="B28" s="73" t="s">
        <v>175</v>
      </c>
      <c r="C28" s="73">
        <v>386.83</v>
      </c>
      <c r="D28" s="73" t="s">
        <v>176</v>
      </c>
      <c r="E28" s="75">
        <v>5.0000000000000001E-4</v>
      </c>
      <c r="F28" s="73">
        <v>1.27</v>
      </c>
      <c r="G28" s="78">
        <v>381360000</v>
      </c>
      <c r="H28" s="3" t="b">
        <f t="shared" si="0"/>
        <v>0</v>
      </c>
      <c r="I28" s="26">
        <f>Table13567[[#This Row],[Tech]]*$T$7+Table13567[[#This Row],[Beta]]*($T$6-$T$8)+$T$8</f>
        <v>0.11717200000000001</v>
      </c>
      <c r="J28" s="64">
        <f>0</f>
        <v>0</v>
      </c>
      <c r="K28" s="61">
        <f>Table13567[[#This Row],[Investment]]/Table13567[[#This Row],[Dollar Volume]]</f>
        <v>0</v>
      </c>
      <c r="L28" s="34">
        <f>IFERROR(MAX($T$11+$T$12*LN(Table13567[[#This Row],[Frac ADV]]),0),0)*0.0001+0.005/Table13567[[#This Row],[Stock Price]]+Table13567[[#This Row],[Expense Ratio]]</f>
        <v>5.129255745417884E-4</v>
      </c>
      <c r="M28" s="68">
        <f>(Table13567[[#This Row],[Expected Return]]-Table13567[[#This Row],[Tcosts]])*Table13567[[#This Row],[Investment]]</f>
        <v>0</v>
      </c>
      <c r="Q28" s="13" t="s">
        <v>197</v>
      </c>
    </row>
    <row r="29" spans="1:20" ht="15.6" x14ac:dyDescent="0.3">
      <c r="A29" s="79" t="s">
        <v>316</v>
      </c>
      <c r="B29" s="74" t="s">
        <v>317</v>
      </c>
      <c r="C29" s="74">
        <v>131.08000000000001</v>
      </c>
      <c r="D29" s="74" t="s">
        <v>318</v>
      </c>
      <c r="E29" s="76">
        <v>8.9999999999999998E-4</v>
      </c>
      <c r="F29" s="74">
        <v>0.98</v>
      </c>
      <c r="G29" s="78">
        <v>862900000</v>
      </c>
      <c r="H29" s="3" t="b">
        <f t="shared" si="0"/>
        <v>0</v>
      </c>
      <c r="I29" s="26">
        <f>Table13567[[#This Row],[Tech]]*$T$7+Table13567[[#This Row],[Beta]]*($T$6-$T$8)+$T$8</f>
        <v>9.872800000000001E-2</v>
      </c>
      <c r="J29" s="64">
        <f>0</f>
        <v>0</v>
      </c>
      <c r="K29" s="61">
        <f>Table13567[[#This Row],[Investment]]/Table13567[[#This Row],[Dollar Volume]]</f>
        <v>0</v>
      </c>
      <c r="L29" s="34">
        <f>IFERROR(MAX($T$11+$T$12*LN(Table13567[[#This Row],[Frac ADV]]),0),0)*0.0001+0.005/Table13567[[#This Row],[Stock Price]]+Table13567[[#This Row],[Expense Ratio]]</f>
        <v>9.3814464449191331E-4</v>
      </c>
      <c r="M29" s="68">
        <f>(Table13567[[#This Row],[Expected Return]]-Table13567[[#This Row],[Tcosts]])*Table13567[[#This Row],[Investment]]</f>
        <v>0</v>
      </c>
      <c r="Q29" s="16" t="s">
        <v>201</v>
      </c>
    </row>
    <row r="30" spans="1:20" ht="15.6" x14ac:dyDescent="0.3">
      <c r="A30" s="79" t="s">
        <v>328</v>
      </c>
      <c r="B30" s="74" t="s">
        <v>329</v>
      </c>
      <c r="C30" s="74">
        <v>147.88999999999999</v>
      </c>
      <c r="D30" s="74" t="s">
        <v>330</v>
      </c>
      <c r="E30" s="76">
        <v>1.5E-3</v>
      </c>
      <c r="F30" s="74">
        <v>1</v>
      </c>
      <c r="G30" s="78">
        <v>736290000</v>
      </c>
      <c r="H30" s="3" t="b">
        <f t="shared" si="0"/>
        <v>0</v>
      </c>
      <c r="I30" s="26">
        <f>Table13567[[#This Row],[Tech]]*$T$7+Table13567[[#This Row],[Beta]]*($T$6-$T$8)+$T$8</f>
        <v>0.1</v>
      </c>
      <c r="J30" s="64">
        <f>0</f>
        <v>0</v>
      </c>
      <c r="K30" s="61">
        <f>Table13567[[#This Row],[Investment]]/Table13567[[#This Row],[Dollar Volume]]</f>
        <v>0</v>
      </c>
      <c r="L30" s="34">
        <f>IFERROR(MAX($T$11+$T$12*LN(Table13567[[#This Row],[Frac ADV]]),0),0)*0.0001+0.005/Table13567[[#This Row],[Stock Price]]+Table13567[[#This Row],[Expense Ratio]]</f>
        <v>1.5338089120292108E-3</v>
      </c>
      <c r="M30" s="68">
        <f>(Table13567[[#This Row],[Expected Return]]-Table13567[[#This Row],[Tcosts]])*Table13567[[#This Row],[Investment]]</f>
        <v>0</v>
      </c>
      <c r="Q30" s="13" t="s">
        <v>205</v>
      </c>
    </row>
    <row r="31" spans="1:20" ht="15.6" x14ac:dyDescent="0.3">
      <c r="A31" s="77" t="s">
        <v>249</v>
      </c>
      <c r="B31" s="73" t="s">
        <v>250</v>
      </c>
      <c r="C31" s="73">
        <v>313</v>
      </c>
      <c r="D31" s="73" t="s">
        <v>251</v>
      </c>
      <c r="E31" s="75">
        <v>2.9999999999999997E-4</v>
      </c>
      <c r="F31" s="73">
        <v>1.01</v>
      </c>
      <c r="G31" s="78">
        <v>434610000</v>
      </c>
      <c r="H31" s="3" t="b">
        <f t="shared" si="0"/>
        <v>0</v>
      </c>
      <c r="I31" s="26">
        <f>Table13567[[#This Row],[Tech]]*$T$7+Table13567[[#This Row],[Beta]]*($T$6-$T$8)+$T$8</f>
        <v>0.100636</v>
      </c>
      <c r="J31" s="64">
        <f>0</f>
        <v>0</v>
      </c>
      <c r="K31" s="61">
        <f>Table13567[[#This Row],[Investment]]/Table13567[[#This Row],[Dollar Volume]]</f>
        <v>0</v>
      </c>
      <c r="L31" s="34">
        <f>IFERROR(MAX($T$11+$T$12*LN(Table13567[[#This Row],[Frac ADV]]),0),0)*0.0001+0.005/Table13567[[#This Row],[Stock Price]]+Table13567[[#This Row],[Expense Ratio]]</f>
        <v>3.1597444089456869E-4</v>
      </c>
      <c r="M31" s="68">
        <f>(Table13567[[#This Row],[Expected Return]]-Table13567[[#This Row],[Tcosts]])*Table13567[[#This Row],[Investment]]</f>
        <v>0</v>
      </c>
      <c r="Q31" s="16" t="s">
        <v>209</v>
      </c>
    </row>
    <row r="32" spans="1:20" ht="15.6" x14ac:dyDescent="0.3">
      <c r="A32" s="77" t="s">
        <v>127</v>
      </c>
      <c r="B32" s="73" t="s">
        <v>128</v>
      </c>
      <c r="C32" s="73">
        <v>57.44</v>
      </c>
      <c r="D32" s="73" t="s">
        <v>129</v>
      </c>
      <c r="E32" s="75">
        <v>3.5000000000000001E-3</v>
      </c>
      <c r="F32" s="73">
        <v>0.95</v>
      </c>
      <c r="G32" s="78">
        <v>236140000</v>
      </c>
      <c r="H32" s="3" t="b">
        <f t="shared" si="0"/>
        <v>1</v>
      </c>
      <c r="I32" s="26">
        <f>Table13567[[#This Row],[Tech]]*$T$7+Table13567[[#This Row],[Beta]]*($T$6-$T$8)+$T$8</f>
        <v>0.19681999999999999</v>
      </c>
      <c r="J32" s="64">
        <f>0</f>
        <v>0</v>
      </c>
      <c r="K32" s="61">
        <f>Table13567[[#This Row],[Investment]]/Table13567[[#This Row],[Dollar Volume]]</f>
        <v>0</v>
      </c>
      <c r="L32" s="34">
        <f>IFERROR(MAX($T$11+$T$12*LN(Table13567[[#This Row],[Frac ADV]]),0),0)*0.0001+0.005/Table13567[[#This Row],[Stock Price]]+Table13567[[#This Row],[Expense Ratio]]</f>
        <v>3.5870473537604457E-3</v>
      </c>
      <c r="M32" s="68">
        <f>(Table13567[[#This Row],[Expected Return]]-Table13567[[#This Row],[Tcosts]])*Table13567[[#This Row],[Investment]]</f>
        <v>0</v>
      </c>
      <c r="Q32" s="13" t="s">
        <v>213</v>
      </c>
    </row>
    <row r="33" spans="1:17" ht="15.6" x14ac:dyDescent="0.3">
      <c r="A33" s="77" t="s">
        <v>241</v>
      </c>
      <c r="B33" s="73" t="s">
        <v>242</v>
      </c>
      <c r="C33" s="73">
        <v>626.49</v>
      </c>
      <c r="D33" s="73" t="s">
        <v>243</v>
      </c>
      <c r="E33" s="75">
        <v>2.9999999999999997E-4</v>
      </c>
      <c r="F33" s="73">
        <v>0.99</v>
      </c>
      <c r="G33" s="78">
        <v>456530000</v>
      </c>
      <c r="H33" s="3" t="b">
        <f t="shared" si="0"/>
        <v>0</v>
      </c>
      <c r="I33" s="26">
        <f>Table13567[[#This Row],[Tech]]*$T$7+Table13567[[#This Row],[Beta]]*($T$6-$T$8)+$T$8</f>
        <v>9.9364000000000008E-2</v>
      </c>
      <c r="J33" s="64">
        <f>0</f>
        <v>0</v>
      </c>
      <c r="K33" s="61">
        <f>Table13567[[#This Row],[Investment]]/Table13567[[#This Row],[Dollar Volume]]</f>
        <v>0</v>
      </c>
      <c r="L33" s="34">
        <f>IFERROR(MAX($T$11+$T$12*LN(Table13567[[#This Row],[Frac ADV]]),0),0)*0.0001+0.005/Table13567[[#This Row],[Stock Price]]+Table13567[[#This Row],[Expense Ratio]]</f>
        <v>3.079809733595109E-4</v>
      </c>
      <c r="M33" s="68">
        <f>(Table13567[[#This Row],[Expected Return]]-Table13567[[#This Row],[Tcosts]])*Table13567[[#This Row],[Investment]]</f>
        <v>0</v>
      </c>
      <c r="Q33" s="16" t="s">
        <v>217</v>
      </c>
    </row>
    <row r="34" spans="1:17" ht="15.6" x14ac:dyDescent="0.3">
      <c r="A34" s="77" t="s">
        <v>194</v>
      </c>
      <c r="B34" s="73" t="s">
        <v>195</v>
      </c>
      <c r="C34" s="73">
        <v>115.5</v>
      </c>
      <c r="D34" s="73" t="s">
        <v>196</v>
      </c>
      <c r="E34" s="75">
        <v>5.9999999999999995E-4</v>
      </c>
      <c r="F34" s="73">
        <v>1.22</v>
      </c>
      <c r="G34" s="78">
        <v>192260000</v>
      </c>
      <c r="H34" s="3" t="b">
        <f t="shared" ref="H34:H65" si="1">OR(
  ISNUMBER(SEARCH("technology",B34)),
  ISNUMBER(SEARCH("tech",B34)),
  ISNUMBER(SEARCH("qqq",B34)),
  ISNUMBER(SEARCH("semiconductor",B34)),
  ISNUMBER(SEARCH("information technology",B34)),
  ISNUMBER(SEARCH("nasdaq",B34)),
  ISNUMBER(SEARCH("communication",B34))
)</f>
        <v>0</v>
      </c>
      <c r="I34" s="26">
        <f>Table13567[[#This Row],[Tech]]*$T$7+Table13567[[#This Row],[Beta]]*($T$6-$T$8)+$T$8</f>
        <v>0.11399200000000001</v>
      </c>
      <c r="J34" s="64">
        <f>0</f>
        <v>0</v>
      </c>
      <c r="K34" s="61">
        <f>Table13567[[#This Row],[Investment]]/Table13567[[#This Row],[Dollar Volume]]</f>
        <v>0</v>
      </c>
      <c r="L34" s="34">
        <f>IFERROR(MAX($T$11+$T$12*LN(Table13567[[#This Row],[Frac ADV]]),0),0)*0.0001+0.005/Table13567[[#This Row],[Stock Price]]+Table13567[[#This Row],[Expense Ratio]]</f>
        <v>6.4329004329004324E-4</v>
      </c>
      <c r="M34" s="68">
        <f>(Table13567[[#This Row],[Expected Return]]-Table13567[[#This Row],[Tcosts]])*Table13567[[#This Row],[Investment]]</f>
        <v>0</v>
      </c>
      <c r="Q34" s="13" t="s">
        <v>221</v>
      </c>
    </row>
    <row r="35" spans="1:17" ht="15.6" x14ac:dyDescent="0.3">
      <c r="A35" s="79" t="s">
        <v>380</v>
      </c>
      <c r="B35" s="74" t="s">
        <v>381</v>
      </c>
      <c r="C35" s="74">
        <v>259.54000000000002</v>
      </c>
      <c r="D35" s="74" t="s">
        <v>382</v>
      </c>
      <c r="E35" s="76">
        <v>1.9E-3</v>
      </c>
      <c r="F35" s="74">
        <v>0.98</v>
      </c>
      <c r="G35" s="78">
        <v>582850000</v>
      </c>
      <c r="H35" s="3" t="b">
        <f t="shared" si="1"/>
        <v>0</v>
      </c>
      <c r="I35" s="26">
        <f>Table13567[[#This Row],[Tech]]*$T$7+Table13567[[#This Row],[Beta]]*($T$6-$T$8)+$T$8</f>
        <v>9.872800000000001E-2</v>
      </c>
      <c r="J35" s="64">
        <f>0</f>
        <v>0</v>
      </c>
      <c r="K35" s="61">
        <f>Table13567[[#This Row],[Investment]]/Table13567[[#This Row],[Dollar Volume]]</f>
        <v>0</v>
      </c>
      <c r="L35" s="34">
        <f>IFERROR(MAX($T$11+$T$12*LN(Table13567[[#This Row],[Frac ADV]]),0),0)*0.0001+0.005/Table13567[[#This Row],[Stock Price]]+Table13567[[#This Row],[Expense Ratio]]</f>
        <v>1.9192648532018186E-3</v>
      </c>
      <c r="M35" s="68">
        <f>(Table13567[[#This Row],[Expected Return]]-Table13567[[#This Row],[Tcosts]])*Table13567[[#This Row],[Investment]]</f>
        <v>0</v>
      </c>
      <c r="Q35" s="16" t="s">
        <v>110</v>
      </c>
    </row>
    <row r="36" spans="1:17" ht="15.6" x14ac:dyDescent="0.3">
      <c r="A36" s="79" t="s">
        <v>178</v>
      </c>
      <c r="B36" s="74" t="s">
        <v>179</v>
      </c>
      <c r="C36" s="74">
        <v>103.45</v>
      </c>
      <c r="D36" s="74" t="s">
        <v>180</v>
      </c>
      <c r="E36" s="76">
        <v>4.0000000000000002E-4</v>
      </c>
      <c r="F36" s="74">
        <v>1.21</v>
      </c>
      <c r="G36" s="78">
        <v>159840000</v>
      </c>
      <c r="H36" s="3" t="b">
        <f t="shared" si="1"/>
        <v>0</v>
      </c>
      <c r="I36" s="26">
        <f>Table13567[[#This Row],[Tech]]*$T$7+Table13567[[#This Row],[Beta]]*($T$6-$T$8)+$T$8</f>
        <v>0.113356</v>
      </c>
      <c r="J36" s="64">
        <f>0</f>
        <v>0</v>
      </c>
      <c r="K36" s="61">
        <f>Table13567[[#This Row],[Investment]]/Table13567[[#This Row],[Dollar Volume]]</f>
        <v>0</v>
      </c>
      <c r="L36" s="34">
        <f>IFERROR(MAX($T$11+$T$12*LN(Table13567[[#This Row],[Frac ADV]]),0),0)*0.0001+0.005/Table13567[[#This Row],[Stock Price]]+Table13567[[#This Row],[Expense Ratio]]</f>
        <v>4.483325277912035E-4</v>
      </c>
      <c r="M36" s="68">
        <f>(Table13567[[#This Row],[Expected Return]]-Table13567[[#This Row],[Tcosts]])*Table13567[[#This Row],[Investment]]</f>
        <v>0</v>
      </c>
      <c r="Q36" s="13" t="s">
        <v>228</v>
      </c>
    </row>
    <row r="37" spans="1:17" ht="15.6" x14ac:dyDescent="0.3">
      <c r="A37" s="79" t="s">
        <v>388</v>
      </c>
      <c r="B37" s="74" t="s">
        <v>389</v>
      </c>
      <c r="C37" s="74">
        <v>100.56</v>
      </c>
      <c r="D37" s="74" t="s">
        <v>390</v>
      </c>
      <c r="E37" s="76">
        <v>1.8E-3</v>
      </c>
      <c r="F37" s="74">
        <v>0.87</v>
      </c>
      <c r="G37" s="78">
        <v>1800000000</v>
      </c>
      <c r="H37" s="3" t="b">
        <f t="shared" si="1"/>
        <v>0</v>
      </c>
      <c r="I37" s="26">
        <f>Table13567[[#This Row],[Tech]]*$T$7+Table13567[[#This Row],[Beta]]*($T$6-$T$8)+$T$8</f>
        <v>9.1732000000000008E-2</v>
      </c>
      <c r="J37" s="64">
        <f>0</f>
        <v>0</v>
      </c>
      <c r="K37" s="61">
        <f>Table13567[[#This Row],[Investment]]/Table13567[[#This Row],[Dollar Volume]]</f>
        <v>0</v>
      </c>
      <c r="L37" s="34">
        <f>IFERROR(MAX($T$11+$T$12*LN(Table13567[[#This Row],[Frac ADV]]),0),0)*0.0001+0.005/Table13567[[#This Row],[Stock Price]]+Table13567[[#This Row],[Expense Ratio]]</f>
        <v>1.8497215592680985E-3</v>
      </c>
      <c r="M37" s="68">
        <f>(Table13567[[#This Row],[Expected Return]]-Table13567[[#This Row],[Tcosts]])*Table13567[[#This Row],[Investment]]</f>
        <v>0</v>
      </c>
      <c r="Q37" s="16" t="s">
        <v>232</v>
      </c>
    </row>
    <row r="38" spans="1:17" ht="15.6" x14ac:dyDescent="0.3">
      <c r="A38" s="79" t="s">
        <v>170</v>
      </c>
      <c r="B38" s="74" t="s">
        <v>171</v>
      </c>
      <c r="C38" s="74">
        <v>50.4</v>
      </c>
      <c r="D38" s="74" t="s">
        <v>172</v>
      </c>
      <c r="E38" s="76">
        <v>2.9999999999999997E-4</v>
      </c>
      <c r="F38" s="74">
        <v>0.92</v>
      </c>
      <c r="G38" s="78">
        <v>722110000</v>
      </c>
      <c r="H38" s="3" t="b">
        <f t="shared" si="1"/>
        <v>0</v>
      </c>
      <c r="I38" s="26">
        <f>Table13567[[#This Row],[Tech]]*$T$7+Table13567[[#This Row],[Beta]]*($T$6-$T$8)+$T$8</f>
        <v>9.491200000000001E-2</v>
      </c>
      <c r="J38" s="64">
        <f>0</f>
        <v>0</v>
      </c>
      <c r="K38" s="61">
        <f>Table13567[[#This Row],[Investment]]/Table13567[[#This Row],[Dollar Volume]]</f>
        <v>0</v>
      </c>
      <c r="L38" s="34">
        <f>IFERROR(MAX($T$11+$T$12*LN(Table13567[[#This Row],[Frac ADV]]),0),0)*0.0001+0.005/Table13567[[#This Row],[Stock Price]]+Table13567[[#This Row],[Expense Ratio]]</f>
        <v>3.9920634920634921E-4</v>
      </c>
      <c r="M38" s="68">
        <f>(Table13567[[#This Row],[Expected Return]]-Table13567[[#This Row],[Tcosts]])*Table13567[[#This Row],[Investment]]</f>
        <v>0</v>
      </c>
      <c r="Q38" s="13" t="s">
        <v>236</v>
      </c>
    </row>
    <row r="39" spans="1:17" ht="15.6" x14ac:dyDescent="0.3">
      <c r="A39" s="77" t="s">
        <v>296</v>
      </c>
      <c r="B39" s="73" t="s">
        <v>297</v>
      </c>
      <c r="C39" s="73">
        <v>331.12</v>
      </c>
      <c r="D39" s="73" t="s">
        <v>298</v>
      </c>
      <c r="E39" s="75">
        <v>2.3999999999999998E-3</v>
      </c>
      <c r="F39" s="73">
        <v>1.07</v>
      </c>
      <c r="G39" s="78">
        <v>209970000</v>
      </c>
      <c r="H39" s="3" t="b">
        <f t="shared" si="1"/>
        <v>0</v>
      </c>
      <c r="I39" s="26">
        <f>Table13567[[#This Row],[Tech]]*$T$7+Table13567[[#This Row],[Beta]]*($T$6-$T$8)+$T$8</f>
        <v>0.104452</v>
      </c>
      <c r="J39" s="64">
        <f>0</f>
        <v>0</v>
      </c>
      <c r="K39" s="61">
        <f>Table13567[[#This Row],[Investment]]/Table13567[[#This Row],[Dollar Volume]]</f>
        <v>0</v>
      </c>
      <c r="L39" s="34">
        <f>IFERROR(MAX($T$11+$T$12*LN(Table13567[[#This Row],[Frac ADV]]),0),0)*0.0001+0.005/Table13567[[#This Row],[Stock Price]]+Table13567[[#This Row],[Expense Ratio]]</f>
        <v>2.4151002657646771E-3</v>
      </c>
      <c r="M39" s="68">
        <f>(Table13567[[#This Row],[Expected Return]]-Table13567[[#This Row],[Tcosts]])*Table13567[[#This Row],[Investment]]</f>
        <v>0</v>
      </c>
      <c r="Q39" s="16" t="s">
        <v>240</v>
      </c>
    </row>
    <row r="40" spans="1:17" ht="15.6" x14ac:dyDescent="0.3">
      <c r="A40" s="79" t="s">
        <v>229</v>
      </c>
      <c r="B40" s="74" t="s">
        <v>230</v>
      </c>
      <c r="C40" s="74">
        <v>684.33</v>
      </c>
      <c r="D40" s="74" t="s">
        <v>231</v>
      </c>
      <c r="E40" s="76">
        <v>2.9999999999999997E-4</v>
      </c>
      <c r="F40" s="74">
        <v>1</v>
      </c>
      <c r="G40" s="78">
        <v>267780000</v>
      </c>
      <c r="H40" s="3" t="b">
        <f t="shared" si="1"/>
        <v>0</v>
      </c>
      <c r="I40" s="26">
        <f>Table13567[[#This Row],[Tech]]*$T$7+Table13567[[#This Row],[Beta]]*($T$6-$T$8)+$T$8</f>
        <v>0.1</v>
      </c>
      <c r="J40" s="64">
        <f>0</f>
        <v>0</v>
      </c>
      <c r="K40" s="61">
        <f>Table13567[[#This Row],[Investment]]/Table13567[[#This Row],[Dollar Volume]]</f>
        <v>0</v>
      </c>
      <c r="L40" s="34">
        <f>IFERROR(MAX($T$11+$T$12*LN(Table13567[[#This Row],[Frac ADV]]),0),0)*0.0001+0.005/Table13567[[#This Row],[Stock Price]]+Table13567[[#This Row],[Expense Ratio]]</f>
        <v>3.0730641649496588E-4</v>
      </c>
      <c r="M40" s="68">
        <f>(Table13567[[#This Row],[Expected Return]]-Table13567[[#This Row],[Tcosts]])*Table13567[[#This Row],[Investment]]</f>
        <v>0</v>
      </c>
      <c r="Q40" s="13" t="s">
        <v>244</v>
      </c>
    </row>
    <row r="41" spans="1:17" ht="15.6" x14ac:dyDescent="0.3">
      <c r="A41" s="79" t="s">
        <v>404</v>
      </c>
      <c r="B41" s="74" t="s">
        <v>405</v>
      </c>
      <c r="C41" s="74">
        <v>70.540000000000006</v>
      </c>
      <c r="D41" s="74" t="s">
        <v>406</v>
      </c>
      <c r="E41" s="76">
        <v>5.0000000000000001E-4</v>
      </c>
      <c r="F41" s="74">
        <v>0.88</v>
      </c>
      <c r="G41" s="78">
        <v>968150000</v>
      </c>
      <c r="H41" s="3" t="b">
        <f t="shared" si="1"/>
        <v>0</v>
      </c>
      <c r="I41" s="26">
        <f>Table13567[[#This Row],[Tech]]*$T$7+Table13567[[#This Row],[Beta]]*($T$6-$T$8)+$T$8</f>
        <v>9.2368000000000006E-2</v>
      </c>
      <c r="J41" s="64">
        <f>0</f>
        <v>0</v>
      </c>
      <c r="K41" s="61">
        <f>Table13567[[#This Row],[Investment]]/Table13567[[#This Row],[Dollar Volume]]</f>
        <v>0</v>
      </c>
      <c r="L41" s="34">
        <f>IFERROR(MAX($T$11+$T$12*LN(Table13567[[#This Row],[Frac ADV]]),0),0)*0.0001+0.005/Table13567[[#This Row],[Stock Price]]+Table13567[[#This Row],[Expense Ratio]]</f>
        <v>5.7088176920895941E-4</v>
      </c>
      <c r="M41" s="68">
        <f>(Table13567[[#This Row],[Expected Return]]-Table13567[[#This Row],[Tcosts]])*Table13567[[#This Row],[Investment]]</f>
        <v>0</v>
      </c>
      <c r="Q41" s="16" t="s">
        <v>248</v>
      </c>
    </row>
    <row r="42" spans="1:17" ht="15.6" x14ac:dyDescent="0.3">
      <c r="A42" s="77" t="s">
        <v>472</v>
      </c>
      <c r="B42" s="73" t="s">
        <v>473</v>
      </c>
      <c r="C42" s="73">
        <v>93.37</v>
      </c>
      <c r="D42" s="73" t="s">
        <v>474</v>
      </c>
      <c r="E42" s="75">
        <v>4.8999999999999998E-3</v>
      </c>
      <c r="F42" s="73">
        <v>0.87</v>
      </c>
      <c r="G42" s="78">
        <v>1220000000</v>
      </c>
      <c r="H42" s="3" t="b">
        <f t="shared" si="1"/>
        <v>0</v>
      </c>
      <c r="I42" s="26">
        <f>Table13567[[#This Row],[Tech]]*$T$7+Table13567[[#This Row],[Beta]]*($T$6-$T$8)+$T$8</f>
        <v>9.1732000000000008E-2</v>
      </c>
      <c r="J42" s="64">
        <f>0</f>
        <v>0</v>
      </c>
      <c r="K42" s="61">
        <f>Table13567[[#This Row],[Investment]]/Table13567[[#This Row],[Dollar Volume]]</f>
        <v>0</v>
      </c>
      <c r="L42" s="34">
        <f>IFERROR(MAX($T$11+$T$12*LN(Table13567[[#This Row],[Frac ADV]]),0),0)*0.0001+0.005/Table13567[[#This Row],[Stock Price]]+Table13567[[#This Row],[Expense Ratio]]</f>
        <v>4.9535503909178538E-3</v>
      </c>
      <c r="M42" s="68">
        <f>(Table13567[[#This Row],[Expected Return]]-Table13567[[#This Row],[Tcosts]])*Table13567[[#This Row],[Investment]]</f>
        <v>0</v>
      </c>
      <c r="Q42" s="13" t="s">
        <v>252</v>
      </c>
    </row>
    <row r="43" spans="1:17" ht="15.6" x14ac:dyDescent="0.3">
      <c r="A43" s="77" t="s">
        <v>273</v>
      </c>
      <c r="B43" s="73" t="s">
        <v>274</v>
      </c>
      <c r="C43" s="73">
        <v>51.69</v>
      </c>
      <c r="D43" s="73" t="s">
        <v>275</v>
      </c>
      <c r="E43" s="75">
        <v>8.0000000000000004E-4</v>
      </c>
      <c r="F43" s="73">
        <v>0.94</v>
      </c>
      <c r="G43" s="78">
        <v>379340000</v>
      </c>
      <c r="H43" s="3" t="b">
        <f t="shared" si="1"/>
        <v>0</v>
      </c>
      <c r="I43" s="26">
        <f>Table13567[[#This Row],[Tech]]*$T$7+Table13567[[#This Row],[Beta]]*($T$6-$T$8)+$T$8</f>
        <v>9.6183999999999992E-2</v>
      </c>
      <c r="J43" s="64">
        <f>0</f>
        <v>0</v>
      </c>
      <c r="K43" s="61">
        <f>Table13567[[#This Row],[Investment]]/Table13567[[#This Row],[Dollar Volume]]</f>
        <v>0</v>
      </c>
      <c r="L43" s="34">
        <f>IFERROR(MAX($T$11+$T$12*LN(Table13567[[#This Row],[Frac ADV]]),0),0)*0.0001+0.005/Table13567[[#This Row],[Stock Price]]+Table13567[[#This Row],[Expense Ratio]]</f>
        <v>8.9673050880247638E-4</v>
      </c>
      <c r="M43" s="68">
        <f>(Table13567[[#This Row],[Expected Return]]-Table13567[[#This Row],[Tcosts]])*Table13567[[#This Row],[Investment]]</f>
        <v>0</v>
      </c>
      <c r="Q43" s="16" t="s">
        <v>256</v>
      </c>
    </row>
    <row r="44" spans="1:17" ht="15.6" x14ac:dyDescent="0.3">
      <c r="A44" s="77" t="s">
        <v>428</v>
      </c>
      <c r="B44" s="73" t="s">
        <v>429</v>
      </c>
      <c r="C44" s="73">
        <v>74.87</v>
      </c>
      <c r="D44" s="73" t="s">
        <v>430</v>
      </c>
      <c r="E44" s="75">
        <v>2.7000000000000001E-3</v>
      </c>
      <c r="F44" s="73">
        <v>0.92</v>
      </c>
      <c r="G44" s="78">
        <v>341000000</v>
      </c>
      <c r="H44" s="3" t="b">
        <f t="shared" si="1"/>
        <v>0</v>
      </c>
      <c r="I44" s="26">
        <f>Table13567[[#This Row],[Tech]]*$T$7+Table13567[[#This Row],[Beta]]*($T$6-$T$8)+$T$8</f>
        <v>9.491200000000001E-2</v>
      </c>
      <c r="J44" s="64">
        <f>0</f>
        <v>0</v>
      </c>
      <c r="K44" s="61">
        <f>Table13567[[#This Row],[Investment]]/Table13567[[#This Row],[Dollar Volume]]</f>
        <v>0</v>
      </c>
      <c r="L44" s="34">
        <f>IFERROR(MAX($T$11+$T$12*LN(Table13567[[#This Row],[Frac ADV]]),0),0)*0.0001+0.005/Table13567[[#This Row],[Stock Price]]+Table13567[[#This Row],[Expense Ratio]]</f>
        <v>2.7667824228663016E-3</v>
      </c>
      <c r="M44" s="68">
        <f>(Table13567[[#This Row],[Expected Return]]-Table13567[[#This Row],[Tcosts]])*Table13567[[#This Row],[Investment]]</f>
        <v>0</v>
      </c>
      <c r="Q44" s="13" t="s">
        <v>260</v>
      </c>
    </row>
    <row r="45" spans="1:17" ht="15.6" x14ac:dyDescent="0.3">
      <c r="A45" s="77" t="s">
        <v>519</v>
      </c>
      <c r="B45" s="73" t="s">
        <v>520</v>
      </c>
      <c r="C45" s="73">
        <v>76.209999999999994</v>
      </c>
      <c r="D45" s="73" t="s">
        <v>521</v>
      </c>
      <c r="E45" s="75">
        <v>1.9E-3</v>
      </c>
      <c r="F45" s="73">
        <v>0.83</v>
      </c>
      <c r="G45" s="78">
        <v>1070000000</v>
      </c>
      <c r="H45" s="3" t="b">
        <f t="shared" si="1"/>
        <v>0</v>
      </c>
      <c r="I45" s="26">
        <f>Table13567[[#This Row],[Tech]]*$T$7+Table13567[[#This Row],[Beta]]*($T$6-$T$8)+$T$8</f>
        <v>8.9188000000000003E-2</v>
      </c>
      <c r="J45" s="64">
        <f>0</f>
        <v>0</v>
      </c>
      <c r="K45" s="61">
        <f>Table13567[[#This Row],[Investment]]/Table13567[[#This Row],[Dollar Volume]]</f>
        <v>0</v>
      </c>
      <c r="L45" s="34">
        <f>IFERROR(MAX($T$11+$T$12*LN(Table13567[[#This Row],[Frac ADV]]),0),0)*0.0001+0.005/Table13567[[#This Row],[Stock Price]]+Table13567[[#This Row],[Expense Ratio]]</f>
        <v>1.9656081879018501E-3</v>
      </c>
      <c r="M45" s="68">
        <f>(Table13567[[#This Row],[Expected Return]]-Table13567[[#This Row],[Tcosts]])*Table13567[[#This Row],[Investment]]</f>
        <v>0</v>
      </c>
      <c r="Q45" s="16" t="s">
        <v>264</v>
      </c>
    </row>
    <row r="46" spans="1:17" ht="15.6" x14ac:dyDescent="0.3">
      <c r="A46" s="79" t="s">
        <v>360</v>
      </c>
      <c r="B46" s="74" t="s">
        <v>361</v>
      </c>
      <c r="C46" s="73">
        <v>92.51</v>
      </c>
      <c r="D46" s="74" t="s">
        <v>362</v>
      </c>
      <c r="E46" s="76">
        <v>1.5E-3</v>
      </c>
      <c r="F46" s="74">
        <v>0.86</v>
      </c>
      <c r="G46" s="78">
        <v>480430000</v>
      </c>
      <c r="H46" s="3" t="b">
        <f t="shared" si="1"/>
        <v>0</v>
      </c>
      <c r="I46" s="26">
        <f>Table13567[[#This Row],[Tech]]*$T$7+Table13567[[#This Row],[Beta]]*($T$6-$T$8)+$T$8</f>
        <v>9.109600000000001E-2</v>
      </c>
      <c r="J46" s="64">
        <f>0</f>
        <v>0</v>
      </c>
      <c r="K46" s="61">
        <f>Table13567[[#This Row],[Investment]]/Table13567[[#This Row],[Dollar Volume]]</f>
        <v>0</v>
      </c>
      <c r="L46" s="34">
        <f>IFERROR(MAX($T$11+$T$12*LN(Table13567[[#This Row],[Frac ADV]]),0),0)*0.0001+0.005/Table13567[[#This Row],[Stock Price]]+Table13567[[#This Row],[Expense Ratio]]</f>
        <v>1.5540482110042158E-3</v>
      </c>
      <c r="M46" s="68">
        <f>(Table13567[[#This Row],[Expected Return]]-Table13567[[#This Row],[Tcosts]])*Table13567[[#This Row],[Investment]]</f>
        <v>0</v>
      </c>
      <c r="Q46" s="13" t="s">
        <v>268</v>
      </c>
    </row>
    <row r="47" spans="1:17" ht="15.6" x14ac:dyDescent="0.3">
      <c r="A47" s="79" t="s">
        <v>599</v>
      </c>
      <c r="B47" s="74" t="s">
        <v>600</v>
      </c>
      <c r="C47" s="74">
        <v>63.52</v>
      </c>
      <c r="D47" s="74" t="s">
        <v>322</v>
      </c>
      <c r="E47" s="76">
        <v>4.8999999999999998E-3</v>
      </c>
      <c r="F47" s="74">
        <v>0.8</v>
      </c>
      <c r="G47" s="78">
        <v>1780000000</v>
      </c>
      <c r="H47" s="3" t="b">
        <f t="shared" si="1"/>
        <v>0</v>
      </c>
      <c r="I47" s="26">
        <f>Table13567[[#This Row],[Tech]]*$T$7+Table13567[[#This Row],[Beta]]*($T$6-$T$8)+$T$8</f>
        <v>8.728000000000001E-2</v>
      </c>
      <c r="J47" s="64">
        <f>0</f>
        <v>0</v>
      </c>
      <c r="K47" s="61">
        <f>Table13567[[#This Row],[Investment]]/Table13567[[#This Row],[Dollar Volume]]</f>
        <v>0</v>
      </c>
      <c r="L47" s="34">
        <f>IFERROR(MAX($T$11+$T$12*LN(Table13567[[#This Row],[Frac ADV]]),0),0)*0.0001+0.005/Table13567[[#This Row],[Stock Price]]+Table13567[[#This Row],[Expense Ratio]]</f>
        <v>4.9787153652392944E-3</v>
      </c>
      <c r="M47" s="68">
        <f>(Table13567[[#This Row],[Expected Return]]-Table13567[[#This Row],[Tcosts]])*Table13567[[#This Row],[Investment]]</f>
        <v>0</v>
      </c>
      <c r="Q47" s="16" t="s">
        <v>272</v>
      </c>
    </row>
    <row r="48" spans="1:17" ht="15.6" x14ac:dyDescent="0.3">
      <c r="A48" s="77" t="s">
        <v>340</v>
      </c>
      <c r="B48" s="73" t="s">
        <v>341</v>
      </c>
      <c r="C48" s="73">
        <v>65.73</v>
      </c>
      <c r="D48" s="73" t="s">
        <v>342</v>
      </c>
      <c r="E48" s="75">
        <v>2.8E-3</v>
      </c>
      <c r="F48" s="73">
        <v>0.9</v>
      </c>
      <c r="G48" s="78">
        <v>309820000</v>
      </c>
      <c r="H48" s="3" t="b">
        <f t="shared" si="1"/>
        <v>0</v>
      </c>
      <c r="I48" s="26">
        <f>Table13567[[#This Row],[Tech]]*$T$7+Table13567[[#This Row],[Beta]]*($T$6-$T$8)+$T$8</f>
        <v>9.3640000000000001E-2</v>
      </c>
      <c r="J48" s="64">
        <f>0</f>
        <v>0</v>
      </c>
      <c r="K48" s="61">
        <f>Table13567[[#This Row],[Investment]]/Table13567[[#This Row],[Dollar Volume]]</f>
        <v>0</v>
      </c>
      <c r="L48" s="34">
        <f>IFERROR(MAX($T$11+$T$12*LN(Table13567[[#This Row],[Frac ADV]]),0),0)*0.0001+0.005/Table13567[[#This Row],[Stock Price]]+Table13567[[#This Row],[Expense Ratio]]</f>
        <v>2.8760687661646129E-3</v>
      </c>
      <c r="M48" s="68">
        <f>(Table13567[[#This Row],[Expected Return]]-Table13567[[#This Row],[Tcosts]])*Table13567[[#This Row],[Investment]]</f>
        <v>0</v>
      </c>
      <c r="Q48" s="13" t="s">
        <v>276</v>
      </c>
    </row>
    <row r="49" spans="1:17" ht="15.6" x14ac:dyDescent="0.3">
      <c r="A49" s="79" t="s">
        <v>348</v>
      </c>
      <c r="B49" s="74" t="s">
        <v>349</v>
      </c>
      <c r="C49" s="74">
        <v>92.24</v>
      </c>
      <c r="D49" s="74" t="s">
        <v>350</v>
      </c>
      <c r="E49" s="76">
        <v>6.9999999999999999E-4</v>
      </c>
      <c r="F49" s="74">
        <v>0.71</v>
      </c>
      <c r="G49" s="78">
        <v>2080000000</v>
      </c>
      <c r="H49" s="3" t="b">
        <f t="shared" si="1"/>
        <v>0</v>
      </c>
      <c r="I49" s="26">
        <f>Table13567[[#This Row],[Tech]]*$T$7+Table13567[[#This Row],[Beta]]*($T$6-$T$8)+$T$8</f>
        <v>8.1556000000000003E-2</v>
      </c>
      <c r="J49" s="64">
        <f>0</f>
        <v>0</v>
      </c>
      <c r="K49" s="61">
        <f>Table13567[[#This Row],[Investment]]/Table13567[[#This Row],[Dollar Volume]]</f>
        <v>0</v>
      </c>
      <c r="L49" s="34">
        <f>IFERROR(MAX($T$11+$T$12*LN(Table13567[[#This Row],[Frac ADV]]),0),0)*0.0001+0.005/Table13567[[#This Row],[Stock Price]]+Table13567[[#This Row],[Expense Ratio]]</f>
        <v>7.5420641803989588E-4</v>
      </c>
      <c r="M49" s="68">
        <f>(Table13567[[#This Row],[Expected Return]]-Table13567[[#This Row],[Tcosts]])*Table13567[[#This Row],[Investment]]</f>
        <v>0</v>
      </c>
      <c r="Q49" s="16" t="s">
        <v>280</v>
      </c>
    </row>
    <row r="50" spans="1:17" ht="15.6" x14ac:dyDescent="0.3">
      <c r="A50" s="79" t="s">
        <v>547</v>
      </c>
      <c r="B50" s="74" t="s">
        <v>548</v>
      </c>
      <c r="C50" s="74">
        <v>74.650000000000006</v>
      </c>
      <c r="D50" s="74" t="s">
        <v>549</v>
      </c>
      <c r="E50" s="76">
        <v>8.9999999999999998E-4</v>
      </c>
      <c r="F50" s="74">
        <v>0.7</v>
      </c>
      <c r="G50" s="78">
        <v>1800000000</v>
      </c>
      <c r="H50" s="3" t="b">
        <f t="shared" si="1"/>
        <v>0</v>
      </c>
      <c r="I50" s="26">
        <f>Table13567[[#This Row],[Tech]]*$T$7+Table13567[[#This Row],[Beta]]*($T$6-$T$8)+$T$8</f>
        <v>8.0919999999999992E-2</v>
      </c>
      <c r="J50" s="64">
        <f>0</f>
        <v>0</v>
      </c>
      <c r="K50" s="61">
        <f>Table13567[[#This Row],[Investment]]/Table13567[[#This Row],[Dollar Volume]]</f>
        <v>0</v>
      </c>
      <c r="L50" s="34">
        <f>IFERROR(MAX($T$11+$T$12*LN(Table13567[[#This Row],[Frac ADV]]),0),0)*0.0001+0.005/Table13567[[#This Row],[Stock Price]]+Table13567[[#This Row],[Expense Ratio]]</f>
        <v>9.6697923643670461E-4</v>
      </c>
      <c r="M50" s="68">
        <f>(Table13567[[#This Row],[Expected Return]]-Table13567[[#This Row],[Tcosts]])*Table13567[[#This Row],[Investment]]</f>
        <v>0</v>
      </c>
      <c r="Q50" s="13" t="s">
        <v>284</v>
      </c>
    </row>
    <row r="51" spans="1:17" ht="15.6" x14ac:dyDescent="0.3">
      <c r="A51" s="79" t="s">
        <v>571</v>
      </c>
      <c r="B51" s="74" t="s">
        <v>572</v>
      </c>
      <c r="C51" s="74">
        <v>49.94</v>
      </c>
      <c r="D51" s="74" t="s">
        <v>573</v>
      </c>
      <c r="E51" s="76">
        <v>2.0999999999999999E-3</v>
      </c>
      <c r="F51" s="74">
        <v>0.82</v>
      </c>
      <c r="G51" s="78">
        <v>618730000</v>
      </c>
      <c r="H51" s="3" t="b">
        <f t="shared" si="1"/>
        <v>0</v>
      </c>
      <c r="I51" s="26">
        <f>Table13567[[#This Row],[Tech]]*$T$7+Table13567[[#This Row],[Beta]]*($T$6-$T$8)+$T$8</f>
        <v>8.8551999999999992E-2</v>
      </c>
      <c r="J51" s="64">
        <f>0</f>
        <v>0</v>
      </c>
      <c r="K51" s="61">
        <f>Table13567[[#This Row],[Investment]]/Table13567[[#This Row],[Dollar Volume]]</f>
        <v>0</v>
      </c>
      <c r="L51" s="34">
        <f>IFERROR(MAX($T$11+$T$12*LN(Table13567[[#This Row],[Frac ADV]]),0),0)*0.0001+0.005/Table13567[[#This Row],[Stock Price]]+Table13567[[#This Row],[Expense Ratio]]</f>
        <v>2.2001201441730076E-3</v>
      </c>
      <c r="M51" s="68">
        <f>(Table13567[[#This Row],[Expected Return]]-Table13567[[#This Row],[Tcosts]])*Table13567[[#This Row],[Investment]]</f>
        <v>0</v>
      </c>
      <c r="Q51" s="16" t="s">
        <v>288</v>
      </c>
    </row>
    <row r="52" spans="1:17" ht="15.6" x14ac:dyDescent="0.3">
      <c r="A52" s="79" t="s">
        <v>265</v>
      </c>
      <c r="B52" s="74" t="s">
        <v>266</v>
      </c>
      <c r="C52" s="74">
        <v>116.13</v>
      </c>
      <c r="D52" s="86" t="s">
        <v>267</v>
      </c>
      <c r="E52" s="76">
        <v>8.0000000000000004E-4</v>
      </c>
      <c r="F52" s="74">
        <v>1.08</v>
      </c>
      <c r="G52" s="78">
        <v>575520000</v>
      </c>
      <c r="H52" s="3" t="b">
        <f t="shared" si="1"/>
        <v>0</v>
      </c>
      <c r="I52" s="26">
        <f>Table13567[[#This Row],[Tech]]*$T$7+Table13567[[#This Row],[Beta]]*($T$6-$T$8)+$T$8</f>
        <v>0.10508800000000001</v>
      </c>
      <c r="J52" s="64">
        <f>0</f>
        <v>0</v>
      </c>
      <c r="K52" s="61">
        <f>Table13567[[#This Row],[Investment]]/Table13567[[#This Row],[Dollar Volume]]</f>
        <v>0</v>
      </c>
      <c r="L52" s="34">
        <f>IFERROR(MAX($T$11+$T$12*LN(Table13567[[#This Row],[Frac ADV]]),0),0)*0.0001+0.005/Table13567[[#This Row],[Stock Price]]+Table13567[[#This Row],[Expense Ratio]]</f>
        <v>8.4305519676224929E-4</v>
      </c>
      <c r="M52" s="68">
        <f>(Table13567[[#This Row],[Expected Return]]-Table13567[[#This Row],[Tcosts]])*Table13567[[#This Row],[Investment]]</f>
        <v>0</v>
      </c>
      <c r="Q52" s="13" t="s">
        <v>292</v>
      </c>
    </row>
    <row r="53" spans="1:17" ht="15.6" x14ac:dyDescent="0.3">
      <c r="A53" s="79" t="s">
        <v>372</v>
      </c>
      <c r="B53" s="74" t="s">
        <v>373</v>
      </c>
      <c r="C53" s="74">
        <v>54.63</v>
      </c>
      <c r="D53" s="86" t="s">
        <v>374</v>
      </c>
      <c r="E53" s="76">
        <v>4.7000000000000002E-3</v>
      </c>
      <c r="F53" s="74">
        <v>1</v>
      </c>
      <c r="G53" s="78">
        <v>556260000</v>
      </c>
      <c r="H53" s="3" t="b">
        <f t="shared" si="1"/>
        <v>0</v>
      </c>
      <c r="I53" s="26">
        <f>Table13567[[#This Row],[Tech]]*$T$7+Table13567[[#This Row],[Beta]]*($T$6-$T$8)+$T$8</f>
        <v>0.1</v>
      </c>
      <c r="J53" s="64">
        <f>0</f>
        <v>0</v>
      </c>
      <c r="K53" s="61">
        <f>Table13567[[#This Row],[Investment]]/Table13567[[#This Row],[Dollar Volume]]</f>
        <v>0</v>
      </c>
      <c r="L53" s="34">
        <f>IFERROR(MAX($T$11+$T$12*LN(Table13567[[#This Row],[Frac ADV]]),0),0)*0.0001+0.005/Table13567[[#This Row],[Stock Price]]+Table13567[[#This Row],[Expense Ratio]]</f>
        <v>4.7915248032216733E-3</v>
      </c>
      <c r="M53" s="68">
        <f>(Table13567[[#This Row],[Expected Return]]-Table13567[[#This Row],[Tcosts]])*Table13567[[#This Row],[Investment]]</f>
        <v>0</v>
      </c>
      <c r="Q53" s="16" t="s">
        <v>181</v>
      </c>
    </row>
    <row r="54" spans="1:17" ht="15.6" x14ac:dyDescent="0.3">
      <c r="A54" s="79" t="s">
        <v>182</v>
      </c>
      <c r="B54" s="74" t="s">
        <v>183</v>
      </c>
      <c r="C54" s="74">
        <v>335.05</v>
      </c>
      <c r="D54" s="86" t="s">
        <v>184</v>
      </c>
      <c r="E54" s="76">
        <v>2E-3</v>
      </c>
      <c r="F54" s="74">
        <v>1.08</v>
      </c>
      <c r="G54" s="78">
        <v>516090000</v>
      </c>
      <c r="H54" s="3" t="b">
        <f t="shared" si="1"/>
        <v>0</v>
      </c>
      <c r="I54" s="26">
        <f>Table13567[[#This Row],[Tech]]*$T$7+Table13567[[#This Row],[Beta]]*($T$6-$T$8)+$T$8</f>
        <v>0.10508800000000001</v>
      </c>
      <c r="J54" s="64">
        <f>0</f>
        <v>0</v>
      </c>
      <c r="K54" s="61">
        <f>Table13567[[#This Row],[Investment]]/Table13567[[#This Row],[Dollar Volume]]</f>
        <v>0</v>
      </c>
      <c r="L54" s="34">
        <f>IFERROR(MAX($T$11+$T$12*LN(Table13567[[#This Row],[Frac ADV]]),0),0)*0.0001+0.005/Table13567[[#This Row],[Stock Price]]+Table13567[[#This Row],[Expense Ratio]]</f>
        <v>2.0149231457991345E-3</v>
      </c>
      <c r="M54" s="68">
        <f>(Table13567[[#This Row],[Expected Return]]-Table13567[[#This Row],[Tcosts]])*Table13567[[#This Row],[Investment]]</f>
        <v>0</v>
      </c>
      <c r="Q54" s="13" t="s">
        <v>299</v>
      </c>
    </row>
    <row r="55" spans="1:17" ht="15.6" x14ac:dyDescent="0.3">
      <c r="A55" s="79" t="s">
        <v>107</v>
      </c>
      <c r="B55" s="74" t="s">
        <v>108</v>
      </c>
      <c r="C55" s="74">
        <v>190.79</v>
      </c>
      <c r="D55" s="86" t="s">
        <v>109</v>
      </c>
      <c r="E55" s="76">
        <v>3.8E-3</v>
      </c>
      <c r="F55" s="74">
        <v>1.43</v>
      </c>
      <c r="G55" s="78">
        <v>480430000</v>
      </c>
      <c r="H55" s="3" t="b">
        <f t="shared" si="1"/>
        <v>1</v>
      </c>
      <c r="I55" s="26">
        <f>Table13567[[#This Row],[Tech]]*$T$7+Table13567[[#This Row],[Beta]]*($T$6-$T$8)+$T$8</f>
        <v>0.22734799999999999</v>
      </c>
      <c r="J55" s="64">
        <f>0</f>
        <v>0</v>
      </c>
      <c r="K55" s="61">
        <f>Table13567[[#This Row],[Investment]]/Table13567[[#This Row],[Dollar Volume]]</f>
        <v>0</v>
      </c>
      <c r="L55" s="34">
        <f>IFERROR(MAX($T$11+$T$12*LN(Table13567[[#This Row],[Frac ADV]]),0),0)*0.0001+0.005/Table13567[[#This Row],[Stock Price]]+Table13567[[#This Row],[Expense Ratio]]</f>
        <v>3.8262068242570367E-3</v>
      </c>
      <c r="M55" s="68">
        <f>(Table13567[[#This Row],[Expected Return]]-Table13567[[#This Row],[Tcosts]])*Table13567[[#This Row],[Investment]]</f>
        <v>0</v>
      </c>
      <c r="Q55" s="16" t="s">
        <v>303</v>
      </c>
    </row>
    <row r="56" spans="1:17" ht="15.6" x14ac:dyDescent="0.3">
      <c r="A56" s="77" t="s">
        <v>384</v>
      </c>
      <c r="B56" s="73" t="s">
        <v>385</v>
      </c>
      <c r="C56" s="73">
        <v>40.65</v>
      </c>
      <c r="D56" s="85" t="s">
        <v>386</v>
      </c>
      <c r="E56" s="75">
        <v>1.6999999999999999E-3</v>
      </c>
      <c r="F56" s="73">
        <v>0.95</v>
      </c>
      <c r="G56" s="78">
        <v>469470000</v>
      </c>
      <c r="H56" s="3" t="b">
        <f t="shared" si="1"/>
        <v>0</v>
      </c>
      <c r="I56" s="26">
        <f>Table13567[[#This Row],[Tech]]*$T$7+Table13567[[#This Row],[Beta]]*($T$6-$T$8)+$T$8</f>
        <v>9.6820000000000003E-2</v>
      </c>
      <c r="J56" s="64">
        <f>0</f>
        <v>0</v>
      </c>
      <c r="K56" s="61">
        <f>Table13567[[#This Row],[Investment]]/Table13567[[#This Row],[Dollar Volume]]</f>
        <v>0</v>
      </c>
      <c r="L56" s="34">
        <f>IFERROR(MAX($T$11+$T$12*LN(Table13567[[#This Row],[Frac ADV]]),0),0)*0.0001+0.005/Table13567[[#This Row],[Stock Price]]+Table13567[[#This Row],[Expense Ratio]]</f>
        <v>1.8230012300123001E-3</v>
      </c>
      <c r="M56" s="68">
        <f>(Table13567[[#This Row],[Expected Return]]-Table13567[[#This Row],[Tcosts]])*Table13567[[#This Row],[Investment]]</f>
        <v>0</v>
      </c>
      <c r="Q56" s="13" t="s">
        <v>307</v>
      </c>
    </row>
    <row r="57" spans="1:17" ht="15.6" x14ac:dyDescent="0.3">
      <c r="A57" s="79" t="s">
        <v>460</v>
      </c>
      <c r="B57" s="74" t="s">
        <v>461</v>
      </c>
      <c r="C57" s="74">
        <v>228.98</v>
      </c>
      <c r="D57" s="86" t="s">
        <v>462</v>
      </c>
      <c r="E57" s="76">
        <v>5.0000000000000001E-4</v>
      </c>
      <c r="F57" s="74">
        <v>0.84</v>
      </c>
      <c r="G57" s="78">
        <v>456530000</v>
      </c>
      <c r="H57" s="3" t="b">
        <f t="shared" si="1"/>
        <v>0</v>
      </c>
      <c r="I57" s="26">
        <f>Table13567[[#This Row],[Tech]]*$T$7+Table13567[[#This Row],[Beta]]*($T$6-$T$8)+$T$8</f>
        <v>8.9824000000000001E-2</v>
      </c>
      <c r="J57" s="64">
        <f>0</f>
        <v>0</v>
      </c>
      <c r="K57" s="61">
        <f>Table13567[[#This Row],[Investment]]/Table13567[[#This Row],[Dollar Volume]]</f>
        <v>0</v>
      </c>
      <c r="L57" s="34">
        <f>IFERROR(MAX($T$11+$T$12*LN(Table13567[[#This Row],[Frac ADV]]),0),0)*0.0001+0.005/Table13567[[#This Row],[Stock Price]]+Table13567[[#This Row],[Expense Ratio]]</f>
        <v>5.2183596820683026E-4</v>
      </c>
      <c r="M57" s="68">
        <f>(Table13567[[#This Row],[Expected Return]]-Table13567[[#This Row],[Tcosts]])*Table13567[[#This Row],[Investment]]</f>
        <v>0</v>
      </c>
      <c r="Q57" s="16" t="s">
        <v>311</v>
      </c>
    </row>
    <row r="58" spans="1:17" ht="15.6" x14ac:dyDescent="0.3">
      <c r="A58" s="79" t="s">
        <v>135</v>
      </c>
      <c r="B58" s="74" t="s">
        <v>136</v>
      </c>
      <c r="C58" s="74">
        <v>430.93</v>
      </c>
      <c r="D58" s="86" t="s">
        <v>137</v>
      </c>
      <c r="E58" s="76">
        <v>6.9999999999999999E-4</v>
      </c>
      <c r="F58" s="74">
        <v>1.21</v>
      </c>
      <c r="G58" s="78">
        <v>434610000</v>
      </c>
      <c r="H58" s="3" t="b">
        <f t="shared" si="1"/>
        <v>0</v>
      </c>
      <c r="I58" s="26">
        <f>Table13567[[#This Row],[Tech]]*$T$7+Table13567[[#This Row],[Beta]]*($T$6-$T$8)+$T$8</f>
        <v>0.113356</v>
      </c>
      <c r="J58" s="64">
        <f>0</f>
        <v>0</v>
      </c>
      <c r="K58" s="61">
        <f>Table13567[[#This Row],[Investment]]/Table13567[[#This Row],[Dollar Volume]]</f>
        <v>0</v>
      </c>
      <c r="L58" s="34">
        <f>IFERROR(MAX($T$11+$T$12*LN(Table13567[[#This Row],[Frac ADV]]),0),0)*0.0001+0.005/Table13567[[#This Row],[Stock Price]]+Table13567[[#This Row],[Expense Ratio]]</f>
        <v>7.1160281252175526E-4</v>
      </c>
      <c r="M58" s="68">
        <f>(Table13567[[#This Row],[Expected Return]]-Table13567[[#This Row],[Tcosts]])*Table13567[[#This Row],[Investment]]</f>
        <v>0</v>
      </c>
      <c r="Q58" s="13" t="s">
        <v>315</v>
      </c>
    </row>
    <row r="59" spans="1:17" ht="15.6" x14ac:dyDescent="0.3">
      <c r="A59" s="77" t="s">
        <v>165</v>
      </c>
      <c r="B59" s="73" t="s">
        <v>166</v>
      </c>
      <c r="C59" s="73">
        <v>42.54</v>
      </c>
      <c r="D59" s="85" t="s">
        <v>167</v>
      </c>
      <c r="E59" s="75">
        <v>3.8999999999999998E-3</v>
      </c>
      <c r="F59" s="73">
        <v>1.22</v>
      </c>
      <c r="G59" s="78">
        <v>416430000</v>
      </c>
      <c r="H59" s="3" t="b">
        <f t="shared" si="1"/>
        <v>0</v>
      </c>
      <c r="I59" s="26">
        <f>Table13567[[#This Row],[Tech]]*$T$7+Table13567[[#This Row],[Beta]]*($T$6-$T$8)+$T$8</f>
        <v>0.11399200000000001</v>
      </c>
      <c r="J59" s="64">
        <f>0</f>
        <v>0</v>
      </c>
      <c r="K59" s="61">
        <f>Table13567[[#This Row],[Investment]]/Table13567[[#This Row],[Dollar Volume]]</f>
        <v>0</v>
      </c>
      <c r="L59" s="34">
        <f>IFERROR(MAX($T$11+$T$12*LN(Table13567[[#This Row],[Frac ADV]]),0),0)*0.0001+0.005/Table13567[[#This Row],[Stock Price]]+Table13567[[#This Row],[Expense Ratio]]</f>
        <v>4.0175364362952512E-3</v>
      </c>
      <c r="M59" s="68">
        <f>(Table13567[[#This Row],[Expected Return]]-Table13567[[#This Row],[Tcosts]])*Table13567[[#This Row],[Investment]]</f>
        <v>0</v>
      </c>
      <c r="Q59" s="16" t="s">
        <v>319</v>
      </c>
    </row>
    <row r="60" spans="1:17" ht="15.6" x14ac:dyDescent="0.3">
      <c r="A60" s="79" t="s">
        <v>304</v>
      </c>
      <c r="B60" s="74" t="s">
        <v>305</v>
      </c>
      <c r="C60" s="74">
        <v>200.79</v>
      </c>
      <c r="D60" s="86" t="s">
        <v>306</v>
      </c>
      <c r="E60" s="76">
        <v>2E-3</v>
      </c>
      <c r="F60" s="74">
        <v>0.78</v>
      </c>
      <c r="G60" s="78">
        <v>384710000</v>
      </c>
      <c r="H60" s="3" t="b">
        <f t="shared" si="1"/>
        <v>0</v>
      </c>
      <c r="I60" s="26">
        <f>Table13567[[#This Row],[Tech]]*$T$7+Table13567[[#This Row],[Beta]]*($T$6-$T$8)+$T$8</f>
        <v>8.6008000000000001E-2</v>
      </c>
      <c r="J60" s="64">
        <f>0</f>
        <v>0</v>
      </c>
      <c r="K60" s="61">
        <f>Table13567[[#This Row],[Investment]]/Table13567[[#This Row],[Dollar Volume]]</f>
        <v>0</v>
      </c>
      <c r="L60" s="34">
        <f>IFERROR(MAX($T$11+$T$12*LN(Table13567[[#This Row],[Frac ADV]]),0),0)*0.0001+0.005/Table13567[[#This Row],[Stock Price]]+Table13567[[#This Row],[Expense Ratio]]</f>
        <v>2.0249016385278152E-3</v>
      </c>
      <c r="M60" s="68">
        <f>(Table13567[[#This Row],[Expected Return]]-Table13567[[#This Row],[Tcosts]])*Table13567[[#This Row],[Investment]]</f>
        <v>0</v>
      </c>
      <c r="Q60" s="13" t="s">
        <v>323</v>
      </c>
    </row>
    <row r="61" spans="1:17" ht="15.6" x14ac:dyDescent="0.3">
      <c r="A61" s="77" t="s">
        <v>237</v>
      </c>
      <c r="B61" s="73" t="s">
        <v>238</v>
      </c>
      <c r="C61" s="73">
        <v>57.24</v>
      </c>
      <c r="D61" s="85" t="s">
        <v>239</v>
      </c>
      <c r="E61" s="75">
        <v>2E-3</v>
      </c>
      <c r="F61" s="73">
        <v>1.1100000000000001</v>
      </c>
      <c r="G61" s="78">
        <v>381360000</v>
      </c>
      <c r="H61" s="3" t="b">
        <f t="shared" si="1"/>
        <v>0</v>
      </c>
      <c r="I61" s="26">
        <f>Table13567[[#This Row],[Tech]]*$T$7+Table13567[[#This Row],[Beta]]*($T$6-$T$8)+$T$8</f>
        <v>0.10699600000000001</v>
      </c>
      <c r="J61" s="64">
        <f>0</f>
        <v>0</v>
      </c>
      <c r="K61" s="61">
        <f>Table13567[[#This Row],[Investment]]/Table13567[[#This Row],[Dollar Volume]]</f>
        <v>0</v>
      </c>
      <c r="L61" s="34">
        <f>IFERROR(MAX($T$11+$T$12*LN(Table13567[[#This Row],[Frac ADV]]),0),0)*0.0001+0.005/Table13567[[#This Row],[Stock Price]]+Table13567[[#This Row],[Expense Ratio]]</f>
        <v>2.0873515024458422E-3</v>
      </c>
      <c r="M61" s="68">
        <f>(Table13567[[#This Row],[Expected Return]]-Table13567[[#This Row],[Tcosts]])*Table13567[[#This Row],[Investment]]</f>
        <v>0</v>
      </c>
      <c r="Q61" s="16" t="s">
        <v>327</v>
      </c>
    </row>
    <row r="62" spans="1:17" ht="15.6" x14ac:dyDescent="0.3">
      <c r="A62" s="77" t="s">
        <v>488</v>
      </c>
      <c r="B62" s="73" t="s">
        <v>489</v>
      </c>
      <c r="C62" s="73">
        <v>71.34</v>
      </c>
      <c r="D62" s="85" t="s">
        <v>490</v>
      </c>
      <c r="E62" s="75">
        <v>4.7999999999999996E-3</v>
      </c>
      <c r="F62" s="73">
        <v>0.92</v>
      </c>
      <c r="G62" s="78">
        <v>379340000</v>
      </c>
      <c r="H62" s="3" t="b">
        <f t="shared" si="1"/>
        <v>0</v>
      </c>
      <c r="I62" s="26">
        <f>Table13567[[#This Row],[Tech]]*$T$7+Table13567[[#This Row],[Beta]]*($T$6-$T$8)+$T$8</f>
        <v>9.491200000000001E-2</v>
      </c>
      <c r="J62" s="64">
        <f>0</f>
        <v>0</v>
      </c>
      <c r="K62" s="61">
        <f>Table13567[[#This Row],[Investment]]/Table13567[[#This Row],[Dollar Volume]]</f>
        <v>0</v>
      </c>
      <c r="L62" s="34">
        <f>IFERROR(MAX($T$11+$T$12*LN(Table13567[[#This Row],[Frac ADV]]),0),0)*0.0001+0.005/Table13567[[#This Row],[Stock Price]]+Table13567[[#This Row],[Expense Ratio]]</f>
        <v>4.8700869077656292E-3</v>
      </c>
      <c r="M62" s="68">
        <f>(Table13567[[#This Row],[Expected Return]]-Table13567[[#This Row],[Tcosts]])*Table13567[[#This Row],[Investment]]</f>
        <v>0</v>
      </c>
      <c r="Q62" s="13" t="s">
        <v>331</v>
      </c>
    </row>
    <row r="63" spans="1:17" ht="15.6" x14ac:dyDescent="0.3">
      <c r="A63" s="79" t="s">
        <v>416</v>
      </c>
      <c r="B63" s="74" t="s">
        <v>417</v>
      </c>
      <c r="C63" s="74">
        <v>61.91</v>
      </c>
      <c r="D63" s="86" t="s">
        <v>418</v>
      </c>
      <c r="E63" s="76">
        <v>2.9999999999999997E-4</v>
      </c>
      <c r="F63" s="74">
        <v>0.87</v>
      </c>
      <c r="G63" s="78">
        <v>378650000</v>
      </c>
      <c r="H63" s="3" t="b">
        <f t="shared" si="1"/>
        <v>0</v>
      </c>
      <c r="I63" s="26">
        <f>Table13567[[#This Row],[Tech]]*$T$7+Table13567[[#This Row],[Beta]]*($T$6-$T$8)+$T$8</f>
        <v>9.1732000000000008E-2</v>
      </c>
      <c r="J63" s="64">
        <f>0</f>
        <v>0</v>
      </c>
      <c r="K63" s="61">
        <f>Table13567[[#This Row],[Investment]]/Table13567[[#This Row],[Dollar Volume]]</f>
        <v>0</v>
      </c>
      <c r="L63" s="34">
        <f>IFERROR(MAX($T$11+$T$12*LN(Table13567[[#This Row],[Frac ADV]]),0),0)*0.0001+0.005/Table13567[[#This Row],[Stock Price]]+Table13567[[#This Row],[Expense Ratio]]</f>
        <v>3.8076239702794376E-4</v>
      </c>
      <c r="M63" s="68">
        <f>(Table13567[[#This Row],[Expected Return]]-Table13567[[#This Row],[Tcosts]])*Table13567[[#This Row],[Investment]]</f>
        <v>0</v>
      </c>
      <c r="Q63" s="16" t="s">
        <v>335</v>
      </c>
    </row>
    <row r="64" spans="1:17" ht="15.6" x14ac:dyDescent="0.3">
      <c r="A64" s="77" t="s">
        <v>145</v>
      </c>
      <c r="B64" s="73" t="s">
        <v>146</v>
      </c>
      <c r="C64" s="73">
        <v>262.27</v>
      </c>
      <c r="D64" s="85" t="s">
        <v>147</v>
      </c>
      <c r="E64" s="75">
        <v>2E-3</v>
      </c>
      <c r="F64" s="73">
        <v>1.2</v>
      </c>
      <c r="G64" s="78">
        <v>377500000</v>
      </c>
      <c r="H64" s="3" t="b">
        <f t="shared" si="1"/>
        <v>0</v>
      </c>
      <c r="I64" s="26">
        <f>Table13567[[#This Row],[Tech]]*$T$7+Table13567[[#This Row],[Beta]]*($T$6-$T$8)+$T$8</f>
        <v>0.11272</v>
      </c>
      <c r="J64" s="64">
        <f>0</f>
        <v>0</v>
      </c>
      <c r="K64" s="61">
        <f>Table13567[[#This Row],[Investment]]/Table13567[[#This Row],[Dollar Volume]]</f>
        <v>0</v>
      </c>
      <c r="L64" s="34">
        <f>IFERROR(MAX($T$11+$T$12*LN(Table13567[[#This Row],[Frac ADV]]),0),0)*0.0001+0.005/Table13567[[#This Row],[Stock Price]]+Table13567[[#This Row],[Expense Ratio]]</f>
        <v>2.0190643230258896E-3</v>
      </c>
      <c r="M64" s="68">
        <f>(Table13567[[#This Row],[Expected Return]]-Table13567[[#This Row],[Tcosts]])*Table13567[[#This Row],[Investment]]</f>
        <v>0</v>
      </c>
      <c r="Q64" s="13" t="s">
        <v>339</v>
      </c>
    </row>
    <row r="65" spans="1:17" ht="15.6" x14ac:dyDescent="0.3">
      <c r="A65" s="77" t="s">
        <v>261</v>
      </c>
      <c r="B65" s="73" t="s">
        <v>262</v>
      </c>
      <c r="C65" s="73">
        <v>145.65</v>
      </c>
      <c r="D65" s="85" t="s">
        <v>263</v>
      </c>
      <c r="E65" s="75">
        <v>3.2000000000000002E-3</v>
      </c>
      <c r="F65" s="73">
        <v>0.89</v>
      </c>
      <c r="G65" s="78">
        <v>370860000</v>
      </c>
      <c r="H65" s="3" t="b">
        <f t="shared" si="1"/>
        <v>0</v>
      </c>
      <c r="I65" s="26">
        <f>Table13567[[#This Row],[Tech]]*$T$7+Table13567[[#This Row],[Beta]]*($T$6-$T$8)+$T$8</f>
        <v>9.3004000000000003E-2</v>
      </c>
      <c r="J65" s="64">
        <f>0</f>
        <v>0</v>
      </c>
      <c r="K65" s="61">
        <f>Table13567[[#This Row],[Investment]]/Table13567[[#This Row],[Dollar Volume]]</f>
        <v>0</v>
      </c>
      <c r="L65" s="34">
        <f>IFERROR(MAX($T$11+$T$12*LN(Table13567[[#This Row],[Frac ADV]]),0),0)*0.0001+0.005/Table13567[[#This Row],[Stock Price]]+Table13567[[#This Row],[Expense Ratio]]</f>
        <v>3.2343288705801582E-3</v>
      </c>
      <c r="M65" s="68">
        <f>(Table13567[[#This Row],[Expected Return]]-Table13567[[#This Row],[Tcosts]])*Table13567[[#This Row],[Investment]]</f>
        <v>0</v>
      </c>
      <c r="Q65" s="16" t="s">
        <v>343</v>
      </c>
    </row>
    <row r="66" spans="1:17" ht="15.6" x14ac:dyDescent="0.3">
      <c r="A66" s="77" t="s">
        <v>225</v>
      </c>
      <c r="B66" s="73" t="s">
        <v>226</v>
      </c>
      <c r="C66" s="73">
        <v>74.23</v>
      </c>
      <c r="D66" s="85" t="s">
        <v>227</v>
      </c>
      <c r="E66" s="75">
        <v>8.9999999999999998E-4</v>
      </c>
      <c r="F66" s="73">
        <v>1.01</v>
      </c>
      <c r="G66" s="78">
        <v>355810000</v>
      </c>
      <c r="H66" s="3" t="b">
        <f t="shared" ref="H66:H97" si="2">OR(
  ISNUMBER(SEARCH("technology",B66)),
  ISNUMBER(SEARCH("tech",B66)),
  ISNUMBER(SEARCH("qqq",B66)),
  ISNUMBER(SEARCH("semiconductor",B66)),
  ISNUMBER(SEARCH("information technology",B66)),
  ISNUMBER(SEARCH("nasdaq",B66)),
  ISNUMBER(SEARCH("communication",B66))
)</f>
        <v>0</v>
      </c>
      <c r="I66" s="26">
        <f>Table13567[[#This Row],[Tech]]*$T$7+Table13567[[#This Row],[Beta]]*($T$6-$T$8)+$T$8</f>
        <v>0.100636</v>
      </c>
      <c r="J66" s="64">
        <f>0</f>
        <v>0</v>
      </c>
      <c r="K66" s="61">
        <f>Table13567[[#This Row],[Investment]]/Table13567[[#This Row],[Dollar Volume]]</f>
        <v>0</v>
      </c>
      <c r="L66" s="34">
        <f>IFERROR(MAX($T$11+$T$12*LN(Table13567[[#This Row],[Frac ADV]]),0),0)*0.0001+0.005/Table13567[[#This Row],[Stock Price]]+Table13567[[#This Row],[Expense Ratio]]</f>
        <v>9.673582109659167E-4</v>
      </c>
      <c r="M66" s="68">
        <f>(Table13567[[#This Row],[Expected Return]]-Table13567[[#This Row],[Tcosts]])*Table13567[[#This Row],[Investment]]</f>
        <v>0</v>
      </c>
      <c r="Q66" s="13" t="s">
        <v>347</v>
      </c>
    </row>
    <row r="67" spans="1:17" ht="15.6" x14ac:dyDescent="0.3">
      <c r="A67" s="79" t="s">
        <v>476</v>
      </c>
      <c r="B67" s="74" t="s">
        <v>477</v>
      </c>
      <c r="C67" s="74">
        <v>45.29</v>
      </c>
      <c r="D67" s="86" t="s">
        <v>478</v>
      </c>
      <c r="E67" s="76">
        <v>3.3E-3</v>
      </c>
      <c r="F67" s="74">
        <v>0.88</v>
      </c>
      <c r="G67" s="78">
        <v>345320000</v>
      </c>
      <c r="H67" s="3" t="b">
        <f t="shared" si="2"/>
        <v>0</v>
      </c>
      <c r="I67" s="26">
        <f>Table13567[[#This Row],[Tech]]*$T$7+Table13567[[#This Row],[Beta]]*($T$6-$T$8)+$T$8</f>
        <v>9.2368000000000006E-2</v>
      </c>
      <c r="J67" s="64">
        <f>0</f>
        <v>0</v>
      </c>
      <c r="K67" s="61">
        <f>Table13567[[#This Row],[Investment]]/Table13567[[#This Row],[Dollar Volume]]</f>
        <v>0</v>
      </c>
      <c r="L67" s="34">
        <f>IFERROR(MAX($T$11+$T$12*LN(Table13567[[#This Row],[Frac ADV]]),0),0)*0.0001+0.005/Table13567[[#This Row],[Stock Price]]+Table13567[[#This Row],[Expense Ratio]]</f>
        <v>3.4103996467211304E-3</v>
      </c>
      <c r="M67" s="68">
        <f>(Table13567[[#This Row],[Expected Return]]-Table13567[[#This Row],[Tcosts]])*Table13567[[#This Row],[Investment]]</f>
        <v>0</v>
      </c>
      <c r="Q67" s="16" t="s">
        <v>351</v>
      </c>
    </row>
    <row r="68" spans="1:17" ht="15.6" x14ac:dyDescent="0.3">
      <c r="A68" s="77" t="s">
        <v>269</v>
      </c>
      <c r="B68" s="73" t="s">
        <v>270</v>
      </c>
      <c r="C68" s="73">
        <v>60.57</v>
      </c>
      <c r="D68" s="85" t="s">
        <v>271</v>
      </c>
      <c r="E68" s="75">
        <v>2.5999999999999999E-3</v>
      </c>
      <c r="F68" s="73">
        <v>1.03</v>
      </c>
      <c r="G68" s="78">
        <v>343900000</v>
      </c>
      <c r="H68" s="3" t="b">
        <f t="shared" si="2"/>
        <v>0</v>
      </c>
      <c r="I68" s="26">
        <f>Table13567[[#This Row],[Tech]]*$T$7+Table13567[[#This Row],[Beta]]*($T$6-$T$8)+$T$8</f>
        <v>0.10190800000000001</v>
      </c>
      <c r="J68" s="64">
        <f>0</f>
        <v>0</v>
      </c>
      <c r="K68" s="61">
        <f>Table13567[[#This Row],[Investment]]/Table13567[[#This Row],[Dollar Volume]]</f>
        <v>0</v>
      </c>
      <c r="L68" s="34">
        <f>IFERROR(MAX($T$11+$T$12*LN(Table13567[[#This Row],[Frac ADV]]),0),0)*0.0001+0.005/Table13567[[#This Row],[Stock Price]]+Table13567[[#This Row],[Expense Ratio]]</f>
        <v>2.6825491167244511E-3</v>
      </c>
      <c r="M68" s="68">
        <f>(Table13567[[#This Row],[Expected Return]]-Table13567[[#This Row],[Tcosts]])*Table13567[[#This Row],[Investment]]</f>
        <v>0</v>
      </c>
      <c r="Q68" s="13" t="s">
        <v>355</v>
      </c>
    </row>
    <row r="69" spans="1:17" ht="15.6" x14ac:dyDescent="0.3">
      <c r="A69" s="79" t="s">
        <v>119</v>
      </c>
      <c r="B69" s="74" t="s">
        <v>120</v>
      </c>
      <c r="C69" s="74">
        <v>247.32</v>
      </c>
      <c r="D69" s="86" t="s">
        <v>121</v>
      </c>
      <c r="E69" s="76">
        <v>1.5E-3</v>
      </c>
      <c r="F69" s="74">
        <v>1.21</v>
      </c>
      <c r="G69" s="78">
        <v>341000000</v>
      </c>
      <c r="H69" s="3" t="b">
        <f t="shared" si="2"/>
        <v>1</v>
      </c>
      <c r="I69" s="26">
        <f>Table13567[[#This Row],[Tech]]*$T$7+Table13567[[#This Row],[Beta]]*($T$6-$T$8)+$T$8</f>
        <v>0.21335599999999999</v>
      </c>
      <c r="J69" s="64">
        <f>0</f>
        <v>0</v>
      </c>
      <c r="K69" s="61">
        <f>Table13567[[#This Row],[Investment]]/Table13567[[#This Row],[Dollar Volume]]</f>
        <v>0</v>
      </c>
      <c r="L69" s="34">
        <f>IFERROR(MAX($T$11+$T$12*LN(Table13567[[#This Row],[Frac ADV]]),0),0)*0.0001+0.005/Table13567[[#This Row],[Stock Price]]+Table13567[[#This Row],[Expense Ratio]]</f>
        <v>1.5202167232734919E-3</v>
      </c>
      <c r="M69" s="68">
        <f>(Table13567[[#This Row],[Expected Return]]-Table13567[[#This Row],[Tcosts]])*Table13567[[#This Row],[Investment]]</f>
        <v>0</v>
      </c>
      <c r="Q69" s="16" t="s">
        <v>359</v>
      </c>
    </row>
    <row r="70" spans="1:17" ht="15.6" x14ac:dyDescent="0.3">
      <c r="A70" s="79" t="s">
        <v>440</v>
      </c>
      <c r="B70" s="74" t="s">
        <v>441</v>
      </c>
      <c r="C70" s="74">
        <v>644.5</v>
      </c>
      <c r="D70" s="86" t="s">
        <v>442</v>
      </c>
      <c r="E70" s="76">
        <v>2.3999999999999998E-3</v>
      </c>
      <c r="F70" s="74">
        <v>0.87</v>
      </c>
      <c r="G70" s="78">
        <v>323170000</v>
      </c>
      <c r="H70" s="3" t="b">
        <f t="shared" si="2"/>
        <v>0</v>
      </c>
      <c r="I70" s="26">
        <f>Table13567[[#This Row],[Tech]]*$T$7+Table13567[[#This Row],[Beta]]*($T$6-$T$8)+$T$8</f>
        <v>9.1732000000000008E-2</v>
      </c>
      <c r="J70" s="64">
        <f>0</f>
        <v>0</v>
      </c>
      <c r="K70" s="61">
        <f>Table13567[[#This Row],[Investment]]/Table13567[[#This Row],[Dollar Volume]]</f>
        <v>0</v>
      </c>
      <c r="L70" s="34">
        <f>IFERROR(MAX($T$11+$T$12*LN(Table13567[[#This Row],[Frac ADV]]),0),0)*0.0001+0.005/Table13567[[#This Row],[Stock Price]]+Table13567[[#This Row],[Expense Ratio]]</f>
        <v>2.407757951900698E-3</v>
      </c>
      <c r="M70" s="68">
        <f>(Table13567[[#This Row],[Expected Return]]-Table13567[[#This Row],[Tcosts]])*Table13567[[#This Row],[Investment]]</f>
        <v>0</v>
      </c>
      <c r="Q70" s="13" t="s">
        <v>363</v>
      </c>
    </row>
    <row r="71" spans="1:17" ht="15.6" x14ac:dyDescent="0.3">
      <c r="A71" s="77" t="s">
        <v>101</v>
      </c>
      <c r="B71" s="73" t="s">
        <v>102</v>
      </c>
      <c r="C71" s="73">
        <v>139.21</v>
      </c>
      <c r="D71" s="85" t="s">
        <v>103</v>
      </c>
      <c r="E71" s="75">
        <v>8.0000000000000004E-4</v>
      </c>
      <c r="F71" s="73">
        <v>1.41</v>
      </c>
      <c r="G71" s="78">
        <v>309820000</v>
      </c>
      <c r="H71" s="3" t="b">
        <f t="shared" si="2"/>
        <v>1</v>
      </c>
      <c r="I71" s="26">
        <f>Table13567[[#This Row],[Tech]]*$T$7+Table13567[[#This Row],[Beta]]*($T$6-$T$8)+$T$8</f>
        <v>0.226076</v>
      </c>
      <c r="J71" s="64">
        <f>0</f>
        <v>0</v>
      </c>
      <c r="K71" s="61">
        <f>Table13567[[#This Row],[Investment]]/Table13567[[#This Row],[Dollar Volume]]</f>
        <v>0</v>
      </c>
      <c r="L71" s="34">
        <f>IFERROR(MAX($T$11+$T$12*LN(Table13567[[#This Row],[Frac ADV]]),0),0)*0.0001+0.005/Table13567[[#This Row],[Stock Price]]+Table13567[[#This Row],[Expense Ratio]]</f>
        <v>8.3591695998850657E-4</v>
      </c>
      <c r="M71" s="68">
        <f>(Table13567[[#This Row],[Expected Return]]-Table13567[[#This Row],[Tcosts]])*Table13567[[#This Row],[Investment]]</f>
        <v>0</v>
      </c>
      <c r="Q71" s="16" t="s">
        <v>367</v>
      </c>
    </row>
    <row r="72" spans="1:17" ht="15.6" x14ac:dyDescent="0.3">
      <c r="A72" s="77" t="s">
        <v>253</v>
      </c>
      <c r="B72" s="73" t="s">
        <v>254</v>
      </c>
      <c r="C72" s="73">
        <v>26.85</v>
      </c>
      <c r="D72" s="85" t="s">
        <v>255</v>
      </c>
      <c r="E72" s="75">
        <v>2.9999999999999997E-4</v>
      </c>
      <c r="F72" s="73">
        <v>1.01</v>
      </c>
      <c r="G72" s="78">
        <v>301950000</v>
      </c>
      <c r="H72" s="3" t="b">
        <f t="shared" si="2"/>
        <v>0</v>
      </c>
      <c r="I72" s="26">
        <f>Table13567[[#This Row],[Tech]]*$T$7+Table13567[[#This Row],[Beta]]*($T$6-$T$8)+$T$8</f>
        <v>0.100636</v>
      </c>
      <c r="J72" s="64">
        <f>0</f>
        <v>0</v>
      </c>
      <c r="K72" s="61">
        <f>Table13567[[#This Row],[Investment]]/Table13567[[#This Row],[Dollar Volume]]</f>
        <v>0</v>
      </c>
      <c r="L72" s="34">
        <f>IFERROR(MAX($T$11+$T$12*LN(Table13567[[#This Row],[Frac ADV]]),0),0)*0.0001+0.005/Table13567[[#This Row],[Stock Price]]+Table13567[[#This Row],[Expense Ratio]]</f>
        <v>4.8621973929236493E-4</v>
      </c>
      <c r="M72" s="68">
        <f>(Table13567[[#This Row],[Expected Return]]-Table13567[[#This Row],[Tcosts]])*Table13567[[#This Row],[Investment]]</f>
        <v>0</v>
      </c>
      <c r="Q72" s="13" t="s">
        <v>371</v>
      </c>
    </row>
    <row r="73" spans="1:17" ht="15.6" x14ac:dyDescent="0.3">
      <c r="A73" s="79" t="s">
        <v>392</v>
      </c>
      <c r="B73" s="74" t="s">
        <v>393</v>
      </c>
      <c r="C73" s="74">
        <v>32.200000000000003</v>
      </c>
      <c r="D73" s="86" t="s">
        <v>394</v>
      </c>
      <c r="E73" s="76">
        <v>4.0000000000000002E-4</v>
      </c>
      <c r="F73" s="74">
        <v>0.92</v>
      </c>
      <c r="G73" s="78">
        <v>292390000</v>
      </c>
      <c r="H73" s="3" t="b">
        <f t="shared" si="2"/>
        <v>0</v>
      </c>
      <c r="I73" s="26">
        <f>Table13567[[#This Row],[Tech]]*$T$7+Table13567[[#This Row],[Beta]]*($T$6-$T$8)+$T$8</f>
        <v>9.491200000000001E-2</v>
      </c>
      <c r="J73" s="64">
        <f>0</f>
        <v>0</v>
      </c>
      <c r="K73" s="61">
        <f>Table13567[[#This Row],[Investment]]/Table13567[[#This Row],[Dollar Volume]]</f>
        <v>0</v>
      </c>
      <c r="L73" s="34">
        <f>IFERROR(MAX($T$11+$T$12*LN(Table13567[[#This Row],[Frac ADV]]),0),0)*0.0001+0.005/Table13567[[#This Row],[Stock Price]]+Table13567[[#This Row],[Expense Ratio]]</f>
        <v>5.5527950310559006E-4</v>
      </c>
      <c r="M73" s="68">
        <f>(Table13567[[#This Row],[Expected Return]]-Table13567[[#This Row],[Tcosts]])*Table13567[[#This Row],[Investment]]</f>
        <v>0</v>
      </c>
      <c r="Q73" s="16" t="s">
        <v>375</v>
      </c>
    </row>
    <row r="74" spans="1:17" ht="15.6" x14ac:dyDescent="0.3">
      <c r="A74" s="79" t="s">
        <v>155</v>
      </c>
      <c r="B74" s="74" t="s">
        <v>156</v>
      </c>
      <c r="C74" s="74">
        <v>272.94</v>
      </c>
      <c r="D74" s="86" t="s">
        <v>157</v>
      </c>
      <c r="E74" s="76">
        <v>2.9999999999999997E-4</v>
      </c>
      <c r="F74" s="74">
        <v>0.94</v>
      </c>
      <c r="G74" s="78">
        <v>267780000</v>
      </c>
      <c r="H74" s="3" t="b">
        <f t="shared" si="2"/>
        <v>0</v>
      </c>
      <c r="I74" s="26">
        <f>Table13567[[#This Row],[Tech]]*$T$7+Table13567[[#This Row],[Beta]]*($T$6-$T$8)+$T$8</f>
        <v>9.6183999999999992E-2</v>
      </c>
      <c r="J74" s="64">
        <f>0</f>
        <v>0</v>
      </c>
      <c r="K74" s="61">
        <f>Table13567[[#This Row],[Investment]]/Table13567[[#This Row],[Dollar Volume]]</f>
        <v>0</v>
      </c>
      <c r="L74" s="34">
        <f>IFERROR(MAX($T$11+$T$12*LN(Table13567[[#This Row],[Frac ADV]]),0),0)*0.0001+0.005/Table13567[[#This Row],[Stock Price]]+Table13567[[#This Row],[Expense Ratio]]</f>
        <v>3.1831904447863997E-4</v>
      </c>
      <c r="M74" s="68">
        <f>(Table13567[[#This Row],[Expected Return]]-Table13567[[#This Row],[Tcosts]])*Table13567[[#This Row],[Investment]]</f>
        <v>0</v>
      </c>
      <c r="Q74" s="13" t="s">
        <v>379</v>
      </c>
    </row>
    <row r="75" spans="1:17" ht="15.6" x14ac:dyDescent="0.3">
      <c r="A75" s="77" t="s">
        <v>551</v>
      </c>
      <c r="B75" s="73" t="s">
        <v>552</v>
      </c>
      <c r="C75" s="73">
        <v>92.51</v>
      </c>
      <c r="D75" s="85" t="s">
        <v>553</v>
      </c>
      <c r="E75" s="75">
        <v>2.8E-3</v>
      </c>
      <c r="F75" s="73">
        <v>0.77</v>
      </c>
      <c r="G75" s="78">
        <v>242840000</v>
      </c>
      <c r="H75" s="3" t="b">
        <f t="shared" si="2"/>
        <v>0</v>
      </c>
      <c r="I75" s="26">
        <f>Table13567[[#This Row],[Tech]]*$T$7+Table13567[[#This Row],[Beta]]*($T$6-$T$8)+$T$8</f>
        <v>8.5372000000000003E-2</v>
      </c>
      <c r="J75" s="64">
        <f>0</f>
        <v>0</v>
      </c>
      <c r="K75" s="61">
        <f>Table13567[[#This Row],[Investment]]/Table13567[[#This Row],[Dollar Volume]]</f>
        <v>0</v>
      </c>
      <c r="L75" s="34">
        <f>IFERROR(MAX($T$11+$T$12*LN(Table13567[[#This Row],[Frac ADV]]),0),0)*0.0001+0.005/Table13567[[#This Row],[Stock Price]]+Table13567[[#This Row],[Expense Ratio]]</f>
        <v>2.8540482110042159E-3</v>
      </c>
      <c r="M75" s="68">
        <f>(Table13567[[#This Row],[Expected Return]]-Table13567[[#This Row],[Tcosts]])*Table13567[[#This Row],[Investment]]</f>
        <v>0</v>
      </c>
      <c r="Q75" s="16" t="s">
        <v>383</v>
      </c>
    </row>
    <row r="76" spans="1:17" ht="15.6" x14ac:dyDescent="0.3">
      <c r="A76" s="79" t="s">
        <v>198</v>
      </c>
      <c r="B76" s="74" t="s">
        <v>199</v>
      </c>
      <c r="C76" s="74">
        <v>30.31</v>
      </c>
      <c r="D76" s="86" t="s">
        <v>200</v>
      </c>
      <c r="E76" s="76">
        <v>4.0000000000000002E-4</v>
      </c>
      <c r="F76" s="74">
        <v>0.98</v>
      </c>
      <c r="G76" s="78">
        <v>236760000</v>
      </c>
      <c r="H76" s="3" t="b">
        <f t="shared" si="2"/>
        <v>0</v>
      </c>
      <c r="I76" s="26">
        <f>Table13567[[#This Row],[Tech]]*$T$7+Table13567[[#This Row],[Beta]]*($T$6-$T$8)+$T$8</f>
        <v>9.872800000000001E-2</v>
      </c>
      <c r="J76" s="64">
        <f>0</f>
        <v>0</v>
      </c>
      <c r="K76" s="61">
        <f>Table13567[[#This Row],[Investment]]/Table13567[[#This Row],[Dollar Volume]]</f>
        <v>0</v>
      </c>
      <c r="L76" s="34">
        <f>IFERROR(MAX($T$11+$T$12*LN(Table13567[[#This Row],[Frac ADV]]),0),0)*0.0001+0.005/Table13567[[#This Row],[Stock Price]]+Table13567[[#This Row],[Expense Ratio]]</f>
        <v>5.6496205872649287E-4</v>
      </c>
      <c r="M76" s="68">
        <f>(Table13567[[#This Row],[Expected Return]]-Table13567[[#This Row],[Tcosts]])*Table13567[[#This Row],[Investment]]</f>
        <v>0</v>
      </c>
      <c r="Q76" s="13" t="s">
        <v>387</v>
      </c>
    </row>
    <row r="77" spans="1:17" ht="15.6" x14ac:dyDescent="0.3">
      <c r="A77" s="77" t="s">
        <v>95</v>
      </c>
      <c r="B77" s="73" t="s">
        <v>96</v>
      </c>
      <c r="C77" s="73">
        <v>729.64</v>
      </c>
      <c r="D77" s="85" t="s">
        <v>97</v>
      </c>
      <c r="E77" s="75">
        <v>8.9999999999999998E-4</v>
      </c>
      <c r="F77" s="73">
        <v>1.43</v>
      </c>
      <c r="G77" s="78">
        <v>236140000</v>
      </c>
      <c r="H77" s="3" t="b">
        <f t="shared" si="2"/>
        <v>1</v>
      </c>
      <c r="I77" s="26">
        <f>Table13567[[#This Row],[Tech]]*$T$7+Table13567[[#This Row],[Beta]]*($T$6-$T$8)+$T$8</f>
        <v>0.22734799999999999</v>
      </c>
      <c r="J77" s="64">
        <f>0</f>
        <v>0</v>
      </c>
      <c r="K77" s="61">
        <f>Table13567[[#This Row],[Investment]]/Table13567[[#This Row],[Dollar Volume]]</f>
        <v>0</v>
      </c>
      <c r="L77" s="34">
        <f>IFERROR(MAX($T$11+$T$12*LN(Table13567[[#This Row],[Frac ADV]]),0),0)*0.0001+0.005/Table13567[[#This Row],[Stock Price]]+Table13567[[#This Row],[Expense Ratio]]</f>
        <v>9.0685269447946925E-4</v>
      </c>
      <c r="M77" s="68">
        <f>(Table13567[[#This Row],[Expected Return]]-Table13567[[#This Row],[Tcosts]])*Table13567[[#This Row],[Investment]]</f>
        <v>0</v>
      </c>
      <c r="Q77" s="16" t="s">
        <v>391</v>
      </c>
    </row>
    <row r="78" spans="1:17" ht="15.6" x14ac:dyDescent="0.3">
      <c r="A78" s="77" t="s">
        <v>308</v>
      </c>
      <c r="B78" s="73" t="s">
        <v>309</v>
      </c>
      <c r="C78" s="73">
        <v>129.4</v>
      </c>
      <c r="D78" s="85" t="s">
        <v>310</v>
      </c>
      <c r="E78" s="75">
        <v>5.9999999999999995E-4</v>
      </c>
      <c r="F78" s="73">
        <v>0.92</v>
      </c>
      <c r="G78" s="78">
        <v>220460000</v>
      </c>
      <c r="H78" s="3" t="b">
        <f t="shared" si="2"/>
        <v>0</v>
      </c>
      <c r="I78" s="26">
        <f>Table13567[[#This Row],[Tech]]*$T$7+Table13567[[#This Row],[Beta]]*($T$6-$T$8)+$T$8</f>
        <v>9.491200000000001E-2</v>
      </c>
      <c r="J78" s="64">
        <f>0</f>
        <v>0</v>
      </c>
      <c r="K78" s="61">
        <f>Table13567[[#This Row],[Investment]]/Table13567[[#This Row],[Dollar Volume]]</f>
        <v>0</v>
      </c>
      <c r="L78" s="34">
        <f>IFERROR(MAX($T$11+$T$12*LN(Table13567[[#This Row],[Frac ADV]]),0),0)*0.0001+0.005/Table13567[[#This Row],[Stock Price]]+Table13567[[#This Row],[Expense Ratio]]</f>
        <v>6.3863987635239558E-4</v>
      </c>
      <c r="M78" s="68">
        <f>(Table13567[[#This Row],[Expected Return]]-Table13567[[#This Row],[Tcosts]])*Table13567[[#This Row],[Investment]]</f>
        <v>0</v>
      </c>
      <c r="Q78" s="13" t="s">
        <v>395</v>
      </c>
    </row>
    <row r="79" spans="1:17" ht="15.6" x14ac:dyDescent="0.3">
      <c r="A79" s="77" t="s">
        <v>412</v>
      </c>
      <c r="B79" s="73" t="s">
        <v>413</v>
      </c>
      <c r="C79" s="73">
        <v>200.74</v>
      </c>
      <c r="D79" s="85" t="s">
        <v>414</v>
      </c>
      <c r="E79" s="75">
        <v>1.5E-3</v>
      </c>
      <c r="F79" s="73">
        <v>0.92</v>
      </c>
      <c r="G79" s="78">
        <v>220290000</v>
      </c>
      <c r="H79" s="3" t="b">
        <f t="shared" si="2"/>
        <v>0</v>
      </c>
      <c r="I79" s="26">
        <f>Table13567[[#This Row],[Tech]]*$T$7+Table13567[[#This Row],[Beta]]*($T$6-$T$8)+$T$8</f>
        <v>9.491200000000001E-2</v>
      </c>
      <c r="J79" s="64">
        <f>0</f>
        <v>0</v>
      </c>
      <c r="K79" s="61">
        <f>Table13567[[#This Row],[Investment]]/Table13567[[#This Row],[Dollar Volume]]</f>
        <v>0</v>
      </c>
      <c r="L79" s="34">
        <f>IFERROR(MAX($T$11+$T$12*LN(Table13567[[#This Row],[Frac ADV]]),0),0)*0.0001+0.005/Table13567[[#This Row],[Stock Price]]+Table13567[[#This Row],[Expense Ratio]]</f>
        <v>1.5249078409883432E-3</v>
      </c>
      <c r="M79" s="68">
        <f>(Table13567[[#This Row],[Expected Return]]-Table13567[[#This Row],[Tcosts]])*Table13567[[#This Row],[Investment]]</f>
        <v>0</v>
      </c>
      <c r="Q79" s="16" t="s">
        <v>399</v>
      </c>
    </row>
    <row r="80" spans="1:17" ht="15.6" x14ac:dyDescent="0.3">
      <c r="A80" s="79" t="s">
        <v>300</v>
      </c>
      <c r="B80" s="74" t="s">
        <v>301</v>
      </c>
      <c r="C80" s="74">
        <v>126.87</v>
      </c>
      <c r="D80" s="86" t="s">
        <v>302</v>
      </c>
      <c r="E80" s="76">
        <v>8.9999999999999998E-4</v>
      </c>
      <c r="F80" s="74">
        <v>0.97</v>
      </c>
      <c r="G80" s="78">
        <v>209970000</v>
      </c>
      <c r="H80" s="3" t="b">
        <f t="shared" si="2"/>
        <v>0</v>
      </c>
      <c r="I80" s="26">
        <f>Table13567[[#This Row],[Tech]]*$T$7+Table13567[[#This Row],[Beta]]*($T$6-$T$8)+$T$8</f>
        <v>9.8092000000000013E-2</v>
      </c>
      <c r="J80" s="64">
        <f>0</f>
        <v>0</v>
      </c>
      <c r="K80" s="61">
        <f>Table13567[[#This Row],[Investment]]/Table13567[[#This Row],[Dollar Volume]]</f>
        <v>0</v>
      </c>
      <c r="L80" s="34">
        <f>IFERROR(MAX($T$11+$T$12*LN(Table13567[[#This Row],[Frac ADV]]),0),0)*0.0001+0.005/Table13567[[#This Row],[Stock Price]]+Table13567[[#This Row],[Expense Ratio]]</f>
        <v>9.3941042011507837E-4</v>
      </c>
      <c r="M80" s="68">
        <f>(Table13567[[#This Row],[Expected Return]]-Table13567[[#This Row],[Tcosts]])*Table13567[[#This Row],[Investment]]</f>
        <v>0</v>
      </c>
      <c r="Q80" s="13" t="s">
        <v>403</v>
      </c>
    </row>
    <row r="81" spans="1:17" ht="15.6" x14ac:dyDescent="0.3">
      <c r="A81" s="79" t="s">
        <v>444</v>
      </c>
      <c r="B81" s="74" t="s">
        <v>445</v>
      </c>
      <c r="C81" s="74">
        <v>494.67</v>
      </c>
      <c r="D81" s="86" t="s">
        <v>446</v>
      </c>
      <c r="E81" s="76">
        <v>1.6000000000000001E-3</v>
      </c>
      <c r="F81" s="74">
        <v>0.86</v>
      </c>
      <c r="G81" s="78">
        <v>199200000</v>
      </c>
      <c r="H81" s="3" t="b">
        <f t="shared" si="2"/>
        <v>0</v>
      </c>
      <c r="I81" s="26">
        <f>Table13567[[#This Row],[Tech]]*$T$7+Table13567[[#This Row],[Beta]]*($T$6-$T$8)+$T$8</f>
        <v>9.109600000000001E-2</v>
      </c>
      <c r="J81" s="64">
        <f>0</f>
        <v>0</v>
      </c>
      <c r="K81" s="61">
        <f>Table13567[[#This Row],[Investment]]/Table13567[[#This Row],[Dollar Volume]]</f>
        <v>0</v>
      </c>
      <c r="L81" s="34">
        <f>IFERROR(MAX($T$11+$T$12*LN(Table13567[[#This Row],[Frac ADV]]),0),0)*0.0001+0.005/Table13567[[#This Row],[Stock Price]]+Table13567[[#This Row],[Expense Ratio]]</f>
        <v>1.6101077486000768E-3</v>
      </c>
      <c r="M81" s="68">
        <f>(Table13567[[#This Row],[Expected Return]]-Table13567[[#This Row],[Tcosts]])*Table13567[[#This Row],[Investment]]</f>
        <v>0</v>
      </c>
      <c r="Q81" s="16" t="s">
        <v>407</v>
      </c>
    </row>
    <row r="82" spans="1:17" ht="15.6" x14ac:dyDescent="0.3">
      <c r="A82" s="79" t="s">
        <v>218</v>
      </c>
      <c r="B82" s="74" t="s">
        <v>219</v>
      </c>
      <c r="C82" s="74">
        <v>118.54</v>
      </c>
      <c r="D82" s="86" t="s">
        <v>220</v>
      </c>
      <c r="E82" s="76">
        <v>8.9999999999999998E-4</v>
      </c>
      <c r="F82" s="74">
        <v>1.06</v>
      </c>
      <c r="G82" s="78">
        <v>195490000</v>
      </c>
      <c r="H82" s="3" t="b">
        <f t="shared" si="2"/>
        <v>0</v>
      </c>
      <c r="I82" s="26">
        <f>Table13567[[#This Row],[Tech]]*$T$7+Table13567[[#This Row],[Beta]]*($T$6-$T$8)+$T$8</f>
        <v>0.10381600000000001</v>
      </c>
      <c r="J82" s="64">
        <f>0</f>
        <v>0</v>
      </c>
      <c r="K82" s="61">
        <f>Table13567[[#This Row],[Investment]]/Table13567[[#This Row],[Dollar Volume]]</f>
        <v>0</v>
      </c>
      <c r="L82" s="34">
        <f>IFERROR(MAX($T$11+$T$12*LN(Table13567[[#This Row],[Frac ADV]]),0),0)*0.0001+0.005/Table13567[[#This Row],[Stock Price]]+Table13567[[#This Row],[Expense Ratio]]</f>
        <v>9.4217985490129908E-4</v>
      </c>
      <c r="M82" s="68">
        <f>(Table13567[[#This Row],[Expected Return]]-Table13567[[#This Row],[Tcosts]])*Table13567[[#This Row],[Investment]]</f>
        <v>0</v>
      </c>
      <c r="Q82" s="13" t="s">
        <v>411</v>
      </c>
    </row>
    <row r="83" spans="1:17" ht="15.6" x14ac:dyDescent="0.3">
      <c r="A83" s="79" t="s">
        <v>492</v>
      </c>
      <c r="B83" s="74" t="s">
        <v>493</v>
      </c>
      <c r="C83" s="74">
        <v>197.17</v>
      </c>
      <c r="D83" s="86" t="s">
        <v>494</v>
      </c>
      <c r="E83" s="76">
        <v>2.3999999999999998E-3</v>
      </c>
      <c r="F83" s="74">
        <v>0.88</v>
      </c>
      <c r="G83" s="78">
        <v>192260000</v>
      </c>
      <c r="H83" s="3" t="b">
        <f t="shared" si="2"/>
        <v>0</v>
      </c>
      <c r="I83" s="26">
        <f>Table13567[[#This Row],[Tech]]*$T$7+Table13567[[#This Row],[Beta]]*($T$6-$T$8)+$T$8</f>
        <v>9.2368000000000006E-2</v>
      </c>
      <c r="J83" s="64">
        <f>0</f>
        <v>0</v>
      </c>
      <c r="K83" s="61">
        <f>Table13567[[#This Row],[Investment]]/Table13567[[#This Row],[Dollar Volume]]</f>
        <v>0</v>
      </c>
      <c r="L83" s="34">
        <f>IFERROR(MAX($T$11+$T$12*LN(Table13567[[#This Row],[Frac ADV]]),0),0)*0.0001+0.005/Table13567[[#This Row],[Stock Price]]+Table13567[[#This Row],[Expense Ratio]]</f>
        <v>2.4253588274078205E-3</v>
      </c>
      <c r="M83" s="68">
        <f>(Table13567[[#This Row],[Expected Return]]-Table13567[[#This Row],[Tcosts]])*Table13567[[#This Row],[Investment]]</f>
        <v>0</v>
      </c>
      <c r="Q83" s="16" t="s">
        <v>415</v>
      </c>
    </row>
    <row r="84" spans="1:17" ht="15.6" x14ac:dyDescent="0.3">
      <c r="A84" s="79" t="s">
        <v>364</v>
      </c>
      <c r="B84" s="74" t="s">
        <v>365</v>
      </c>
      <c r="C84" s="74">
        <v>270</v>
      </c>
      <c r="D84" s="86" t="s">
        <v>366</v>
      </c>
      <c r="E84" s="76">
        <v>5.0000000000000001E-4</v>
      </c>
      <c r="F84" s="74">
        <v>1.03</v>
      </c>
      <c r="G84" s="78">
        <v>181700000</v>
      </c>
      <c r="H84" s="3" t="b">
        <f t="shared" si="2"/>
        <v>0</v>
      </c>
      <c r="I84" s="26">
        <f>Table13567[[#This Row],[Tech]]*$T$7+Table13567[[#This Row],[Beta]]*($T$6-$T$8)+$T$8</f>
        <v>0.10190800000000001</v>
      </c>
      <c r="J84" s="64">
        <f>0</f>
        <v>0</v>
      </c>
      <c r="K84" s="61">
        <f>Table13567[[#This Row],[Investment]]/Table13567[[#This Row],[Dollar Volume]]</f>
        <v>0</v>
      </c>
      <c r="L84" s="34">
        <f>IFERROR(MAX($T$11+$T$12*LN(Table13567[[#This Row],[Frac ADV]]),0),0)*0.0001+0.005/Table13567[[#This Row],[Stock Price]]+Table13567[[#This Row],[Expense Ratio]]</f>
        <v>5.1851851851851853E-4</v>
      </c>
      <c r="M84" s="68">
        <f>(Table13567[[#This Row],[Expected Return]]-Table13567[[#This Row],[Tcosts]])*Table13567[[#This Row],[Investment]]</f>
        <v>0</v>
      </c>
      <c r="Q84" s="13" t="s">
        <v>419</v>
      </c>
    </row>
    <row r="85" spans="1:17" ht="15.6" x14ac:dyDescent="0.3">
      <c r="A85" s="77" t="s">
        <v>293</v>
      </c>
      <c r="B85" s="73" t="s">
        <v>294</v>
      </c>
      <c r="C85" s="73">
        <v>106.19</v>
      </c>
      <c r="D85" s="85" t="s">
        <v>295</v>
      </c>
      <c r="E85" s="75">
        <v>4.0000000000000002E-4</v>
      </c>
      <c r="F85" s="73">
        <v>0.77</v>
      </c>
      <c r="G85" s="78">
        <v>166560000</v>
      </c>
      <c r="H85" s="3" t="b">
        <f t="shared" si="2"/>
        <v>0</v>
      </c>
      <c r="I85" s="26">
        <f>Table13567[[#This Row],[Tech]]*$T$7+Table13567[[#This Row],[Beta]]*($T$6-$T$8)+$T$8</f>
        <v>8.5372000000000003E-2</v>
      </c>
      <c r="J85" s="64">
        <f>0</f>
        <v>0</v>
      </c>
      <c r="K85" s="61">
        <f>Table13567[[#This Row],[Investment]]/Table13567[[#This Row],[Dollar Volume]]</f>
        <v>0</v>
      </c>
      <c r="L85" s="34">
        <f>IFERROR(MAX($T$11+$T$12*LN(Table13567[[#This Row],[Frac ADV]]),0),0)*0.0001+0.005/Table13567[[#This Row],[Stock Price]]+Table13567[[#This Row],[Expense Ratio]]</f>
        <v>4.4708541293907151E-4</v>
      </c>
      <c r="M85" s="68">
        <f>(Table13567[[#This Row],[Expected Return]]-Table13567[[#This Row],[Tcosts]])*Table13567[[#This Row],[Investment]]</f>
        <v>0</v>
      </c>
      <c r="Q85" s="16" t="s">
        <v>423</v>
      </c>
    </row>
    <row r="86" spans="1:17" ht="15.6" x14ac:dyDescent="0.3">
      <c r="A86" s="77" t="s">
        <v>332</v>
      </c>
      <c r="B86" s="73" t="s">
        <v>333</v>
      </c>
      <c r="C86" s="73">
        <v>104.9</v>
      </c>
      <c r="D86" s="85" t="s">
        <v>334</v>
      </c>
      <c r="E86" s="75">
        <v>5.9999999999999995E-4</v>
      </c>
      <c r="F86" s="73">
        <v>0.99</v>
      </c>
      <c r="G86" s="78">
        <v>160270000</v>
      </c>
      <c r="H86" s="3" t="b">
        <f t="shared" si="2"/>
        <v>0</v>
      </c>
      <c r="I86" s="26">
        <f>Table13567[[#This Row],[Tech]]*$T$7+Table13567[[#This Row],[Beta]]*($T$6-$T$8)+$T$8</f>
        <v>9.9364000000000008E-2</v>
      </c>
      <c r="J86" s="64">
        <f>0</f>
        <v>0</v>
      </c>
      <c r="K86" s="61">
        <f>Table13567[[#This Row],[Investment]]/Table13567[[#This Row],[Dollar Volume]]</f>
        <v>0</v>
      </c>
      <c r="L86" s="34">
        <f>IFERROR(MAX($T$11+$T$12*LN(Table13567[[#This Row],[Frac ADV]]),0),0)*0.0001+0.005/Table13567[[#This Row],[Stock Price]]+Table13567[[#This Row],[Expense Ratio]]</f>
        <v>6.4766444232602471E-4</v>
      </c>
      <c r="M86" s="68">
        <f>(Table13567[[#This Row],[Expected Return]]-Table13567[[#This Row],[Tcosts]])*Table13567[[#This Row],[Investment]]</f>
        <v>0</v>
      </c>
      <c r="Q86" s="13" t="s">
        <v>427</v>
      </c>
    </row>
    <row r="87" spans="1:17" ht="15.6" x14ac:dyDescent="0.3">
      <c r="A87" s="79" t="s">
        <v>336</v>
      </c>
      <c r="B87" s="74" t="s">
        <v>337</v>
      </c>
      <c r="C87" s="74">
        <v>148.97999999999999</v>
      </c>
      <c r="D87" s="86" t="s">
        <v>338</v>
      </c>
      <c r="E87" s="76">
        <v>2.9999999999999997E-4</v>
      </c>
      <c r="F87" s="74">
        <v>1</v>
      </c>
      <c r="G87" s="78">
        <v>159840000</v>
      </c>
      <c r="H87" s="3" t="b">
        <f t="shared" si="2"/>
        <v>0</v>
      </c>
      <c r="I87" s="26">
        <f>Table13567[[#This Row],[Tech]]*$T$7+Table13567[[#This Row],[Beta]]*($T$6-$T$8)+$T$8</f>
        <v>0.1</v>
      </c>
      <c r="J87" s="64">
        <f>0</f>
        <v>0</v>
      </c>
      <c r="K87" s="61">
        <f>Table13567[[#This Row],[Investment]]/Table13567[[#This Row],[Dollar Volume]]</f>
        <v>0</v>
      </c>
      <c r="L87" s="34">
        <f>IFERROR(MAX($T$11+$T$12*LN(Table13567[[#This Row],[Frac ADV]]),0),0)*0.0001+0.005/Table13567[[#This Row],[Stock Price]]+Table13567[[#This Row],[Expense Ratio]]</f>
        <v>3.3356155188615918E-4</v>
      </c>
      <c r="M87" s="68">
        <f>(Table13567[[#This Row],[Expected Return]]-Table13567[[#This Row],[Tcosts]])*Table13567[[#This Row],[Investment]]</f>
        <v>0</v>
      </c>
      <c r="Q87" s="16" t="s">
        <v>431</v>
      </c>
    </row>
    <row r="88" spans="1:17" ht="15.6" x14ac:dyDescent="0.3">
      <c r="A88" s="77" t="s">
        <v>344</v>
      </c>
      <c r="B88" s="73" t="s">
        <v>345</v>
      </c>
      <c r="C88" s="73">
        <v>104.53</v>
      </c>
      <c r="D88" s="85" t="s">
        <v>346</v>
      </c>
      <c r="E88" s="75">
        <v>4.7000000000000002E-3</v>
      </c>
      <c r="F88" s="73">
        <v>0.92</v>
      </c>
      <c r="G88" s="78">
        <v>131540000</v>
      </c>
      <c r="H88" s="3" t="b">
        <f t="shared" si="2"/>
        <v>0</v>
      </c>
      <c r="I88" s="26">
        <f>Table13567[[#This Row],[Tech]]*$T$7+Table13567[[#This Row],[Beta]]*($T$6-$T$8)+$T$8</f>
        <v>9.491200000000001E-2</v>
      </c>
      <c r="J88" s="64">
        <f>0</f>
        <v>0</v>
      </c>
      <c r="K88" s="61">
        <f>Table13567[[#This Row],[Investment]]/Table13567[[#This Row],[Dollar Volume]]</f>
        <v>0</v>
      </c>
      <c r="L88" s="34">
        <f>IFERROR(MAX($T$11+$T$12*LN(Table13567[[#This Row],[Frac ADV]]),0),0)*0.0001+0.005/Table13567[[#This Row],[Stock Price]]+Table13567[[#This Row],[Expense Ratio]]</f>
        <v>4.7478331579450875E-3</v>
      </c>
      <c r="M88" s="68">
        <f>(Table13567[[#This Row],[Expected Return]]-Table13567[[#This Row],[Tcosts]])*Table13567[[#This Row],[Investment]]</f>
        <v>0</v>
      </c>
      <c r="Q88" s="13" t="s">
        <v>435</v>
      </c>
    </row>
    <row r="89" spans="1:17" ht="15.6" x14ac:dyDescent="0.3">
      <c r="A89" s="77" t="s">
        <v>312</v>
      </c>
      <c r="B89" s="73" t="s">
        <v>313</v>
      </c>
      <c r="C89" s="73">
        <v>113.39</v>
      </c>
      <c r="D89" s="85" t="s">
        <v>314</v>
      </c>
      <c r="E89" s="75">
        <v>2.5000000000000001E-3</v>
      </c>
      <c r="F89" s="73">
        <v>0.95</v>
      </c>
      <c r="G89" s="78">
        <v>123340000</v>
      </c>
      <c r="H89" s="3" t="b">
        <f t="shared" si="2"/>
        <v>0</v>
      </c>
      <c r="I89" s="26">
        <f>Table13567[[#This Row],[Tech]]*$T$7+Table13567[[#This Row],[Beta]]*($T$6-$T$8)+$T$8</f>
        <v>9.6820000000000003E-2</v>
      </c>
      <c r="J89" s="64">
        <f>0</f>
        <v>0</v>
      </c>
      <c r="K89" s="61">
        <f>Table13567[[#This Row],[Investment]]/Table13567[[#This Row],[Dollar Volume]]</f>
        <v>0</v>
      </c>
      <c r="L89" s="34">
        <f>IFERROR(MAX($T$11+$T$12*LN(Table13567[[#This Row],[Frac ADV]]),0),0)*0.0001+0.005/Table13567[[#This Row],[Stock Price]]+Table13567[[#This Row],[Expense Ratio]]</f>
        <v>2.544095599259194E-3</v>
      </c>
      <c r="M89" s="68">
        <f>(Table13567[[#This Row],[Expected Return]]-Table13567[[#This Row],[Tcosts]])*Table13567[[#This Row],[Investment]]</f>
        <v>0</v>
      </c>
      <c r="Q89" s="16" t="s">
        <v>439</v>
      </c>
    </row>
    <row r="90" spans="1:17" ht="15.6" x14ac:dyDescent="0.3">
      <c r="A90" s="77" t="s">
        <v>595</v>
      </c>
      <c r="B90" s="73" t="s">
        <v>596</v>
      </c>
      <c r="C90" s="73">
        <v>107.32</v>
      </c>
      <c r="D90" s="85" t="s">
        <v>597</v>
      </c>
      <c r="E90" s="75">
        <v>3.5999999999999999E-3</v>
      </c>
      <c r="F90" s="73">
        <v>0.74</v>
      </c>
      <c r="G90" s="78">
        <v>121420000</v>
      </c>
      <c r="H90" s="3" t="b">
        <f t="shared" si="2"/>
        <v>0</v>
      </c>
      <c r="I90" s="26">
        <f>Table13567[[#This Row],[Tech]]*$T$7+Table13567[[#This Row],[Beta]]*($T$6-$T$8)+$T$8</f>
        <v>8.346400000000001E-2</v>
      </c>
      <c r="J90" s="64">
        <f>0</f>
        <v>0</v>
      </c>
      <c r="K90" s="61">
        <f>Table13567[[#This Row],[Investment]]/Table13567[[#This Row],[Dollar Volume]]</f>
        <v>0</v>
      </c>
      <c r="L90" s="34">
        <f>IFERROR(MAX($T$11+$T$12*LN(Table13567[[#This Row],[Frac ADV]]),0),0)*0.0001+0.005/Table13567[[#This Row],[Stock Price]]+Table13567[[#This Row],[Expense Ratio]]</f>
        <v>3.6465896384644055E-3</v>
      </c>
      <c r="M90" s="68">
        <f>(Table13567[[#This Row],[Expected Return]]-Table13567[[#This Row],[Tcosts]])*Table13567[[#This Row],[Investment]]</f>
        <v>0</v>
      </c>
      <c r="Q90" s="13" t="s">
        <v>443</v>
      </c>
    </row>
    <row r="91" spans="1:17" ht="15.6" x14ac:dyDescent="0.3">
      <c r="A91" s="77" t="s">
        <v>320</v>
      </c>
      <c r="B91" s="73" t="s">
        <v>321</v>
      </c>
      <c r="C91" s="73">
        <v>387.63</v>
      </c>
      <c r="D91" s="85" t="s">
        <v>322</v>
      </c>
      <c r="E91" s="75">
        <v>2E-3</v>
      </c>
      <c r="F91" s="73">
        <v>0.99</v>
      </c>
      <c r="G91" s="78">
        <v>106960000</v>
      </c>
      <c r="H91" s="3" t="b">
        <f t="shared" si="2"/>
        <v>0</v>
      </c>
      <c r="I91" s="26">
        <f>Table13567[[#This Row],[Tech]]*$T$7+Table13567[[#This Row],[Beta]]*($T$6-$T$8)+$T$8</f>
        <v>9.9364000000000008E-2</v>
      </c>
      <c r="J91" s="64">
        <f>0</f>
        <v>0</v>
      </c>
      <c r="K91" s="61">
        <f>Table13567[[#This Row],[Investment]]/Table13567[[#This Row],[Dollar Volume]]</f>
        <v>0</v>
      </c>
      <c r="L91" s="34">
        <f>IFERROR(MAX($T$11+$T$12*LN(Table13567[[#This Row],[Frac ADV]]),0),0)*0.0001+0.005/Table13567[[#This Row],[Stock Price]]+Table13567[[#This Row],[Expense Ratio]]</f>
        <v>2.0128988984340736E-3</v>
      </c>
      <c r="M91" s="68">
        <f>(Table13567[[#This Row],[Expected Return]]-Table13567[[#This Row],[Tcosts]])*Table13567[[#This Row],[Investment]]</f>
        <v>0</v>
      </c>
      <c r="Q91" s="16" t="s">
        <v>447</v>
      </c>
    </row>
    <row r="92" spans="1:17" ht="15.6" x14ac:dyDescent="0.3">
      <c r="A92" s="79" t="s">
        <v>400</v>
      </c>
      <c r="B92" s="74" t="s">
        <v>401</v>
      </c>
      <c r="C92" s="74">
        <v>298.35000000000002</v>
      </c>
      <c r="D92" s="86" t="s">
        <v>402</v>
      </c>
      <c r="E92" s="76">
        <v>2.9999999999999997E-4</v>
      </c>
      <c r="F92" s="74">
        <v>0.83</v>
      </c>
      <c r="G92" s="78">
        <v>171250000</v>
      </c>
      <c r="H92" s="3" t="b">
        <f t="shared" si="2"/>
        <v>0</v>
      </c>
      <c r="I92" s="26">
        <f>Table13567[[#This Row],[Tech]]*$T$7+Table13567[[#This Row],[Beta]]*($T$6-$T$8)+$T$8</f>
        <v>8.9188000000000003E-2</v>
      </c>
      <c r="J92" s="64">
        <f>0</f>
        <v>0</v>
      </c>
      <c r="K92" s="61">
        <f>Table13567[[#This Row],[Investment]]/Table13567[[#This Row],[Dollar Volume]]</f>
        <v>0</v>
      </c>
      <c r="L92" s="34">
        <f>IFERROR(MAX($T$11+$T$12*LN(Table13567[[#This Row],[Frac ADV]]),0),0)*0.0001+0.005/Table13567[[#This Row],[Stock Price]]+Table13567[[#This Row],[Expense Ratio]]</f>
        <v>3.16758840288252E-4</v>
      </c>
      <c r="M92" s="68">
        <f>(Table13567[[#This Row],[Expected Return]]-Table13567[[#This Row],[Tcosts]])*Table13567[[#This Row],[Investment]]</f>
        <v>0</v>
      </c>
      <c r="Q92" s="13" t="s">
        <v>451</v>
      </c>
    </row>
    <row r="93" spans="1:17" ht="15.6" x14ac:dyDescent="0.3">
      <c r="A93" s="77" t="s">
        <v>396</v>
      </c>
      <c r="B93" s="73" t="s">
        <v>397</v>
      </c>
      <c r="C93" s="73">
        <v>172.75</v>
      </c>
      <c r="D93" s="85" t="s">
        <v>398</v>
      </c>
      <c r="E93" s="75">
        <v>8.0000000000000004E-4</v>
      </c>
      <c r="F93" s="73">
        <v>0.92</v>
      </c>
      <c r="G93" s="78">
        <v>2910000000</v>
      </c>
      <c r="H93" s="3" t="b">
        <f t="shared" si="2"/>
        <v>0</v>
      </c>
      <c r="I93" s="26">
        <f>Table13567[[#This Row],[Tech]]*$T$7+Table13567[[#This Row],[Beta]]*($T$6-$T$8)+$T$8</f>
        <v>9.491200000000001E-2</v>
      </c>
      <c r="J93" s="64">
        <f>0</f>
        <v>0</v>
      </c>
      <c r="K93" s="61">
        <f>Table13567[[#This Row],[Investment]]/Table13567[[#This Row],[Dollar Volume]]</f>
        <v>0</v>
      </c>
      <c r="L93" s="34">
        <f>IFERROR(MAX($T$11+$T$12*LN(Table13567[[#This Row],[Frac ADV]]),0),0)*0.0001+0.005/Table13567[[#This Row],[Stock Price]]+Table13567[[#This Row],[Expense Ratio]]</f>
        <v>8.2894356005788717E-4</v>
      </c>
      <c r="M93" s="68">
        <f>(Table13567[[#This Row],[Expected Return]]-Table13567[[#This Row],[Tcosts]])*Table13567[[#This Row],[Investment]]</f>
        <v>0</v>
      </c>
      <c r="Q93" s="16" t="s">
        <v>455</v>
      </c>
    </row>
    <row r="94" spans="1:17" ht="15.6" x14ac:dyDescent="0.3">
      <c r="A94" s="79" t="s">
        <v>432</v>
      </c>
      <c r="B94" s="74" t="s">
        <v>433</v>
      </c>
      <c r="C94" s="74">
        <v>145.96</v>
      </c>
      <c r="D94" s="86" t="s">
        <v>434</v>
      </c>
      <c r="E94" s="76">
        <v>5.9999999999999995E-4</v>
      </c>
      <c r="F94" s="74">
        <v>0.89</v>
      </c>
      <c r="G94" s="78">
        <v>173490000</v>
      </c>
      <c r="H94" s="3" t="b">
        <f t="shared" si="2"/>
        <v>0</v>
      </c>
      <c r="I94" s="26">
        <f>Table13567[[#This Row],[Tech]]*$T$7+Table13567[[#This Row],[Beta]]*($T$6-$T$8)+$T$8</f>
        <v>9.3004000000000003E-2</v>
      </c>
      <c r="J94" s="64">
        <f>0</f>
        <v>0</v>
      </c>
      <c r="K94" s="61">
        <f>Table13567[[#This Row],[Investment]]/Table13567[[#This Row],[Dollar Volume]]</f>
        <v>0</v>
      </c>
      <c r="L94" s="34">
        <f>IFERROR(MAX($T$11+$T$12*LN(Table13567[[#This Row],[Frac ADV]]),0),0)*0.0001+0.005/Table13567[[#This Row],[Stock Price]]+Table13567[[#This Row],[Expense Ratio]]</f>
        <v>6.3425596053713336E-4</v>
      </c>
      <c r="M94" s="68">
        <f>(Table13567[[#This Row],[Expected Return]]-Table13567[[#This Row],[Tcosts]])*Table13567[[#This Row],[Investment]]</f>
        <v>0</v>
      </c>
      <c r="Q94" s="13" t="s">
        <v>459</v>
      </c>
    </row>
    <row r="95" spans="1:17" ht="15.6" x14ac:dyDescent="0.3">
      <c r="A95" s="79" t="s">
        <v>606</v>
      </c>
      <c r="B95" s="74" t="s">
        <v>607</v>
      </c>
      <c r="C95" s="74">
        <v>37.71</v>
      </c>
      <c r="D95" s="86" t="s">
        <v>608</v>
      </c>
      <c r="E95" s="76">
        <v>2.3E-3</v>
      </c>
      <c r="F95" s="74">
        <v>0.65</v>
      </c>
      <c r="G95" s="78">
        <v>85390000</v>
      </c>
      <c r="H95" s="3" t="b">
        <f t="shared" si="2"/>
        <v>0</v>
      </c>
      <c r="I95" s="26">
        <f>Table13567[[#This Row],[Tech]]*$T$7+Table13567[[#This Row],[Beta]]*($T$6-$T$8)+$T$8</f>
        <v>7.7740000000000004E-2</v>
      </c>
      <c r="J95" s="64">
        <f>0</f>
        <v>0</v>
      </c>
      <c r="K95" s="61">
        <f>Table13567[[#This Row],[Investment]]/Table13567[[#This Row],[Dollar Volume]]</f>
        <v>0</v>
      </c>
      <c r="L95" s="34">
        <f>IFERROR(MAX($T$11+$T$12*LN(Table13567[[#This Row],[Frac ADV]]),0),0)*0.0001+0.005/Table13567[[#This Row],[Stock Price]]+Table13567[[#This Row],[Expense Ratio]]</f>
        <v>2.4325908247149297E-3</v>
      </c>
      <c r="M95" s="68">
        <f>(Table13567[[#This Row],[Expected Return]]-Table13567[[#This Row],[Tcosts]])*Table13567[[#This Row],[Investment]]</f>
        <v>0</v>
      </c>
      <c r="Q95" s="16" t="s">
        <v>463</v>
      </c>
    </row>
    <row r="96" spans="1:17" ht="15.6" x14ac:dyDescent="0.3">
      <c r="A96" s="79" t="s">
        <v>436</v>
      </c>
      <c r="B96" s="74" t="s">
        <v>437</v>
      </c>
      <c r="C96" s="74">
        <v>218.98</v>
      </c>
      <c r="D96" s="86" t="s">
        <v>438</v>
      </c>
      <c r="E96" s="76">
        <v>1.8E-3</v>
      </c>
      <c r="F96" s="74">
        <v>0.77</v>
      </c>
      <c r="G96" s="78">
        <v>1530000000</v>
      </c>
      <c r="H96" s="3" t="b">
        <f t="shared" si="2"/>
        <v>0</v>
      </c>
      <c r="I96" s="26">
        <f>Table13567[[#This Row],[Tech]]*$T$7+Table13567[[#This Row],[Beta]]*($T$6-$T$8)+$T$8</f>
        <v>8.5372000000000003E-2</v>
      </c>
      <c r="J96" s="64">
        <f>0</f>
        <v>0</v>
      </c>
      <c r="K96" s="61">
        <f>Table13567[[#This Row],[Investment]]/Table13567[[#This Row],[Dollar Volume]]</f>
        <v>0</v>
      </c>
      <c r="L96" s="34">
        <f>IFERROR(MAX($T$11+$T$12*LN(Table13567[[#This Row],[Frac ADV]]),0),0)*0.0001+0.005/Table13567[[#This Row],[Stock Price]]+Table13567[[#This Row],[Expense Ratio]]</f>
        <v>1.8228331354461593E-3</v>
      </c>
      <c r="M96" s="68">
        <f>(Table13567[[#This Row],[Expected Return]]-Table13567[[#This Row],[Tcosts]])*Table13567[[#This Row],[Investment]]</f>
        <v>0</v>
      </c>
      <c r="Q96" s="13" t="s">
        <v>467</v>
      </c>
    </row>
    <row r="97" spans="1:17" ht="15.6" x14ac:dyDescent="0.3">
      <c r="A97" s="79" t="s">
        <v>452</v>
      </c>
      <c r="B97" s="74" t="s">
        <v>453</v>
      </c>
      <c r="C97" s="74">
        <v>130.80000000000001</v>
      </c>
      <c r="D97" s="86" t="s">
        <v>454</v>
      </c>
      <c r="E97" s="76">
        <v>5.8999999999999999E-3</v>
      </c>
      <c r="F97" s="74">
        <v>0.9</v>
      </c>
      <c r="G97" s="78">
        <v>334300000</v>
      </c>
      <c r="H97" s="3" t="b">
        <f t="shared" si="2"/>
        <v>0</v>
      </c>
      <c r="I97" s="26">
        <f>Table13567[[#This Row],[Tech]]*$T$7+Table13567[[#This Row],[Beta]]*($T$6-$T$8)+$T$8</f>
        <v>9.3640000000000001E-2</v>
      </c>
      <c r="J97" s="64">
        <f>0</f>
        <v>0</v>
      </c>
      <c r="K97" s="61">
        <f>Table13567[[#This Row],[Investment]]/Table13567[[#This Row],[Dollar Volume]]</f>
        <v>0</v>
      </c>
      <c r="L97" s="34">
        <f>IFERROR(MAX($T$11+$T$12*LN(Table13567[[#This Row],[Frac ADV]]),0),0)*0.0001+0.005/Table13567[[#This Row],[Stock Price]]+Table13567[[#This Row],[Expense Ratio]]</f>
        <v>5.9382262996941892E-3</v>
      </c>
      <c r="M97" s="68">
        <f>(Table13567[[#This Row],[Expected Return]]-Table13567[[#This Row],[Tcosts]])*Table13567[[#This Row],[Investment]]</f>
        <v>0</v>
      </c>
      <c r="Q97" s="16" t="s">
        <v>471</v>
      </c>
    </row>
    <row r="98" spans="1:17" ht="15.6" x14ac:dyDescent="0.3">
      <c r="A98" s="77" t="s">
        <v>468</v>
      </c>
      <c r="B98" s="73" t="s">
        <v>469</v>
      </c>
      <c r="C98" s="73">
        <v>104.15</v>
      </c>
      <c r="D98" s="85" t="s">
        <v>470</v>
      </c>
      <c r="E98" s="75">
        <v>3.2000000000000002E-3</v>
      </c>
      <c r="F98" s="73">
        <v>0.73</v>
      </c>
      <c r="G98" s="78">
        <v>929280000</v>
      </c>
      <c r="H98" s="3" t="b">
        <f t="shared" ref="H98:H129" si="3">OR(
  ISNUMBER(SEARCH("technology",B98)),
  ISNUMBER(SEARCH("tech",B98)),
  ISNUMBER(SEARCH("qqq",B98)),
  ISNUMBER(SEARCH("semiconductor",B98)),
  ISNUMBER(SEARCH("information technology",B98)),
  ISNUMBER(SEARCH("nasdaq",B98)),
  ISNUMBER(SEARCH("communication",B98))
)</f>
        <v>0</v>
      </c>
      <c r="I98" s="26">
        <f>Table13567[[#This Row],[Tech]]*$T$7+Table13567[[#This Row],[Beta]]*($T$6-$T$8)+$T$8</f>
        <v>8.2828000000000013E-2</v>
      </c>
      <c r="J98" s="64">
        <f>0</f>
        <v>0</v>
      </c>
      <c r="K98" s="61">
        <f>Table13567[[#This Row],[Investment]]/Table13567[[#This Row],[Dollar Volume]]</f>
        <v>0</v>
      </c>
      <c r="L98" s="34">
        <f>IFERROR(MAX($T$11+$T$12*LN(Table13567[[#This Row],[Frac ADV]]),0),0)*0.0001+0.005/Table13567[[#This Row],[Stock Price]]+Table13567[[#This Row],[Expense Ratio]]</f>
        <v>3.2480076812289966E-3</v>
      </c>
      <c r="M98" s="68">
        <f>(Table13567[[#This Row],[Expected Return]]-Table13567[[#This Row],[Tcosts]])*Table13567[[#This Row],[Investment]]</f>
        <v>0</v>
      </c>
      <c r="Q98" s="13" t="s">
        <v>475</v>
      </c>
    </row>
    <row r="99" spans="1:17" ht="15.6" x14ac:dyDescent="0.3">
      <c r="A99" s="79" t="s">
        <v>515</v>
      </c>
      <c r="B99" s="74" t="s">
        <v>516</v>
      </c>
      <c r="C99" s="74">
        <v>28.79</v>
      </c>
      <c r="D99" s="86" t="s">
        <v>517</v>
      </c>
      <c r="E99" s="76">
        <v>2.5000000000000001E-3</v>
      </c>
      <c r="F99" s="74">
        <v>0.82</v>
      </c>
      <c r="G99" s="78">
        <v>106450000</v>
      </c>
      <c r="H99" s="3" t="b">
        <f t="shared" si="3"/>
        <v>0</v>
      </c>
      <c r="I99" s="26">
        <f>Table13567[[#This Row],[Tech]]*$T$7+Table13567[[#This Row],[Beta]]*($T$6-$T$8)+$T$8</f>
        <v>8.8551999999999992E-2</v>
      </c>
      <c r="J99" s="64">
        <f>0</f>
        <v>0</v>
      </c>
      <c r="K99" s="61">
        <f>Table13567[[#This Row],[Investment]]/Table13567[[#This Row],[Dollar Volume]]</f>
        <v>0</v>
      </c>
      <c r="L99" s="34">
        <f>IFERROR(MAX($T$11+$T$12*LN(Table13567[[#This Row],[Frac ADV]]),0),0)*0.0001+0.005/Table13567[[#This Row],[Stock Price]]+Table13567[[#This Row],[Expense Ratio]]</f>
        <v>2.6736714136853077E-3</v>
      </c>
      <c r="M99" s="68">
        <f>(Table13567[[#This Row],[Expected Return]]-Table13567[[#This Row],[Tcosts]])*Table13567[[#This Row],[Investment]]</f>
        <v>0</v>
      </c>
      <c r="Q99" s="16" t="s">
        <v>479</v>
      </c>
    </row>
    <row r="100" spans="1:17" ht="15.6" x14ac:dyDescent="0.3">
      <c r="A100" s="79" t="s">
        <v>523</v>
      </c>
      <c r="B100" s="74" t="s">
        <v>524</v>
      </c>
      <c r="C100" s="74">
        <v>58.66</v>
      </c>
      <c r="D100" s="86" t="s">
        <v>525</v>
      </c>
      <c r="E100" s="76">
        <v>4.0000000000000002E-4</v>
      </c>
      <c r="F100" s="74">
        <v>0.77</v>
      </c>
      <c r="G100" s="78">
        <v>458210000</v>
      </c>
      <c r="H100" s="3" t="b">
        <f t="shared" si="3"/>
        <v>0</v>
      </c>
      <c r="I100" s="26">
        <f>Table13567[[#This Row],[Tech]]*$T$7+Table13567[[#This Row],[Beta]]*($T$6-$T$8)+$T$8</f>
        <v>8.5372000000000003E-2</v>
      </c>
      <c r="J100" s="64">
        <f>0</f>
        <v>0</v>
      </c>
      <c r="K100" s="61">
        <f>Table13567[[#This Row],[Investment]]/Table13567[[#This Row],[Dollar Volume]]</f>
        <v>0</v>
      </c>
      <c r="L100" s="34">
        <f>IFERROR(MAX($T$11+$T$12*LN(Table13567[[#This Row],[Frac ADV]]),0),0)*0.0001+0.005/Table13567[[#This Row],[Stock Price]]+Table13567[[#This Row],[Expense Ratio]]</f>
        <v>4.8523695874531198E-4</v>
      </c>
      <c r="M100" s="68">
        <f>(Table13567[[#This Row],[Expected Return]]-Table13567[[#This Row],[Tcosts]])*Table13567[[#This Row],[Investment]]</f>
        <v>0</v>
      </c>
      <c r="Q100" s="13" t="s">
        <v>483</v>
      </c>
    </row>
    <row r="101" spans="1:17" ht="15.6" x14ac:dyDescent="0.3">
      <c r="A101" s="77" t="s">
        <v>602</v>
      </c>
      <c r="B101" s="73" t="s">
        <v>603</v>
      </c>
      <c r="C101" s="73">
        <v>102.87</v>
      </c>
      <c r="D101" s="85" t="s">
        <v>604</v>
      </c>
      <c r="E101" s="75">
        <v>2E-3</v>
      </c>
      <c r="F101" s="73">
        <v>0.72</v>
      </c>
      <c r="G101" s="78">
        <v>754920000</v>
      </c>
      <c r="H101" s="3" t="b">
        <f t="shared" si="3"/>
        <v>0</v>
      </c>
      <c r="I101" s="26">
        <f>Table13567[[#This Row],[Tech]]*$T$7+Table13567[[#This Row],[Beta]]*($T$6-$T$8)+$T$8</f>
        <v>8.2192000000000001E-2</v>
      </c>
      <c r="J101" s="64">
        <f>0</f>
        <v>0</v>
      </c>
      <c r="K101" s="61">
        <f>Table13567[[#This Row],[Investment]]/Table13567[[#This Row],[Dollar Volume]]</f>
        <v>0</v>
      </c>
      <c r="L101" s="34">
        <f>IFERROR(MAX($T$11+$T$12*LN(Table13567[[#This Row],[Frac ADV]]),0),0)*0.0001+0.005/Table13567[[#This Row],[Stock Price]]+Table13567[[#This Row],[Expense Ratio]]</f>
        <v>2.048605035481676E-3</v>
      </c>
      <c r="M101" s="68">
        <f>(Table13567[[#This Row],[Expected Return]]-Table13567[[#This Row],[Tcosts]])*Table13567[[#This Row],[Investment]]</f>
        <v>0</v>
      </c>
      <c r="Q101" s="16" t="s">
        <v>487</v>
      </c>
    </row>
    <row r="102" spans="1:17" ht="15.6" x14ac:dyDescent="0.3">
      <c r="A102" s="77" t="s">
        <v>368</v>
      </c>
      <c r="B102" s="73" t="s">
        <v>369</v>
      </c>
      <c r="C102" s="73">
        <v>90.28</v>
      </c>
      <c r="D102" s="85" t="s">
        <v>370</v>
      </c>
      <c r="E102" s="75">
        <v>2.3E-3</v>
      </c>
      <c r="F102" s="73">
        <v>0.68</v>
      </c>
      <c r="G102" s="78">
        <v>127800000</v>
      </c>
      <c r="H102" s="3" t="b">
        <f t="shared" si="3"/>
        <v>0</v>
      </c>
      <c r="I102" s="26">
        <f>Table13567[[#This Row],[Tech]]*$T$7+Table13567[[#This Row],[Beta]]*($T$6-$T$8)+$T$8</f>
        <v>7.964800000000001E-2</v>
      </c>
      <c r="J102" s="64">
        <f>0</f>
        <v>0</v>
      </c>
      <c r="K102" s="61">
        <f>Table13567[[#This Row],[Investment]]/Table13567[[#This Row],[Dollar Volume]]</f>
        <v>0</v>
      </c>
      <c r="L102" s="34">
        <f>IFERROR(MAX($T$11+$T$12*LN(Table13567[[#This Row],[Frac ADV]]),0),0)*0.0001+0.005/Table13567[[#This Row],[Stock Price]]+Table13567[[#This Row],[Expense Ratio]]</f>
        <v>2.3553832521045637E-3</v>
      </c>
      <c r="M102" s="68">
        <f>(Table13567[[#This Row],[Expected Return]]-Table13567[[#This Row],[Tcosts]])*Table13567[[#This Row],[Investment]]</f>
        <v>0</v>
      </c>
      <c r="Q102" s="13" t="s">
        <v>491</v>
      </c>
    </row>
    <row r="103" spans="1:17" ht="15.6" x14ac:dyDescent="0.3">
      <c r="A103" s="79" t="s">
        <v>531</v>
      </c>
      <c r="B103" s="74" t="s">
        <v>532</v>
      </c>
      <c r="C103" s="74">
        <v>36.07</v>
      </c>
      <c r="D103" s="86" t="s">
        <v>533</v>
      </c>
      <c r="E103" s="76">
        <v>2.8999999999999998E-3</v>
      </c>
      <c r="F103" s="74">
        <v>0.66</v>
      </c>
      <c r="G103" s="78">
        <v>280020000</v>
      </c>
      <c r="H103" s="3" t="b">
        <f t="shared" si="3"/>
        <v>0</v>
      </c>
      <c r="I103" s="26">
        <f>Table13567[[#This Row],[Tech]]*$T$7+Table13567[[#This Row],[Beta]]*($T$6-$T$8)+$T$8</f>
        <v>7.8376000000000001E-2</v>
      </c>
      <c r="J103" s="64">
        <f>0</f>
        <v>0</v>
      </c>
      <c r="K103" s="61">
        <f>Table13567[[#This Row],[Investment]]/Table13567[[#This Row],[Dollar Volume]]</f>
        <v>0</v>
      </c>
      <c r="L103" s="34">
        <f>IFERROR(MAX($T$11+$T$12*LN(Table13567[[#This Row],[Frac ADV]]),0),0)*0.0001+0.005/Table13567[[#This Row],[Stock Price]]+Table13567[[#This Row],[Expense Ratio]]</f>
        <v>3.038619351261436E-3</v>
      </c>
      <c r="M103" s="68">
        <f>(Table13567[[#This Row],[Expected Return]]-Table13567[[#This Row],[Tcosts]])*Table13567[[#This Row],[Investment]]</f>
        <v>0</v>
      </c>
      <c r="Q103" s="16" t="s">
        <v>495</v>
      </c>
    </row>
    <row r="104" spans="1:17" ht="15.6" x14ac:dyDescent="0.3">
      <c r="A104" s="77" t="s">
        <v>324</v>
      </c>
      <c r="B104" s="73" t="s">
        <v>325</v>
      </c>
      <c r="C104" s="73">
        <v>151.69999999999999</v>
      </c>
      <c r="D104" s="85" t="s">
        <v>326</v>
      </c>
      <c r="E104" s="75">
        <v>5.0000000000000001E-4</v>
      </c>
      <c r="F104" s="73">
        <v>0.69</v>
      </c>
      <c r="G104" s="78">
        <v>125040000</v>
      </c>
      <c r="H104" s="3" t="b">
        <f t="shared" si="3"/>
        <v>0</v>
      </c>
      <c r="I104" s="26">
        <f>Table13567[[#This Row],[Tech]]*$T$7+Table13567[[#This Row],[Beta]]*($T$6-$T$8)+$T$8</f>
        <v>8.0283999999999994E-2</v>
      </c>
      <c r="J104" s="64">
        <f>0</f>
        <v>0</v>
      </c>
      <c r="K104" s="61">
        <f>Table13567[[#This Row],[Investment]]/Table13567[[#This Row],[Dollar Volume]]</f>
        <v>0</v>
      </c>
      <c r="L104" s="34">
        <f>IFERROR(MAX($T$11+$T$12*LN(Table13567[[#This Row],[Frac ADV]]),0),0)*0.0001+0.005/Table13567[[#This Row],[Stock Price]]+Table13567[[#This Row],[Expense Ratio]]</f>
        <v>5.3295978905735001E-4</v>
      </c>
      <c r="M104" s="68">
        <f>(Table13567[[#This Row],[Expected Return]]-Table13567[[#This Row],[Tcosts]])*Table13567[[#This Row],[Investment]]</f>
        <v>0</v>
      </c>
      <c r="Q104" s="13" t="s">
        <v>498</v>
      </c>
    </row>
    <row r="105" spans="1:17" ht="15.6" x14ac:dyDescent="0.3">
      <c r="A105" s="79" t="s">
        <v>543</v>
      </c>
      <c r="B105" s="74" t="s">
        <v>544</v>
      </c>
      <c r="C105" s="74">
        <v>89.17</v>
      </c>
      <c r="D105" s="86" t="s">
        <v>545</v>
      </c>
      <c r="E105" s="76">
        <v>4.0000000000000002E-4</v>
      </c>
      <c r="F105" s="74">
        <v>0.71</v>
      </c>
      <c r="G105" s="78">
        <v>224410000</v>
      </c>
      <c r="H105" s="3" t="b">
        <f t="shared" si="3"/>
        <v>0</v>
      </c>
      <c r="I105" s="26">
        <f>Table13567[[#This Row],[Tech]]*$T$7+Table13567[[#This Row],[Beta]]*($T$6-$T$8)+$T$8</f>
        <v>8.1556000000000003E-2</v>
      </c>
      <c r="J105" s="64">
        <f>0</f>
        <v>0</v>
      </c>
      <c r="K105" s="61">
        <f>Table13567[[#This Row],[Investment]]/Table13567[[#This Row],[Dollar Volume]]</f>
        <v>0</v>
      </c>
      <c r="L105" s="34">
        <f>IFERROR(MAX($T$11+$T$12*LN(Table13567[[#This Row],[Frac ADV]]),0),0)*0.0001+0.005/Table13567[[#This Row],[Stock Price]]+Table13567[[#This Row],[Expense Ratio]]</f>
        <v>4.5607267018055403E-4</v>
      </c>
      <c r="M105" s="68">
        <f>(Table13567[[#This Row],[Expected Return]]-Table13567[[#This Row],[Tcosts]])*Table13567[[#This Row],[Investment]]</f>
        <v>0</v>
      </c>
      <c r="Q105" s="16" t="s">
        <v>502</v>
      </c>
    </row>
    <row r="106" spans="1:17" ht="15.6" x14ac:dyDescent="0.3">
      <c r="A106" s="77" t="s">
        <v>507</v>
      </c>
      <c r="B106" s="73" t="s">
        <v>508</v>
      </c>
      <c r="C106" s="73">
        <v>222.21</v>
      </c>
      <c r="D106" s="85" t="s">
        <v>509</v>
      </c>
      <c r="E106" s="75">
        <v>1.8E-3</v>
      </c>
      <c r="F106" s="73">
        <v>0.75</v>
      </c>
      <c r="G106" s="78">
        <v>153360000</v>
      </c>
      <c r="H106" s="3" t="b">
        <f t="shared" si="3"/>
        <v>0</v>
      </c>
      <c r="I106" s="26">
        <f>Table13567[[#This Row],[Tech]]*$T$7+Table13567[[#This Row],[Beta]]*($T$6-$T$8)+$T$8</f>
        <v>8.4100000000000008E-2</v>
      </c>
      <c r="J106" s="64">
        <f>0</f>
        <v>0</v>
      </c>
      <c r="K106" s="61">
        <f>Table13567[[#This Row],[Investment]]/Table13567[[#This Row],[Dollar Volume]]</f>
        <v>0</v>
      </c>
      <c r="L106" s="34">
        <f>IFERROR(MAX($T$11+$T$12*LN(Table13567[[#This Row],[Frac ADV]]),0),0)*0.0001+0.005/Table13567[[#This Row],[Stock Price]]+Table13567[[#This Row],[Expense Ratio]]</f>
        <v>1.8225012375680662E-3</v>
      </c>
      <c r="M106" s="68">
        <f>(Table13567[[#This Row],[Expected Return]]-Table13567[[#This Row],[Tcosts]])*Table13567[[#This Row],[Investment]]</f>
        <v>0</v>
      </c>
      <c r="Q106" s="13" t="s">
        <v>506</v>
      </c>
    </row>
    <row r="107" spans="1:17" ht="15.6" x14ac:dyDescent="0.3">
      <c r="A107" s="79" t="s">
        <v>233</v>
      </c>
      <c r="B107" s="74" t="s">
        <v>234</v>
      </c>
      <c r="C107" s="74">
        <v>226.52</v>
      </c>
      <c r="D107" s="86" t="s">
        <v>235</v>
      </c>
      <c r="E107" s="76">
        <v>4.0000000000000002E-4</v>
      </c>
      <c r="F107" s="74">
        <v>0.78</v>
      </c>
      <c r="G107" s="78">
        <v>511880000</v>
      </c>
      <c r="H107" s="3" t="b">
        <f t="shared" si="3"/>
        <v>0</v>
      </c>
      <c r="I107" s="26">
        <f>Table13567[[#This Row],[Tech]]*$T$7+Table13567[[#This Row],[Beta]]*($T$6-$T$8)+$T$8</f>
        <v>8.6008000000000001E-2</v>
      </c>
      <c r="J107" s="64">
        <f>0</f>
        <v>0</v>
      </c>
      <c r="K107" s="61">
        <f>Table13567[[#This Row],[Investment]]/Table13567[[#This Row],[Dollar Volume]]</f>
        <v>0</v>
      </c>
      <c r="L107" s="34">
        <f>IFERROR(MAX($T$11+$T$12*LN(Table13567[[#This Row],[Frac ADV]]),0),0)*0.0001+0.005/Table13567[[#This Row],[Stock Price]]+Table13567[[#This Row],[Expense Ratio]]</f>
        <v>4.2207310612749429E-4</v>
      </c>
      <c r="M107" s="68">
        <f>(Table13567[[#This Row],[Expected Return]]-Table13567[[#This Row],[Tcosts]])*Table13567[[#This Row],[Investment]]</f>
        <v>0</v>
      </c>
      <c r="Q107" s="16" t="s">
        <v>510</v>
      </c>
    </row>
    <row r="108" spans="1:17" ht="15.6" x14ac:dyDescent="0.3">
      <c r="A108" s="77" t="s">
        <v>587</v>
      </c>
      <c r="B108" s="73" t="s">
        <v>588</v>
      </c>
      <c r="C108" s="73">
        <v>83.77</v>
      </c>
      <c r="D108" s="85" t="s">
        <v>589</v>
      </c>
      <c r="E108" s="75">
        <v>2.5000000000000001E-3</v>
      </c>
      <c r="F108" s="73">
        <v>0.73</v>
      </c>
      <c r="G108" s="78">
        <v>98130000</v>
      </c>
      <c r="H108" s="3" t="b">
        <f t="shared" si="3"/>
        <v>0</v>
      </c>
      <c r="I108" s="26">
        <f>Table13567[[#This Row],[Tech]]*$T$7+Table13567[[#This Row],[Beta]]*($T$6-$T$8)+$T$8</f>
        <v>8.2828000000000013E-2</v>
      </c>
      <c r="J108" s="64">
        <f>0</f>
        <v>0</v>
      </c>
      <c r="K108" s="61">
        <f>Table13567[[#This Row],[Investment]]/Table13567[[#This Row],[Dollar Volume]]</f>
        <v>0</v>
      </c>
      <c r="L108" s="34">
        <f>IFERROR(MAX($T$11+$T$12*LN(Table13567[[#This Row],[Frac ADV]]),0),0)*0.0001+0.005/Table13567[[#This Row],[Stock Price]]+Table13567[[#This Row],[Expense Ratio]]</f>
        <v>2.5596872388683302E-3</v>
      </c>
      <c r="M108" s="68">
        <f>(Table13567[[#This Row],[Expected Return]]-Table13567[[#This Row],[Tcosts]])*Table13567[[#This Row],[Investment]]</f>
        <v>0</v>
      </c>
      <c r="Q108" s="13" t="s">
        <v>514</v>
      </c>
    </row>
    <row r="109" spans="1:17" ht="15.6" x14ac:dyDescent="0.3">
      <c r="A109" s="79" t="s">
        <v>464</v>
      </c>
      <c r="B109" s="74" t="s">
        <v>465</v>
      </c>
      <c r="C109" s="74">
        <v>97.2</v>
      </c>
      <c r="D109" s="86" t="s">
        <v>466</v>
      </c>
      <c r="E109" s="76">
        <v>6.9999999999999999E-4</v>
      </c>
      <c r="F109" s="74">
        <v>0.73</v>
      </c>
      <c r="G109" s="78">
        <v>1900000000</v>
      </c>
      <c r="H109" s="3" t="b">
        <f t="shared" si="3"/>
        <v>0</v>
      </c>
      <c r="I109" s="26">
        <f>Table13567[[#This Row],[Tech]]*$T$7+Table13567[[#This Row],[Beta]]*($T$6-$T$8)+$T$8</f>
        <v>8.2828000000000013E-2</v>
      </c>
      <c r="J109" s="64">
        <f>0</f>
        <v>0</v>
      </c>
      <c r="K109" s="61">
        <f>Table13567[[#This Row],[Investment]]/Table13567[[#This Row],[Dollar Volume]]</f>
        <v>0</v>
      </c>
      <c r="L109" s="34">
        <f>IFERROR(MAX($T$11+$T$12*LN(Table13567[[#This Row],[Frac ADV]]),0),0)*0.0001+0.005/Table13567[[#This Row],[Stock Price]]+Table13567[[#This Row],[Expense Ratio]]</f>
        <v>7.5144032921810701E-4</v>
      </c>
      <c r="M109" s="68">
        <f>(Table13567[[#This Row],[Expected Return]]-Table13567[[#This Row],[Tcosts]])*Table13567[[#This Row],[Investment]]</f>
        <v>0</v>
      </c>
      <c r="Q109" s="16" t="s">
        <v>518</v>
      </c>
    </row>
    <row r="110" spans="1:17" ht="15.6" x14ac:dyDescent="0.3">
      <c r="A110" s="77" t="s">
        <v>527</v>
      </c>
      <c r="B110" s="73" t="s">
        <v>528</v>
      </c>
      <c r="C110" s="73">
        <v>150.43</v>
      </c>
      <c r="D110" s="85" t="s">
        <v>529</v>
      </c>
      <c r="E110" s="75">
        <v>2.3E-3</v>
      </c>
      <c r="F110" s="73">
        <v>0.77</v>
      </c>
      <c r="G110" s="78">
        <v>126450000</v>
      </c>
      <c r="H110" s="3" t="b">
        <f t="shared" si="3"/>
        <v>0</v>
      </c>
      <c r="I110" s="26">
        <f>Table13567[[#This Row],[Tech]]*$T$7+Table13567[[#This Row],[Beta]]*($T$6-$T$8)+$T$8</f>
        <v>8.5372000000000003E-2</v>
      </c>
      <c r="J110" s="64">
        <f>0</f>
        <v>0</v>
      </c>
      <c r="K110" s="61">
        <f>Table13567[[#This Row],[Investment]]/Table13567[[#This Row],[Dollar Volume]]</f>
        <v>0</v>
      </c>
      <c r="L110" s="34">
        <f>IFERROR(MAX($T$11+$T$12*LN(Table13567[[#This Row],[Frac ADV]]),0),0)*0.0001+0.005/Table13567[[#This Row],[Stock Price]]+Table13567[[#This Row],[Expense Ratio]]</f>
        <v>2.3332380509206939E-3</v>
      </c>
      <c r="M110" s="68">
        <f>(Table13567[[#This Row],[Expected Return]]-Table13567[[#This Row],[Tcosts]])*Table13567[[#This Row],[Investment]]</f>
        <v>0</v>
      </c>
      <c r="Q110" s="13" t="s">
        <v>522</v>
      </c>
    </row>
    <row r="111" spans="1:17" ht="15.6" x14ac:dyDescent="0.3">
      <c r="A111" s="79" t="s">
        <v>583</v>
      </c>
      <c r="B111" s="74" t="s">
        <v>584</v>
      </c>
      <c r="C111" s="74">
        <v>85.95</v>
      </c>
      <c r="D111" s="86" t="s">
        <v>585</v>
      </c>
      <c r="E111" s="76">
        <v>3.3E-3</v>
      </c>
      <c r="F111" s="74">
        <v>0.69</v>
      </c>
      <c r="G111" s="78">
        <v>140740000</v>
      </c>
      <c r="H111" s="3" t="b">
        <f t="shared" si="3"/>
        <v>0</v>
      </c>
      <c r="I111" s="26">
        <f>Table13567[[#This Row],[Tech]]*$T$7+Table13567[[#This Row],[Beta]]*($T$6-$T$8)+$T$8</f>
        <v>8.0283999999999994E-2</v>
      </c>
      <c r="J111" s="64">
        <f>0</f>
        <v>0</v>
      </c>
      <c r="K111" s="61">
        <f>Table13567[[#This Row],[Investment]]/Table13567[[#This Row],[Dollar Volume]]</f>
        <v>0</v>
      </c>
      <c r="L111" s="34">
        <f>IFERROR(MAX($T$11+$T$12*LN(Table13567[[#This Row],[Frac ADV]]),0),0)*0.0001+0.005/Table13567[[#This Row],[Stock Price]]+Table13567[[#This Row],[Expense Ratio]]</f>
        <v>3.3581733566026761E-3</v>
      </c>
      <c r="M111" s="68">
        <f>(Table13567[[#This Row],[Expected Return]]-Table13567[[#This Row],[Tcosts]])*Table13567[[#This Row],[Investment]]</f>
        <v>0</v>
      </c>
      <c r="Q111" s="16" t="s">
        <v>526</v>
      </c>
    </row>
    <row r="112" spans="1:17" ht="15.6" x14ac:dyDescent="0.3">
      <c r="A112" s="77" t="s">
        <v>424</v>
      </c>
      <c r="B112" s="73" t="s">
        <v>425</v>
      </c>
      <c r="C112" s="73">
        <v>31.85</v>
      </c>
      <c r="D112" s="85" t="s">
        <v>426</v>
      </c>
      <c r="E112" s="75">
        <v>4.0000000000000002E-4</v>
      </c>
      <c r="F112" s="73">
        <v>0.72</v>
      </c>
      <c r="G112" s="78">
        <v>3310000000</v>
      </c>
      <c r="H112" s="3" t="b">
        <f t="shared" si="3"/>
        <v>0</v>
      </c>
      <c r="I112" s="26">
        <f>Table13567[[#This Row],[Tech]]*$T$7+Table13567[[#This Row],[Beta]]*($T$6-$T$8)+$T$8</f>
        <v>8.2192000000000001E-2</v>
      </c>
      <c r="J112" s="64">
        <f>0</f>
        <v>0</v>
      </c>
      <c r="K112" s="61">
        <f>Table13567[[#This Row],[Investment]]/Table13567[[#This Row],[Dollar Volume]]</f>
        <v>0</v>
      </c>
      <c r="L112" s="34">
        <f>IFERROR(MAX($T$11+$T$12*LN(Table13567[[#This Row],[Frac ADV]]),0),0)*0.0001+0.005/Table13567[[#This Row],[Stock Price]]+Table13567[[#This Row],[Expense Ratio]]</f>
        <v>5.5698587127158555E-4</v>
      </c>
      <c r="M112" s="68">
        <f>(Table13567[[#This Row],[Expected Return]]-Table13567[[#This Row],[Tcosts]])*Table13567[[#This Row],[Investment]]</f>
        <v>0</v>
      </c>
      <c r="Q112" s="13" t="s">
        <v>530</v>
      </c>
    </row>
    <row r="113" spans="1:17" ht="15.6" x14ac:dyDescent="0.3">
      <c r="A113" s="79" t="s">
        <v>661</v>
      </c>
      <c r="B113" s="74" t="s">
        <v>662</v>
      </c>
      <c r="C113" s="74">
        <v>60.86</v>
      </c>
      <c r="D113" s="86" t="s">
        <v>663</v>
      </c>
      <c r="E113" s="76">
        <v>7.1999999999999998E-3</v>
      </c>
      <c r="F113" s="74">
        <v>0.71</v>
      </c>
      <c r="G113" s="78">
        <v>2060000000</v>
      </c>
      <c r="H113" s="3" t="b">
        <f t="shared" si="3"/>
        <v>0</v>
      </c>
      <c r="I113" s="26">
        <f>Table13567[[#This Row],[Tech]]*$T$7+Table13567[[#This Row],[Beta]]*($T$6-$T$8)+$T$8</f>
        <v>8.1556000000000003E-2</v>
      </c>
      <c r="J113" s="64">
        <f>0</f>
        <v>0</v>
      </c>
      <c r="K113" s="61">
        <f>Table13567[[#This Row],[Investment]]/Table13567[[#This Row],[Dollar Volume]]</f>
        <v>0</v>
      </c>
      <c r="L113" s="34">
        <f>IFERROR(MAX($T$11+$T$12*LN(Table13567[[#This Row],[Frac ADV]]),0),0)*0.0001+0.005/Table13567[[#This Row],[Stock Price]]+Table13567[[#This Row],[Expense Ratio]]</f>
        <v>7.2821557673348669E-3</v>
      </c>
      <c r="M113" s="68">
        <f>(Table13567[[#This Row],[Expected Return]]-Table13567[[#This Row],[Tcosts]])*Table13567[[#This Row],[Investment]]</f>
        <v>0</v>
      </c>
      <c r="Q113" s="16" t="s">
        <v>534</v>
      </c>
    </row>
    <row r="114" spans="1:17" ht="15.6" x14ac:dyDescent="0.3">
      <c r="A114" s="77" t="s">
        <v>480</v>
      </c>
      <c r="B114" s="73" t="s">
        <v>481</v>
      </c>
      <c r="C114" s="73">
        <v>154.59</v>
      </c>
      <c r="D114" s="85" t="s">
        <v>482</v>
      </c>
      <c r="E114" s="75">
        <v>4.0000000000000002E-4</v>
      </c>
      <c r="F114" s="73">
        <v>0.74</v>
      </c>
      <c r="G114" s="78">
        <v>70210000</v>
      </c>
      <c r="H114" s="3" t="b">
        <f t="shared" si="3"/>
        <v>0</v>
      </c>
      <c r="I114" s="26">
        <f>Table13567[[#This Row],[Tech]]*$T$7+Table13567[[#This Row],[Beta]]*($T$6-$T$8)+$T$8</f>
        <v>8.346400000000001E-2</v>
      </c>
      <c r="J114" s="64">
        <f>0</f>
        <v>0</v>
      </c>
      <c r="K114" s="61">
        <f>Table13567[[#This Row],[Investment]]/Table13567[[#This Row],[Dollar Volume]]</f>
        <v>0</v>
      </c>
      <c r="L114" s="34">
        <f>IFERROR(MAX($T$11+$T$12*LN(Table13567[[#This Row],[Frac ADV]]),0),0)*0.0001+0.005/Table13567[[#This Row],[Stock Price]]+Table13567[[#This Row],[Expense Ratio]]</f>
        <v>4.3234361860404946E-4</v>
      </c>
      <c r="M114" s="68">
        <f>(Table13567[[#This Row],[Expected Return]]-Table13567[[#This Row],[Tcosts]])*Table13567[[#This Row],[Investment]]</f>
        <v>0</v>
      </c>
      <c r="Q114" s="13" t="s">
        <v>538</v>
      </c>
    </row>
    <row r="115" spans="1:17" ht="15.6" x14ac:dyDescent="0.3">
      <c r="A115" s="79" t="s">
        <v>567</v>
      </c>
      <c r="B115" s="74" t="s">
        <v>568</v>
      </c>
      <c r="C115" s="74">
        <v>41.46</v>
      </c>
      <c r="D115" s="86" t="s">
        <v>569</v>
      </c>
      <c r="E115" s="76">
        <v>1.8E-3</v>
      </c>
      <c r="F115" s="74">
        <v>0.68</v>
      </c>
      <c r="G115" s="78">
        <v>86740000</v>
      </c>
      <c r="H115" s="3" t="b">
        <f t="shared" si="3"/>
        <v>0</v>
      </c>
      <c r="I115" s="26">
        <f>Table13567[[#This Row],[Tech]]*$T$7+Table13567[[#This Row],[Beta]]*($T$6-$T$8)+$T$8</f>
        <v>7.964800000000001E-2</v>
      </c>
      <c r="J115" s="64">
        <f>0</f>
        <v>0</v>
      </c>
      <c r="K115" s="61">
        <f>Table13567[[#This Row],[Investment]]/Table13567[[#This Row],[Dollar Volume]]</f>
        <v>0</v>
      </c>
      <c r="L115" s="34">
        <f>IFERROR(MAX($T$11+$T$12*LN(Table13567[[#This Row],[Frac ADV]]),0),0)*0.0001+0.005/Table13567[[#This Row],[Stock Price]]+Table13567[[#This Row],[Expense Ratio]]</f>
        <v>1.9205981669078629E-3</v>
      </c>
      <c r="M115" s="68">
        <f>(Table13567[[#This Row],[Expected Return]]-Table13567[[#This Row],[Tcosts]])*Table13567[[#This Row],[Investment]]</f>
        <v>0</v>
      </c>
      <c r="Q115" s="16" t="s">
        <v>542</v>
      </c>
    </row>
    <row r="116" spans="1:17" ht="15.6" x14ac:dyDescent="0.3">
      <c r="A116" s="79" t="s">
        <v>638</v>
      </c>
      <c r="B116" s="74" t="s">
        <v>639</v>
      </c>
      <c r="C116" s="74">
        <v>55.21</v>
      </c>
      <c r="D116" s="86" t="s">
        <v>640</v>
      </c>
      <c r="E116" s="76">
        <v>2.7000000000000001E-3</v>
      </c>
      <c r="F116" s="74">
        <v>0.67</v>
      </c>
      <c r="G116" s="78">
        <v>45870000</v>
      </c>
      <c r="H116" s="3" t="b">
        <f t="shared" si="3"/>
        <v>0</v>
      </c>
      <c r="I116" s="26">
        <f>Table13567[[#This Row],[Tech]]*$T$7+Table13567[[#This Row],[Beta]]*($T$6-$T$8)+$T$8</f>
        <v>7.9011999999999999E-2</v>
      </c>
      <c r="J116" s="64">
        <f>0</f>
        <v>0</v>
      </c>
      <c r="K116" s="61">
        <f>Table13567[[#This Row],[Investment]]/Table13567[[#This Row],[Dollar Volume]]</f>
        <v>0</v>
      </c>
      <c r="L116" s="34">
        <f>IFERROR(MAX($T$11+$T$12*LN(Table13567[[#This Row],[Frac ADV]]),0),0)*0.0001+0.005/Table13567[[#This Row],[Stock Price]]+Table13567[[#This Row],[Expense Ratio]]</f>
        <v>2.7905633037493211E-3</v>
      </c>
      <c r="M116" s="68">
        <f>(Table13567[[#This Row],[Expected Return]]-Table13567[[#This Row],[Tcosts]])*Table13567[[#This Row],[Investment]]</f>
        <v>0</v>
      </c>
      <c r="Q116" s="13" t="s">
        <v>546</v>
      </c>
    </row>
    <row r="117" spans="1:17" ht="15.6" x14ac:dyDescent="0.3">
      <c r="A117" s="79" t="s">
        <v>614</v>
      </c>
      <c r="B117" s="74" t="s">
        <v>615</v>
      </c>
      <c r="C117" s="74">
        <v>51.15</v>
      </c>
      <c r="D117" s="86" t="s">
        <v>616</v>
      </c>
      <c r="E117" s="76">
        <v>2.5000000000000001E-3</v>
      </c>
      <c r="F117" s="74">
        <v>0.67</v>
      </c>
      <c r="G117" s="78">
        <v>264190000</v>
      </c>
      <c r="H117" s="3" t="b">
        <f t="shared" si="3"/>
        <v>0</v>
      </c>
      <c r="I117" s="26">
        <f>Table13567[[#This Row],[Tech]]*$T$7+Table13567[[#This Row],[Beta]]*($T$6-$T$8)+$T$8</f>
        <v>7.9011999999999999E-2</v>
      </c>
      <c r="J117" s="64">
        <f>0</f>
        <v>0</v>
      </c>
      <c r="K117" s="61">
        <f>Table13567[[#This Row],[Investment]]/Table13567[[#This Row],[Dollar Volume]]</f>
        <v>0</v>
      </c>
      <c r="L117" s="34">
        <f>IFERROR(MAX($T$11+$T$12*LN(Table13567[[#This Row],[Frac ADV]]),0),0)*0.0001+0.005/Table13567[[#This Row],[Stock Price]]+Table13567[[#This Row],[Expense Ratio]]</f>
        <v>2.5977517106549365E-3</v>
      </c>
      <c r="M117" s="68">
        <f>(Table13567[[#This Row],[Expected Return]]-Table13567[[#This Row],[Tcosts]])*Table13567[[#This Row],[Investment]]</f>
        <v>0</v>
      </c>
      <c r="Q117" s="16" t="s">
        <v>550</v>
      </c>
    </row>
    <row r="118" spans="1:17" ht="15.6" x14ac:dyDescent="0.3">
      <c r="A118" s="79" t="s">
        <v>503</v>
      </c>
      <c r="B118" s="74" t="s">
        <v>504</v>
      </c>
      <c r="C118" s="74">
        <v>97.52</v>
      </c>
      <c r="D118" s="86" t="s">
        <v>505</v>
      </c>
      <c r="E118" s="76">
        <v>5.9999999999999995E-4</v>
      </c>
      <c r="F118" s="74">
        <v>0.76</v>
      </c>
      <c r="G118" s="78">
        <v>62990000</v>
      </c>
      <c r="H118" s="3" t="b">
        <f t="shared" si="3"/>
        <v>0</v>
      </c>
      <c r="I118" s="26">
        <f>Table13567[[#This Row],[Tech]]*$T$7+Table13567[[#This Row],[Beta]]*($T$6-$T$8)+$T$8</f>
        <v>8.4736000000000006E-2</v>
      </c>
      <c r="J118" s="64">
        <f>0</f>
        <v>0</v>
      </c>
      <c r="K118" s="61">
        <f>Table13567[[#This Row],[Investment]]/Table13567[[#This Row],[Dollar Volume]]</f>
        <v>0</v>
      </c>
      <c r="L118" s="34">
        <f>IFERROR(MAX($T$11+$T$12*LN(Table13567[[#This Row],[Frac ADV]]),0),0)*0.0001+0.005/Table13567[[#This Row],[Stock Price]]+Table13567[[#This Row],[Expense Ratio]]</f>
        <v>6.5127153404429851E-4</v>
      </c>
      <c r="M118" s="68">
        <f>(Table13567[[#This Row],[Expected Return]]-Table13567[[#This Row],[Tcosts]])*Table13567[[#This Row],[Investment]]</f>
        <v>0</v>
      </c>
      <c r="Q118" s="13" t="s">
        <v>554</v>
      </c>
    </row>
    <row r="119" spans="1:17" ht="15.6" x14ac:dyDescent="0.3">
      <c r="A119" s="77" t="s">
        <v>352</v>
      </c>
      <c r="B119" s="73" t="s">
        <v>353</v>
      </c>
      <c r="C119" s="73">
        <v>190.07</v>
      </c>
      <c r="D119" s="85" t="s">
        <v>354</v>
      </c>
      <c r="E119" s="75">
        <v>5.0000000000000001E-4</v>
      </c>
      <c r="F119" s="73">
        <v>0.69</v>
      </c>
      <c r="G119" s="78">
        <v>103250000</v>
      </c>
      <c r="H119" s="3" t="b">
        <f t="shared" si="3"/>
        <v>0</v>
      </c>
      <c r="I119" s="26">
        <f>Table13567[[#This Row],[Tech]]*$T$7+Table13567[[#This Row],[Beta]]*($T$6-$T$8)+$T$8</f>
        <v>8.0283999999999994E-2</v>
      </c>
      <c r="J119" s="64">
        <f>0</f>
        <v>0</v>
      </c>
      <c r="K119" s="61">
        <f>Table13567[[#This Row],[Investment]]/Table13567[[#This Row],[Dollar Volume]]</f>
        <v>0</v>
      </c>
      <c r="L119" s="34">
        <f>IFERROR(MAX($T$11+$T$12*LN(Table13567[[#This Row],[Frac ADV]]),0),0)*0.0001+0.005/Table13567[[#This Row],[Stock Price]]+Table13567[[#This Row],[Expense Ratio]]</f>
        <v>5.2630609775345923E-4</v>
      </c>
      <c r="M119" s="68">
        <f>(Table13567[[#This Row],[Expected Return]]-Table13567[[#This Row],[Tcosts]])*Table13567[[#This Row],[Investment]]</f>
        <v>0</v>
      </c>
      <c r="Q119" s="16" t="s">
        <v>558</v>
      </c>
    </row>
    <row r="120" spans="1:17" ht="15.6" x14ac:dyDescent="0.3">
      <c r="A120" s="79" t="s">
        <v>289</v>
      </c>
      <c r="B120" s="74" t="s">
        <v>290</v>
      </c>
      <c r="C120" s="74">
        <v>82.13</v>
      </c>
      <c r="D120" s="86" t="s">
        <v>291</v>
      </c>
      <c r="E120" s="76">
        <v>5.0000000000000001E-4</v>
      </c>
      <c r="F120" s="74">
        <v>0.7</v>
      </c>
      <c r="G120" s="78">
        <v>125690000</v>
      </c>
      <c r="H120" s="3" t="b">
        <f t="shared" si="3"/>
        <v>0</v>
      </c>
      <c r="I120" s="26">
        <f>Table13567[[#This Row],[Tech]]*$T$7+Table13567[[#This Row],[Beta]]*($T$6-$T$8)+$T$8</f>
        <v>8.0919999999999992E-2</v>
      </c>
      <c r="J120" s="64">
        <f>0</f>
        <v>0</v>
      </c>
      <c r="K120" s="61">
        <f>Table13567[[#This Row],[Investment]]/Table13567[[#This Row],[Dollar Volume]]</f>
        <v>0</v>
      </c>
      <c r="L120" s="34">
        <f>IFERROR(MAX($T$11+$T$12*LN(Table13567[[#This Row],[Frac ADV]]),0),0)*0.0001+0.005/Table13567[[#This Row],[Stock Price]]+Table13567[[#This Row],[Expense Ratio]]</f>
        <v>5.6087909411907952E-4</v>
      </c>
      <c r="M120" s="68">
        <f>(Table13567[[#This Row],[Expected Return]]-Table13567[[#This Row],[Tcosts]])*Table13567[[#This Row],[Investment]]</f>
        <v>0</v>
      </c>
      <c r="Q120" s="13" t="s">
        <v>562</v>
      </c>
    </row>
    <row r="121" spans="1:17" ht="15.6" x14ac:dyDescent="0.3">
      <c r="A121" s="79" t="s">
        <v>535</v>
      </c>
      <c r="B121" s="74" t="s">
        <v>536</v>
      </c>
      <c r="C121" s="74">
        <v>35.200000000000003</v>
      </c>
      <c r="D121" s="86" t="s">
        <v>537</v>
      </c>
      <c r="E121" s="76">
        <v>6.9999999999999999E-4</v>
      </c>
      <c r="F121" s="74">
        <v>0.67</v>
      </c>
      <c r="G121" s="78">
        <v>327520000</v>
      </c>
      <c r="H121" s="3" t="b">
        <f t="shared" si="3"/>
        <v>0</v>
      </c>
      <c r="I121" s="26">
        <f>Table13567[[#This Row],[Tech]]*$T$7+Table13567[[#This Row],[Beta]]*($T$6-$T$8)+$T$8</f>
        <v>7.9011999999999999E-2</v>
      </c>
      <c r="J121" s="64">
        <f>0</f>
        <v>0</v>
      </c>
      <c r="K121" s="61">
        <f>Table13567[[#This Row],[Investment]]/Table13567[[#This Row],[Dollar Volume]]</f>
        <v>0</v>
      </c>
      <c r="L121" s="34">
        <f>IFERROR(MAX($T$11+$T$12*LN(Table13567[[#This Row],[Frac ADV]]),0),0)*0.0001+0.005/Table13567[[#This Row],[Stock Price]]+Table13567[[#This Row],[Expense Ratio]]</f>
        <v>8.4204545454545448E-4</v>
      </c>
      <c r="M121" s="68">
        <f>(Table13567[[#This Row],[Expected Return]]-Table13567[[#This Row],[Tcosts]])*Table13567[[#This Row],[Investment]]</f>
        <v>0</v>
      </c>
      <c r="Q121" s="16" t="s">
        <v>566</v>
      </c>
    </row>
    <row r="122" spans="1:17" ht="15.6" x14ac:dyDescent="0.3">
      <c r="A122" s="79" t="s">
        <v>511</v>
      </c>
      <c r="B122" s="74" t="s">
        <v>512</v>
      </c>
      <c r="C122" s="74">
        <v>80.260000000000005</v>
      </c>
      <c r="D122" s="86" t="s">
        <v>513</v>
      </c>
      <c r="E122" s="76">
        <v>4.0000000000000002E-4</v>
      </c>
      <c r="F122" s="74">
        <v>0.69</v>
      </c>
      <c r="G122" s="78">
        <v>253220000</v>
      </c>
      <c r="H122" s="3" t="b">
        <f t="shared" si="3"/>
        <v>0</v>
      </c>
      <c r="I122" s="26">
        <f>Table13567[[#This Row],[Tech]]*$T$7+Table13567[[#This Row],[Beta]]*($T$6-$T$8)+$T$8</f>
        <v>8.0283999999999994E-2</v>
      </c>
      <c r="J122" s="64">
        <f>0</f>
        <v>0</v>
      </c>
      <c r="K122" s="61">
        <f>Table13567[[#This Row],[Investment]]/Table13567[[#This Row],[Dollar Volume]]</f>
        <v>0</v>
      </c>
      <c r="L122" s="34">
        <f>IFERROR(MAX($T$11+$T$12*LN(Table13567[[#This Row],[Frac ADV]]),0),0)*0.0001+0.005/Table13567[[#This Row],[Stock Price]]+Table13567[[#This Row],[Expense Ratio]]</f>
        <v>4.6229753301769251E-4</v>
      </c>
      <c r="M122" s="68">
        <f>(Table13567[[#This Row],[Expected Return]]-Table13567[[#This Row],[Tcosts]])*Table13567[[#This Row],[Investment]]</f>
        <v>0</v>
      </c>
      <c r="Q122" s="13" t="s">
        <v>570</v>
      </c>
    </row>
    <row r="123" spans="1:17" ht="15.6" x14ac:dyDescent="0.3">
      <c r="A123" s="77" t="s">
        <v>484</v>
      </c>
      <c r="B123" s="73" t="s">
        <v>485</v>
      </c>
      <c r="C123" s="73">
        <v>26.4</v>
      </c>
      <c r="D123" s="85" t="s">
        <v>486</v>
      </c>
      <c r="E123" s="75">
        <v>2.9999999999999997E-4</v>
      </c>
      <c r="F123" s="73">
        <v>0.72</v>
      </c>
      <c r="G123" s="78">
        <v>135250000</v>
      </c>
      <c r="H123" s="3" t="b">
        <f t="shared" si="3"/>
        <v>0</v>
      </c>
      <c r="I123" s="26">
        <f>Table13567[[#This Row],[Tech]]*$T$7+Table13567[[#This Row],[Beta]]*($T$6-$T$8)+$T$8</f>
        <v>8.2192000000000001E-2</v>
      </c>
      <c r="J123" s="64">
        <f>0</f>
        <v>0</v>
      </c>
      <c r="K123" s="61">
        <f>Table13567[[#This Row],[Investment]]/Table13567[[#This Row],[Dollar Volume]]</f>
        <v>0</v>
      </c>
      <c r="L123" s="34">
        <f>IFERROR(MAX($T$11+$T$12*LN(Table13567[[#This Row],[Frac ADV]]),0),0)*0.0001+0.005/Table13567[[#This Row],[Stock Price]]+Table13567[[#This Row],[Expense Ratio]]</f>
        <v>4.8939393939393945E-4</v>
      </c>
      <c r="M123" s="68">
        <f>(Table13567[[#This Row],[Expected Return]]-Table13567[[#This Row],[Tcosts]])*Table13567[[#This Row],[Investment]]</f>
        <v>0</v>
      </c>
      <c r="Q123" s="16" t="s">
        <v>574</v>
      </c>
    </row>
    <row r="124" spans="1:17" ht="15.6" x14ac:dyDescent="0.3">
      <c r="A124" s="79" t="s">
        <v>496</v>
      </c>
      <c r="B124" s="74" t="s">
        <v>497</v>
      </c>
      <c r="C124" s="74">
        <v>56.91</v>
      </c>
      <c r="D124" s="86" t="s">
        <v>430</v>
      </c>
      <c r="E124" s="76">
        <v>2.5000000000000001E-3</v>
      </c>
      <c r="F124" s="74">
        <v>0.57999999999999996</v>
      </c>
      <c r="G124" s="78">
        <v>161370000</v>
      </c>
      <c r="H124" s="3" t="b">
        <f t="shared" si="3"/>
        <v>0</v>
      </c>
      <c r="I124" s="26">
        <f>Table13567[[#This Row],[Tech]]*$T$7+Table13567[[#This Row],[Beta]]*($T$6-$T$8)+$T$8</f>
        <v>7.3287999999999992E-2</v>
      </c>
      <c r="J124" s="64">
        <f>0</f>
        <v>0</v>
      </c>
      <c r="K124" s="61">
        <f>Table13567[[#This Row],[Investment]]/Table13567[[#This Row],[Dollar Volume]]</f>
        <v>0</v>
      </c>
      <c r="L124" s="34">
        <f>IFERROR(MAX($T$11+$T$12*LN(Table13567[[#This Row],[Frac ADV]]),0),0)*0.0001+0.005/Table13567[[#This Row],[Stock Price]]+Table13567[[#This Row],[Expense Ratio]]</f>
        <v>2.5878580214373573E-3</v>
      </c>
      <c r="M124" s="68">
        <f>(Table13567[[#This Row],[Expected Return]]-Table13567[[#This Row],[Tcosts]])*Table13567[[#This Row],[Investment]]</f>
        <v>0</v>
      </c>
      <c r="Q124" s="13" t="s">
        <v>578</v>
      </c>
    </row>
    <row r="125" spans="1:17" ht="15.6" x14ac:dyDescent="0.3">
      <c r="A125" s="79" t="s">
        <v>555</v>
      </c>
      <c r="B125" s="74" t="s">
        <v>556</v>
      </c>
      <c r="C125" s="74">
        <v>48.65</v>
      </c>
      <c r="D125" s="86" t="s">
        <v>557</v>
      </c>
      <c r="E125" s="76">
        <v>2.9999999999999997E-4</v>
      </c>
      <c r="F125" s="74">
        <v>0.69</v>
      </c>
      <c r="G125" s="78">
        <v>132770000</v>
      </c>
      <c r="H125" s="3" t="b">
        <f t="shared" si="3"/>
        <v>0</v>
      </c>
      <c r="I125" s="26">
        <f>Table13567[[#This Row],[Tech]]*$T$7+Table13567[[#This Row],[Beta]]*($T$6-$T$8)+$T$8</f>
        <v>8.0283999999999994E-2</v>
      </c>
      <c r="J125" s="64">
        <f>0</f>
        <v>0</v>
      </c>
      <c r="K125" s="61">
        <f>Table13567[[#This Row],[Investment]]/Table13567[[#This Row],[Dollar Volume]]</f>
        <v>0</v>
      </c>
      <c r="L125" s="34">
        <f>IFERROR(MAX($T$11+$T$12*LN(Table13567[[#This Row],[Frac ADV]]),0),0)*0.0001+0.005/Table13567[[#This Row],[Stock Price]]+Table13567[[#This Row],[Expense Ratio]]</f>
        <v>4.0277492291880779E-4</v>
      </c>
      <c r="M125" s="68">
        <f>(Table13567[[#This Row],[Expected Return]]-Table13567[[#This Row],[Tcosts]])*Table13567[[#This Row],[Investment]]</f>
        <v>0</v>
      </c>
      <c r="Q125" s="16" t="s">
        <v>582</v>
      </c>
    </row>
    <row r="126" spans="1:17" ht="15.6" x14ac:dyDescent="0.3">
      <c r="A126" s="79" t="s">
        <v>539</v>
      </c>
      <c r="B126" s="74" t="s">
        <v>540</v>
      </c>
      <c r="C126" s="74">
        <v>68.5</v>
      </c>
      <c r="D126" s="86" t="s">
        <v>541</v>
      </c>
      <c r="E126" s="76">
        <v>2.9999999999999997E-4</v>
      </c>
      <c r="F126" s="74">
        <v>0.71</v>
      </c>
      <c r="G126" s="78">
        <v>134650000</v>
      </c>
      <c r="H126" s="3" t="b">
        <f t="shared" si="3"/>
        <v>0</v>
      </c>
      <c r="I126" s="26">
        <f>Table13567[[#This Row],[Tech]]*$T$7+Table13567[[#This Row],[Beta]]*($T$6-$T$8)+$T$8</f>
        <v>8.1556000000000003E-2</v>
      </c>
      <c r="J126" s="64">
        <f>0</f>
        <v>0</v>
      </c>
      <c r="K126" s="61">
        <f>Table13567[[#This Row],[Investment]]/Table13567[[#This Row],[Dollar Volume]]</f>
        <v>0</v>
      </c>
      <c r="L126" s="34">
        <f>IFERROR(MAX($T$11+$T$12*LN(Table13567[[#This Row],[Frac ADV]]),0),0)*0.0001+0.005/Table13567[[#This Row],[Stock Price]]+Table13567[[#This Row],[Expense Ratio]]</f>
        <v>3.7299270072992699E-4</v>
      </c>
      <c r="M126" s="68">
        <f>(Table13567[[#This Row],[Expected Return]]-Table13567[[#This Row],[Tcosts]])*Table13567[[#This Row],[Investment]]</f>
        <v>0</v>
      </c>
      <c r="Q126" s="13" t="s">
        <v>586</v>
      </c>
    </row>
    <row r="127" spans="1:17" ht="15.6" x14ac:dyDescent="0.3">
      <c r="A127" s="79" t="s">
        <v>634</v>
      </c>
      <c r="B127" s="74" t="s">
        <v>635</v>
      </c>
      <c r="C127" s="74">
        <v>48.43</v>
      </c>
      <c r="D127" s="86" t="s">
        <v>636</v>
      </c>
      <c r="E127" s="76">
        <v>3.0000000000000001E-3</v>
      </c>
      <c r="F127" s="74">
        <v>0.67</v>
      </c>
      <c r="G127" s="78">
        <v>97020000</v>
      </c>
      <c r="H127" s="3" t="b">
        <f t="shared" si="3"/>
        <v>0</v>
      </c>
      <c r="I127" s="26">
        <f>Table13567[[#This Row],[Tech]]*$T$7+Table13567[[#This Row],[Beta]]*($T$6-$T$8)+$T$8</f>
        <v>7.9011999999999999E-2</v>
      </c>
      <c r="J127" s="64">
        <f>0</f>
        <v>0</v>
      </c>
      <c r="K127" s="61">
        <f>Table13567[[#This Row],[Investment]]/Table13567[[#This Row],[Dollar Volume]]</f>
        <v>0</v>
      </c>
      <c r="L127" s="34">
        <f>IFERROR(MAX($T$11+$T$12*LN(Table13567[[#This Row],[Frac ADV]]),0),0)*0.0001+0.005/Table13567[[#This Row],[Stock Price]]+Table13567[[#This Row],[Expense Ratio]]</f>
        <v>3.1032417922775141E-3</v>
      </c>
      <c r="M127" s="68">
        <f>(Table13567[[#This Row],[Expected Return]]-Table13567[[#This Row],[Tcosts]])*Table13567[[#This Row],[Investment]]</f>
        <v>0</v>
      </c>
      <c r="Q127" s="16" t="s">
        <v>590</v>
      </c>
    </row>
    <row r="128" spans="1:17" ht="15.6" x14ac:dyDescent="0.3">
      <c r="A128" s="79" t="s">
        <v>499</v>
      </c>
      <c r="B128" s="74" t="s">
        <v>500</v>
      </c>
      <c r="C128" s="74">
        <v>204.61</v>
      </c>
      <c r="D128" s="86" t="s">
        <v>501</v>
      </c>
      <c r="E128" s="76">
        <v>2.9999999999999997E-4</v>
      </c>
      <c r="F128" s="74">
        <v>0.69</v>
      </c>
      <c r="G128" s="78">
        <v>55380000</v>
      </c>
      <c r="H128" s="3" t="b">
        <f t="shared" si="3"/>
        <v>0</v>
      </c>
      <c r="I128" s="26">
        <f>Table13567[[#This Row],[Tech]]*$T$7+Table13567[[#This Row],[Beta]]*($T$6-$T$8)+$T$8</f>
        <v>8.0283999999999994E-2</v>
      </c>
      <c r="J128" s="64">
        <f>0</f>
        <v>0</v>
      </c>
      <c r="K128" s="61">
        <f>Table13567[[#This Row],[Investment]]/Table13567[[#This Row],[Dollar Volume]]</f>
        <v>0</v>
      </c>
      <c r="L128" s="34">
        <f>IFERROR(MAX($T$11+$T$12*LN(Table13567[[#This Row],[Frac ADV]]),0),0)*0.0001+0.005/Table13567[[#This Row],[Stock Price]]+Table13567[[#This Row],[Expense Ratio]]</f>
        <v>3.2443673329749276E-4</v>
      </c>
      <c r="M128" s="68">
        <f>(Table13567[[#This Row],[Expected Return]]-Table13567[[#This Row],[Tcosts]])*Table13567[[#This Row],[Investment]]</f>
        <v>0</v>
      </c>
      <c r="Q128" s="13" t="s">
        <v>594</v>
      </c>
    </row>
    <row r="129" spans="1:17" ht="15.6" x14ac:dyDescent="0.3">
      <c r="A129" s="77" t="s">
        <v>408</v>
      </c>
      <c r="B129" s="73" t="s">
        <v>409</v>
      </c>
      <c r="C129" s="73">
        <v>156.38999999999999</v>
      </c>
      <c r="D129" s="85" t="s">
        <v>410</v>
      </c>
      <c r="E129" s="75">
        <v>5.9999999999999995E-4</v>
      </c>
      <c r="F129" s="73">
        <v>0.68</v>
      </c>
      <c r="G129" s="78">
        <v>90940000</v>
      </c>
      <c r="H129" s="3" t="b">
        <f t="shared" si="3"/>
        <v>0</v>
      </c>
      <c r="I129" s="26">
        <f>Table13567[[#This Row],[Tech]]*$T$7+Table13567[[#This Row],[Beta]]*($T$6-$T$8)+$T$8</f>
        <v>7.964800000000001E-2</v>
      </c>
      <c r="J129" s="64">
        <f>0</f>
        <v>0</v>
      </c>
      <c r="K129" s="61">
        <f>Table13567[[#This Row],[Investment]]/Table13567[[#This Row],[Dollar Volume]]</f>
        <v>0</v>
      </c>
      <c r="L129" s="34">
        <f>IFERROR(MAX($T$11+$T$12*LN(Table13567[[#This Row],[Frac ADV]]),0),0)*0.0001+0.005/Table13567[[#This Row],[Stock Price]]+Table13567[[#This Row],[Expense Ratio]]</f>
        <v>6.319713536671142E-4</v>
      </c>
      <c r="M129" s="68">
        <f>(Table13567[[#This Row],[Expected Return]]-Table13567[[#This Row],[Tcosts]])*Table13567[[#This Row],[Investment]]</f>
        <v>0</v>
      </c>
      <c r="Q129" s="16" t="s">
        <v>598</v>
      </c>
    </row>
    <row r="130" spans="1:17" ht="15.6" x14ac:dyDescent="0.3">
      <c r="A130" s="79" t="s">
        <v>579</v>
      </c>
      <c r="B130" s="74" t="s">
        <v>580</v>
      </c>
      <c r="C130" s="74">
        <v>88.75</v>
      </c>
      <c r="D130" s="86" t="s">
        <v>581</v>
      </c>
      <c r="E130" s="76">
        <v>5.9999999999999995E-4</v>
      </c>
      <c r="F130" s="74">
        <v>0.68</v>
      </c>
      <c r="G130" s="78">
        <v>956440000</v>
      </c>
      <c r="H130" s="3" t="b">
        <f t="shared" ref="H130:H161" si="4">OR(
  ISNUMBER(SEARCH("technology",B130)),
  ISNUMBER(SEARCH("tech",B130)),
  ISNUMBER(SEARCH("qqq",B130)),
  ISNUMBER(SEARCH("semiconductor",B130)),
  ISNUMBER(SEARCH("information technology",B130)),
  ISNUMBER(SEARCH("nasdaq",B130)),
  ISNUMBER(SEARCH("communication",B130))
)</f>
        <v>0</v>
      </c>
      <c r="I130" s="26">
        <f>Table13567[[#This Row],[Tech]]*$T$7+Table13567[[#This Row],[Beta]]*($T$6-$T$8)+$T$8</f>
        <v>7.964800000000001E-2</v>
      </c>
      <c r="J130" s="64">
        <f>0</f>
        <v>0</v>
      </c>
      <c r="K130" s="61">
        <f>Table13567[[#This Row],[Investment]]/Table13567[[#This Row],[Dollar Volume]]</f>
        <v>0</v>
      </c>
      <c r="L130" s="34">
        <f>IFERROR(MAX($T$11+$T$12*LN(Table13567[[#This Row],[Frac ADV]]),0),0)*0.0001+0.005/Table13567[[#This Row],[Stock Price]]+Table13567[[#This Row],[Expense Ratio]]</f>
        <v>6.5633802816901401E-4</v>
      </c>
      <c r="M130" s="68">
        <f>(Table13567[[#This Row],[Expected Return]]-Table13567[[#This Row],[Tcosts]])*Table13567[[#This Row],[Investment]]</f>
        <v>0</v>
      </c>
      <c r="Q130" s="13" t="s">
        <v>601</v>
      </c>
    </row>
    <row r="131" spans="1:17" ht="15.6" x14ac:dyDescent="0.3">
      <c r="A131" s="79" t="s">
        <v>448</v>
      </c>
      <c r="B131" s="74" t="s">
        <v>449</v>
      </c>
      <c r="C131" s="74">
        <v>85.05</v>
      </c>
      <c r="D131" s="86" t="s">
        <v>450</v>
      </c>
      <c r="E131" s="76">
        <v>4.0000000000000001E-3</v>
      </c>
      <c r="F131" s="74">
        <v>0.71</v>
      </c>
      <c r="G131" s="78">
        <v>392540000</v>
      </c>
      <c r="H131" s="3" t="b">
        <f t="shared" si="4"/>
        <v>0</v>
      </c>
      <c r="I131" s="26">
        <f>Table13567[[#This Row],[Tech]]*$T$7+Table13567[[#This Row],[Beta]]*($T$6-$T$8)+$T$8</f>
        <v>8.1556000000000003E-2</v>
      </c>
      <c r="J131" s="64">
        <f>0</f>
        <v>0</v>
      </c>
      <c r="K131" s="61">
        <f>Table13567[[#This Row],[Investment]]/Table13567[[#This Row],[Dollar Volume]]</f>
        <v>0</v>
      </c>
      <c r="L131" s="34">
        <f>IFERROR(MAX($T$11+$T$12*LN(Table13567[[#This Row],[Frac ADV]]),0),0)*0.0001+0.005/Table13567[[#This Row],[Stock Price]]+Table13567[[#This Row],[Expense Ratio]]</f>
        <v>4.0587889476778371E-3</v>
      </c>
      <c r="M131" s="68">
        <f>(Table13567[[#This Row],[Expected Return]]-Table13567[[#This Row],[Tcosts]])*Table13567[[#This Row],[Investment]]</f>
        <v>0</v>
      </c>
      <c r="Q131" s="16" t="s">
        <v>605</v>
      </c>
    </row>
    <row r="132" spans="1:17" ht="15.6" x14ac:dyDescent="0.3">
      <c r="A132" s="79" t="s">
        <v>650</v>
      </c>
      <c r="B132" s="74" t="s">
        <v>651</v>
      </c>
      <c r="C132" s="74">
        <v>78.88</v>
      </c>
      <c r="D132" s="86" t="s">
        <v>652</v>
      </c>
      <c r="E132" s="76">
        <v>3.3E-3</v>
      </c>
      <c r="F132" s="74">
        <v>0.61</v>
      </c>
      <c r="G132" s="78">
        <v>174030000</v>
      </c>
      <c r="H132" s="3" t="b">
        <f t="shared" si="4"/>
        <v>0</v>
      </c>
      <c r="I132" s="26">
        <f>Table13567[[#This Row],[Tech]]*$T$7+Table13567[[#This Row],[Beta]]*($T$6-$T$8)+$T$8</f>
        <v>7.5196000000000013E-2</v>
      </c>
      <c r="J132" s="64">
        <f>0</f>
        <v>0</v>
      </c>
      <c r="K132" s="61">
        <f>Table13567[[#This Row],[Investment]]/Table13567[[#This Row],[Dollar Volume]]</f>
        <v>0</v>
      </c>
      <c r="L132" s="34">
        <f>IFERROR(MAX($T$11+$T$12*LN(Table13567[[#This Row],[Frac ADV]]),0),0)*0.0001+0.005/Table13567[[#This Row],[Stock Price]]+Table13567[[#This Row],[Expense Ratio]]</f>
        <v>3.3633874239350913E-3</v>
      </c>
      <c r="M132" s="68">
        <f>(Table13567[[#This Row],[Expected Return]]-Table13567[[#This Row],[Tcosts]])*Table13567[[#This Row],[Investment]]</f>
        <v>0</v>
      </c>
      <c r="Q132" s="13" t="s">
        <v>609</v>
      </c>
    </row>
    <row r="133" spans="1:17" ht="15.6" x14ac:dyDescent="0.3">
      <c r="A133" s="79" t="s">
        <v>559</v>
      </c>
      <c r="B133" s="74" t="s">
        <v>560</v>
      </c>
      <c r="C133" s="74">
        <v>57.76</v>
      </c>
      <c r="D133" s="86" t="s">
        <v>561</v>
      </c>
      <c r="E133" s="76">
        <v>5.9999999999999995E-4</v>
      </c>
      <c r="F133" s="74">
        <v>0.66</v>
      </c>
      <c r="G133" s="78">
        <v>229180000</v>
      </c>
      <c r="H133" s="3" t="b">
        <f t="shared" si="4"/>
        <v>0</v>
      </c>
      <c r="I133" s="26">
        <f>Table13567[[#This Row],[Tech]]*$T$7+Table13567[[#This Row],[Beta]]*($T$6-$T$8)+$T$8</f>
        <v>7.8376000000000001E-2</v>
      </c>
      <c r="J133" s="64">
        <f>0</f>
        <v>0</v>
      </c>
      <c r="K133" s="61">
        <f>Table13567[[#This Row],[Investment]]/Table13567[[#This Row],[Dollar Volume]]</f>
        <v>0</v>
      </c>
      <c r="L133" s="34">
        <f>IFERROR(MAX($T$11+$T$12*LN(Table13567[[#This Row],[Frac ADV]]),0),0)*0.0001+0.005/Table13567[[#This Row],[Stock Price]]+Table13567[[#This Row],[Expense Ratio]]</f>
        <v>6.8656509695290858E-4</v>
      </c>
      <c r="M133" s="68">
        <f>(Table13567[[#This Row],[Expected Return]]-Table13567[[#This Row],[Tcosts]])*Table13567[[#This Row],[Investment]]</f>
        <v>0</v>
      </c>
      <c r="Q133" s="16" t="s">
        <v>613</v>
      </c>
    </row>
    <row r="134" spans="1:17" ht="15.6" x14ac:dyDescent="0.3">
      <c r="A134" s="79" t="s">
        <v>456</v>
      </c>
      <c r="B134" s="74" t="s">
        <v>457</v>
      </c>
      <c r="C134" s="74">
        <v>67.73</v>
      </c>
      <c r="D134" s="86" t="s">
        <v>458</v>
      </c>
      <c r="E134" s="76">
        <v>5.0000000000000001E-3</v>
      </c>
      <c r="F134" s="74">
        <v>0.66</v>
      </c>
      <c r="G134" s="78">
        <v>91260000</v>
      </c>
      <c r="H134" s="3" t="b">
        <f t="shared" si="4"/>
        <v>0</v>
      </c>
      <c r="I134" s="26">
        <f>Table13567[[#This Row],[Tech]]*$T$7+Table13567[[#This Row],[Beta]]*($T$6-$T$8)+$T$8</f>
        <v>7.8376000000000001E-2</v>
      </c>
      <c r="J134" s="64">
        <f>0</f>
        <v>0</v>
      </c>
      <c r="K134" s="61">
        <f>Table13567[[#This Row],[Investment]]/Table13567[[#This Row],[Dollar Volume]]</f>
        <v>0</v>
      </c>
      <c r="L134" s="34">
        <f>IFERROR(MAX($T$11+$T$12*LN(Table13567[[#This Row],[Frac ADV]]),0),0)*0.0001+0.005/Table13567[[#This Row],[Stock Price]]+Table13567[[#This Row],[Expense Ratio]]</f>
        <v>5.0738225306363504E-3</v>
      </c>
      <c r="M134" s="68">
        <f>(Table13567[[#This Row],[Expected Return]]-Table13567[[#This Row],[Tcosts]])*Table13567[[#This Row],[Investment]]</f>
        <v>0</v>
      </c>
      <c r="Q134" s="13" t="s">
        <v>617</v>
      </c>
    </row>
    <row r="135" spans="1:17" ht="15.6" x14ac:dyDescent="0.3">
      <c r="A135" s="77" t="s">
        <v>630</v>
      </c>
      <c r="B135" s="73" t="s">
        <v>631</v>
      </c>
      <c r="C135" s="73">
        <v>156.34</v>
      </c>
      <c r="D135" s="85" t="s">
        <v>632</v>
      </c>
      <c r="E135" s="75">
        <v>3.8E-3</v>
      </c>
      <c r="F135" s="73">
        <v>0.61</v>
      </c>
      <c r="G135" s="78">
        <v>96950000</v>
      </c>
      <c r="H135" s="3" t="b">
        <f t="shared" si="4"/>
        <v>0</v>
      </c>
      <c r="I135" s="26">
        <f>Table13567[[#This Row],[Tech]]*$T$7+Table13567[[#This Row],[Beta]]*($T$6-$T$8)+$T$8</f>
        <v>7.5196000000000013E-2</v>
      </c>
      <c r="J135" s="64">
        <f>0</f>
        <v>0</v>
      </c>
      <c r="K135" s="61">
        <f>Table13567[[#This Row],[Investment]]/Table13567[[#This Row],[Dollar Volume]]</f>
        <v>0</v>
      </c>
      <c r="L135" s="34">
        <f>IFERROR(MAX($T$11+$T$12*LN(Table13567[[#This Row],[Frac ADV]]),0),0)*0.0001+0.005/Table13567[[#This Row],[Stock Price]]+Table13567[[#This Row],[Expense Ratio]]</f>
        <v>3.83198157861072E-3</v>
      </c>
      <c r="M135" s="68">
        <f>(Table13567[[#This Row],[Expected Return]]-Table13567[[#This Row],[Tcosts]])*Table13567[[#This Row],[Investment]]</f>
        <v>0</v>
      </c>
      <c r="Q135" s="16" t="s">
        <v>621</v>
      </c>
    </row>
    <row r="136" spans="1:17" ht="15.6" x14ac:dyDescent="0.3">
      <c r="A136" s="77" t="s">
        <v>575</v>
      </c>
      <c r="B136" s="73" t="s">
        <v>576</v>
      </c>
      <c r="C136" s="73">
        <v>50.29</v>
      </c>
      <c r="D136" s="85" t="s">
        <v>577</v>
      </c>
      <c r="E136" s="75">
        <v>6.9999999999999999E-4</v>
      </c>
      <c r="F136" s="73">
        <v>0.64</v>
      </c>
      <c r="G136" s="78">
        <v>54550000</v>
      </c>
      <c r="H136" s="3" t="b">
        <f t="shared" si="4"/>
        <v>0</v>
      </c>
      <c r="I136" s="26">
        <f>Table13567[[#This Row],[Tech]]*$T$7+Table13567[[#This Row],[Beta]]*($T$6-$T$8)+$T$8</f>
        <v>7.7104000000000006E-2</v>
      </c>
      <c r="J136" s="64">
        <f>0</f>
        <v>0</v>
      </c>
      <c r="K136" s="61">
        <f>Table13567[[#This Row],[Investment]]/Table13567[[#This Row],[Dollar Volume]]</f>
        <v>0</v>
      </c>
      <c r="L136" s="34">
        <f>IFERROR(MAX($T$11+$T$12*LN(Table13567[[#This Row],[Frac ADV]]),0),0)*0.0001+0.005/Table13567[[#This Row],[Stock Price]]+Table13567[[#This Row],[Expense Ratio]]</f>
        <v>7.9942334460131239E-4</v>
      </c>
      <c r="M136" s="68">
        <f>(Table13567[[#This Row],[Expected Return]]-Table13567[[#This Row],[Tcosts]])*Table13567[[#This Row],[Investment]]</f>
        <v>0</v>
      </c>
      <c r="Q136" s="13" t="s">
        <v>625</v>
      </c>
    </row>
    <row r="137" spans="1:17" ht="15.6" x14ac:dyDescent="0.3">
      <c r="A137" s="79" t="s">
        <v>622</v>
      </c>
      <c r="B137" s="74" t="s">
        <v>623</v>
      </c>
      <c r="C137" s="74">
        <v>37.049999999999997</v>
      </c>
      <c r="D137" s="86" t="s">
        <v>624</v>
      </c>
      <c r="E137" s="76">
        <v>2.5000000000000001E-3</v>
      </c>
      <c r="F137" s="74">
        <v>0.59</v>
      </c>
      <c r="G137" s="78">
        <v>3810000000</v>
      </c>
      <c r="H137" s="3" t="b">
        <f t="shared" si="4"/>
        <v>0</v>
      </c>
      <c r="I137" s="26">
        <f>Table13567[[#This Row],[Tech]]*$T$7+Table13567[[#This Row],[Beta]]*($T$6-$T$8)+$T$8</f>
        <v>7.3924000000000004E-2</v>
      </c>
      <c r="J137" s="64">
        <f>0</f>
        <v>0</v>
      </c>
      <c r="K137" s="61">
        <f>Table13567[[#This Row],[Investment]]/Table13567[[#This Row],[Dollar Volume]]</f>
        <v>0</v>
      </c>
      <c r="L137" s="34">
        <f>IFERROR(MAX($T$11+$T$12*LN(Table13567[[#This Row],[Frac ADV]]),0),0)*0.0001+0.005/Table13567[[#This Row],[Stock Price]]+Table13567[[#This Row],[Expense Ratio]]</f>
        <v>2.6349527665317138E-3</v>
      </c>
      <c r="M137" s="68">
        <f>(Table13567[[#This Row],[Expected Return]]-Table13567[[#This Row],[Tcosts]])*Table13567[[#This Row],[Investment]]</f>
        <v>0</v>
      </c>
      <c r="Q137" s="16" t="s">
        <v>629</v>
      </c>
    </row>
    <row r="138" spans="1:17" ht="15.6" x14ac:dyDescent="0.3">
      <c r="A138" s="79" t="s">
        <v>642</v>
      </c>
      <c r="B138" s="74" t="s">
        <v>643</v>
      </c>
      <c r="C138" s="74">
        <v>59.01</v>
      </c>
      <c r="D138" s="86" t="s">
        <v>644</v>
      </c>
      <c r="E138" s="76">
        <v>3.5000000000000001E-3</v>
      </c>
      <c r="F138" s="74">
        <v>0.61</v>
      </c>
      <c r="G138" s="78">
        <v>96500000</v>
      </c>
      <c r="H138" s="3" t="b">
        <f t="shared" si="4"/>
        <v>0</v>
      </c>
      <c r="I138" s="26">
        <f>Table13567[[#This Row],[Tech]]*$T$7+Table13567[[#This Row],[Beta]]*($T$6-$T$8)+$T$8</f>
        <v>7.5196000000000013E-2</v>
      </c>
      <c r="J138" s="64">
        <f>0</f>
        <v>0</v>
      </c>
      <c r="K138" s="61">
        <f>Table13567[[#This Row],[Investment]]/Table13567[[#This Row],[Dollar Volume]]</f>
        <v>0</v>
      </c>
      <c r="L138" s="34">
        <f>IFERROR(MAX($T$11+$T$12*LN(Table13567[[#This Row],[Frac ADV]]),0),0)*0.0001+0.005/Table13567[[#This Row],[Stock Price]]+Table13567[[#This Row],[Expense Ratio]]</f>
        <v>3.5847314014573802E-3</v>
      </c>
      <c r="M138" s="68">
        <f>(Table13567[[#This Row],[Expected Return]]-Table13567[[#This Row],[Tcosts]])*Table13567[[#This Row],[Investment]]</f>
        <v>0</v>
      </c>
      <c r="Q138" s="13" t="s">
        <v>633</v>
      </c>
    </row>
    <row r="139" spans="1:17" ht="15.6" x14ac:dyDescent="0.3">
      <c r="A139" s="79" t="s">
        <v>618</v>
      </c>
      <c r="B139" s="74" t="s">
        <v>619</v>
      </c>
      <c r="C139" s="74">
        <v>53.98</v>
      </c>
      <c r="D139" s="86" t="s">
        <v>620</v>
      </c>
      <c r="E139" s="76">
        <v>8.0000000000000004E-4</v>
      </c>
      <c r="F139" s="74">
        <v>0.63</v>
      </c>
      <c r="G139" s="78">
        <v>93410000</v>
      </c>
      <c r="H139" s="3" t="b">
        <f t="shared" si="4"/>
        <v>0</v>
      </c>
      <c r="I139" s="26">
        <f>Table13567[[#This Row],[Tech]]*$T$7+Table13567[[#This Row],[Beta]]*($T$6-$T$8)+$T$8</f>
        <v>7.6468000000000008E-2</v>
      </c>
      <c r="J139" s="64">
        <f>0</f>
        <v>0</v>
      </c>
      <c r="K139" s="61">
        <f>Table13567[[#This Row],[Investment]]/Table13567[[#This Row],[Dollar Volume]]</f>
        <v>0</v>
      </c>
      <c r="L139" s="34">
        <f>IFERROR(MAX($T$11+$T$12*LN(Table13567[[#This Row],[Frac ADV]]),0),0)*0.0001+0.005/Table13567[[#This Row],[Stock Price]]+Table13567[[#This Row],[Expense Ratio]]</f>
        <v>8.9262689885142655E-4</v>
      </c>
      <c r="M139" s="68">
        <f>(Table13567[[#This Row],[Expected Return]]-Table13567[[#This Row],[Tcosts]])*Table13567[[#This Row],[Investment]]</f>
        <v>0</v>
      </c>
      <c r="Q139" s="16" t="s">
        <v>637</v>
      </c>
    </row>
    <row r="140" spans="1:17" ht="15.6" x14ac:dyDescent="0.3">
      <c r="A140" s="77" t="s">
        <v>646</v>
      </c>
      <c r="B140" s="73" t="s">
        <v>647</v>
      </c>
      <c r="C140" s="73">
        <v>287.81</v>
      </c>
      <c r="D140" s="85" t="s">
        <v>648</v>
      </c>
      <c r="E140" s="75">
        <v>8.9999999999999998E-4</v>
      </c>
      <c r="F140" s="73">
        <v>0.53</v>
      </c>
      <c r="G140" s="78">
        <v>437940000</v>
      </c>
      <c r="H140" s="3" t="b">
        <f t="shared" si="4"/>
        <v>0</v>
      </c>
      <c r="I140" s="26">
        <f>Table13567[[#This Row],[Tech]]*$T$7+Table13567[[#This Row],[Beta]]*($T$6-$T$8)+$T$8</f>
        <v>7.0108000000000004E-2</v>
      </c>
      <c r="J140" s="64">
        <f>0</f>
        <v>0</v>
      </c>
      <c r="K140" s="61">
        <f>Table13567[[#This Row],[Investment]]/Table13567[[#This Row],[Dollar Volume]]</f>
        <v>0</v>
      </c>
      <c r="L140" s="34">
        <f>IFERROR(MAX($T$11+$T$12*LN(Table13567[[#This Row],[Frac ADV]]),0),0)*0.0001+0.005/Table13567[[#This Row],[Stock Price]]+Table13567[[#This Row],[Expense Ratio]]</f>
        <v>9.1737257218303734E-4</v>
      </c>
      <c r="M140" s="68">
        <f>(Table13567[[#This Row],[Expected Return]]-Table13567[[#This Row],[Tcosts]])*Table13567[[#This Row],[Investment]]</f>
        <v>0</v>
      </c>
      <c r="Q140" s="13" t="s">
        <v>641</v>
      </c>
    </row>
    <row r="141" spans="1:17" ht="15.6" x14ac:dyDescent="0.3">
      <c r="A141" s="77" t="s">
        <v>610</v>
      </c>
      <c r="B141" s="73" t="s">
        <v>611</v>
      </c>
      <c r="C141" s="73">
        <v>138.38999999999999</v>
      </c>
      <c r="D141" s="85" t="s">
        <v>612</v>
      </c>
      <c r="E141" s="75">
        <v>8.0000000000000004E-4</v>
      </c>
      <c r="F141" s="73">
        <v>0.35</v>
      </c>
      <c r="G141" s="78">
        <v>3150000000</v>
      </c>
      <c r="H141" s="3" t="b">
        <f t="shared" si="4"/>
        <v>0</v>
      </c>
      <c r="I141" s="26">
        <f>Table13567[[#This Row],[Tech]]*$T$7+Table13567[[#This Row],[Beta]]*($T$6-$T$8)+$T$8</f>
        <v>5.8660000000000004E-2</v>
      </c>
      <c r="J141" s="64">
        <f>0</f>
        <v>0</v>
      </c>
      <c r="K141" s="61">
        <f>Table13567[[#This Row],[Investment]]/Table13567[[#This Row],[Dollar Volume]]</f>
        <v>0</v>
      </c>
      <c r="L141" s="34">
        <f>IFERROR(MAX($T$11+$T$12*LN(Table13567[[#This Row],[Frac ADV]]),0),0)*0.0001+0.005/Table13567[[#This Row],[Stock Price]]+Table13567[[#This Row],[Expense Ratio]]</f>
        <v>8.3612977816316207E-4</v>
      </c>
      <c r="M141" s="68">
        <f>(Table13567[[#This Row],[Expected Return]]-Table13567[[#This Row],[Tcosts]])*Table13567[[#This Row],[Investment]]</f>
        <v>0</v>
      </c>
      <c r="Q141" s="16" t="s">
        <v>645</v>
      </c>
    </row>
    <row r="142" spans="1:17" ht="15.6" x14ac:dyDescent="0.3">
      <c r="A142" s="77" t="s">
        <v>654</v>
      </c>
      <c r="B142" s="73" t="s">
        <v>655</v>
      </c>
      <c r="C142" s="73">
        <v>113.28</v>
      </c>
      <c r="D142" s="85" t="s">
        <v>656</v>
      </c>
      <c r="E142" s="75">
        <v>3.5000000000000001E-3</v>
      </c>
      <c r="F142" s="73">
        <v>0.52</v>
      </c>
      <c r="G142" s="78">
        <v>273110000</v>
      </c>
      <c r="H142" s="3" t="b">
        <f t="shared" si="4"/>
        <v>0</v>
      </c>
      <c r="I142" s="26">
        <f>Table13567[[#This Row],[Tech]]*$T$7+Table13567[[#This Row],[Beta]]*($T$6-$T$8)+$T$8</f>
        <v>6.9472000000000006E-2</v>
      </c>
      <c r="J142" s="64">
        <f>0</f>
        <v>0</v>
      </c>
      <c r="K142" s="61">
        <f>Table13567[[#This Row],[Investment]]/Table13567[[#This Row],[Dollar Volume]]</f>
        <v>0</v>
      </c>
      <c r="L142" s="34">
        <f>IFERROR(MAX($T$11+$T$12*LN(Table13567[[#This Row],[Frac ADV]]),0),0)*0.0001+0.005/Table13567[[#This Row],[Stock Price]]+Table13567[[#This Row],[Expense Ratio]]</f>
        <v>3.5441384180790961E-3</v>
      </c>
      <c r="M142" s="68">
        <f>(Table13567[[#This Row],[Expected Return]]-Table13567[[#This Row],[Tcosts]])*Table13567[[#This Row],[Investment]]</f>
        <v>0</v>
      </c>
      <c r="Q142" s="13" t="s">
        <v>649</v>
      </c>
    </row>
    <row r="143" spans="1:17" ht="15.6" x14ac:dyDescent="0.3">
      <c r="A143" s="79" t="s">
        <v>420</v>
      </c>
      <c r="B143" s="74" t="s">
        <v>421</v>
      </c>
      <c r="C143" s="74">
        <v>99.55</v>
      </c>
      <c r="D143" s="86" t="s">
        <v>422</v>
      </c>
      <c r="E143" s="76">
        <v>6.9999999999999999E-4</v>
      </c>
      <c r="F143" s="74">
        <v>0.56000000000000005</v>
      </c>
      <c r="G143" s="78">
        <v>251580000</v>
      </c>
      <c r="H143" s="3" t="b">
        <f t="shared" si="4"/>
        <v>0</v>
      </c>
      <c r="I143" s="26">
        <f>Table13567[[#This Row],[Tech]]*$T$7+Table13567[[#This Row],[Beta]]*($T$6-$T$8)+$T$8</f>
        <v>7.2016000000000011E-2</v>
      </c>
      <c r="J143" s="64">
        <f>0</f>
        <v>0</v>
      </c>
      <c r="K143" s="61">
        <f>Table13567[[#This Row],[Investment]]/Table13567[[#This Row],[Dollar Volume]]</f>
        <v>0</v>
      </c>
      <c r="L143" s="34">
        <f>IFERROR(MAX($T$11+$T$12*LN(Table13567[[#This Row],[Frac ADV]]),0),0)*0.0001+0.005/Table13567[[#This Row],[Stock Price]]+Table13567[[#This Row],[Expense Ratio]]</f>
        <v>7.5022601707684579E-4</v>
      </c>
      <c r="M143" s="68">
        <f>(Table13567[[#This Row],[Expected Return]]-Table13567[[#This Row],[Tcosts]])*Table13567[[#This Row],[Investment]]</f>
        <v>0</v>
      </c>
      <c r="Q143" s="16" t="s">
        <v>653</v>
      </c>
    </row>
    <row r="144" spans="1:17" ht="15.6" x14ac:dyDescent="0.3">
      <c r="A144" s="77" t="s">
        <v>673</v>
      </c>
      <c r="B144" s="73" t="s">
        <v>674</v>
      </c>
      <c r="C144" s="73">
        <v>31.34</v>
      </c>
      <c r="D144" s="85" t="s">
        <v>675</v>
      </c>
      <c r="E144" s="75">
        <v>5.9999999999999995E-4</v>
      </c>
      <c r="F144" s="73">
        <v>0.55000000000000004</v>
      </c>
      <c r="G144" s="78">
        <v>87610000</v>
      </c>
      <c r="H144" s="3" t="b">
        <f t="shared" si="4"/>
        <v>0</v>
      </c>
      <c r="I144" s="26">
        <f>Table13567[[#This Row],[Tech]]*$T$7+Table13567[[#This Row],[Beta]]*($T$6-$T$8)+$T$8</f>
        <v>7.1379999999999999E-2</v>
      </c>
      <c r="J144" s="64">
        <f>0</f>
        <v>0</v>
      </c>
      <c r="K144" s="61">
        <f>Table13567[[#This Row],[Investment]]/Table13567[[#This Row],[Dollar Volume]]</f>
        <v>0</v>
      </c>
      <c r="L144" s="34">
        <f>IFERROR(MAX($T$11+$T$12*LN(Table13567[[#This Row],[Frac ADV]]),0),0)*0.0001+0.005/Table13567[[#This Row],[Stock Price]]+Table13567[[#This Row],[Expense Ratio]]</f>
        <v>7.5954052329291633E-4</v>
      </c>
      <c r="M144" s="68">
        <f>(Table13567[[#This Row],[Expected Return]]-Table13567[[#This Row],[Tcosts]])*Table13567[[#This Row],[Investment]]</f>
        <v>0</v>
      </c>
      <c r="Q144" s="13" t="s">
        <v>657</v>
      </c>
    </row>
    <row r="145" spans="1:17" ht="15.6" x14ac:dyDescent="0.3">
      <c r="A145" s="79" t="s">
        <v>665</v>
      </c>
      <c r="B145" s="74" t="s">
        <v>666</v>
      </c>
      <c r="C145" s="74">
        <v>98.28</v>
      </c>
      <c r="D145" s="86" t="s">
        <v>667</v>
      </c>
      <c r="E145" s="76">
        <v>5.1000000000000004E-3</v>
      </c>
      <c r="F145" s="74">
        <v>0.53</v>
      </c>
      <c r="G145" s="78">
        <v>178060000</v>
      </c>
      <c r="H145" s="3" t="b">
        <f t="shared" si="4"/>
        <v>0</v>
      </c>
      <c r="I145" s="26">
        <f>Table13567[[#This Row],[Tech]]*$T$7+Table13567[[#This Row],[Beta]]*($T$6-$T$8)+$T$8</f>
        <v>7.0108000000000004E-2</v>
      </c>
      <c r="J145" s="64">
        <f>0</f>
        <v>0</v>
      </c>
      <c r="K145" s="61">
        <f>Table13567[[#This Row],[Investment]]/Table13567[[#This Row],[Dollar Volume]]</f>
        <v>0</v>
      </c>
      <c r="L145" s="34">
        <f>IFERROR(MAX($T$11+$T$12*LN(Table13567[[#This Row],[Frac ADV]]),0),0)*0.0001+0.005/Table13567[[#This Row],[Stock Price]]+Table13567[[#This Row],[Expense Ratio]]</f>
        <v>5.1508750508750516E-3</v>
      </c>
      <c r="M145" s="68">
        <f>(Table13567[[#This Row],[Expected Return]]-Table13567[[#This Row],[Tcosts]])*Table13567[[#This Row],[Investment]]</f>
        <v>0</v>
      </c>
      <c r="Q145" s="16" t="s">
        <v>660</v>
      </c>
    </row>
    <row r="146" spans="1:17" ht="15.6" x14ac:dyDescent="0.3">
      <c r="A146" s="79" t="s">
        <v>681</v>
      </c>
      <c r="B146" s="74" t="s">
        <v>682</v>
      </c>
      <c r="C146" s="74">
        <v>95.19</v>
      </c>
      <c r="D146" s="86" t="s">
        <v>683</v>
      </c>
      <c r="E146" s="76">
        <v>1.5E-3</v>
      </c>
      <c r="F146" s="74">
        <v>0.49</v>
      </c>
      <c r="G146" s="78">
        <v>226700000</v>
      </c>
      <c r="H146" s="3" t="b">
        <f t="shared" si="4"/>
        <v>0</v>
      </c>
      <c r="I146" s="26">
        <f>Table13567[[#This Row],[Tech]]*$T$7+Table13567[[#This Row],[Beta]]*($T$6-$T$8)+$T$8</f>
        <v>6.7563999999999999E-2</v>
      </c>
      <c r="J146" s="64">
        <f>0</f>
        <v>0</v>
      </c>
      <c r="K146" s="61">
        <f>Table13567[[#This Row],[Investment]]/Table13567[[#This Row],[Dollar Volume]]</f>
        <v>0</v>
      </c>
      <c r="L146" s="34">
        <f>IFERROR(MAX($T$11+$T$12*LN(Table13567[[#This Row],[Frac ADV]]),0),0)*0.0001+0.005/Table13567[[#This Row],[Stock Price]]+Table13567[[#This Row],[Expense Ratio]]</f>
        <v>1.5525265258955773E-3</v>
      </c>
      <c r="M146" s="68">
        <f>(Table13567[[#This Row],[Expected Return]]-Table13567[[#This Row],[Tcosts]])*Table13567[[#This Row],[Investment]]</f>
        <v>0</v>
      </c>
      <c r="Q146" s="13" t="s">
        <v>664</v>
      </c>
    </row>
    <row r="147" spans="1:17" ht="15.6" x14ac:dyDescent="0.3">
      <c r="A147" s="79" t="s">
        <v>626</v>
      </c>
      <c r="B147" s="74" t="s">
        <v>627</v>
      </c>
      <c r="C147" s="74">
        <v>50.27</v>
      </c>
      <c r="D147" s="86" t="s">
        <v>628</v>
      </c>
      <c r="E147" s="76">
        <v>8.5000000000000006E-3</v>
      </c>
      <c r="F147" s="74">
        <v>0.38</v>
      </c>
      <c r="G147" s="78">
        <v>126850000</v>
      </c>
      <c r="H147" s="3" t="b">
        <f t="shared" si="4"/>
        <v>0</v>
      </c>
      <c r="I147" s="26">
        <f>Table13567[[#This Row],[Tech]]*$T$7+Table13567[[#This Row],[Beta]]*($T$6-$T$8)+$T$8</f>
        <v>6.0568000000000004E-2</v>
      </c>
      <c r="J147" s="64">
        <f>0</f>
        <v>0</v>
      </c>
      <c r="K147" s="61">
        <f>Table13567[[#This Row],[Investment]]/Table13567[[#This Row],[Dollar Volume]]</f>
        <v>0</v>
      </c>
      <c r="L147" s="34">
        <f>IFERROR(MAX($T$11+$T$12*LN(Table13567[[#This Row],[Frac ADV]]),0),0)*0.0001+0.005/Table13567[[#This Row],[Stock Price]]+Table13567[[#This Row],[Expense Ratio]]</f>
        <v>8.5994629003381742E-3</v>
      </c>
      <c r="M147" s="68">
        <f>(Table13567[[#This Row],[Expected Return]]-Table13567[[#This Row],[Tcosts]])*Table13567[[#This Row],[Investment]]</f>
        <v>0</v>
      </c>
      <c r="Q147" s="16" t="s">
        <v>668</v>
      </c>
    </row>
    <row r="148" spans="1:17" ht="15.6" x14ac:dyDescent="0.3">
      <c r="A148" s="77" t="s">
        <v>563</v>
      </c>
      <c r="B148" s="73" t="s">
        <v>564</v>
      </c>
      <c r="C148" s="73">
        <v>156</v>
      </c>
      <c r="D148" s="85" t="s">
        <v>565</v>
      </c>
      <c r="E148" s="75">
        <v>8.0000000000000004E-4</v>
      </c>
      <c r="F148" s="73">
        <v>0.47</v>
      </c>
      <c r="G148" s="78">
        <v>61790000</v>
      </c>
      <c r="H148" s="3" t="b">
        <f t="shared" si="4"/>
        <v>0</v>
      </c>
      <c r="I148" s="26">
        <f>Table13567[[#This Row],[Tech]]*$T$7+Table13567[[#This Row],[Beta]]*($T$6-$T$8)+$T$8</f>
        <v>6.6292000000000004E-2</v>
      </c>
      <c r="J148" s="64">
        <f>0</f>
        <v>0</v>
      </c>
      <c r="K148" s="61">
        <f>Table13567[[#This Row],[Investment]]/Table13567[[#This Row],[Dollar Volume]]</f>
        <v>0</v>
      </c>
      <c r="L148" s="34">
        <f>IFERROR(MAX($T$11+$T$12*LN(Table13567[[#This Row],[Frac ADV]]),0),0)*0.0001+0.005/Table13567[[#This Row],[Stock Price]]+Table13567[[#This Row],[Expense Ratio]]</f>
        <v>8.3205128205128206E-4</v>
      </c>
      <c r="M148" s="68">
        <f>(Table13567[[#This Row],[Expected Return]]-Table13567[[#This Row],[Tcosts]])*Table13567[[#This Row],[Investment]]</f>
        <v>0</v>
      </c>
      <c r="Q148" s="13" t="s">
        <v>672</v>
      </c>
    </row>
    <row r="149" spans="1:17" ht="15.6" x14ac:dyDescent="0.3">
      <c r="A149" s="77" t="s">
        <v>677</v>
      </c>
      <c r="B149" s="73" t="s">
        <v>678</v>
      </c>
      <c r="C149" s="73">
        <v>154.11000000000001</v>
      </c>
      <c r="D149" s="85" t="s">
        <v>679</v>
      </c>
      <c r="E149" s="75">
        <v>3.5000000000000001E-3</v>
      </c>
      <c r="F149" s="73">
        <v>0.48</v>
      </c>
      <c r="G149" s="78">
        <v>722670000</v>
      </c>
      <c r="H149" s="3" t="b">
        <f t="shared" si="4"/>
        <v>0</v>
      </c>
      <c r="I149" s="26">
        <f>Table13567[[#This Row],[Tech]]*$T$7+Table13567[[#This Row],[Beta]]*($T$6-$T$8)+$T$8</f>
        <v>6.6928000000000001E-2</v>
      </c>
      <c r="J149" s="64">
        <f>0</f>
        <v>0</v>
      </c>
      <c r="K149" s="61">
        <f>Table13567[[#This Row],[Investment]]/Table13567[[#This Row],[Dollar Volume]]</f>
        <v>0</v>
      </c>
      <c r="L149" s="34">
        <f>IFERROR(MAX($T$11+$T$12*LN(Table13567[[#This Row],[Frac ADV]]),0),0)*0.0001+0.005/Table13567[[#This Row],[Stock Price]]+Table13567[[#This Row],[Expense Ratio]]</f>
        <v>3.5324443579261566E-3</v>
      </c>
      <c r="M149" s="68">
        <f>(Table13567[[#This Row],[Expected Return]]-Table13567[[#This Row],[Tcosts]])*Table13567[[#This Row],[Investment]]</f>
        <v>0</v>
      </c>
      <c r="Q149" s="16" t="s">
        <v>676</v>
      </c>
    </row>
    <row r="150" spans="1:17" ht="15.6" x14ac:dyDescent="0.3">
      <c r="A150" s="77" t="s">
        <v>669</v>
      </c>
      <c r="B150" s="73" t="s">
        <v>670</v>
      </c>
      <c r="C150" s="73">
        <v>93.25</v>
      </c>
      <c r="D150" s="85" t="s">
        <v>671</v>
      </c>
      <c r="E150" s="75">
        <v>1.2999999999999999E-3</v>
      </c>
      <c r="F150" s="73">
        <v>0.42</v>
      </c>
      <c r="G150" s="78">
        <v>102790000</v>
      </c>
      <c r="H150" s="3" t="b">
        <f t="shared" si="4"/>
        <v>0</v>
      </c>
      <c r="I150" s="26">
        <f>Table13567[[#This Row],[Tech]]*$T$7+Table13567[[#This Row],[Beta]]*($T$6-$T$8)+$T$8</f>
        <v>6.3112000000000001E-2</v>
      </c>
      <c r="J150" s="64">
        <f>0</f>
        <v>0</v>
      </c>
      <c r="K150" s="61">
        <f>Table13567[[#This Row],[Investment]]/Table13567[[#This Row],[Dollar Volume]]</f>
        <v>0</v>
      </c>
      <c r="L150" s="34">
        <f>IFERROR(MAX($T$11+$T$12*LN(Table13567[[#This Row],[Frac ADV]]),0),0)*0.0001+0.005/Table13567[[#This Row],[Stock Price]]+Table13567[[#This Row],[Expense Ratio]]</f>
        <v>1.3536193029490616E-3</v>
      </c>
      <c r="M150" s="68">
        <f>(Table13567[[#This Row],[Expected Return]]-Table13567[[#This Row],[Tcosts]])*Table13567[[#This Row],[Investment]]</f>
        <v>0</v>
      </c>
      <c r="Q150" s="13" t="s">
        <v>680</v>
      </c>
    </row>
    <row r="151" spans="1:17" ht="15.6" x14ac:dyDescent="0.3">
      <c r="A151" s="79" t="s">
        <v>658</v>
      </c>
      <c r="B151" s="74" t="s">
        <v>659</v>
      </c>
      <c r="C151" s="74">
        <v>45.25</v>
      </c>
      <c r="D151" s="86" t="s">
        <v>354</v>
      </c>
      <c r="E151" s="76">
        <v>8.0000000000000004E-4</v>
      </c>
      <c r="F151" s="74">
        <v>0.32</v>
      </c>
      <c r="G151" s="78">
        <v>72150000</v>
      </c>
      <c r="H151" s="3" t="b">
        <f t="shared" si="4"/>
        <v>0</v>
      </c>
      <c r="I151" s="26">
        <f>Table13567[[#This Row],[Tech]]*$T$7+Table13567[[#This Row],[Beta]]*($T$6-$T$8)+$T$8</f>
        <v>5.6752000000000004E-2</v>
      </c>
      <c r="J151" s="64">
        <f>0</f>
        <v>0</v>
      </c>
      <c r="K151" s="61">
        <f>Table13567[[#This Row],[Investment]]/Table13567[[#This Row],[Dollar Volume]]</f>
        <v>0</v>
      </c>
      <c r="L151" s="34">
        <f>IFERROR(MAX($T$11+$T$12*LN(Table13567[[#This Row],[Frac ADV]]),0),0)*0.0001+0.005/Table13567[[#This Row],[Stock Price]]+Table13567[[#This Row],[Expense Ratio]]</f>
        <v>9.104972375690608E-4</v>
      </c>
      <c r="M151" s="68">
        <f>(Table13567[[#This Row],[Expected Return]]-Table13567[[#This Row],[Tcosts]])*Table13567[[#This Row],[Investment]]</f>
        <v>0</v>
      </c>
      <c r="Q151" s="16" t="s">
        <v>684</v>
      </c>
    </row>
    <row r="152" spans="1:17" ht="15.6" x14ac:dyDescent="0.3">
      <c r="A152" s="77" t="s">
        <v>709</v>
      </c>
      <c r="B152" s="73" t="s">
        <v>710</v>
      </c>
      <c r="C152" s="73">
        <v>31.48</v>
      </c>
      <c r="D152" s="85" t="s">
        <v>711</v>
      </c>
      <c r="E152" s="75">
        <v>4.4999999999999997E-3</v>
      </c>
      <c r="F152" s="73">
        <v>0.33</v>
      </c>
      <c r="G152" s="78">
        <v>157240000</v>
      </c>
      <c r="H152" s="3" t="b">
        <f t="shared" si="4"/>
        <v>0</v>
      </c>
      <c r="I152" s="26">
        <f>Table13567[[#This Row],[Tech]]*$T$7+Table13567[[#This Row],[Beta]]*($T$6-$T$8)+$T$8</f>
        <v>5.7388000000000008E-2</v>
      </c>
      <c r="J152" s="64">
        <f>0</f>
        <v>0</v>
      </c>
      <c r="K152" s="61">
        <f>Table13567[[#This Row],[Investment]]/Table13567[[#This Row],[Dollar Volume]]</f>
        <v>0</v>
      </c>
      <c r="L152" s="34">
        <f>IFERROR(MAX($T$11+$T$12*LN(Table13567[[#This Row],[Frac ADV]]),0),0)*0.0001+0.005/Table13567[[#This Row],[Stock Price]]+Table13567[[#This Row],[Expense Ratio]]</f>
        <v>4.6588310038119434E-3</v>
      </c>
      <c r="M152" s="68">
        <f>(Table13567[[#This Row],[Expected Return]]-Table13567[[#This Row],[Tcosts]])*Table13567[[#This Row],[Investment]]</f>
        <v>0</v>
      </c>
      <c r="Q152" s="13" t="s">
        <v>688</v>
      </c>
    </row>
    <row r="153" spans="1:17" ht="15.6" x14ac:dyDescent="0.3">
      <c r="A153" s="79" t="s">
        <v>685</v>
      </c>
      <c r="B153" s="74" t="s">
        <v>686</v>
      </c>
      <c r="C153" s="74">
        <v>89.21</v>
      </c>
      <c r="D153" s="86" t="s">
        <v>687</v>
      </c>
      <c r="E153" s="76">
        <v>8.0000000000000004E-4</v>
      </c>
      <c r="F153" s="74">
        <v>0.21</v>
      </c>
      <c r="G153" s="78">
        <v>113530000</v>
      </c>
      <c r="H153" s="3" t="b">
        <f t="shared" si="4"/>
        <v>0</v>
      </c>
      <c r="I153" s="26">
        <f>Table13567[[#This Row],[Tech]]*$T$7+Table13567[[#This Row],[Beta]]*($T$6-$T$8)+$T$8</f>
        <v>4.9756000000000002E-2</v>
      </c>
      <c r="J153" s="64">
        <f>0</f>
        <v>0</v>
      </c>
      <c r="K153" s="61">
        <f>Table13567[[#This Row],[Investment]]/Table13567[[#This Row],[Dollar Volume]]</f>
        <v>0</v>
      </c>
      <c r="L153" s="34">
        <f>IFERROR(MAX($T$11+$T$12*LN(Table13567[[#This Row],[Frac ADV]]),0),0)*0.0001+0.005/Table13567[[#This Row],[Stock Price]]+Table13567[[#This Row],[Expense Ratio]]</f>
        <v>8.5604752830400186E-4</v>
      </c>
      <c r="M153" s="68">
        <f>(Table13567[[#This Row],[Expected Return]]-Table13567[[#This Row],[Tcosts]])*Table13567[[#This Row],[Investment]]</f>
        <v>0</v>
      </c>
      <c r="Q153" s="16" t="s">
        <v>692</v>
      </c>
    </row>
    <row r="154" spans="1:17" ht="15.6" x14ac:dyDescent="0.3">
      <c r="A154" s="79" t="s">
        <v>689</v>
      </c>
      <c r="B154" s="74" t="s">
        <v>690</v>
      </c>
      <c r="C154" s="74">
        <v>80.790000000000006</v>
      </c>
      <c r="D154" s="86" t="s">
        <v>691</v>
      </c>
      <c r="E154" s="76">
        <v>4.8999999999999998E-3</v>
      </c>
      <c r="F154" s="74">
        <v>0.2</v>
      </c>
      <c r="G154" s="78">
        <v>112700000</v>
      </c>
      <c r="H154" s="3" t="b">
        <f t="shared" si="4"/>
        <v>0</v>
      </c>
      <c r="I154" s="26">
        <f>Table13567[[#This Row],[Tech]]*$T$7+Table13567[[#This Row],[Beta]]*($T$6-$T$8)+$T$8</f>
        <v>4.9120000000000004E-2</v>
      </c>
      <c r="J154" s="64">
        <f>0</f>
        <v>0</v>
      </c>
      <c r="K154" s="61">
        <f>Table13567[[#This Row],[Investment]]/Table13567[[#This Row],[Dollar Volume]]</f>
        <v>0</v>
      </c>
      <c r="L154" s="34">
        <f>IFERROR(MAX($T$11+$T$12*LN(Table13567[[#This Row],[Frac ADV]]),0),0)*0.0001+0.005/Table13567[[#This Row],[Stock Price]]+Table13567[[#This Row],[Expense Ratio]]</f>
        <v>4.9618888476296568E-3</v>
      </c>
      <c r="M154" s="68">
        <f>(Table13567[[#This Row],[Expected Return]]-Table13567[[#This Row],[Tcosts]])*Table13567[[#This Row],[Investment]]</f>
        <v>0</v>
      </c>
      <c r="Q154" s="13" t="s">
        <v>696</v>
      </c>
    </row>
    <row r="155" spans="1:17" ht="15.6" x14ac:dyDescent="0.3">
      <c r="A155" s="77" t="s">
        <v>693</v>
      </c>
      <c r="B155" s="73" t="s">
        <v>694</v>
      </c>
      <c r="C155" s="73">
        <v>37.450000000000003</v>
      </c>
      <c r="D155" s="85" t="s">
        <v>695</v>
      </c>
      <c r="E155" s="75">
        <v>8.0000000000000004E-4</v>
      </c>
      <c r="F155" s="73">
        <v>0.21</v>
      </c>
      <c r="G155" s="78">
        <v>76130000</v>
      </c>
      <c r="H155" s="3" t="b">
        <f t="shared" si="4"/>
        <v>0</v>
      </c>
      <c r="I155" s="26">
        <f>Table13567[[#This Row],[Tech]]*$T$7+Table13567[[#This Row],[Beta]]*($T$6-$T$8)+$T$8</f>
        <v>4.9756000000000002E-2</v>
      </c>
      <c r="J155" s="64">
        <f>0</f>
        <v>0</v>
      </c>
      <c r="K155" s="61">
        <f>Table13567[[#This Row],[Investment]]/Table13567[[#This Row],[Dollar Volume]]</f>
        <v>0</v>
      </c>
      <c r="L155" s="34">
        <f>IFERROR(MAX($T$11+$T$12*LN(Table13567[[#This Row],[Frac ADV]]),0),0)*0.0001+0.005/Table13567[[#This Row],[Stock Price]]+Table13567[[#This Row],[Expense Ratio]]</f>
        <v>9.3351134846461951E-4</v>
      </c>
      <c r="M155" s="68">
        <f>(Table13567[[#This Row],[Expected Return]]-Table13567[[#This Row],[Tcosts]])*Table13567[[#This Row],[Investment]]</f>
        <v>0</v>
      </c>
      <c r="Q155" s="16" t="s">
        <v>700</v>
      </c>
    </row>
    <row r="156" spans="1:17" ht="15.6" x14ac:dyDescent="0.3">
      <c r="A156" s="79" t="s">
        <v>697</v>
      </c>
      <c r="B156" s="74" t="s">
        <v>698</v>
      </c>
      <c r="C156" s="74">
        <v>50.71</v>
      </c>
      <c r="D156" s="86" t="s">
        <v>699</v>
      </c>
      <c r="E156" s="76">
        <v>2E-3</v>
      </c>
      <c r="F156" s="74">
        <v>0.05</v>
      </c>
      <c r="G156" s="78">
        <v>117390000</v>
      </c>
      <c r="H156" s="3" t="b">
        <f t="shared" si="4"/>
        <v>0</v>
      </c>
      <c r="I156" s="26">
        <f>Table13567[[#This Row],[Tech]]*$T$7+Table13567[[#This Row],[Beta]]*($T$6-$T$8)+$T$8</f>
        <v>3.9580000000000004E-2</v>
      </c>
      <c r="J156" s="64">
        <f>0</f>
        <v>0</v>
      </c>
      <c r="K156" s="61">
        <f>Table13567[[#This Row],[Investment]]/Table13567[[#This Row],[Dollar Volume]]</f>
        <v>0</v>
      </c>
      <c r="L156" s="34">
        <f>IFERROR(MAX($T$11+$T$12*LN(Table13567[[#This Row],[Frac ADV]]),0),0)*0.0001+0.005/Table13567[[#This Row],[Stock Price]]+Table13567[[#This Row],[Expense Ratio]]</f>
        <v>2.0985998816801421E-3</v>
      </c>
      <c r="M156" s="68">
        <f>(Table13567[[#This Row],[Expected Return]]-Table13567[[#This Row],[Tcosts]])*Table13567[[#This Row],[Investment]]</f>
        <v>0</v>
      </c>
      <c r="Q156" s="13" t="s">
        <v>704</v>
      </c>
    </row>
    <row r="157" spans="1:17" ht="15.6" x14ac:dyDescent="0.3">
      <c r="A157" s="79" t="s">
        <v>739</v>
      </c>
      <c r="B157" s="74" t="s">
        <v>740</v>
      </c>
      <c r="C157" s="74">
        <v>50.47</v>
      </c>
      <c r="D157" s="86" t="s">
        <v>741</v>
      </c>
      <c r="E157" s="76">
        <v>6.9999999999999999E-4</v>
      </c>
      <c r="F157" s="74">
        <v>-0.01</v>
      </c>
      <c r="G157" s="78">
        <v>202270000</v>
      </c>
      <c r="H157" s="3" t="b">
        <f t="shared" si="4"/>
        <v>0</v>
      </c>
      <c r="I157" s="26">
        <f>Table13567[[#This Row],[Tech]]*$T$7+Table13567[[#This Row],[Beta]]*($T$6-$T$8)+$T$8</f>
        <v>3.5764000000000004E-2</v>
      </c>
      <c r="J157" s="64">
        <f>0</f>
        <v>0</v>
      </c>
      <c r="K157" s="61">
        <f>Table13567[[#This Row],[Investment]]/Table13567[[#This Row],[Dollar Volume]]</f>
        <v>0</v>
      </c>
      <c r="L157" s="34">
        <f>IFERROR(MAX($T$11+$T$12*LN(Table13567[[#This Row],[Frac ADV]]),0),0)*0.0001+0.005/Table13567[[#This Row],[Stock Price]]+Table13567[[#This Row],[Expense Ratio]]</f>
        <v>7.9906875371507831E-4</v>
      </c>
      <c r="M157" s="68">
        <f>(Table13567[[#This Row],[Expected Return]]-Table13567[[#This Row],[Tcosts]])*Table13567[[#This Row],[Investment]]</f>
        <v>0</v>
      </c>
      <c r="Q157" s="16" t="s">
        <v>708</v>
      </c>
    </row>
    <row r="158" spans="1:17" ht="15.6" x14ac:dyDescent="0.3">
      <c r="A158" s="79" t="s">
        <v>705</v>
      </c>
      <c r="B158" s="74" t="s">
        <v>706</v>
      </c>
      <c r="C158" s="74">
        <v>97.25</v>
      </c>
      <c r="D158" s="86" t="s">
        <v>707</v>
      </c>
      <c r="E158" s="76">
        <v>3.8999999999999998E-3</v>
      </c>
      <c r="F158" s="74">
        <v>0.14000000000000001</v>
      </c>
      <c r="G158" s="78">
        <v>150780000</v>
      </c>
      <c r="H158" s="3" t="b">
        <f t="shared" si="4"/>
        <v>0</v>
      </c>
      <c r="I158" s="26">
        <f>Table13567[[#This Row],[Tech]]*$T$7+Table13567[[#This Row],[Beta]]*($T$6-$T$8)+$T$8</f>
        <v>4.5304000000000004E-2</v>
      </c>
      <c r="J158" s="64">
        <f>0</f>
        <v>0</v>
      </c>
      <c r="K158" s="61">
        <f>Table13567[[#This Row],[Investment]]/Table13567[[#This Row],[Dollar Volume]]</f>
        <v>0</v>
      </c>
      <c r="L158" s="34">
        <f>IFERROR(MAX($T$11+$T$12*LN(Table13567[[#This Row],[Frac ADV]]),0),0)*0.0001+0.005/Table13567[[#This Row],[Stock Price]]+Table13567[[#This Row],[Expense Ratio]]</f>
        <v>3.9514138817480721E-3</v>
      </c>
      <c r="M158" s="68">
        <f>(Table13567[[#This Row],[Expected Return]]-Table13567[[#This Row],[Tcosts]])*Table13567[[#This Row],[Investment]]</f>
        <v>0</v>
      </c>
      <c r="Q158" s="13" t="s">
        <v>712</v>
      </c>
    </row>
    <row r="159" spans="1:17" ht="15.6" x14ac:dyDescent="0.3">
      <c r="A159" s="77" t="s">
        <v>783</v>
      </c>
      <c r="B159" s="73" t="s">
        <v>784</v>
      </c>
      <c r="C159" s="73">
        <v>54.2</v>
      </c>
      <c r="D159" s="85" t="s">
        <v>785</v>
      </c>
      <c r="E159" s="75">
        <v>4.0000000000000002E-4</v>
      </c>
      <c r="F159" s="73">
        <v>-0.01</v>
      </c>
      <c r="G159" s="78">
        <v>34700000</v>
      </c>
      <c r="H159" s="3" t="b">
        <f t="shared" si="4"/>
        <v>0</v>
      </c>
      <c r="I159" s="26">
        <f>Table13567[[#This Row],[Tech]]*$T$7+Table13567[[#This Row],[Beta]]*($T$6-$T$8)+$T$8</f>
        <v>3.5764000000000004E-2</v>
      </c>
      <c r="J159" s="64">
        <f>0</f>
        <v>0</v>
      </c>
      <c r="K159" s="61">
        <f>Table13567[[#This Row],[Investment]]/Table13567[[#This Row],[Dollar Volume]]</f>
        <v>0</v>
      </c>
      <c r="L159" s="34">
        <f>IFERROR(MAX($T$11+$T$12*LN(Table13567[[#This Row],[Frac ADV]]),0),0)*0.0001+0.005/Table13567[[#This Row],[Stock Price]]+Table13567[[#This Row],[Expense Ratio]]</f>
        <v>4.9225092250922511E-4</v>
      </c>
      <c r="M159" s="68">
        <f>(Table13567[[#This Row],[Expected Return]]-Table13567[[#This Row],[Tcosts]])*Table13567[[#This Row],[Investment]]</f>
        <v>0</v>
      </c>
      <c r="Q159" s="16" t="s">
        <v>716</v>
      </c>
    </row>
    <row r="160" spans="1:17" ht="15.6" x14ac:dyDescent="0.3">
      <c r="A160" s="77" t="s">
        <v>736</v>
      </c>
      <c r="B160" s="73" t="s">
        <v>737</v>
      </c>
      <c r="C160" s="73">
        <v>50.68</v>
      </c>
      <c r="D160" s="85" t="s">
        <v>738</v>
      </c>
      <c r="E160" s="75">
        <v>1.8E-3</v>
      </c>
      <c r="F160" s="73">
        <v>0.01</v>
      </c>
      <c r="G160" s="78">
        <v>61090000</v>
      </c>
      <c r="H160" s="3" t="b">
        <f t="shared" si="4"/>
        <v>0</v>
      </c>
      <c r="I160" s="26">
        <f>Table13567[[#This Row],[Tech]]*$T$7+Table13567[[#This Row],[Beta]]*($T$6-$T$8)+$T$8</f>
        <v>3.7035999999999999E-2</v>
      </c>
      <c r="J160" s="64">
        <f>0</f>
        <v>0</v>
      </c>
      <c r="K160" s="61">
        <f>Table13567[[#This Row],[Investment]]/Table13567[[#This Row],[Dollar Volume]]</f>
        <v>0</v>
      </c>
      <c r="L160" s="34">
        <f>IFERROR(MAX($T$11+$T$12*LN(Table13567[[#This Row],[Frac ADV]]),0),0)*0.0001+0.005/Table13567[[#This Row],[Stock Price]]+Table13567[[#This Row],[Expense Ratio]]</f>
        <v>1.8986582478295185E-3</v>
      </c>
      <c r="M160" s="68">
        <f>(Table13567[[#This Row],[Expected Return]]-Table13567[[#This Row],[Tcosts]])*Table13567[[#This Row],[Investment]]</f>
        <v>0</v>
      </c>
      <c r="Q160" s="13" t="s">
        <v>720</v>
      </c>
    </row>
    <row r="161" spans="1:17" ht="15.6" x14ac:dyDescent="0.3">
      <c r="A161" s="77" t="s">
        <v>815</v>
      </c>
      <c r="B161" s="73" t="s">
        <v>816</v>
      </c>
      <c r="C161" s="73">
        <v>49.68</v>
      </c>
      <c r="D161" s="85" t="s">
        <v>817</v>
      </c>
      <c r="E161" s="75">
        <v>1.5E-3</v>
      </c>
      <c r="F161" s="73">
        <v>0.02</v>
      </c>
      <c r="G161" s="78">
        <v>130580000</v>
      </c>
      <c r="H161" s="3" t="b">
        <f t="shared" si="4"/>
        <v>0</v>
      </c>
      <c r="I161" s="26">
        <f>Table13567[[#This Row],[Tech]]*$T$7+Table13567[[#This Row],[Beta]]*($T$6-$T$8)+$T$8</f>
        <v>3.7672000000000004E-2</v>
      </c>
      <c r="J161" s="64">
        <f>0</f>
        <v>0</v>
      </c>
      <c r="K161" s="61">
        <f>Table13567[[#This Row],[Investment]]/Table13567[[#This Row],[Dollar Volume]]</f>
        <v>0</v>
      </c>
      <c r="L161" s="34">
        <f>IFERROR(MAX($T$11+$T$12*LN(Table13567[[#This Row],[Frac ADV]]),0),0)*0.0001+0.005/Table13567[[#This Row],[Stock Price]]+Table13567[[#This Row],[Expense Ratio]]</f>
        <v>1.6006441223832529E-3</v>
      </c>
      <c r="M161" s="68">
        <f>(Table13567[[#This Row],[Expected Return]]-Table13567[[#This Row],[Tcosts]])*Table13567[[#This Row],[Investment]]</f>
        <v>0</v>
      </c>
      <c r="Q161" s="16" t="s">
        <v>723</v>
      </c>
    </row>
    <row r="162" spans="1:17" ht="15.6" x14ac:dyDescent="0.3">
      <c r="A162" s="79" t="s">
        <v>771</v>
      </c>
      <c r="B162" s="74" t="s">
        <v>772</v>
      </c>
      <c r="C162" s="74">
        <v>24.39</v>
      </c>
      <c r="D162" s="86" t="s">
        <v>773</v>
      </c>
      <c r="E162" s="76">
        <v>2.9999999999999997E-4</v>
      </c>
      <c r="F162" s="74">
        <v>-0.02</v>
      </c>
      <c r="G162" s="78">
        <v>462550000</v>
      </c>
      <c r="H162" s="3" t="b">
        <f t="shared" ref="H162:H193" si="5">OR(
  ISNUMBER(SEARCH("technology",B162)),
  ISNUMBER(SEARCH("tech",B162)),
  ISNUMBER(SEARCH("qqq",B162)),
  ISNUMBER(SEARCH("semiconductor",B162)),
  ISNUMBER(SEARCH("information technology",B162)),
  ISNUMBER(SEARCH("nasdaq",B162)),
  ISNUMBER(SEARCH("communication",B162))
)</f>
        <v>0</v>
      </c>
      <c r="I162" s="26">
        <f>Table13567[[#This Row],[Tech]]*$T$7+Table13567[[#This Row],[Beta]]*($T$6-$T$8)+$T$8</f>
        <v>3.5128E-2</v>
      </c>
      <c r="J162" s="64">
        <f>0</f>
        <v>0</v>
      </c>
      <c r="K162" s="61">
        <f>Table13567[[#This Row],[Investment]]/Table13567[[#This Row],[Dollar Volume]]</f>
        <v>0</v>
      </c>
      <c r="L162" s="34">
        <f>IFERROR(MAX($T$11+$T$12*LN(Table13567[[#This Row],[Frac ADV]]),0),0)*0.0001+0.005/Table13567[[#This Row],[Stock Price]]+Table13567[[#This Row],[Expense Ratio]]</f>
        <v>5.0500205002050017E-4</v>
      </c>
      <c r="M162" s="68">
        <f>(Table13567[[#This Row],[Expected Return]]-Table13567[[#This Row],[Tcosts]])*Table13567[[#This Row],[Investment]]</f>
        <v>0</v>
      </c>
      <c r="Q162" s="13" t="s">
        <v>727</v>
      </c>
    </row>
    <row r="163" spans="1:17" ht="15.6" x14ac:dyDescent="0.3">
      <c r="A163" s="77" t="s">
        <v>866</v>
      </c>
      <c r="B163" s="73" t="s">
        <v>867</v>
      </c>
      <c r="C163" s="73">
        <v>74.66</v>
      </c>
      <c r="D163" s="85" t="s">
        <v>868</v>
      </c>
      <c r="E163" s="75">
        <v>2.9999999999999997E-4</v>
      </c>
      <c r="F163" s="73">
        <v>-0.05</v>
      </c>
      <c r="G163" s="78">
        <v>80470000</v>
      </c>
      <c r="H163" s="3" t="b">
        <f t="shared" si="5"/>
        <v>0</v>
      </c>
      <c r="I163" s="26">
        <f>Table13567[[#This Row],[Tech]]*$T$7+Table13567[[#This Row],[Beta]]*($T$6-$T$8)+$T$8</f>
        <v>3.322E-2</v>
      </c>
      <c r="J163" s="64">
        <f>0</f>
        <v>0</v>
      </c>
      <c r="K163" s="61">
        <f>Table13567[[#This Row],[Investment]]/Table13567[[#This Row],[Dollar Volume]]</f>
        <v>0</v>
      </c>
      <c r="L163" s="34">
        <f>IFERROR(MAX($T$11+$T$12*LN(Table13567[[#This Row],[Frac ADV]]),0),0)*0.0001+0.005/Table13567[[#This Row],[Stock Price]]+Table13567[[#This Row],[Expense Ratio]]</f>
        <v>3.6697026520225018E-4</v>
      </c>
      <c r="M163" s="68">
        <f>(Table13567[[#This Row],[Expected Return]]-Table13567[[#This Row],[Tcosts]])*Table13567[[#This Row],[Investment]]</f>
        <v>0</v>
      </c>
      <c r="Q163" s="16" t="s">
        <v>731</v>
      </c>
    </row>
    <row r="164" spans="1:17" ht="15.6" x14ac:dyDescent="0.3">
      <c r="A164" s="77" t="s">
        <v>811</v>
      </c>
      <c r="B164" s="73" t="s">
        <v>812</v>
      </c>
      <c r="C164" s="73">
        <v>46.89</v>
      </c>
      <c r="D164" s="85" t="s">
        <v>813</v>
      </c>
      <c r="E164" s="75">
        <v>5.9999999999999995E-4</v>
      </c>
      <c r="F164" s="73">
        <v>-0.04</v>
      </c>
      <c r="G164" s="78">
        <v>90770000</v>
      </c>
      <c r="H164" s="3" t="b">
        <f t="shared" si="5"/>
        <v>0</v>
      </c>
      <c r="I164" s="26">
        <f>Table13567[[#This Row],[Tech]]*$T$7+Table13567[[#This Row],[Beta]]*($T$6-$T$8)+$T$8</f>
        <v>3.3856000000000004E-2</v>
      </c>
      <c r="J164" s="64">
        <f>0</f>
        <v>0</v>
      </c>
      <c r="K164" s="61">
        <f>Table13567[[#This Row],[Investment]]/Table13567[[#This Row],[Dollar Volume]]</f>
        <v>0</v>
      </c>
      <c r="L164" s="34">
        <f>IFERROR(MAX($T$11+$T$12*LN(Table13567[[#This Row],[Frac ADV]]),0),0)*0.0001+0.005/Table13567[[#This Row],[Stock Price]]+Table13567[[#This Row],[Expense Ratio]]</f>
        <v>7.0663254425250581E-4</v>
      </c>
      <c r="M164" s="68">
        <f>(Table13567[[#This Row],[Expected Return]]-Table13567[[#This Row],[Tcosts]])*Table13567[[#This Row],[Investment]]</f>
        <v>0</v>
      </c>
      <c r="Q164" s="13" t="s">
        <v>735</v>
      </c>
    </row>
    <row r="165" spans="1:17" ht="15.6" x14ac:dyDescent="0.3">
      <c r="A165" s="79" t="s">
        <v>835</v>
      </c>
      <c r="B165" s="74" t="s">
        <v>836</v>
      </c>
      <c r="C165" s="74">
        <v>26.82</v>
      </c>
      <c r="D165" s="86" t="s">
        <v>837</v>
      </c>
      <c r="E165" s="76">
        <v>2.9999999999999997E-4</v>
      </c>
      <c r="F165" s="74">
        <v>-0.05</v>
      </c>
      <c r="G165" s="78">
        <v>113530000</v>
      </c>
      <c r="H165" s="3" t="b">
        <f t="shared" si="5"/>
        <v>0</v>
      </c>
      <c r="I165" s="26">
        <f>Table13567[[#This Row],[Tech]]*$T$7+Table13567[[#This Row],[Beta]]*($T$6-$T$8)+$T$8</f>
        <v>3.322E-2</v>
      </c>
      <c r="J165" s="64">
        <f>0</f>
        <v>0</v>
      </c>
      <c r="K165" s="61">
        <f>Table13567[[#This Row],[Investment]]/Table13567[[#This Row],[Dollar Volume]]</f>
        <v>0</v>
      </c>
      <c r="L165" s="34">
        <f>IFERROR(MAX($T$11+$T$12*LN(Table13567[[#This Row],[Frac ADV]]),0),0)*0.0001+0.005/Table13567[[#This Row],[Stock Price]]+Table13567[[#This Row],[Expense Ratio]]</f>
        <v>4.8642803877703205E-4</v>
      </c>
      <c r="M165" s="68">
        <f>(Table13567[[#This Row],[Expected Return]]-Table13567[[#This Row],[Tcosts]])*Table13567[[#This Row],[Investment]]</f>
        <v>0</v>
      </c>
      <c r="Q165" s="16" t="s">
        <v>692</v>
      </c>
    </row>
    <row r="166" spans="1:17" ht="15.6" x14ac:dyDescent="0.3">
      <c r="A166" s="79" t="s">
        <v>795</v>
      </c>
      <c r="B166" s="74" t="s">
        <v>796</v>
      </c>
      <c r="C166" s="74">
        <v>82.93</v>
      </c>
      <c r="D166" s="86" t="s">
        <v>797</v>
      </c>
      <c r="E166" s="76">
        <v>1.5E-3</v>
      </c>
      <c r="F166" s="74">
        <v>-0.02</v>
      </c>
      <c r="G166" s="78">
        <v>111170000</v>
      </c>
      <c r="H166" s="3" t="b">
        <f t="shared" si="5"/>
        <v>0</v>
      </c>
      <c r="I166" s="26">
        <f>Table13567[[#This Row],[Tech]]*$T$7+Table13567[[#This Row],[Beta]]*($T$6-$T$8)+$T$8</f>
        <v>3.5128E-2</v>
      </c>
      <c r="J166" s="64">
        <f>0</f>
        <v>0</v>
      </c>
      <c r="K166" s="61">
        <f>Table13567[[#This Row],[Investment]]/Table13567[[#This Row],[Dollar Volume]]</f>
        <v>0</v>
      </c>
      <c r="L166" s="34">
        <f>IFERROR(MAX($T$11+$T$12*LN(Table13567[[#This Row],[Frac ADV]]),0),0)*0.0001+0.005/Table13567[[#This Row],[Stock Price]]+Table13567[[#This Row],[Expense Ratio]]</f>
        <v>1.5602918123718799E-3</v>
      </c>
      <c r="M166" s="68">
        <f>(Table13567[[#This Row],[Expected Return]]-Table13567[[#This Row],[Tcosts]])*Table13567[[#This Row],[Investment]]</f>
        <v>0</v>
      </c>
      <c r="Q166" s="13" t="s">
        <v>742</v>
      </c>
    </row>
    <row r="167" spans="1:17" ht="15.6" x14ac:dyDescent="0.3">
      <c r="A167" s="79" t="s">
        <v>732</v>
      </c>
      <c r="B167" s="74" t="s">
        <v>733</v>
      </c>
      <c r="C167" s="74">
        <v>79.97</v>
      </c>
      <c r="D167" s="86" t="s">
        <v>734</v>
      </c>
      <c r="E167" s="76">
        <v>2.9999999999999997E-4</v>
      </c>
      <c r="F167" s="74">
        <v>-0.01</v>
      </c>
      <c r="G167" s="78">
        <v>267070000</v>
      </c>
      <c r="H167" s="3" t="b">
        <f t="shared" si="5"/>
        <v>0</v>
      </c>
      <c r="I167" s="26">
        <f>Table13567[[#This Row],[Tech]]*$T$7+Table13567[[#This Row],[Beta]]*($T$6-$T$8)+$T$8</f>
        <v>3.5764000000000004E-2</v>
      </c>
      <c r="J167" s="64">
        <f>0</f>
        <v>0</v>
      </c>
      <c r="K167" s="61">
        <f>Table13567[[#This Row],[Investment]]/Table13567[[#This Row],[Dollar Volume]]</f>
        <v>0</v>
      </c>
      <c r="L167" s="34">
        <f>IFERROR(MAX($T$11+$T$12*LN(Table13567[[#This Row],[Frac ADV]]),0),0)*0.0001+0.005/Table13567[[#This Row],[Stock Price]]+Table13567[[#This Row],[Expense Ratio]]</f>
        <v>3.6252344629235963E-4</v>
      </c>
      <c r="M167" s="68">
        <f>(Table13567[[#This Row],[Expected Return]]-Table13567[[#This Row],[Tcosts]])*Table13567[[#This Row],[Investment]]</f>
        <v>0</v>
      </c>
      <c r="Q167" s="16" t="s">
        <v>746</v>
      </c>
    </row>
    <row r="168" spans="1:17" ht="15.6" x14ac:dyDescent="0.3">
      <c r="A168" s="77" t="s">
        <v>819</v>
      </c>
      <c r="B168" s="73" t="s">
        <v>820</v>
      </c>
      <c r="C168" s="73">
        <v>84.22</v>
      </c>
      <c r="D168" s="85" t="s">
        <v>821</v>
      </c>
      <c r="E168" s="75">
        <v>2.9999999999999997E-4</v>
      </c>
      <c r="F168" s="73">
        <v>-0.01</v>
      </c>
      <c r="G168" s="78">
        <v>117950000</v>
      </c>
      <c r="H168" s="3" t="b">
        <f t="shared" si="5"/>
        <v>0</v>
      </c>
      <c r="I168" s="26">
        <f>Table13567[[#This Row],[Tech]]*$T$7+Table13567[[#This Row],[Beta]]*($T$6-$T$8)+$T$8</f>
        <v>3.5764000000000004E-2</v>
      </c>
      <c r="J168" s="64">
        <f>0</f>
        <v>0</v>
      </c>
      <c r="K168" s="61">
        <f>Table13567[[#This Row],[Investment]]/Table13567[[#This Row],[Dollar Volume]]</f>
        <v>0</v>
      </c>
      <c r="L168" s="34">
        <f>IFERROR(MAX($T$11+$T$12*LN(Table13567[[#This Row],[Frac ADV]]),0),0)*0.0001+0.005/Table13567[[#This Row],[Stock Price]]+Table13567[[#This Row],[Expense Ratio]]</f>
        <v>3.5936832106388028E-4</v>
      </c>
      <c r="M168" s="68">
        <f>(Table13567[[#This Row],[Expected Return]]-Table13567[[#This Row],[Tcosts]])*Table13567[[#This Row],[Investment]]</f>
        <v>0</v>
      </c>
      <c r="Q168" s="13" t="s">
        <v>750</v>
      </c>
    </row>
    <row r="169" spans="1:17" ht="15.6" x14ac:dyDescent="0.3">
      <c r="A169" s="77" t="s">
        <v>763</v>
      </c>
      <c r="B169" s="73" t="s">
        <v>764</v>
      </c>
      <c r="C169" s="73">
        <v>58.82</v>
      </c>
      <c r="D169" s="85" t="s">
        <v>765</v>
      </c>
      <c r="E169" s="75">
        <v>2.9999999999999997E-4</v>
      </c>
      <c r="F169" s="73">
        <v>-0.02</v>
      </c>
      <c r="G169" s="78">
        <v>25390000</v>
      </c>
      <c r="H169" s="3" t="b">
        <f t="shared" si="5"/>
        <v>0</v>
      </c>
      <c r="I169" s="26">
        <f>Table13567[[#This Row],[Tech]]*$T$7+Table13567[[#This Row],[Beta]]*($T$6-$T$8)+$T$8</f>
        <v>3.5128E-2</v>
      </c>
      <c r="J169" s="64">
        <f>0</f>
        <v>0</v>
      </c>
      <c r="K169" s="61">
        <f>Table13567[[#This Row],[Investment]]/Table13567[[#This Row],[Dollar Volume]]</f>
        <v>0</v>
      </c>
      <c r="L169" s="34">
        <f>IFERROR(MAX($T$11+$T$12*LN(Table13567[[#This Row],[Frac ADV]]),0),0)*0.0001+0.005/Table13567[[#This Row],[Stock Price]]+Table13567[[#This Row],[Expense Ratio]]</f>
        <v>3.8500510030601832E-4</v>
      </c>
      <c r="M169" s="68">
        <f>(Table13567[[#This Row],[Expected Return]]-Table13567[[#This Row],[Tcosts]])*Table13567[[#This Row],[Investment]]</f>
        <v>0</v>
      </c>
      <c r="Q169" s="16" t="s">
        <v>754</v>
      </c>
    </row>
    <row r="170" spans="1:17" ht="15.6" x14ac:dyDescent="0.3">
      <c r="A170" s="77" t="s">
        <v>803</v>
      </c>
      <c r="B170" s="73" t="s">
        <v>804</v>
      </c>
      <c r="C170" s="73">
        <v>49.74</v>
      </c>
      <c r="D170" s="85" t="s">
        <v>805</v>
      </c>
      <c r="E170" s="75">
        <v>2.9999999999999997E-4</v>
      </c>
      <c r="F170" s="73">
        <v>-0.04</v>
      </c>
      <c r="G170" s="78">
        <v>125670000</v>
      </c>
      <c r="H170" s="3" t="b">
        <f t="shared" si="5"/>
        <v>0</v>
      </c>
      <c r="I170" s="26">
        <f>Table13567[[#This Row],[Tech]]*$T$7+Table13567[[#This Row],[Beta]]*($T$6-$T$8)+$T$8</f>
        <v>3.3856000000000004E-2</v>
      </c>
      <c r="J170" s="64">
        <f>0</f>
        <v>0</v>
      </c>
      <c r="K170" s="61">
        <f>Table13567[[#This Row],[Investment]]/Table13567[[#This Row],[Dollar Volume]]</f>
        <v>0</v>
      </c>
      <c r="L170" s="34">
        <f>IFERROR(MAX($T$11+$T$12*LN(Table13567[[#This Row],[Frac ADV]]),0),0)*0.0001+0.005/Table13567[[#This Row],[Stock Price]]+Table13567[[#This Row],[Expense Ratio]]</f>
        <v>4.0052271813429834E-4</v>
      </c>
      <c r="M170" s="68">
        <f>(Table13567[[#This Row],[Expected Return]]-Table13567[[#This Row],[Tcosts]])*Table13567[[#This Row],[Investment]]</f>
        <v>0</v>
      </c>
      <c r="Q170" s="13" t="s">
        <v>758</v>
      </c>
    </row>
    <row r="171" spans="1:17" ht="15.6" x14ac:dyDescent="0.3">
      <c r="A171" s="77" t="s">
        <v>874</v>
      </c>
      <c r="B171" s="73" t="s">
        <v>875</v>
      </c>
      <c r="C171" s="73">
        <v>50.77</v>
      </c>
      <c r="D171" s="85" t="s">
        <v>726</v>
      </c>
      <c r="E171" s="75">
        <v>2.9999999999999997E-4</v>
      </c>
      <c r="F171" s="73">
        <v>-0.05</v>
      </c>
      <c r="G171" s="78">
        <v>177210000</v>
      </c>
      <c r="H171" s="3" t="b">
        <f t="shared" si="5"/>
        <v>0</v>
      </c>
      <c r="I171" s="26">
        <f>Table13567[[#This Row],[Tech]]*$T$7+Table13567[[#This Row],[Beta]]*($T$6-$T$8)+$T$8</f>
        <v>3.322E-2</v>
      </c>
      <c r="J171" s="64">
        <f>0</f>
        <v>0</v>
      </c>
      <c r="K171" s="61">
        <f>Table13567[[#This Row],[Investment]]/Table13567[[#This Row],[Dollar Volume]]</f>
        <v>0</v>
      </c>
      <c r="L171" s="34">
        <f>IFERROR(MAX($T$11+$T$12*LN(Table13567[[#This Row],[Frac ADV]]),0),0)*0.0001+0.005/Table13567[[#This Row],[Stock Price]]+Table13567[[#This Row],[Expense Ratio]]</f>
        <v>3.9848335631278314E-4</v>
      </c>
      <c r="M171" s="68">
        <f>(Table13567[[#This Row],[Expected Return]]-Table13567[[#This Row],[Tcosts]])*Table13567[[#This Row],[Investment]]</f>
        <v>0</v>
      </c>
      <c r="Q171" s="16" t="s">
        <v>762</v>
      </c>
    </row>
    <row r="172" spans="1:17" ht="15.6" x14ac:dyDescent="0.3">
      <c r="A172" s="79" t="s">
        <v>842</v>
      </c>
      <c r="B172" s="74" t="s">
        <v>843</v>
      </c>
      <c r="C172" s="74">
        <v>60.21</v>
      </c>
      <c r="D172" s="86" t="s">
        <v>844</v>
      </c>
      <c r="E172" s="76">
        <v>2.9999999999999997E-4</v>
      </c>
      <c r="F172" s="74">
        <v>-0.09</v>
      </c>
      <c r="G172" s="78">
        <v>176940000</v>
      </c>
      <c r="H172" s="3" t="b">
        <f t="shared" si="5"/>
        <v>0</v>
      </c>
      <c r="I172" s="26">
        <f>Table13567[[#This Row],[Tech]]*$T$7+Table13567[[#This Row],[Beta]]*($T$6-$T$8)+$T$8</f>
        <v>3.0676000000000002E-2</v>
      </c>
      <c r="J172" s="64">
        <f>0</f>
        <v>0</v>
      </c>
      <c r="K172" s="61">
        <f>Table13567[[#This Row],[Investment]]/Table13567[[#This Row],[Dollar Volume]]</f>
        <v>0</v>
      </c>
      <c r="L172" s="34">
        <f>IFERROR(MAX($T$11+$T$12*LN(Table13567[[#This Row],[Frac ADV]]),0),0)*0.0001+0.005/Table13567[[#This Row],[Stock Price]]+Table13567[[#This Row],[Expense Ratio]]</f>
        <v>3.8304268393954491E-4</v>
      </c>
      <c r="M172" s="68">
        <f>(Table13567[[#This Row],[Expected Return]]-Table13567[[#This Row],[Tcosts]])*Table13567[[#This Row],[Investment]]</f>
        <v>0</v>
      </c>
      <c r="Q172" s="13" t="s">
        <v>766</v>
      </c>
    </row>
    <row r="173" spans="1:17" ht="15.6" x14ac:dyDescent="0.3">
      <c r="A173" s="77" t="s">
        <v>713</v>
      </c>
      <c r="B173" s="73" t="s">
        <v>714</v>
      </c>
      <c r="C173" s="73">
        <v>100.48</v>
      </c>
      <c r="D173" s="85" t="s">
        <v>715</v>
      </c>
      <c r="E173" s="75">
        <v>8.9999999999999998E-4</v>
      </c>
      <c r="F173" s="73">
        <v>0.01</v>
      </c>
      <c r="G173" s="78">
        <v>203900000</v>
      </c>
      <c r="H173" s="3" t="b">
        <f t="shared" si="5"/>
        <v>0</v>
      </c>
      <c r="I173" s="26">
        <f>Table13567[[#This Row],[Tech]]*$T$7+Table13567[[#This Row],[Beta]]*($T$6-$T$8)+$T$8</f>
        <v>3.7035999999999999E-2</v>
      </c>
      <c r="J173" s="64">
        <f>0</f>
        <v>0</v>
      </c>
      <c r="K173" s="61">
        <f>Table13567[[#This Row],[Investment]]/Table13567[[#This Row],[Dollar Volume]]</f>
        <v>0</v>
      </c>
      <c r="L173" s="34">
        <f>IFERROR(MAX($T$11+$T$12*LN(Table13567[[#This Row],[Frac ADV]]),0),0)*0.0001+0.005/Table13567[[#This Row],[Stock Price]]+Table13567[[#This Row],[Expense Ratio]]</f>
        <v>9.4976114649681525E-4</v>
      </c>
      <c r="M173" s="68">
        <f>(Table13567[[#This Row],[Expected Return]]-Table13567[[#This Row],[Tcosts]])*Table13567[[#This Row],[Investment]]</f>
        <v>0</v>
      </c>
      <c r="Q173" s="16" t="s">
        <v>770</v>
      </c>
    </row>
    <row r="174" spans="1:17" ht="15.6" x14ac:dyDescent="0.3">
      <c r="A174" s="77" t="s">
        <v>701</v>
      </c>
      <c r="B174" s="73" t="s">
        <v>702</v>
      </c>
      <c r="C174" s="73">
        <v>53.11</v>
      </c>
      <c r="D174" s="85" t="s">
        <v>703</v>
      </c>
      <c r="E174" s="75">
        <v>4.0000000000000001E-3</v>
      </c>
      <c r="F174" s="73">
        <v>7.0000000000000007E-2</v>
      </c>
      <c r="G174" s="78">
        <v>44860000</v>
      </c>
      <c r="H174" s="3" t="b">
        <f t="shared" si="5"/>
        <v>0</v>
      </c>
      <c r="I174" s="26">
        <f>Table13567[[#This Row],[Tech]]*$T$7+Table13567[[#This Row],[Beta]]*($T$6-$T$8)+$T$8</f>
        <v>4.0851999999999999E-2</v>
      </c>
      <c r="J174" s="64">
        <f>0</f>
        <v>0</v>
      </c>
      <c r="K174" s="61">
        <f>Table13567[[#This Row],[Investment]]/Table13567[[#This Row],[Dollar Volume]]</f>
        <v>0</v>
      </c>
      <c r="L174" s="34">
        <f>IFERROR(MAX($T$11+$T$12*LN(Table13567[[#This Row],[Frac ADV]]),0),0)*0.0001+0.005/Table13567[[#This Row],[Stock Price]]+Table13567[[#This Row],[Expense Ratio]]</f>
        <v>4.0941442289587652E-3</v>
      </c>
      <c r="M174" s="68">
        <f>(Table13567[[#This Row],[Expected Return]]-Table13567[[#This Row],[Tcosts]])*Table13567[[#This Row],[Investment]]</f>
        <v>0</v>
      </c>
      <c r="Q174" s="13" t="s">
        <v>774</v>
      </c>
    </row>
    <row r="175" spans="1:17" ht="15.6" x14ac:dyDescent="0.3">
      <c r="A175" s="79" t="s">
        <v>724</v>
      </c>
      <c r="B175" s="74" t="s">
        <v>725</v>
      </c>
      <c r="C175" s="74">
        <v>91.47</v>
      </c>
      <c r="D175" s="86" t="s">
        <v>726</v>
      </c>
      <c r="E175" s="76">
        <v>1.4E-3</v>
      </c>
      <c r="F175" s="74">
        <v>0.01</v>
      </c>
      <c r="G175" s="78">
        <v>546640000</v>
      </c>
      <c r="H175" s="3" t="b">
        <f t="shared" si="5"/>
        <v>0</v>
      </c>
      <c r="I175" s="26">
        <f>Table13567[[#This Row],[Tech]]*$T$7+Table13567[[#This Row],[Beta]]*($T$6-$T$8)+$T$8</f>
        <v>3.7035999999999999E-2</v>
      </c>
      <c r="J175" s="64">
        <f>0</f>
        <v>0</v>
      </c>
      <c r="K175" s="61">
        <f>Table13567[[#This Row],[Investment]]/Table13567[[#This Row],[Dollar Volume]]</f>
        <v>0</v>
      </c>
      <c r="L175" s="34">
        <f>IFERROR(MAX($T$11+$T$12*LN(Table13567[[#This Row],[Frac ADV]]),0),0)*0.0001+0.005/Table13567[[#This Row],[Stock Price]]+Table13567[[#This Row],[Expense Ratio]]</f>
        <v>1.4546627309500384E-3</v>
      </c>
      <c r="M175" s="68">
        <f>(Table13567[[#This Row],[Expected Return]]-Table13567[[#This Row],[Tcosts]])*Table13567[[#This Row],[Investment]]</f>
        <v>0</v>
      </c>
      <c r="Q175" s="16" t="s">
        <v>778</v>
      </c>
    </row>
    <row r="176" spans="1:17" ht="15.6" x14ac:dyDescent="0.3">
      <c r="A176" s="77" t="s">
        <v>767</v>
      </c>
      <c r="B176" s="73" t="s">
        <v>768</v>
      </c>
      <c r="C176" s="73">
        <v>110.22</v>
      </c>
      <c r="D176" s="85" t="s">
        <v>769</v>
      </c>
      <c r="E176" s="75">
        <v>1.5E-3</v>
      </c>
      <c r="F176" s="73">
        <v>0.01</v>
      </c>
      <c r="G176" s="78">
        <v>42740000</v>
      </c>
      <c r="H176" s="3" t="b">
        <f t="shared" si="5"/>
        <v>0</v>
      </c>
      <c r="I176" s="26">
        <f>Table13567[[#This Row],[Tech]]*$T$7+Table13567[[#This Row],[Beta]]*($T$6-$T$8)+$T$8</f>
        <v>3.7035999999999999E-2</v>
      </c>
      <c r="J176" s="64">
        <f>0</f>
        <v>0</v>
      </c>
      <c r="K176" s="61">
        <f>Table13567[[#This Row],[Investment]]/Table13567[[#This Row],[Dollar Volume]]</f>
        <v>0</v>
      </c>
      <c r="L176" s="34">
        <f>IFERROR(MAX($T$11+$T$12*LN(Table13567[[#This Row],[Frac ADV]]),0),0)*0.0001+0.005/Table13567[[#This Row],[Stock Price]]+Table13567[[#This Row],[Expense Ratio]]</f>
        <v>1.5453638178189078E-3</v>
      </c>
      <c r="M176" s="68">
        <f>(Table13567[[#This Row],[Expected Return]]-Table13567[[#This Row],[Tcosts]])*Table13567[[#This Row],[Investment]]</f>
        <v>0</v>
      </c>
      <c r="Q176" s="13" t="s">
        <v>782</v>
      </c>
    </row>
    <row r="177" spans="1:17" ht="15.6" x14ac:dyDescent="0.3">
      <c r="A177" s="79" t="s">
        <v>743</v>
      </c>
      <c r="B177" s="74" t="s">
        <v>744</v>
      </c>
      <c r="C177" s="74">
        <v>48.8</v>
      </c>
      <c r="D177" s="86" t="s">
        <v>745</v>
      </c>
      <c r="E177" s="76">
        <v>6.9999999999999999E-4</v>
      </c>
      <c r="F177" s="74">
        <v>-0.01</v>
      </c>
      <c r="G177" s="78">
        <v>45530000</v>
      </c>
      <c r="H177" s="3" t="b">
        <f t="shared" si="5"/>
        <v>0</v>
      </c>
      <c r="I177" s="26">
        <f>Table13567[[#This Row],[Tech]]*$T$7+Table13567[[#This Row],[Beta]]*($T$6-$T$8)+$T$8</f>
        <v>3.5764000000000004E-2</v>
      </c>
      <c r="J177" s="64">
        <f>0</f>
        <v>0</v>
      </c>
      <c r="K177" s="61">
        <f>Table13567[[#This Row],[Investment]]/Table13567[[#This Row],[Dollar Volume]]</f>
        <v>0</v>
      </c>
      <c r="L177" s="34">
        <f>IFERROR(MAX($T$11+$T$12*LN(Table13567[[#This Row],[Frac ADV]]),0),0)*0.0001+0.005/Table13567[[#This Row],[Stock Price]]+Table13567[[#This Row],[Expense Ratio]]</f>
        <v>8.0245901639344264E-4</v>
      </c>
      <c r="M177" s="68">
        <f>(Table13567[[#This Row],[Expected Return]]-Table13567[[#This Row],[Tcosts]])*Table13567[[#This Row],[Investment]]</f>
        <v>0</v>
      </c>
      <c r="Q177" s="16" t="s">
        <v>786</v>
      </c>
    </row>
    <row r="178" spans="1:17" ht="15.6" x14ac:dyDescent="0.3">
      <c r="A178" s="77" t="s">
        <v>791</v>
      </c>
      <c r="B178" s="73" t="s">
        <v>792</v>
      </c>
      <c r="C178" s="73">
        <v>100.51</v>
      </c>
      <c r="D178" s="85" t="s">
        <v>793</v>
      </c>
      <c r="E178" s="75">
        <v>3.5999999999999999E-3</v>
      </c>
      <c r="F178" s="73">
        <v>0.02</v>
      </c>
      <c r="G178" s="78">
        <v>99420000</v>
      </c>
      <c r="H178" s="3" t="b">
        <f t="shared" si="5"/>
        <v>0</v>
      </c>
      <c r="I178" s="26">
        <f>Table13567[[#This Row],[Tech]]*$T$7+Table13567[[#This Row],[Beta]]*($T$6-$T$8)+$T$8</f>
        <v>3.7672000000000004E-2</v>
      </c>
      <c r="J178" s="64">
        <f>0</f>
        <v>0</v>
      </c>
      <c r="K178" s="61">
        <f>Table13567[[#This Row],[Investment]]/Table13567[[#This Row],[Dollar Volume]]</f>
        <v>0</v>
      </c>
      <c r="L178" s="34">
        <f>IFERROR(MAX($T$11+$T$12*LN(Table13567[[#This Row],[Frac ADV]]),0),0)*0.0001+0.005/Table13567[[#This Row],[Stock Price]]+Table13567[[#This Row],[Expense Ratio]]</f>
        <v>3.6497462939011041E-3</v>
      </c>
      <c r="M178" s="68">
        <f>(Table13567[[#This Row],[Expected Return]]-Table13567[[#This Row],[Tcosts]])*Table13567[[#This Row],[Investment]]</f>
        <v>0</v>
      </c>
      <c r="Q178" s="13" t="s">
        <v>790</v>
      </c>
    </row>
    <row r="179" spans="1:17" ht="15.6" x14ac:dyDescent="0.3">
      <c r="A179" s="77" t="s">
        <v>799</v>
      </c>
      <c r="B179" s="73" t="s">
        <v>800</v>
      </c>
      <c r="C179" s="73">
        <v>78.98</v>
      </c>
      <c r="D179" s="85" t="s">
        <v>801</v>
      </c>
      <c r="E179" s="75">
        <v>2.9999999999999997E-4</v>
      </c>
      <c r="F179" s="73">
        <v>-0.04</v>
      </c>
      <c r="G179" s="78">
        <v>35920000</v>
      </c>
      <c r="H179" s="3" t="b">
        <f t="shared" si="5"/>
        <v>0</v>
      </c>
      <c r="I179" s="26">
        <f>Table13567[[#This Row],[Tech]]*$T$7+Table13567[[#This Row],[Beta]]*($T$6-$T$8)+$T$8</f>
        <v>3.3856000000000004E-2</v>
      </c>
      <c r="J179" s="64">
        <f>0</f>
        <v>0</v>
      </c>
      <c r="K179" s="61">
        <f>Table13567[[#This Row],[Investment]]/Table13567[[#This Row],[Dollar Volume]]</f>
        <v>0</v>
      </c>
      <c r="L179" s="34">
        <f>IFERROR(MAX($T$11+$T$12*LN(Table13567[[#This Row],[Frac ADV]]),0),0)*0.0001+0.005/Table13567[[#This Row],[Stock Price]]+Table13567[[#This Row],[Expense Ratio]]</f>
        <v>3.6330716637123319E-4</v>
      </c>
      <c r="M179" s="68">
        <f>(Table13567[[#This Row],[Expected Return]]-Table13567[[#This Row],[Tcosts]])*Table13567[[#This Row],[Investment]]</f>
        <v>0</v>
      </c>
      <c r="Q179" s="16" t="s">
        <v>794</v>
      </c>
    </row>
    <row r="180" spans="1:17" ht="15.6" x14ac:dyDescent="0.3">
      <c r="A180" s="79" t="s">
        <v>807</v>
      </c>
      <c r="B180" s="74" t="s">
        <v>808</v>
      </c>
      <c r="C180" s="74">
        <v>108.09</v>
      </c>
      <c r="D180" s="86" t="s">
        <v>809</v>
      </c>
      <c r="E180" s="76">
        <v>5.0000000000000001E-4</v>
      </c>
      <c r="F180" s="74">
        <v>-0.04</v>
      </c>
      <c r="G180" s="78">
        <v>5330000000</v>
      </c>
      <c r="H180" s="3" t="b">
        <f t="shared" si="5"/>
        <v>0</v>
      </c>
      <c r="I180" s="26">
        <f>Table13567[[#This Row],[Tech]]*$T$7+Table13567[[#This Row],[Beta]]*($T$6-$T$8)+$T$8</f>
        <v>3.3856000000000004E-2</v>
      </c>
      <c r="J180" s="64">
        <f>0</f>
        <v>0</v>
      </c>
      <c r="K180" s="61">
        <f>Table13567[[#This Row],[Investment]]/Table13567[[#This Row],[Dollar Volume]]</f>
        <v>0</v>
      </c>
      <c r="L180" s="34">
        <f>IFERROR(MAX($T$11+$T$12*LN(Table13567[[#This Row],[Frac ADV]]),0),0)*0.0001+0.005/Table13567[[#This Row],[Stock Price]]+Table13567[[#This Row],[Expense Ratio]]</f>
        <v>5.4625774817281892E-4</v>
      </c>
      <c r="M180" s="68">
        <f>(Table13567[[#This Row],[Expected Return]]-Table13567[[#This Row],[Tcosts]])*Table13567[[#This Row],[Investment]]</f>
        <v>0</v>
      </c>
      <c r="Q180" s="13" t="s">
        <v>798</v>
      </c>
    </row>
    <row r="181" spans="1:17" ht="15.6" x14ac:dyDescent="0.3">
      <c r="A181" s="79" t="s">
        <v>862</v>
      </c>
      <c r="B181" s="74" t="s">
        <v>863</v>
      </c>
      <c r="C181" s="74">
        <v>23.19</v>
      </c>
      <c r="D181" s="86" t="s">
        <v>864</v>
      </c>
      <c r="E181" s="76">
        <v>5.0000000000000001E-4</v>
      </c>
      <c r="F181" s="74">
        <v>-0.08</v>
      </c>
      <c r="G181" s="78">
        <v>152890000</v>
      </c>
      <c r="H181" s="3" t="b">
        <f t="shared" si="5"/>
        <v>0</v>
      </c>
      <c r="I181" s="26">
        <f>Table13567[[#This Row],[Tech]]*$T$7+Table13567[[#This Row],[Beta]]*($T$6-$T$8)+$T$8</f>
        <v>3.1312E-2</v>
      </c>
      <c r="J181" s="64">
        <f>0</f>
        <v>0</v>
      </c>
      <c r="K181" s="61">
        <f>Table13567[[#This Row],[Investment]]/Table13567[[#This Row],[Dollar Volume]]</f>
        <v>0</v>
      </c>
      <c r="L181" s="34">
        <f>IFERROR(MAX($T$11+$T$12*LN(Table13567[[#This Row],[Frac ADV]]),0),0)*0.0001+0.005/Table13567[[#This Row],[Stock Price]]+Table13567[[#This Row],[Expense Ratio]]</f>
        <v>7.1561017680034497E-4</v>
      </c>
      <c r="M181" s="68">
        <f>(Table13567[[#This Row],[Expected Return]]-Table13567[[#This Row],[Tcosts]])*Table13567[[#This Row],[Investment]]</f>
        <v>0</v>
      </c>
      <c r="Q181" s="16" t="s">
        <v>802</v>
      </c>
    </row>
    <row r="182" spans="1:17" ht="15.6" x14ac:dyDescent="0.3">
      <c r="A182" s="77" t="s">
        <v>759</v>
      </c>
      <c r="B182" s="73" t="s">
        <v>760</v>
      </c>
      <c r="C182" s="73">
        <v>46.44</v>
      </c>
      <c r="D182" s="85" t="s">
        <v>761</v>
      </c>
      <c r="E182" s="75">
        <v>3.5999999999999999E-3</v>
      </c>
      <c r="F182" s="73">
        <v>-0.06</v>
      </c>
      <c r="G182" s="78">
        <v>113370000</v>
      </c>
      <c r="H182" s="3" t="b">
        <f t="shared" si="5"/>
        <v>0</v>
      </c>
      <c r="I182" s="26">
        <f>Table13567[[#This Row],[Tech]]*$T$7+Table13567[[#This Row],[Beta]]*($T$6-$T$8)+$T$8</f>
        <v>3.2584000000000002E-2</v>
      </c>
      <c r="J182" s="64">
        <f>0</f>
        <v>0</v>
      </c>
      <c r="K182" s="61">
        <f>Table13567[[#This Row],[Investment]]/Table13567[[#This Row],[Dollar Volume]]</f>
        <v>0</v>
      </c>
      <c r="L182" s="34">
        <f>IFERROR(MAX($T$11+$T$12*LN(Table13567[[#This Row],[Frac ADV]]),0),0)*0.0001+0.005/Table13567[[#This Row],[Stock Price]]+Table13567[[#This Row],[Expense Ratio]]</f>
        <v>3.7076658053402239E-3</v>
      </c>
      <c r="M182" s="68">
        <f>(Table13567[[#This Row],[Expected Return]]-Table13567[[#This Row],[Tcosts]])*Table13567[[#This Row],[Investment]]</f>
        <v>0</v>
      </c>
      <c r="Q182" s="13" t="s">
        <v>806</v>
      </c>
    </row>
    <row r="183" spans="1:17" ht="15.6" x14ac:dyDescent="0.3">
      <c r="A183" s="77" t="s">
        <v>751</v>
      </c>
      <c r="B183" s="73" t="s">
        <v>752</v>
      </c>
      <c r="C183" s="73">
        <v>451.39</v>
      </c>
      <c r="D183" s="85" t="s">
        <v>753</v>
      </c>
      <c r="E183" s="75">
        <v>4.0000000000000001E-3</v>
      </c>
      <c r="F183" s="73">
        <v>-0.05</v>
      </c>
      <c r="G183" s="78">
        <v>83690000</v>
      </c>
      <c r="H183" s="3" t="b">
        <f t="shared" si="5"/>
        <v>0</v>
      </c>
      <c r="I183" s="26">
        <f>Table13567[[#This Row],[Tech]]*$T$7+Table13567[[#This Row],[Beta]]*($T$6-$T$8)+$T$8</f>
        <v>3.322E-2</v>
      </c>
      <c r="J183" s="64">
        <f>0</f>
        <v>0</v>
      </c>
      <c r="K183" s="61">
        <f>Table13567[[#This Row],[Investment]]/Table13567[[#This Row],[Dollar Volume]]</f>
        <v>0</v>
      </c>
      <c r="L183" s="34">
        <f>IFERROR(MAX($T$11+$T$12*LN(Table13567[[#This Row],[Frac ADV]]),0),0)*0.0001+0.005/Table13567[[#This Row],[Stock Price]]+Table13567[[#This Row],[Expense Ratio]]</f>
        <v>4.0110768958107178E-3</v>
      </c>
      <c r="M183" s="68">
        <f>(Table13567[[#This Row],[Expected Return]]-Table13567[[#This Row],[Tcosts]])*Table13567[[#This Row],[Investment]]</f>
        <v>0</v>
      </c>
      <c r="Q183" s="16" t="s">
        <v>810</v>
      </c>
    </row>
    <row r="184" spans="1:17" ht="15.6" x14ac:dyDescent="0.3">
      <c r="A184" s="77" t="s">
        <v>717</v>
      </c>
      <c r="B184" s="73" t="s">
        <v>718</v>
      </c>
      <c r="C184" s="73">
        <v>53.05</v>
      </c>
      <c r="D184" s="85" t="s">
        <v>719</v>
      </c>
      <c r="E184" s="75">
        <v>4.0000000000000002E-4</v>
      </c>
      <c r="F184" s="73">
        <v>0</v>
      </c>
      <c r="G184" s="78">
        <v>67300000</v>
      </c>
      <c r="H184" s="3" t="b">
        <f t="shared" si="5"/>
        <v>0</v>
      </c>
      <c r="I184" s="26">
        <f>Table13567[[#This Row],[Tech]]*$T$7+Table13567[[#This Row],[Beta]]*($T$6-$T$8)+$T$8</f>
        <v>3.6400000000000002E-2</v>
      </c>
      <c r="J184" s="64">
        <f>0</f>
        <v>0</v>
      </c>
      <c r="K184" s="61">
        <f>Table13567[[#This Row],[Investment]]/Table13567[[#This Row],[Dollar Volume]]</f>
        <v>0</v>
      </c>
      <c r="L184" s="34">
        <f>IFERROR(MAX($T$11+$T$12*LN(Table13567[[#This Row],[Frac ADV]]),0),0)*0.0001+0.005/Table13567[[#This Row],[Stock Price]]+Table13567[[#This Row],[Expense Ratio]]</f>
        <v>4.9425070688030159E-4</v>
      </c>
      <c r="M184" s="68">
        <f>(Table13567[[#This Row],[Expected Return]]-Table13567[[#This Row],[Tcosts]])*Table13567[[#This Row],[Investment]]</f>
        <v>0</v>
      </c>
      <c r="Q184" s="13" t="s">
        <v>814</v>
      </c>
    </row>
    <row r="185" spans="1:17" ht="15.6" x14ac:dyDescent="0.3">
      <c r="A185" s="77" t="s">
        <v>846</v>
      </c>
      <c r="B185" s="73" t="s">
        <v>847</v>
      </c>
      <c r="C185" s="73">
        <v>25.19</v>
      </c>
      <c r="D185" s="85" t="s">
        <v>848</v>
      </c>
      <c r="E185" s="75">
        <v>2.9999999999999997E-4</v>
      </c>
      <c r="F185" s="73">
        <v>-0.09</v>
      </c>
      <c r="G185" s="78">
        <v>2160000000</v>
      </c>
      <c r="H185" s="3" t="b">
        <f t="shared" si="5"/>
        <v>0</v>
      </c>
      <c r="I185" s="26">
        <f>Table13567[[#This Row],[Tech]]*$T$7+Table13567[[#This Row],[Beta]]*($T$6-$T$8)+$T$8</f>
        <v>3.0676000000000002E-2</v>
      </c>
      <c r="J185" s="64">
        <f>0</f>
        <v>0</v>
      </c>
      <c r="K185" s="61">
        <f>Table13567[[#This Row],[Investment]]/Table13567[[#This Row],[Dollar Volume]]</f>
        <v>0</v>
      </c>
      <c r="L185" s="34">
        <f>IFERROR(MAX($T$11+$T$12*LN(Table13567[[#This Row],[Frac ADV]]),0),0)*0.0001+0.005/Table13567[[#This Row],[Stock Price]]+Table13567[[#This Row],[Expense Ratio]]</f>
        <v>4.9849146486701066E-4</v>
      </c>
      <c r="M185" s="68">
        <f>(Table13567[[#This Row],[Expected Return]]-Table13567[[#This Row],[Tcosts]])*Table13567[[#This Row],[Investment]]</f>
        <v>0</v>
      </c>
      <c r="Q185" s="16" t="s">
        <v>818</v>
      </c>
    </row>
    <row r="186" spans="1:17" ht="15.6" x14ac:dyDescent="0.3">
      <c r="A186" s="77" t="s">
        <v>775</v>
      </c>
      <c r="B186" s="73" t="s">
        <v>776</v>
      </c>
      <c r="C186" s="73">
        <v>78.34</v>
      </c>
      <c r="D186" s="85" t="s">
        <v>777</v>
      </c>
      <c r="E186" s="75">
        <v>2.9999999999999997E-4</v>
      </c>
      <c r="F186" s="73">
        <v>-0.08</v>
      </c>
      <c r="G186" s="78">
        <v>110680000</v>
      </c>
      <c r="H186" s="3" t="b">
        <f t="shared" si="5"/>
        <v>0</v>
      </c>
      <c r="I186" s="26">
        <f>Table13567[[#This Row],[Tech]]*$T$7+Table13567[[#This Row],[Beta]]*($T$6-$T$8)+$T$8</f>
        <v>3.1312E-2</v>
      </c>
      <c r="J186" s="64">
        <f>0</f>
        <v>0</v>
      </c>
      <c r="K186" s="61">
        <f>Table13567[[#This Row],[Investment]]/Table13567[[#This Row],[Dollar Volume]]</f>
        <v>0</v>
      </c>
      <c r="L186" s="34">
        <f>IFERROR(MAX($T$11+$T$12*LN(Table13567[[#This Row],[Frac ADV]]),0),0)*0.0001+0.005/Table13567[[#This Row],[Stock Price]]+Table13567[[#This Row],[Expense Ratio]]</f>
        <v>3.6382435537401071E-4</v>
      </c>
      <c r="M186" s="68">
        <f>(Table13567[[#This Row],[Expected Return]]-Table13567[[#This Row],[Tcosts]])*Table13567[[#This Row],[Investment]]</f>
        <v>0</v>
      </c>
      <c r="Q186" s="13" t="s">
        <v>822</v>
      </c>
    </row>
    <row r="187" spans="1:17" ht="15.6" x14ac:dyDescent="0.3">
      <c r="A187" s="77" t="s">
        <v>823</v>
      </c>
      <c r="B187" s="73" t="s">
        <v>824</v>
      </c>
      <c r="C187" s="73">
        <v>100.67</v>
      </c>
      <c r="D187" s="85" t="s">
        <v>825</v>
      </c>
      <c r="E187" s="75">
        <v>2.9999999999999997E-4</v>
      </c>
      <c r="F187" s="73">
        <v>-0.06</v>
      </c>
      <c r="G187" s="78">
        <v>103190000</v>
      </c>
      <c r="H187" s="3" t="b">
        <f t="shared" si="5"/>
        <v>0</v>
      </c>
      <c r="I187" s="26">
        <f>Table13567[[#This Row],[Tech]]*$T$7+Table13567[[#This Row],[Beta]]*($T$6-$T$8)+$T$8</f>
        <v>3.2584000000000002E-2</v>
      </c>
      <c r="J187" s="64">
        <f>0</f>
        <v>0</v>
      </c>
      <c r="K187" s="61">
        <f>Table13567[[#This Row],[Investment]]/Table13567[[#This Row],[Dollar Volume]]</f>
        <v>0</v>
      </c>
      <c r="L187" s="34">
        <f>IFERROR(MAX($T$11+$T$12*LN(Table13567[[#This Row],[Frac ADV]]),0),0)*0.0001+0.005/Table13567[[#This Row],[Stock Price]]+Table13567[[#This Row],[Expense Ratio]]</f>
        <v>3.4966722956193501E-4</v>
      </c>
      <c r="M187" s="68">
        <f>(Table13567[[#This Row],[Expected Return]]-Table13567[[#This Row],[Tcosts]])*Table13567[[#This Row],[Investment]]</f>
        <v>0</v>
      </c>
      <c r="Q187" s="16" t="s">
        <v>826</v>
      </c>
    </row>
    <row r="188" spans="1:17" ht="15.6" x14ac:dyDescent="0.3">
      <c r="A188" s="79" t="s">
        <v>755</v>
      </c>
      <c r="B188" s="74" t="s">
        <v>756</v>
      </c>
      <c r="C188" s="74">
        <v>119.82</v>
      </c>
      <c r="D188" s="86" t="s">
        <v>757</v>
      </c>
      <c r="E188" s="76">
        <v>1.5E-3</v>
      </c>
      <c r="F188" s="74">
        <v>-0.09</v>
      </c>
      <c r="G188" s="78">
        <v>51210000</v>
      </c>
      <c r="H188" s="3" t="b">
        <f t="shared" si="5"/>
        <v>0</v>
      </c>
      <c r="I188" s="26">
        <f>Table13567[[#This Row],[Tech]]*$T$7+Table13567[[#This Row],[Beta]]*($T$6-$T$8)+$T$8</f>
        <v>3.0676000000000002E-2</v>
      </c>
      <c r="J188" s="64">
        <f>0</f>
        <v>0</v>
      </c>
      <c r="K188" s="61">
        <f>Table13567[[#This Row],[Investment]]/Table13567[[#This Row],[Dollar Volume]]</f>
        <v>0</v>
      </c>
      <c r="L188" s="34">
        <f>IFERROR(MAX($T$11+$T$12*LN(Table13567[[#This Row],[Frac ADV]]),0),0)*0.0001+0.005/Table13567[[#This Row],[Stock Price]]+Table13567[[#This Row],[Expense Ratio]]</f>
        <v>1.541729260557503E-3</v>
      </c>
      <c r="M188" s="68">
        <f>(Table13567[[#This Row],[Expected Return]]-Table13567[[#This Row],[Tcosts]])*Table13567[[#This Row],[Investment]]</f>
        <v>0</v>
      </c>
      <c r="Q188" s="13" t="s">
        <v>830</v>
      </c>
    </row>
    <row r="189" spans="1:17" ht="15.6" x14ac:dyDescent="0.3">
      <c r="A189" s="77" t="s">
        <v>831</v>
      </c>
      <c r="B189" s="73" t="s">
        <v>832</v>
      </c>
      <c r="C189" s="73">
        <v>97.25</v>
      </c>
      <c r="D189" s="85" t="s">
        <v>833</v>
      </c>
      <c r="E189" s="75">
        <v>1E-3</v>
      </c>
      <c r="F189" s="73">
        <v>-0.05</v>
      </c>
      <c r="G189" s="78">
        <v>140630000</v>
      </c>
      <c r="H189" s="3" t="b">
        <f t="shared" si="5"/>
        <v>0</v>
      </c>
      <c r="I189" s="26">
        <f>Table13567[[#This Row],[Tech]]*$T$7+Table13567[[#This Row],[Beta]]*($T$6-$T$8)+$T$8</f>
        <v>3.322E-2</v>
      </c>
      <c r="J189" s="64">
        <f>0</f>
        <v>0</v>
      </c>
      <c r="K189" s="61">
        <f>Table13567[[#This Row],[Investment]]/Table13567[[#This Row],[Dollar Volume]]</f>
        <v>0</v>
      </c>
      <c r="L189" s="34">
        <f>IFERROR(MAX($T$11+$T$12*LN(Table13567[[#This Row],[Frac ADV]]),0),0)*0.0001+0.005/Table13567[[#This Row],[Stock Price]]+Table13567[[#This Row],[Expense Ratio]]</f>
        <v>1.0514138817480721E-3</v>
      </c>
      <c r="M189" s="68">
        <f>(Table13567[[#This Row],[Expected Return]]-Table13567[[#This Row],[Tcosts]])*Table13567[[#This Row],[Investment]]</f>
        <v>0</v>
      </c>
      <c r="Q189" s="16" t="s">
        <v>834</v>
      </c>
    </row>
    <row r="190" spans="1:17" ht="15.6" x14ac:dyDescent="0.3">
      <c r="A190" s="79" t="s">
        <v>839</v>
      </c>
      <c r="B190" s="74" t="s">
        <v>840</v>
      </c>
      <c r="C190" s="74">
        <v>111.25</v>
      </c>
      <c r="D190" s="86" t="s">
        <v>730</v>
      </c>
      <c r="E190" s="76">
        <v>1.8E-3</v>
      </c>
      <c r="F190" s="74">
        <v>-0.04</v>
      </c>
      <c r="G190" s="78">
        <v>75700000</v>
      </c>
      <c r="H190" s="3" t="b">
        <f t="shared" si="5"/>
        <v>0</v>
      </c>
      <c r="I190" s="26">
        <f>Table13567[[#This Row],[Tech]]*$T$7+Table13567[[#This Row],[Beta]]*($T$6-$T$8)+$T$8</f>
        <v>3.3856000000000004E-2</v>
      </c>
      <c r="J190" s="64">
        <f>0</f>
        <v>0</v>
      </c>
      <c r="K190" s="61">
        <f>Table13567[[#This Row],[Investment]]/Table13567[[#This Row],[Dollar Volume]]</f>
        <v>0</v>
      </c>
      <c r="L190" s="34">
        <f>IFERROR(MAX($T$11+$T$12*LN(Table13567[[#This Row],[Frac ADV]]),0),0)*0.0001+0.005/Table13567[[#This Row],[Stock Price]]+Table13567[[#This Row],[Expense Ratio]]</f>
        <v>1.844943820224719E-3</v>
      </c>
      <c r="M190" s="68">
        <f>(Table13567[[#This Row],[Expected Return]]-Table13567[[#This Row],[Tcosts]])*Table13567[[#This Row],[Investment]]</f>
        <v>0</v>
      </c>
      <c r="Q190" s="13" t="s">
        <v>838</v>
      </c>
    </row>
    <row r="191" spans="1:17" ht="15.6" x14ac:dyDescent="0.3">
      <c r="A191" s="77" t="s">
        <v>827</v>
      </c>
      <c r="B191" s="73" t="s">
        <v>828</v>
      </c>
      <c r="C191" s="73">
        <v>47.56</v>
      </c>
      <c r="D191" s="85" t="s">
        <v>829</v>
      </c>
      <c r="E191" s="75">
        <v>2.9999999999999997E-4</v>
      </c>
      <c r="F191" s="73">
        <v>-0.06</v>
      </c>
      <c r="G191" s="78">
        <v>42420000</v>
      </c>
      <c r="H191" s="3" t="b">
        <f t="shared" si="5"/>
        <v>0</v>
      </c>
      <c r="I191" s="26">
        <f>Table13567[[#This Row],[Tech]]*$T$7+Table13567[[#This Row],[Beta]]*($T$6-$T$8)+$T$8</f>
        <v>3.2584000000000002E-2</v>
      </c>
      <c r="J191" s="64">
        <f>0</f>
        <v>0</v>
      </c>
      <c r="K191" s="61">
        <f>Table13567[[#This Row],[Investment]]/Table13567[[#This Row],[Dollar Volume]]</f>
        <v>0</v>
      </c>
      <c r="L191" s="34">
        <f>IFERROR(MAX($T$11+$T$12*LN(Table13567[[#This Row],[Frac ADV]]),0),0)*0.0001+0.005/Table13567[[#This Row],[Stock Price]]+Table13567[[#This Row],[Expense Ratio]]</f>
        <v>4.0513036164844401E-4</v>
      </c>
      <c r="M191" s="68">
        <f>(Table13567[[#This Row],[Expected Return]]-Table13567[[#This Row],[Tcosts]])*Table13567[[#This Row],[Investment]]</f>
        <v>0</v>
      </c>
      <c r="Q191" s="16" t="s">
        <v>841</v>
      </c>
    </row>
    <row r="192" spans="1:17" ht="15.6" x14ac:dyDescent="0.3">
      <c r="A192" s="77" t="s">
        <v>858</v>
      </c>
      <c r="B192" s="73" t="s">
        <v>859</v>
      </c>
      <c r="C192" s="73">
        <v>96.83</v>
      </c>
      <c r="D192" s="85" t="s">
        <v>860</v>
      </c>
      <c r="E192" s="75">
        <v>1.5E-3</v>
      </c>
      <c r="F192" s="73">
        <v>-0.12</v>
      </c>
      <c r="G192" s="78">
        <v>146800000</v>
      </c>
      <c r="H192" s="3" t="b">
        <f t="shared" si="5"/>
        <v>0</v>
      </c>
      <c r="I192" s="26">
        <f>Table13567[[#This Row],[Tech]]*$T$7+Table13567[[#This Row],[Beta]]*($T$6-$T$8)+$T$8</f>
        <v>2.8768000000000002E-2</v>
      </c>
      <c r="J192" s="64">
        <f>0</f>
        <v>0</v>
      </c>
      <c r="K192" s="61">
        <f>Table13567[[#This Row],[Investment]]/Table13567[[#This Row],[Dollar Volume]]</f>
        <v>0</v>
      </c>
      <c r="L192" s="34">
        <f>IFERROR(MAX($T$11+$T$12*LN(Table13567[[#This Row],[Frac ADV]]),0),0)*0.0001+0.005/Table13567[[#This Row],[Stock Price]]+Table13567[[#This Row],[Expense Ratio]]</f>
        <v>1.5516368893937829E-3</v>
      </c>
      <c r="M192" s="68">
        <f>(Table13567[[#This Row],[Expected Return]]-Table13567[[#This Row],[Tcosts]])*Table13567[[#This Row],[Investment]]</f>
        <v>0</v>
      </c>
      <c r="Q192" s="13" t="s">
        <v>845</v>
      </c>
    </row>
    <row r="193" spans="1:17" ht="15.6" x14ac:dyDescent="0.3">
      <c r="A193" s="77" t="s">
        <v>728</v>
      </c>
      <c r="B193" s="73" t="s">
        <v>729</v>
      </c>
      <c r="C193" s="73">
        <v>102.99</v>
      </c>
      <c r="D193" s="85" t="s">
        <v>730</v>
      </c>
      <c r="E193" s="75">
        <v>2.9999999999999997E-4</v>
      </c>
      <c r="F193" s="73">
        <v>-0.01</v>
      </c>
      <c r="G193" s="78">
        <v>32800000</v>
      </c>
      <c r="H193" s="3" t="b">
        <f t="shared" si="5"/>
        <v>0</v>
      </c>
      <c r="I193" s="26">
        <f>Table13567[[#This Row],[Tech]]*$T$7+Table13567[[#This Row],[Beta]]*($T$6-$T$8)+$T$8</f>
        <v>3.5764000000000004E-2</v>
      </c>
      <c r="J193" s="64">
        <f>0</f>
        <v>0</v>
      </c>
      <c r="K193" s="61">
        <f>Table13567[[#This Row],[Investment]]/Table13567[[#This Row],[Dollar Volume]]</f>
        <v>0</v>
      </c>
      <c r="L193" s="34">
        <f>IFERROR(MAX($T$11+$T$12*LN(Table13567[[#This Row],[Frac ADV]]),0),0)*0.0001+0.005/Table13567[[#This Row],[Stock Price]]+Table13567[[#This Row],[Expense Ratio]]</f>
        <v>3.4854840275754927E-4</v>
      </c>
      <c r="M193" s="68">
        <f>(Table13567[[#This Row],[Expected Return]]-Table13567[[#This Row],[Tcosts]])*Table13567[[#This Row],[Investment]]</f>
        <v>0</v>
      </c>
      <c r="Q193" s="16" t="s">
        <v>849</v>
      </c>
    </row>
    <row r="194" spans="1:17" ht="15.6" x14ac:dyDescent="0.3">
      <c r="A194" s="77" t="s">
        <v>854</v>
      </c>
      <c r="B194" s="73" t="s">
        <v>855</v>
      </c>
      <c r="C194" s="73">
        <v>103.39</v>
      </c>
      <c r="D194" s="85" t="s">
        <v>856</v>
      </c>
      <c r="E194" s="75">
        <v>1.5E-3</v>
      </c>
      <c r="F194" s="73">
        <v>-0.17</v>
      </c>
      <c r="G194" s="78">
        <v>32170000</v>
      </c>
      <c r="H194" s="3" t="b">
        <f t="shared" ref="H194:H201" si="6">OR(
  ISNUMBER(SEARCH("technology",B194)),
  ISNUMBER(SEARCH("tech",B194)),
  ISNUMBER(SEARCH("qqq",B194)),
  ISNUMBER(SEARCH("semiconductor",B194)),
  ISNUMBER(SEARCH("information technology",B194)),
  ISNUMBER(SEARCH("nasdaq",B194)),
  ISNUMBER(SEARCH("communication",B194))
)</f>
        <v>0</v>
      </c>
      <c r="I194" s="26">
        <f>Table13567[[#This Row],[Tech]]*$T$7+Table13567[[#This Row],[Beta]]*($T$6-$T$8)+$T$8</f>
        <v>2.5588E-2</v>
      </c>
      <c r="J194" s="64">
        <f>0</f>
        <v>0</v>
      </c>
      <c r="K194" s="61">
        <f>Table13567[[#This Row],[Investment]]/Table13567[[#This Row],[Dollar Volume]]</f>
        <v>0</v>
      </c>
      <c r="L194" s="34">
        <f>IFERROR(MAX($T$11+$T$12*LN(Table13567[[#This Row],[Frac ADV]]),0),0)*0.0001+0.005/Table13567[[#This Row],[Stock Price]]+Table13567[[#This Row],[Expense Ratio]]</f>
        <v>1.5483605764580713E-3</v>
      </c>
      <c r="M194" s="68">
        <f>(Table13567[[#This Row],[Expected Return]]-Table13567[[#This Row],[Tcosts]])*Table13567[[#This Row],[Investment]]</f>
        <v>0</v>
      </c>
      <c r="Q194" s="13" t="s">
        <v>853</v>
      </c>
    </row>
    <row r="195" spans="1:17" ht="15.6" x14ac:dyDescent="0.3">
      <c r="A195" s="77" t="s">
        <v>850</v>
      </c>
      <c r="B195" s="73" t="s">
        <v>851</v>
      </c>
      <c r="C195" s="73">
        <v>89.23</v>
      </c>
      <c r="D195" s="85" t="s">
        <v>852</v>
      </c>
      <c r="E195" s="75">
        <v>1.5E-3</v>
      </c>
      <c r="F195" s="73">
        <v>-0.18</v>
      </c>
      <c r="G195" s="78">
        <v>66080000</v>
      </c>
      <c r="H195" s="3" t="b">
        <f t="shared" si="6"/>
        <v>0</v>
      </c>
      <c r="I195" s="26">
        <f>Table13567[[#This Row],[Tech]]*$T$7+Table13567[[#This Row],[Beta]]*($T$6-$T$8)+$T$8</f>
        <v>2.4952000000000002E-2</v>
      </c>
      <c r="J195" s="64">
        <f>0</f>
        <v>0</v>
      </c>
      <c r="K195" s="61">
        <f>Table13567[[#This Row],[Investment]]/Table13567[[#This Row],[Dollar Volume]]</f>
        <v>0</v>
      </c>
      <c r="L195" s="33">
        <f>IFERROR(MAX($T$11+$T$12*LN(Table13567[[#This Row],[Frac ADV]]),0),0)*0.0001+0.005/Table13567[[#This Row],[Stock Price]]+Table13567[[#This Row],[Expense Ratio]]</f>
        <v>1.5560349658186709E-3</v>
      </c>
      <c r="M195" s="68">
        <f>(Table13567[[#This Row],[Expected Return]]-Table13567[[#This Row],[Tcosts]])*Table13567[[#This Row],[Investment]]</f>
        <v>0</v>
      </c>
      <c r="Q195" s="16" t="s">
        <v>857</v>
      </c>
    </row>
    <row r="196" spans="1:17" ht="15.6" x14ac:dyDescent="0.3">
      <c r="A196" s="77" t="s">
        <v>779</v>
      </c>
      <c r="B196" s="73" t="s">
        <v>780</v>
      </c>
      <c r="C196" s="73">
        <v>26.87</v>
      </c>
      <c r="D196" s="85" t="s">
        <v>781</v>
      </c>
      <c r="E196" s="75">
        <v>6.4000000000000003E-3</v>
      </c>
      <c r="F196" s="73">
        <v>0.03</v>
      </c>
      <c r="G196" s="78">
        <v>24040000</v>
      </c>
      <c r="H196" s="3" t="b">
        <f t="shared" si="6"/>
        <v>0</v>
      </c>
      <c r="I196" s="26">
        <f>Table13567[[#This Row],[Tech]]*$T$7+Table13567[[#This Row],[Beta]]*($T$6-$T$8)+$T$8</f>
        <v>3.8308000000000002E-2</v>
      </c>
      <c r="J196" s="64">
        <f>0</f>
        <v>0</v>
      </c>
      <c r="K196" s="61">
        <f>Table13567[[#This Row],[Investment]]/Table13567[[#This Row],[Dollar Volume]]</f>
        <v>0</v>
      </c>
      <c r="L196" s="34">
        <f>IFERROR(MAX($T$11+$T$12*LN(Table13567[[#This Row],[Frac ADV]]),0),0)*0.0001+0.005/Table13567[[#This Row],[Stock Price]]+Table13567[[#This Row],[Expense Ratio]]</f>
        <v>6.5860811313732791E-3</v>
      </c>
      <c r="M196" s="68">
        <f>(Table13567[[#This Row],[Expected Return]]-Table13567[[#This Row],[Tcosts]])*Table13567[[#This Row],[Investment]]</f>
        <v>0</v>
      </c>
      <c r="Q196" s="13" t="s">
        <v>861</v>
      </c>
    </row>
    <row r="197" spans="1:17" ht="15.6" x14ac:dyDescent="0.3">
      <c r="A197" s="77" t="s">
        <v>747</v>
      </c>
      <c r="B197" s="73" t="s">
        <v>748</v>
      </c>
      <c r="C197" s="73">
        <v>111.22</v>
      </c>
      <c r="D197" s="85" t="s">
        <v>749</v>
      </c>
      <c r="E197" s="75">
        <v>1.4E-3</v>
      </c>
      <c r="F197" s="73">
        <v>0</v>
      </c>
      <c r="G197" s="78">
        <v>84260000</v>
      </c>
      <c r="H197" s="3" t="b">
        <f t="shared" si="6"/>
        <v>0</v>
      </c>
      <c r="I197" s="26">
        <f>Table13567[[#This Row],[Tech]]*$T$7+Table13567[[#This Row],[Beta]]*($T$6-$T$8)+$T$8</f>
        <v>3.6400000000000002E-2</v>
      </c>
      <c r="J197" s="64">
        <f>0</f>
        <v>0</v>
      </c>
      <c r="K197" s="61">
        <f>Table13567[[#This Row],[Investment]]/Table13567[[#This Row],[Dollar Volume]]</f>
        <v>0</v>
      </c>
      <c r="L197" s="34">
        <f>IFERROR(MAX($T$11+$T$12*LN(Table13567[[#This Row],[Frac ADV]]),0),0)*0.0001+0.005/Table13567[[#This Row],[Stock Price]]+Table13567[[#This Row],[Expense Ratio]]</f>
        <v>1.4449559431756879E-3</v>
      </c>
      <c r="M197" s="68">
        <f>(Table13567[[#This Row],[Expected Return]]-Table13567[[#This Row],[Tcosts]])*Table13567[[#This Row],[Investment]]</f>
        <v>0</v>
      </c>
      <c r="Q197" s="16" t="s">
        <v>865</v>
      </c>
    </row>
    <row r="198" spans="1:17" ht="15.6" x14ac:dyDescent="0.3">
      <c r="A198" s="77" t="s">
        <v>877</v>
      </c>
      <c r="B198" s="73" t="s">
        <v>878</v>
      </c>
      <c r="C198" s="73">
        <v>96.14</v>
      </c>
      <c r="D198" s="85" t="s">
        <v>844</v>
      </c>
      <c r="E198" s="75">
        <v>4.0000000000000002E-4</v>
      </c>
      <c r="F198" s="73">
        <v>-0.05</v>
      </c>
      <c r="G198" s="78">
        <v>301030000</v>
      </c>
      <c r="H198" s="3" t="b">
        <f t="shared" si="6"/>
        <v>0</v>
      </c>
      <c r="I198" s="26">
        <f>Table13567[[#This Row],[Tech]]*$T$7+Table13567[[#This Row],[Beta]]*($T$6-$T$8)+$T$8</f>
        <v>3.322E-2</v>
      </c>
      <c r="J198" s="64">
        <f>0</f>
        <v>0</v>
      </c>
      <c r="K198" s="61">
        <f>Table13567[[#This Row],[Investment]]/Table13567[[#This Row],[Dollar Volume]]</f>
        <v>0</v>
      </c>
      <c r="L198" s="34">
        <f>IFERROR(MAX($T$11+$T$12*LN(Table13567[[#This Row],[Frac ADV]]),0),0)*0.0001+0.005/Table13567[[#This Row],[Stock Price]]+Table13567[[#This Row],[Expense Ratio]]</f>
        <v>4.5200748907842732E-4</v>
      </c>
      <c r="M198" s="68">
        <f>(Table13567[[#This Row],[Expected Return]]-Table13567[[#This Row],[Tcosts]])*Table13567[[#This Row],[Investment]]</f>
        <v>0</v>
      </c>
      <c r="Q198" s="13" t="s">
        <v>869</v>
      </c>
    </row>
    <row r="199" spans="1:17" ht="15.6" x14ac:dyDescent="0.3">
      <c r="A199" s="77" t="s">
        <v>787</v>
      </c>
      <c r="B199" s="73" t="s">
        <v>788</v>
      </c>
      <c r="C199" s="73">
        <v>50.41</v>
      </c>
      <c r="D199" s="85" t="s">
        <v>789</v>
      </c>
      <c r="E199" s="75">
        <v>1.5E-3</v>
      </c>
      <c r="F199" s="73">
        <v>-0.01</v>
      </c>
      <c r="G199" s="78">
        <v>98510000</v>
      </c>
      <c r="H199" s="3" t="b">
        <f t="shared" si="6"/>
        <v>0</v>
      </c>
      <c r="I199" s="26">
        <f>Table13567[[#This Row],[Tech]]*$T$7+Table13567[[#This Row],[Beta]]*($T$6-$T$8)+$T$8</f>
        <v>3.5764000000000004E-2</v>
      </c>
      <c r="J199" s="64">
        <f>0</f>
        <v>0</v>
      </c>
      <c r="K199" s="61">
        <f>Table13567[[#This Row],[Investment]]/Table13567[[#This Row],[Dollar Volume]]</f>
        <v>0</v>
      </c>
      <c r="L199" s="34">
        <f>IFERROR(MAX($T$11+$T$12*LN(Table13567[[#This Row],[Frac ADV]]),0),0)*0.0001+0.005/Table13567[[#This Row],[Stock Price]]+Table13567[[#This Row],[Expense Ratio]]</f>
        <v>1.5991866693116446E-3</v>
      </c>
      <c r="M199" s="68">
        <f>(Table13567[[#This Row],[Expected Return]]-Table13567[[#This Row],[Tcosts]])*Table13567[[#This Row],[Investment]]</f>
        <v>0</v>
      </c>
      <c r="Q199" s="16" t="s">
        <v>873</v>
      </c>
    </row>
    <row r="200" spans="1:17" ht="15.6" x14ac:dyDescent="0.3">
      <c r="A200" s="79" t="s">
        <v>721</v>
      </c>
      <c r="B200" s="74" t="s">
        <v>722</v>
      </c>
      <c r="C200" s="74">
        <v>52.14</v>
      </c>
      <c r="D200" s="86" t="s">
        <v>703</v>
      </c>
      <c r="E200" s="76">
        <v>4.0000000000000002E-4</v>
      </c>
      <c r="F200" s="74">
        <v>0</v>
      </c>
      <c r="G200" s="78">
        <v>64050000</v>
      </c>
      <c r="H200" s="3" t="b">
        <f t="shared" si="6"/>
        <v>0</v>
      </c>
      <c r="I200" s="26">
        <f>Table13567[[#This Row],[Tech]]*$T$7+Table13567[[#This Row],[Beta]]*($T$6-$T$8)+$T$8</f>
        <v>3.6400000000000002E-2</v>
      </c>
      <c r="J200" s="64">
        <f>0</f>
        <v>0</v>
      </c>
      <c r="K200" s="61">
        <f>Table13567[[#This Row],[Investment]]/Table13567[[#This Row],[Dollar Volume]]</f>
        <v>0</v>
      </c>
      <c r="L200" s="34">
        <f>IFERROR(MAX($T$11+$T$12*LN(Table13567[[#This Row],[Frac ADV]]),0),0)*0.0001+0.005/Table13567[[#This Row],[Stock Price]]+Table13567[[#This Row],[Expense Ratio]]</f>
        <v>4.9589566551591874E-4</v>
      </c>
      <c r="M200" s="68">
        <f>(Table13567[[#This Row],[Expected Return]]-Table13567[[#This Row],[Tcosts]])*Table13567[[#This Row],[Investment]]</f>
        <v>0</v>
      </c>
      <c r="Q200" s="13" t="s">
        <v>876</v>
      </c>
    </row>
    <row r="201" spans="1:17" ht="15.6" x14ac:dyDescent="0.3">
      <c r="A201" s="80" t="s">
        <v>870</v>
      </c>
      <c r="B201" s="81" t="s">
        <v>871</v>
      </c>
      <c r="C201" s="81">
        <v>92.48</v>
      </c>
      <c r="D201" s="87" t="s">
        <v>872</v>
      </c>
      <c r="E201" s="82">
        <v>2.5000000000000001E-3</v>
      </c>
      <c r="F201" s="81">
        <v>-0.05</v>
      </c>
      <c r="G201" s="83">
        <v>24620000</v>
      </c>
      <c r="H201" s="5" t="b">
        <f t="shared" si="6"/>
        <v>0</v>
      </c>
      <c r="I201" s="36">
        <f>Table13567[[#This Row],[Tech]]*$T$7+Table13567[[#This Row],[Beta]]*($T$6-$T$8)+$T$8</f>
        <v>3.322E-2</v>
      </c>
      <c r="J201" s="64">
        <f>0</f>
        <v>0</v>
      </c>
      <c r="K201" s="62">
        <f>Table13567[[#This Row],[Investment]]/Table13567[[#This Row],[Dollar Volume]]</f>
        <v>0</v>
      </c>
      <c r="L201" s="37">
        <f>IFERROR(MAX($T$11+$T$12*LN(Table13567[[#This Row],[Frac ADV]]),0),0)*0.0001+0.005/Table13567[[#This Row],[Stock Price]]+Table13567[[#This Row],[Expense Ratio]]</f>
        <v>2.5540657439446367E-3</v>
      </c>
      <c r="M201" s="69">
        <f>(Table13567[[#This Row],[Expected Return]]-Table13567[[#This Row],[Tcosts]])*Table13567[[#This Row],[Investment]]</f>
        <v>0</v>
      </c>
      <c r="Q201" s="38" t="s">
        <v>879</v>
      </c>
    </row>
  </sheetData>
  <hyperlinks>
    <hyperlink ref="A56" r:id="rId1" xr:uid="{B691AE66-A5DD-4A9C-97C0-23BD66342593}"/>
    <hyperlink ref="A57" r:id="rId2" xr:uid="{135F3366-8518-4D4F-A368-FF1982E08A2F}"/>
    <hyperlink ref="A71" r:id="rId3" xr:uid="{D76586B8-A8DC-4F72-9EAC-6A0480E81055}"/>
    <hyperlink ref="A77" r:id="rId4" xr:uid="{64DD6C60-FB48-47B2-8CAF-5B63E8AB928C}"/>
    <hyperlink ref="A69" r:id="rId5" xr:uid="{4838CB90-16CA-4DB8-848F-68150F1AD1B2}"/>
    <hyperlink ref="A58" r:id="rId6" xr:uid="{4AD44660-EBBB-41C2-BF8E-C2327820470B}"/>
    <hyperlink ref="A55" r:id="rId7" xr:uid="{00B59388-9076-4888-B52A-049A6C45140E}"/>
    <hyperlink ref="A62" r:id="rId8" xr:uid="{2DFD49CD-E43F-4C9C-85DD-28EBA93A09D7}"/>
    <hyperlink ref="A61" r:id="rId9" xr:uid="{F88D8993-CE41-4A95-BF4F-3E073C1A2C1C}"/>
    <hyperlink ref="A87" r:id="rId10" xr:uid="{AAE3CEC0-99E7-48B9-BD7D-ABD6E4F5148A}"/>
    <hyperlink ref="A83" r:id="rId11" xr:uid="{2F7353A0-D416-4F35-8818-62C22639742B}"/>
    <hyperlink ref="A54" r:id="rId12" xr:uid="{44CF50BC-7E95-4D9A-867D-6CB179C9C469}"/>
    <hyperlink ref="A74" r:id="rId13" xr:uid="{EA0D412A-5DA1-4963-8DB5-A7D13232E305}"/>
    <hyperlink ref="A80" r:id="rId14" xr:uid="{479FCF49-1D5D-47F6-BBC0-4C4BA255B818}"/>
    <hyperlink ref="A59" r:id="rId15" xr:uid="{6FD1CD60-C815-4047-9C63-371DBEC54741}"/>
    <hyperlink ref="A82" r:id="rId16" xr:uid="{C8D3DC3B-5E9D-47A1-AFAD-32A9A5441E1A}"/>
    <hyperlink ref="A52" r:id="rId17" xr:uid="{1DB988AA-FE4F-4FDA-9062-4F49099E2A62}"/>
    <hyperlink ref="A53" r:id="rId18" xr:uid="{3A9DF1FC-7858-4324-A2A6-FE4E8287922D}"/>
    <hyperlink ref="A68" r:id="rId19" xr:uid="{FAFEB2D2-A9B4-4B5C-BD4E-D30855BEF875}"/>
    <hyperlink ref="A89" r:id="rId20" xr:uid="{55E1704B-E44A-43E1-BC50-C89B30E4004F}"/>
    <hyperlink ref="A60" r:id="rId21" xr:uid="{DA35D706-11D1-4DF8-9CE1-CAF340D89653}"/>
    <hyperlink ref="A76" r:id="rId22" xr:uid="{FE5DFEEE-C05D-44A1-88EE-166071EC4AC1}"/>
    <hyperlink ref="A84" r:id="rId23" xr:uid="{289BD983-4691-48FE-B401-0C543C47982B}"/>
    <hyperlink ref="A66" r:id="rId24" xr:uid="{4E08A3F2-DFF8-44C0-A868-72CF5518ED36}"/>
    <hyperlink ref="A85" r:id="rId25" xr:uid="{188349CE-8E22-4750-B907-8F4209FD83B2}"/>
    <hyperlink ref="A64" r:id="rId26" xr:uid="{1D827679-C4FA-4EE4-AE74-A53A506CA292}"/>
    <hyperlink ref="A75" r:id="rId27" xr:uid="{5B011AB8-3314-4D4B-A3DE-ABAACD085184}"/>
    <hyperlink ref="A67" r:id="rId28" xr:uid="{6016A3E8-6E8A-4215-83C9-7824AC299B3D}"/>
    <hyperlink ref="A86" r:id="rId29" xr:uid="{95119505-FA92-4A51-93C6-A722E14FB5B3}"/>
    <hyperlink ref="A91" r:id="rId30" xr:uid="{7F8CC2DE-688F-4D45-BB21-326F8591FE73}"/>
    <hyperlink ref="A90" r:id="rId31" xr:uid="{B5C49AB1-2229-4032-8293-BEE07B8D2D49}"/>
    <hyperlink ref="A63" r:id="rId32" xr:uid="{884AD162-69CF-45B1-9EEA-B93E26D19EA4}"/>
    <hyperlink ref="A81" r:id="rId33" xr:uid="{CB8871B0-312F-4F03-A651-8A682008619B}"/>
    <hyperlink ref="A72" r:id="rId34" xr:uid="{025452CD-4235-45EA-A8AB-7C014281C207}"/>
    <hyperlink ref="A65" r:id="rId35" xr:uid="{F46C40B0-FA33-4C7A-8FB4-FC8D6205BD5E}"/>
    <hyperlink ref="A70" r:id="rId36" xr:uid="{CF73F96D-245D-4A79-903D-6335EFD7B8BA}"/>
    <hyperlink ref="A78" r:id="rId37" xr:uid="{DAB8800B-93A2-494A-B6D3-33AC1C0272B4}"/>
    <hyperlink ref="A73" r:id="rId38" xr:uid="{2627EA3F-FE55-46E4-8185-4A476F38913F}"/>
    <hyperlink ref="A79" r:id="rId39" xr:uid="{A33E7D1F-5B63-4D1D-9F4A-F962724DDB92}"/>
    <hyperlink ref="A88" r:id="rId40" xr:uid="{98DF4F3A-0091-4A78-A91C-0CD171A744B2}"/>
    <hyperlink ref="A92" r:id="rId41" xr:uid="{ADC70F83-BEEC-4A9D-B0D4-94D18706495C}"/>
    <hyperlink ref="A93" r:id="rId42" xr:uid="{8908E071-C14D-4593-8C92-3707C893381C}"/>
    <hyperlink ref="A94" r:id="rId43" xr:uid="{C322F4F5-5060-4086-8EB3-0268777698DB}"/>
    <hyperlink ref="A95" r:id="rId44" xr:uid="{E84F692C-035A-48FD-8B7E-B0323CC3B2DC}"/>
    <hyperlink ref="A96" r:id="rId45" xr:uid="{6EE85171-F10D-4666-857F-DD8FEEE7C087}"/>
    <hyperlink ref="A97" r:id="rId46" xr:uid="{498426EB-F109-42EA-BFD4-573179A8ECD9}"/>
    <hyperlink ref="A98" r:id="rId47" xr:uid="{73CCA6FB-BFF7-4547-8F22-A21BAD6EDB9C}"/>
    <hyperlink ref="A99" r:id="rId48" xr:uid="{8474A35C-DD06-44A8-A0D9-7DC8C5A269DC}"/>
    <hyperlink ref="A100" r:id="rId49" xr:uid="{35C84917-52E0-4274-B772-FE3A67DE4AB0}"/>
    <hyperlink ref="A101" r:id="rId50" xr:uid="{EE0E35D6-2148-4176-A345-D72830BCA246}"/>
    <hyperlink ref="A102" r:id="rId51" xr:uid="{151B5909-7316-4924-83FB-A0A847CC2782}"/>
    <hyperlink ref="A103" r:id="rId52" xr:uid="{04697704-C989-40A9-A270-24F4183638E1}"/>
    <hyperlink ref="A104" r:id="rId53" xr:uid="{359DF2C2-8E51-49E0-B916-D70B035AAFC9}"/>
    <hyperlink ref="A105" r:id="rId54" xr:uid="{F25320D2-B0C4-4541-8E67-2A712E5C69C9}"/>
    <hyperlink ref="A106" r:id="rId55" xr:uid="{F629DE77-299E-460E-A111-C2A36895F71C}"/>
    <hyperlink ref="A107" r:id="rId56" xr:uid="{77B8E2E6-7195-4E94-989A-16F47933DA5D}"/>
    <hyperlink ref="A108" r:id="rId57" xr:uid="{56BD5D36-B64C-42EE-8AEB-9D4E5C705C7A}"/>
    <hyperlink ref="A109" r:id="rId58" xr:uid="{73F958FE-A483-4032-90D8-2502A3AE6D76}"/>
    <hyperlink ref="A110" r:id="rId59" xr:uid="{F873EBE1-8011-4D00-A66A-19A3C895E735}"/>
    <hyperlink ref="A111" r:id="rId60" xr:uid="{3586B971-A3C2-4F40-814C-9C7A71872C0D}"/>
    <hyperlink ref="A112" r:id="rId61" xr:uid="{CABDD48F-4664-4769-A6CE-D8B805CB4EAD}"/>
    <hyperlink ref="A113" r:id="rId62" xr:uid="{539F9DAE-87A6-4302-AAA0-2F8D2282769A}"/>
    <hyperlink ref="A114" r:id="rId63" xr:uid="{4F3C2EAE-FD9F-4177-82E3-C4FEDB6AFDFD}"/>
    <hyperlink ref="A115" r:id="rId64" xr:uid="{6BEACBF8-2FE6-4A04-9A60-379F62F8408D}"/>
    <hyperlink ref="A116" r:id="rId65" xr:uid="{613E8108-6D0F-41C3-848E-E6B8EDD653C6}"/>
    <hyperlink ref="A117" r:id="rId66" xr:uid="{EF9508D0-A479-4FDC-B0B0-30ACE7DF9A91}"/>
    <hyperlink ref="A118" r:id="rId67" xr:uid="{53F54865-6767-47BB-A156-5A336F8CBFD5}"/>
    <hyperlink ref="A119" r:id="rId68" xr:uid="{F4D577F3-0A56-4C54-908D-7F51CDC86CB6}"/>
    <hyperlink ref="A120" r:id="rId69" xr:uid="{9FB04500-3B2B-4D13-8C56-A431FBAD0AAE}"/>
    <hyperlink ref="A121" r:id="rId70" xr:uid="{EB013BBA-4D28-42F2-BCD0-BD63A8697D6D}"/>
    <hyperlink ref="A122" r:id="rId71" xr:uid="{538FDD9F-6B8E-4B18-8E06-71CB06E867C6}"/>
    <hyperlink ref="A123" r:id="rId72" xr:uid="{350AE563-978F-4908-942D-5E8A13F3AAB3}"/>
    <hyperlink ref="A124" r:id="rId73" xr:uid="{0EB532CE-BE3E-42B1-AC82-DBAABFF8E398}"/>
    <hyperlink ref="A125" r:id="rId74" xr:uid="{EB314295-2757-45B3-B004-CC23AA82F313}"/>
    <hyperlink ref="A126" r:id="rId75" xr:uid="{C94A31E6-9033-4C3C-8C27-DE8549C56B58}"/>
    <hyperlink ref="A127" r:id="rId76" xr:uid="{337636F7-785C-4E21-B1EA-15D269F3C2A4}"/>
    <hyperlink ref="A128" r:id="rId77" xr:uid="{F728EDBB-E198-44B3-B293-8B6AB80C8C67}"/>
    <hyperlink ref="A129" r:id="rId78" xr:uid="{44FE6553-6EA4-4527-B698-89FB9312C40D}"/>
    <hyperlink ref="A130" r:id="rId79" xr:uid="{123A331E-CC6F-4A3A-AF85-55F4BF56D03F}"/>
    <hyperlink ref="A131" r:id="rId80" xr:uid="{9DE5E340-61B5-4371-8BCE-B2E1D3950A7B}"/>
    <hyperlink ref="A132" r:id="rId81" xr:uid="{12E260A1-D827-4058-BDC2-DD3DD79573FD}"/>
    <hyperlink ref="A133" r:id="rId82" xr:uid="{51F648B9-1B1F-4692-86F0-8B0FA4A5D1CD}"/>
    <hyperlink ref="A134" r:id="rId83" xr:uid="{C603F39F-E89F-4264-946A-9B6B8C97CAD8}"/>
    <hyperlink ref="A135" r:id="rId84" xr:uid="{1A02E4E0-4A82-4695-88A4-EA78805E00A4}"/>
    <hyperlink ref="A136" r:id="rId85" xr:uid="{42566ADD-AA74-4678-86BD-5CD4E2A79EEA}"/>
    <hyperlink ref="A137" r:id="rId86" xr:uid="{9BEBD2E6-B80A-4353-BFE4-D8A67707F610}"/>
    <hyperlink ref="A138" r:id="rId87" xr:uid="{C32DCD61-AD6F-429C-99D4-8E3192E252CC}"/>
    <hyperlink ref="A139" r:id="rId88" xr:uid="{CEF5A60C-1CF9-4679-BD64-EF4AA987BE90}"/>
    <hyperlink ref="A140" r:id="rId89" xr:uid="{B5F6722A-3093-43CF-A0FF-A8D3920D9431}"/>
    <hyperlink ref="A141" r:id="rId90" xr:uid="{45F15C29-41B6-4A7B-8C97-CC8A94CCCE68}"/>
    <hyperlink ref="A142" r:id="rId91" xr:uid="{2845A95B-0414-464D-9D6A-BF05FC737E28}"/>
    <hyperlink ref="A143" r:id="rId92" xr:uid="{E452465D-A5C8-42ED-A6DD-9F4CA813C3B5}"/>
    <hyperlink ref="A144" r:id="rId93" xr:uid="{62D83EAB-DC8F-46A2-B4FE-D2A5063A0403}"/>
    <hyperlink ref="A145" r:id="rId94" xr:uid="{7777522F-3332-4449-8373-4091410215C7}"/>
    <hyperlink ref="A146" r:id="rId95" xr:uid="{34486537-3BA2-45D0-ADD8-D76B2D0BCA3A}"/>
    <hyperlink ref="A147" r:id="rId96" xr:uid="{1F1B7C1B-1748-4C9B-9C03-D23ED8CD41BC}"/>
    <hyperlink ref="A148" r:id="rId97" xr:uid="{E6E82A38-6534-43AF-A2EE-BFB597AC898B}"/>
    <hyperlink ref="A149" r:id="rId98" xr:uid="{489A7F8A-13E2-4C35-8D29-99734545A51A}"/>
    <hyperlink ref="A150" r:id="rId99" xr:uid="{7C69F678-81F2-4998-BC0A-98F7C34ADFD4}"/>
    <hyperlink ref="A151" r:id="rId100" xr:uid="{86D7C2D0-F968-4484-AFEA-4D49794DC9D7}"/>
    <hyperlink ref="A152" r:id="rId101" xr:uid="{3B209982-0987-480F-B194-A57B1B48B55F}"/>
    <hyperlink ref="A153" r:id="rId102" xr:uid="{55CF35CF-86DF-42D5-BD5F-81CEF9529E40}"/>
    <hyperlink ref="A154" r:id="rId103" xr:uid="{4FA83665-BF92-4DD9-BBCF-2EB1DDCAA952}"/>
    <hyperlink ref="A155" r:id="rId104" xr:uid="{EEFFD13F-AEA8-49FE-A946-1578041F79A0}"/>
    <hyperlink ref="A156" r:id="rId105" xr:uid="{0C621A7E-C449-44CF-B8BA-8187E7042286}"/>
    <hyperlink ref="A157" r:id="rId106" xr:uid="{4B59D78A-0EA0-43B8-B327-B382172D1818}"/>
    <hyperlink ref="A158" r:id="rId107" xr:uid="{BD5E6D25-E906-4F79-9DB9-39D5A2B28B46}"/>
    <hyperlink ref="A159" r:id="rId108" xr:uid="{567771BA-17F2-400C-B572-4E09AEFD49B2}"/>
    <hyperlink ref="A160" r:id="rId109" xr:uid="{B2DD6642-D10C-4EA8-80C8-76865DF880DA}"/>
    <hyperlink ref="A161" r:id="rId110" xr:uid="{970C68D3-1E34-4349-A848-EB721CA29FEB}"/>
    <hyperlink ref="A162" r:id="rId111" xr:uid="{FD9EE5B5-A6C4-4745-89C6-69C204FCDCD0}"/>
    <hyperlink ref="A163" r:id="rId112" xr:uid="{B1E5ADE4-5C66-4161-9BAF-7B2409B13CA4}"/>
    <hyperlink ref="A164" r:id="rId113" xr:uid="{B39AB21E-100B-4D6C-A864-02B7D2CF380B}"/>
    <hyperlink ref="A165" r:id="rId114" xr:uid="{24EBCB2E-C2B6-40AB-8F5E-80B3C5653397}"/>
    <hyperlink ref="A166" r:id="rId115" xr:uid="{A5487932-DBAD-4B8D-8852-C8D5819C642E}"/>
    <hyperlink ref="A167" r:id="rId116" xr:uid="{23CA3E0C-1D56-4A6C-AE6A-5CAAEC66043C}"/>
    <hyperlink ref="A168" r:id="rId117" xr:uid="{8E416C31-7E45-434D-BC4C-0E8377E1AF73}"/>
    <hyperlink ref="A169" r:id="rId118" xr:uid="{D69FDC2A-86E7-449C-A822-02F57A2D5986}"/>
    <hyperlink ref="A170" r:id="rId119" xr:uid="{D7FEAA8E-1C3C-4248-A60E-20B019077B29}"/>
    <hyperlink ref="A171" r:id="rId120" xr:uid="{94BCE871-F4EA-49E6-81ED-7B0F9EA63BDC}"/>
    <hyperlink ref="A172" r:id="rId121" xr:uid="{CCF5FB37-3128-416E-82A9-33D69F06709A}"/>
    <hyperlink ref="A173" r:id="rId122" xr:uid="{B917599F-A27C-4C02-9C66-6A614B6C5224}"/>
    <hyperlink ref="A174" r:id="rId123" xr:uid="{5DE3FC9C-7DBB-49C6-A17D-BF574728D538}"/>
    <hyperlink ref="A175" r:id="rId124" xr:uid="{74516635-201A-4A3C-B2FB-3F13F26D6228}"/>
    <hyperlink ref="A176" r:id="rId125" xr:uid="{4E05C7A2-8B1B-45B6-A8F1-DE36BD8E61CA}"/>
    <hyperlink ref="A177" r:id="rId126" xr:uid="{D088BCDE-B38F-449C-9290-F0B9B28A80ED}"/>
    <hyperlink ref="A178" r:id="rId127" xr:uid="{D78342DC-FBE9-4C88-BD27-AE744A28B0F3}"/>
    <hyperlink ref="A179" r:id="rId128" xr:uid="{CE084DF3-0C8B-4163-8B38-FE9312B0A643}"/>
    <hyperlink ref="A180" r:id="rId129" xr:uid="{C634D128-B655-4E7A-B3B1-C087E1CE764A}"/>
    <hyperlink ref="A181" r:id="rId130" xr:uid="{83C5C22A-5550-454D-AACA-CED6C39BB6B9}"/>
    <hyperlink ref="A182" r:id="rId131" xr:uid="{A9B12066-DCF1-4CD9-A9EE-2C2849762C8B}"/>
    <hyperlink ref="A183" r:id="rId132" xr:uid="{37838B99-11F7-4372-8587-058621F3F2DC}"/>
    <hyperlink ref="A184" r:id="rId133" xr:uid="{357A56FE-F2BC-4F6A-A84B-7F2B301A3F60}"/>
    <hyperlink ref="A185" r:id="rId134" xr:uid="{51CF34FF-F9C6-4D02-A3A0-D8A4FC85F6CB}"/>
    <hyperlink ref="A186" r:id="rId135" xr:uid="{2E266DDE-F210-4A16-AF23-FFFE2CF807AB}"/>
    <hyperlink ref="A187" r:id="rId136" xr:uid="{625EFEA1-A8BD-44A1-B91F-F566CBE24923}"/>
    <hyperlink ref="A188" r:id="rId137" xr:uid="{AFEC1348-262B-4F4F-BE97-F16698268BDA}"/>
    <hyperlink ref="A189" r:id="rId138" xr:uid="{317B7EFD-C523-4A27-A6E0-53BE1B6D8290}"/>
    <hyperlink ref="A190" r:id="rId139" xr:uid="{25AE88A9-6896-4C0C-AA0A-C808727220CC}"/>
    <hyperlink ref="A191" r:id="rId140" xr:uid="{3F770CC2-F17E-481B-81DA-9EA3C92864B4}"/>
    <hyperlink ref="A192" r:id="rId141" xr:uid="{ED27E9FB-03A2-46B1-9E4C-904144DD7953}"/>
    <hyperlink ref="A193" r:id="rId142" xr:uid="{254B65C7-6FFB-49F1-8811-C06D571F4613}"/>
    <hyperlink ref="A194" r:id="rId143" xr:uid="{1BD6A88C-D3E4-43F5-BA65-A19C6C48208B}"/>
    <hyperlink ref="A195" r:id="rId144" xr:uid="{20F5C2AD-41A3-4122-983F-89EC0B4D1B87}"/>
    <hyperlink ref="A196" r:id="rId145" xr:uid="{405B8D98-A27A-48E8-8542-85CA4D60FE5A}"/>
    <hyperlink ref="A197" r:id="rId146" xr:uid="{D9BE7ED3-6CF7-4902-9AA7-085818C4883D}"/>
    <hyperlink ref="A198" r:id="rId147" xr:uid="{282FC6CC-A845-497B-AD2B-50916CAEC882}"/>
    <hyperlink ref="A199" r:id="rId148" xr:uid="{85CB4F00-E3BB-4091-B3C9-7473CD6CCDE6}"/>
    <hyperlink ref="A200" r:id="rId149" xr:uid="{13821186-F6D0-42DC-A03B-0E3CDD917119}"/>
    <hyperlink ref="A201" r:id="rId150" xr:uid="{5495F327-B83E-4F21-BA67-ECD48FEC71BC}"/>
    <hyperlink ref="A27" r:id="rId151" xr:uid="{3FF50602-A712-4B87-8FA3-3F3990E5760C}"/>
    <hyperlink ref="A28" r:id="rId152" xr:uid="{DDD3CACF-5756-4C07-9038-13CDF23D5B37}"/>
    <hyperlink ref="A29" r:id="rId153" xr:uid="{F5D2063B-FDD8-424B-9289-3BE9A0CB6439}"/>
    <hyperlink ref="A30" r:id="rId154" xr:uid="{573B0553-AAD7-4018-ABF7-63B89E1E6EE3}"/>
    <hyperlink ref="A31" r:id="rId155" xr:uid="{5B8885C1-826C-4114-8051-06243E50CE8B}"/>
    <hyperlink ref="A32" r:id="rId156" xr:uid="{20D5AA5B-C1DF-4769-840A-8CC465790FCC}"/>
    <hyperlink ref="A33" r:id="rId157" xr:uid="{A9D33CED-67B1-4AD1-ADF6-3AE835A26320}"/>
    <hyperlink ref="A34" r:id="rId158" xr:uid="{B1C4824D-8B53-49AA-9950-DEF127FB60B3}"/>
    <hyperlink ref="A35" r:id="rId159" xr:uid="{3DA53238-FDDA-4E6E-BF84-CD00F2B1D17B}"/>
    <hyperlink ref="A36" r:id="rId160" xr:uid="{1DB443A2-A226-44CD-AD02-54B60ABCCE69}"/>
    <hyperlink ref="A37" r:id="rId161" xr:uid="{424CB301-2A34-432F-9E16-38DA7F608121}"/>
    <hyperlink ref="A38" r:id="rId162" xr:uid="{C26F569B-66C1-455E-A815-EBF2ADD5019D}"/>
    <hyperlink ref="A39" r:id="rId163" xr:uid="{DFFC6CBB-370A-4DD1-BF1F-99D8214A169D}"/>
    <hyperlink ref="A40" r:id="rId164" xr:uid="{3BEACB53-4AC0-4793-A84B-E7AE33ED72E4}"/>
    <hyperlink ref="A41" r:id="rId165" xr:uid="{C41E9F8D-38A5-4F4E-B28B-6DA90A1E7C43}"/>
    <hyperlink ref="A42" r:id="rId166" xr:uid="{6AAE344E-709E-4CF4-A615-4E438499CB1E}"/>
    <hyperlink ref="A43" r:id="rId167" xr:uid="{1587D263-7EB5-488A-A7EA-16737B68F1D2}"/>
    <hyperlink ref="A44" r:id="rId168" xr:uid="{CF24AA74-0B1A-465C-9D1D-71C4007A341A}"/>
    <hyperlink ref="A45" r:id="rId169" xr:uid="{E267695E-A126-40FA-A9AD-78E2C571ECE4}"/>
    <hyperlink ref="A46" r:id="rId170" xr:uid="{FD6A0DE0-44C1-4629-B16B-3BC8E290F7C0}"/>
    <hyperlink ref="A47" r:id="rId171" xr:uid="{27B2071B-FB01-4436-A20F-827D8F47220B}"/>
    <hyperlink ref="A48" r:id="rId172" xr:uid="{086813BE-DD2D-48EB-A88B-05133ED95524}"/>
    <hyperlink ref="A49" r:id="rId173" xr:uid="{6D14D8B1-BA3B-4738-84C1-DF15603473F6}"/>
    <hyperlink ref="A50" r:id="rId174" xr:uid="{40E5A2FE-ACAA-40C7-AF87-63F5C94F95E8}"/>
    <hyperlink ref="A51" r:id="rId175" xr:uid="{D8EDA132-6C74-4161-98A0-E06FEF8C406D}"/>
    <hyperlink ref="A2" r:id="rId176" xr:uid="{B71AE0CE-CC23-4FC3-822E-A9748E17561E}"/>
    <hyperlink ref="A3" r:id="rId177" xr:uid="{2AF56921-17FD-4898-B323-E38BDC610444}"/>
    <hyperlink ref="A4" r:id="rId178" xr:uid="{2E744621-9745-4A1E-BCE9-CD4D501EFEE2}"/>
    <hyperlink ref="A5" r:id="rId179" xr:uid="{0ACE43ED-8B96-4AC2-970D-C0A668242B38}"/>
    <hyperlink ref="A6" r:id="rId180" xr:uid="{3BE073C8-47B0-42C5-8AF8-8D7A13DFDDDB}"/>
    <hyperlink ref="A7" r:id="rId181" xr:uid="{D0368B22-6BAA-4792-94D2-CE6F3486E927}"/>
    <hyperlink ref="A8" r:id="rId182" xr:uid="{B8DFB57E-DD42-48E3-90AD-F981F90CBB90}"/>
    <hyperlink ref="A9" r:id="rId183" xr:uid="{DE6910A3-1165-4664-A075-74ED0541A164}"/>
    <hyperlink ref="A10" r:id="rId184" xr:uid="{BA51F186-8A19-4CCB-8917-821F01473D79}"/>
    <hyperlink ref="A11" r:id="rId185" xr:uid="{EB23DBCF-7FF0-4D8E-8156-4FB95D78B15B}"/>
    <hyperlink ref="A12" r:id="rId186" xr:uid="{1576328E-EF16-4061-8862-FB9825A8E3D0}"/>
    <hyperlink ref="A13" r:id="rId187" xr:uid="{E7BBF18E-9773-478B-99B7-CB437BFFCCB1}"/>
    <hyperlink ref="A14" r:id="rId188" xr:uid="{E9CCA496-0E4B-44C3-ADAC-11BFE2983F17}"/>
    <hyperlink ref="A15" r:id="rId189" xr:uid="{D5362857-4DF0-4BEB-8347-A5A556DD0BA5}"/>
    <hyperlink ref="A16" r:id="rId190" xr:uid="{8117678F-8CD7-4FAC-921E-7D7A2275D824}"/>
    <hyperlink ref="A17" r:id="rId191" xr:uid="{304CD883-7F89-42A8-849D-4B48A3543154}"/>
    <hyperlink ref="A18" r:id="rId192" xr:uid="{86660FD0-991B-4F58-A9BF-12C9D0078910}"/>
    <hyperlink ref="A19" r:id="rId193" xr:uid="{96205413-B836-45BA-A0E2-2D14947FE4C3}"/>
    <hyperlink ref="A20" r:id="rId194" xr:uid="{9F8E390C-5BAB-4BB3-A284-51C7804F9280}"/>
    <hyperlink ref="A21" r:id="rId195" xr:uid="{0E758158-88C7-4F46-B1BE-EEAC3EC9E3D2}"/>
    <hyperlink ref="A22" r:id="rId196" xr:uid="{2382A78C-DEC5-46F9-AEF3-A0437336B40A}"/>
    <hyperlink ref="A23" r:id="rId197" xr:uid="{D64A01D3-C0C6-40C7-9AA4-DEB9BD20D418}"/>
    <hyperlink ref="A24" r:id="rId198" xr:uid="{8D976B7B-3F60-449A-9790-3872A2C7B99E}"/>
    <hyperlink ref="A25" r:id="rId199" xr:uid="{2966B37A-21B1-459E-9FF5-D77CA92E4C1D}"/>
    <hyperlink ref="A26" r:id="rId200" xr:uid="{2A506831-5D67-4B94-8CD0-1A6EEE85A5BB}"/>
  </hyperlinks>
  <pageMargins left="0.7" right="0.7" top="0.75" bottom="0.75" header="0.3" footer="0.3"/>
  <drawing r:id="rId201"/>
  <legacyDrawing r:id="rId202"/>
  <tableParts count="1">
    <tablePart r:id="rId20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86EAA-815B-4A43-9C0A-EC35ED6A581A}">
  <dimension ref="A1:J97"/>
  <sheetViews>
    <sheetView showGridLines="0" tabSelected="1" zoomScale="84" workbookViewId="0">
      <selection activeCell="F70" sqref="F70"/>
    </sheetView>
  </sheetViews>
  <sheetFormatPr defaultColWidth="11.44140625" defaultRowHeight="14.4" x14ac:dyDescent="0.3"/>
  <cols>
    <col min="1" max="1" width="2.33203125" customWidth="1"/>
    <col min="2" max="2" width="16.109375" customWidth="1"/>
    <col min="3" max="3" width="50.44140625" bestFit="1" customWidth="1"/>
    <col min="4" max="4" width="41.33203125" bestFit="1" customWidth="1"/>
    <col min="5" max="5" width="30.88671875" bestFit="1" customWidth="1"/>
    <col min="6" max="6" width="18.88671875" bestFit="1" customWidth="1"/>
    <col min="7" max="7" width="22.44140625" customWidth="1"/>
  </cols>
  <sheetData>
    <row r="1" spans="1:5" x14ac:dyDescent="0.3">
      <c r="A1" s="90" t="s">
        <v>882</v>
      </c>
    </row>
    <row r="2" spans="1:5" x14ac:dyDescent="0.3">
      <c r="A2" s="90" t="s">
        <v>948</v>
      </c>
    </row>
    <row r="3" spans="1:5" x14ac:dyDescent="0.3">
      <c r="A3" s="90" t="s">
        <v>949</v>
      </c>
    </row>
    <row r="6" spans="1:5" ht="15" thickBot="1" x14ac:dyDescent="0.35">
      <c r="A6" t="s">
        <v>885</v>
      </c>
    </row>
    <row r="7" spans="1:5" x14ac:dyDescent="0.3">
      <c r="B7" s="93"/>
      <c r="C7" s="93"/>
      <c r="D7" s="93" t="s">
        <v>886</v>
      </c>
      <c r="E7" s="93" t="s">
        <v>887</v>
      </c>
    </row>
    <row r="8" spans="1:5" ht="15" thickBot="1" x14ac:dyDescent="0.35">
      <c r="B8" s="94" t="s">
        <v>888</v>
      </c>
      <c r="C8" s="94" t="s">
        <v>889</v>
      </c>
      <c r="D8" s="94" t="s">
        <v>81</v>
      </c>
      <c r="E8" s="94" t="s">
        <v>890</v>
      </c>
    </row>
    <row r="9" spans="1:5" x14ac:dyDescent="0.3">
      <c r="B9" s="112" t="s">
        <v>891</v>
      </c>
      <c r="C9" s="91" t="str">
        <f>'Model B Realism (25)'!B2</f>
        <v>Avantis U.S. Equity ETF</v>
      </c>
      <c r="D9" s="115">
        <f>'Model B Realism (25)'!J2</f>
        <v>981524600</v>
      </c>
      <c r="E9" s="91">
        <v>0</v>
      </c>
    </row>
    <row r="10" spans="1:5" x14ac:dyDescent="0.3">
      <c r="B10" s="112" t="s">
        <v>892</v>
      </c>
      <c r="C10" s="91" t="str">
        <f>'Model B Realism (25)'!B3</f>
        <v>Invesco QQQ Trust Series I</v>
      </c>
      <c r="D10" s="115">
        <f>'Model B Realism (25)'!J3</f>
        <v>967000000</v>
      </c>
      <c r="E10" s="91">
        <v>0</v>
      </c>
    </row>
    <row r="11" spans="1:5" x14ac:dyDescent="0.3">
      <c r="B11" s="112" t="s">
        <v>893</v>
      </c>
      <c r="C11" s="91" t="str">
        <f>'Model B Realism (25)'!B4</f>
        <v>iShares S&amp;P 500 Growth ETF</v>
      </c>
      <c r="D11" s="115">
        <f>'Model B Realism (25)'!J4</f>
        <v>184200000</v>
      </c>
      <c r="E11" s="91">
        <v>0</v>
      </c>
    </row>
    <row r="12" spans="1:5" x14ac:dyDescent="0.3">
      <c r="B12" s="112" t="s">
        <v>894</v>
      </c>
      <c r="C12" s="91" t="str">
        <f>'Model B Realism (25)'!B5</f>
        <v>State Street SPDR Portfolio S&amp;P 500 ETF</v>
      </c>
      <c r="D12" s="115">
        <f>'Model B Realism (25)'!J5</f>
        <v>155000000</v>
      </c>
      <c r="E12" s="91">
        <v>0</v>
      </c>
    </row>
    <row r="13" spans="1:5" x14ac:dyDescent="0.3">
      <c r="B13" s="112" t="s">
        <v>895</v>
      </c>
      <c r="C13" s="91" t="str">
        <f>'Model B Realism (25)'!B6</f>
        <v>Fidelity MSCI Information Technology Index ETF</v>
      </c>
      <c r="D13" s="115">
        <f>'Model B Realism (25)'!J6</f>
        <v>111400000</v>
      </c>
      <c r="E13" s="91">
        <v>0</v>
      </c>
    </row>
    <row r="14" spans="1:5" x14ac:dyDescent="0.3">
      <c r="B14" s="112" t="s">
        <v>896</v>
      </c>
      <c r="C14" s="91" t="str">
        <f>'Model B Realism (25)'!B7</f>
        <v>Vanguard Extended Market ETF</v>
      </c>
      <c r="D14" s="115">
        <f>'Model B Realism (25)'!J7</f>
        <v>110000000</v>
      </c>
      <c r="E14" s="91">
        <v>0</v>
      </c>
    </row>
    <row r="15" spans="1:5" x14ac:dyDescent="0.3">
      <c r="B15" s="112" t="s">
        <v>897</v>
      </c>
      <c r="C15" s="91" t="str">
        <f>'Model B Realism (25)'!B8</f>
        <v>State Street SPDR S&amp;P 500 ETF</v>
      </c>
      <c r="D15" s="115">
        <f>'Model B Realism (25)'!J8</f>
        <v>89400000</v>
      </c>
      <c r="E15" s="91">
        <v>0</v>
      </c>
    </row>
    <row r="16" spans="1:5" x14ac:dyDescent="0.3">
      <c r="B16" s="112" t="s">
        <v>898</v>
      </c>
      <c r="C16" s="91" t="str">
        <f>'Model B Realism (25)'!B9</f>
        <v>iShares Russell 1000 Growth ETF</v>
      </c>
      <c r="D16" s="115">
        <f>'Model B Realism (25)'!J9</f>
        <v>47000000</v>
      </c>
      <c r="E16" s="91">
        <v>0</v>
      </c>
    </row>
    <row r="17" spans="2:5" x14ac:dyDescent="0.3">
      <c r="B17" s="112" t="s">
        <v>899</v>
      </c>
      <c r="C17" s="91" t="str">
        <f>'Model B Realism (25)'!B10</f>
        <v>Schwab U.S. Broad Market ETF</v>
      </c>
      <c r="D17" s="115">
        <f>'Model B Realism (25)'!J10</f>
        <v>37400000</v>
      </c>
      <c r="E17" s="91">
        <v>0</v>
      </c>
    </row>
    <row r="18" spans="2:5" x14ac:dyDescent="0.3">
      <c r="B18" s="112" t="s">
        <v>900</v>
      </c>
      <c r="C18" s="91" t="str">
        <f>'Model B Realism (25)'!B11</f>
        <v>State Street SPDR Portfolio S&amp;P 1500 Composite Stock Market ETF</v>
      </c>
      <c r="D18" s="115">
        <f>'Model B Realism (25)'!J11</f>
        <v>36000000</v>
      </c>
      <c r="E18" s="91">
        <v>0</v>
      </c>
    </row>
    <row r="19" spans="2:5" x14ac:dyDescent="0.3">
      <c r="B19" s="112" t="s">
        <v>901</v>
      </c>
      <c r="C19" s="91" t="str">
        <f>'Model B Realism (25)'!B12</f>
        <v>State Street Communication Services Select Sector SPDR ETF</v>
      </c>
      <c r="D19" s="115">
        <f>'Model B Realism (25)'!J12</f>
        <v>35600000</v>
      </c>
      <c r="E19" s="91">
        <v>0</v>
      </c>
    </row>
    <row r="20" spans="2:5" x14ac:dyDescent="0.3">
      <c r="B20" s="112" t="s">
        <v>902</v>
      </c>
      <c r="C20" s="91" t="str">
        <f>'Model B Realism (25)'!B13</f>
        <v>iShares Semiconductor ETF</v>
      </c>
      <c r="D20" s="115">
        <f>'Model B Realism (25)'!J13</f>
        <v>27200000</v>
      </c>
      <c r="E20" s="91">
        <v>0</v>
      </c>
    </row>
    <row r="21" spans="2:5" x14ac:dyDescent="0.3">
      <c r="B21" s="112" t="s">
        <v>903</v>
      </c>
      <c r="C21" s="91" t="str">
        <f>'Model B Realism (25)'!B14</f>
        <v>VanEck Semiconductor ETF</v>
      </c>
      <c r="D21" s="115">
        <f>'Model B Realism (25)'!J14</f>
        <v>25200000</v>
      </c>
      <c r="E21" s="91">
        <v>0</v>
      </c>
    </row>
    <row r="22" spans="2:5" x14ac:dyDescent="0.3">
      <c r="B22" s="112" t="s">
        <v>904</v>
      </c>
      <c r="C22" s="91" t="str">
        <f>'Model B Realism (25)'!B15</f>
        <v>Invesco S&amp;P 500 Momentum ETF</v>
      </c>
      <c r="D22" s="115">
        <f>'Model B Realism (25)'!J15</f>
        <v>24400000</v>
      </c>
      <c r="E22" s="91">
        <v>0</v>
      </c>
    </row>
    <row r="23" spans="2:5" x14ac:dyDescent="0.3">
      <c r="B23" s="112" t="s">
        <v>905</v>
      </c>
      <c r="C23" s="91" t="str">
        <f>'Model B Realism (25)'!B16</f>
        <v>iShares U.S. Aerospace &amp; Defense ETF</v>
      </c>
      <c r="D23" s="115">
        <f>'Model B Realism (25)'!J16</f>
        <v>22400000</v>
      </c>
      <c r="E23" s="91">
        <v>0</v>
      </c>
    </row>
    <row r="24" spans="2:5" x14ac:dyDescent="0.3">
      <c r="B24" s="112" t="s">
        <v>906</v>
      </c>
      <c r="C24" s="91" t="str">
        <f>'Model B Realism (25)'!B17</f>
        <v>Vanguard Small-Cap Growth ETF</v>
      </c>
      <c r="D24" s="115">
        <f>'Model B Realism (25)'!J17</f>
        <v>21400000</v>
      </c>
      <c r="E24" s="91">
        <v>0</v>
      </c>
    </row>
    <row r="25" spans="2:5" x14ac:dyDescent="0.3">
      <c r="B25" s="112" t="s">
        <v>907</v>
      </c>
      <c r="C25" s="91" t="str">
        <f>'Model B Realism (25)'!B18</f>
        <v>Vanguard Growth ETF</v>
      </c>
      <c r="D25" s="115">
        <f>'Model B Realism (25)'!J18</f>
        <v>20400000</v>
      </c>
      <c r="E25" s="91">
        <v>0</v>
      </c>
    </row>
    <row r="26" spans="2:5" x14ac:dyDescent="0.3">
      <c r="B26" s="112" t="s">
        <v>908</v>
      </c>
      <c r="C26" s="91" t="str">
        <f>'Model B Realism (25)'!B19</f>
        <v>iShares Russell Mid-Cap Growth ETF</v>
      </c>
      <c r="D26" s="115">
        <f>'Model B Realism (25)'!J19</f>
        <v>19571000</v>
      </c>
      <c r="E26" s="91">
        <v>0</v>
      </c>
    </row>
    <row r="27" spans="2:5" x14ac:dyDescent="0.3">
      <c r="B27" s="112" t="s">
        <v>909</v>
      </c>
      <c r="C27" s="91" t="str">
        <f>'Model B Realism (25)'!B20</f>
        <v>iShares MSCI USA Momentum Factor ETF</v>
      </c>
      <c r="D27" s="115">
        <f>'Model B Realism (25)'!J20</f>
        <v>19363000</v>
      </c>
      <c r="E27" s="91">
        <v>0</v>
      </c>
    </row>
    <row r="28" spans="2:5" x14ac:dyDescent="0.3">
      <c r="B28" s="112" t="s">
        <v>910</v>
      </c>
      <c r="C28" s="91" t="str">
        <f>'Model B Realism (25)'!B21</f>
        <v>iShares Core Dividend Growth ETF</v>
      </c>
      <c r="D28" s="115">
        <f>'Model B Realism (25)'!J21</f>
        <v>14725800</v>
      </c>
      <c r="E28" s="91">
        <v>0</v>
      </c>
    </row>
    <row r="29" spans="2:5" x14ac:dyDescent="0.3">
      <c r="B29" s="112" t="s">
        <v>911</v>
      </c>
      <c r="C29" s="91" t="str">
        <f>'Model B Realism (25)'!B22</f>
        <v>Schwab U.S. Large-Cap Growth ETF</v>
      </c>
      <c r="D29" s="115">
        <f>'Model B Realism (25)'!J22</f>
        <v>14442200</v>
      </c>
      <c r="E29" s="91">
        <v>0</v>
      </c>
    </row>
    <row r="30" spans="2:5" x14ac:dyDescent="0.3">
      <c r="B30" s="112" t="s">
        <v>912</v>
      </c>
      <c r="C30" s="91" t="str">
        <f>'Model B Realism (25)'!B23</f>
        <v>iShares Core S&amp;P U.S. Growth ETF</v>
      </c>
      <c r="D30" s="115">
        <f>'Model B Realism (25)'!J23</f>
        <v>11657000</v>
      </c>
      <c r="E30" s="91">
        <v>0</v>
      </c>
    </row>
    <row r="31" spans="2:5" x14ac:dyDescent="0.3">
      <c r="B31" s="112" t="s">
        <v>913</v>
      </c>
      <c r="C31" s="91" t="str">
        <f>'Model B Realism (25)'!B24</f>
        <v>Vanguard Total Stock Market ETF</v>
      </c>
      <c r="D31" s="115">
        <f>'Model B Realism (25)'!J24</f>
        <v>9389400</v>
      </c>
      <c r="E31" s="91">
        <v>0</v>
      </c>
    </row>
    <row r="32" spans="2:5" x14ac:dyDescent="0.3">
      <c r="B32" s="112" t="s">
        <v>914</v>
      </c>
      <c r="C32" s="91" t="str">
        <f>'Model B Realism (25)'!B25</f>
        <v>Direxion Daily Semiconductor Bull 3x Shares</v>
      </c>
      <c r="D32" s="115">
        <f>'Model B Realism (25)'!J25</f>
        <v>9130600</v>
      </c>
      <c r="E32" s="91">
        <v>0</v>
      </c>
    </row>
    <row r="33" spans="1:5" ht="15" thickBot="1" x14ac:dyDescent="0.35">
      <c r="B33" s="112" t="s">
        <v>915</v>
      </c>
      <c r="C33" s="91" t="str">
        <f>'Model B Realism (25)'!B26</f>
        <v>iShares Russell 1000 ETF</v>
      </c>
      <c r="D33" s="115">
        <f>'Model B Realism (25)'!J26</f>
        <v>6196400</v>
      </c>
      <c r="E33" s="92">
        <v>0</v>
      </c>
    </row>
    <row r="35" spans="1:5" ht="15" thickBot="1" x14ac:dyDescent="0.35">
      <c r="A35" t="s">
        <v>917</v>
      </c>
    </row>
    <row r="36" spans="1:5" x14ac:dyDescent="0.3">
      <c r="B36" s="93"/>
      <c r="C36" s="93"/>
      <c r="D36" s="93" t="s">
        <v>62</v>
      </c>
      <c r="E36" s="93" t="s">
        <v>918</v>
      </c>
    </row>
    <row r="37" spans="1:5" ht="15" thickBot="1" x14ac:dyDescent="0.35">
      <c r="B37" s="94" t="s">
        <v>888</v>
      </c>
      <c r="C37" s="94" t="s">
        <v>889</v>
      </c>
      <c r="D37" s="94" t="s">
        <v>81</v>
      </c>
      <c r="E37" s="94" t="s">
        <v>919</v>
      </c>
    </row>
    <row r="38" spans="1:5" x14ac:dyDescent="0.3">
      <c r="B38" s="91" t="s">
        <v>920</v>
      </c>
      <c r="C38" s="91" t="str">
        <f>'Model B Realism (25)'!B2</f>
        <v>Avantis U.S. Equity ETF</v>
      </c>
      <c r="D38" s="114">
        <f>'Model B Realism (25)'!K2</f>
        <v>1.2284413016270338E-2</v>
      </c>
      <c r="E38" s="91">
        <v>0</v>
      </c>
    </row>
    <row r="39" spans="1:5" x14ac:dyDescent="0.3">
      <c r="B39" s="91" t="s">
        <v>921</v>
      </c>
      <c r="C39" s="91" t="str">
        <f>'Model B Realism (25)'!B3</f>
        <v>Invesco QQQ Trust Series I</v>
      </c>
      <c r="D39" s="114">
        <f>'Model B Realism (25)'!K3</f>
        <v>0.02</v>
      </c>
      <c r="E39" s="91">
        <v>5435096843.0479479</v>
      </c>
    </row>
    <row r="40" spans="1:5" x14ac:dyDescent="0.3">
      <c r="B40" s="91" t="s">
        <v>922</v>
      </c>
      <c r="C40" s="91" t="str">
        <f>'Model B Realism (25)'!B4</f>
        <v>iShares S&amp;P 500 Growth ETF</v>
      </c>
      <c r="D40" s="114">
        <f>'Model B Realism (25)'!K4</f>
        <v>0.02</v>
      </c>
      <c r="E40" s="91">
        <v>0</v>
      </c>
    </row>
    <row r="41" spans="1:5" x14ac:dyDescent="0.3">
      <c r="B41" s="91" t="s">
        <v>923</v>
      </c>
      <c r="C41" s="91" t="str">
        <f>'Model B Realism (25)'!B5</f>
        <v>State Street SPDR Portfolio S&amp;P 500 ETF</v>
      </c>
      <c r="D41" s="114">
        <f>'Model B Realism (25)'!K5</f>
        <v>0.02</v>
      </c>
      <c r="E41" s="91">
        <v>0</v>
      </c>
    </row>
    <row r="42" spans="1:5" x14ac:dyDescent="0.3">
      <c r="B42" s="91" t="s">
        <v>924</v>
      </c>
      <c r="C42" s="91" t="str">
        <f>'Model B Realism (25)'!B6</f>
        <v>Fidelity MSCI Information Technology Index ETF</v>
      </c>
      <c r="D42" s="114">
        <f>'Model B Realism (25)'!K6</f>
        <v>0.02</v>
      </c>
      <c r="E42" s="91">
        <v>707127539.24625695</v>
      </c>
    </row>
    <row r="43" spans="1:5" x14ac:dyDescent="0.3">
      <c r="B43" s="91" t="s">
        <v>925</v>
      </c>
      <c r="C43" s="91" t="str">
        <f>'Model B Realism (25)'!B7</f>
        <v>Vanguard Extended Market ETF</v>
      </c>
      <c r="D43" s="114">
        <f>'Model B Realism (25)'!K7</f>
        <v>0.02</v>
      </c>
      <c r="E43" s="91">
        <v>0</v>
      </c>
    </row>
    <row r="44" spans="1:5" x14ac:dyDescent="0.3">
      <c r="B44" s="91" t="s">
        <v>926</v>
      </c>
      <c r="C44" s="91" t="str">
        <f>'Model B Realism (25)'!B8</f>
        <v>State Street SPDR S&amp;P 500 ETF</v>
      </c>
      <c r="D44" s="114">
        <f>'Model B Realism (25)'!K8</f>
        <v>0.02</v>
      </c>
      <c r="E44" s="91">
        <v>0</v>
      </c>
    </row>
    <row r="45" spans="1:5" x14ac:dyDescent="0.3">
      <c r="B45" s="91" t="s">
        <v>927</v>
      </c>
      <c r="C45" s="91" t="str">
        <f>'Model B Realism (25)'!B9</f>
        <v>iShares Russell 1000 Growth ETF</v>
      </c>
      <c r="D45" s="114">
        <f>'Model B Realism (25)'!K9</f>
        <v>0.02</v>
      </c>
      <c r="E45" s="91">
        <v>29630452.555225637</v>
      </c>
    </row>
    <row r="46" spans="1:5" x14ac:dyDescent="0.3">
      <c r="B46" s="91" t="s">
        <v>928</v>
      </c>
      <c r="C46" s="91" t="str">
        <f>'Model B Realism (25)'!B10</f>
        <v>Schwab U.S. Broad Market ETF</v>
      </c>
      <c r="D46" s="114">
        <f>'Model B Realism (25)'!K10</f>
        <v>0.02</v>
      </c>
      <c r="E46" s="91">
        <v>0</v>
      </c>
    </row>
    <row r="47" spans="1:5" x14ac:dyDescent="0.3">
      <c r="B47" s="91" t="s">
        <v>929</v>
      </c>
      <c r="C47" s="91" t="str">
        <f>'Model B Realism (25)'!B11</f>
        <v>State Street SPDR Portfolio S&amp;P 1500 Composite Stock Market ETF</v>
      </c>
      <c r="D47" s="114">
        <f>'Model B Realism (25)'!K11</f>
        <v>0.02</v>
      </c>
      <c r="E47" s="91">
        <v>0</v>
      </c>
    </row>
    <row r="48" spans="1:5" x14ac:dyDescent="0.3">
      <c r="B48" s="91" t="s">
        <v>930</v>
      </c>
      <c r="C48" s="91" t="str">
        <f>'Model B Realism (25)'!B12</f>
        <v>State Street Communication Services Select Sector SPDR ETF</v>
      </c>
      <c r="D48" s="114">
        <f>'Model B Realism (25)'!K12</f>
        <v>0.02</v>
      </c>
      <c r="E48" s="91">
        <v>170467432.79385805</v>
      </c>
    </row>
    <row r="49" spans="2:5" x14ac:dyDescent="0.3">
      <c r="B49" s="91" t="s">
        <v>931</v>
      </c>
      <c r="C49" s="91" t="str">
        <f>'Model B Realism (25)'!B13</f>
        <v>iShares Semiconductor ETF</v>
      </c>
      <c r="D49" s="114">
        <f>'Model B Realism (25)'!K13</f>
        <v>0.02</v>
      </c>
      <c r="E49" s="91">
        <v>195945563.83946258</v>
      </c>
    </row>
    <row r="50" spans="2:5" x14ac:dyDescent="0.3">
      <c r="B50" s="91" t="s">
        <v>932</v>
      </c>
      <c r="C50" s="91" t="str">
        <f>'Model B Realism (25)'!B14</f>
        <v>VanEck Semiconductor ETF</v>
      </c>
      <c r="D50" s="114">
        <f>'Model B Realism (25)'!K14</f>
        <v>0.02</v>
      </c>
      <c r="E50" s="91">
        <v>179010128.69536921</v>
      </c>
    </row>
    <row r="51" spans="2:5" x14ac:dyDescent="0.3">
      <c r="B51" s="91" t="s">
        <v>933</v>
      </c>
      <c r="C51" s="91" t="str">
        <f>'Model B Realism (25)'!B15</f>
        <v>Invesco S&amp;P 500 Momentum ETF</v>
      </c>
      <c r="D51" s="114">
        <f>'Model B Realism (25)'!K15</f>
        <v>0.02</v>
      </c>
      <c r="E51" s="91">
        <v>16730549.436122956</v>
      </c>
    </row>
    <row r="52" spans="2:5" x14ac:dyDescent="0.3">
      <c r="B52" s="91" t="s">
        <v>934</v>
      </c>
      <c r="C52" s="91" t="str">
        <f>'Model B Realism (25)'!B16</f>
        <v>iShares U.S. Aerospace &amp; Defense ETF</v>
      </c>
      <c r="D52" s="114">
        <f>'Model B Realism (25)'!K16</f>
        <v>0.02</v>
      </c>
      <c r="E52" s="91">
        <v>0</v>
      </c>
    </row>
    <row r="53" spans="2:5" x14ac:dyDescent="0.3">
      <c r="B53" s="91" t="s">
        <v>935</v>
      </c>
      <c r="C53" s="91" t="str">
        <f>'Model B Realism (25)'!B17</f>
        <v>Vanguard Small-Cap Growth ETF</v>
      </c>
      <c r="D53" s="114">
        <f>'Model B Realism (25)'!K17</f>
        <v>0.02</v>
      </c>
      <c r="E53" s="91">
        <v>3988669.6044085822</v>
      </c>
    </row>
    <row r="54" spans="2:5" x14ac:dyDescent="0.3">
      <c r="B54" s="91" t="s">
        <v>936</v>
      </c>
      <c r="C54" s="91" t="str">
        <f>'Model B Realism (25)'!B18</f>
        <v>Vanguard Growth ETF</v>
      </c>
      <c r="D54" s="114">
        <f>'Model B Realism (25)'!K18</f>
        <v>0.02</v>
      </c>
      <c r="E54" s="91">
        <v>15688589.676331405</v>
      </c>
    </row>
    <row r="55" spans="2:5" x14ac:dyDescent="0.3">
      <c r="B55" s="91" t="s">
        <v>937</v>
      </c>
      <c r="C55" s="91" t="str">
        <f>'Model B Realism (25)'!B19</f>
        <v>iShares Russell Mid-Cap Growth ETF</v>
      </c>
      <c r="D55" s="114">
        <f>'Model B Realism (25)'!K19</f>
        <v>0.02</v>
      </c>
      <c r="E55" s="91">
        <v>6221837.1642281665</v>
      </c>
    </row>
    <row r="56" spans="2:5" x14ac:dyDescent="0.3">
      <c r="B56" s="91" t="s">
        <v>938</v>
      </c>
      <c r="C56" s="91" t="str">
        <f>'Model B Realism (25)'!B20</f>
        <v>iShares MSCI USA Momentum Factor ETF</v>
      </c>
      <c r="D56" s="114">
        <f>'Model B Realism (25)'!K20</f>
        <v>0.02</v>
      </c>
      <c r="E56" s="91">
        <v>9410278.9171887301</v>
      </c>
    </row>
    <row r="57" spans="2:5" x14ac:dyDescent="0.3">
      <c r="B57" s="91" t="s">
        <v>939</v>
      </c>
      <c r="C57" s="91" t="str">
        <f>'Model B Realism (25)'!B21</f>
        <v>iShares Core Dividend Growth ETF</v>
      </c>
      <c r="D57" s="114">
        <f>'Model B Realism (25)'!K21</f>
        <v>0.02</v>
      </c>
      <c r="E57" s="91">
        <v>0</v>
      </c>
    </row>
    <row r="58" spans="2:5" x14ac:dyDescent="0.3">
      <c r="B58" s="91" t="s">
        <v>940</v>
      </c>
      <c r="C58" s="91" t="str">
        <f>'Model B Realism (25)'!B22</f>
        <v>Schwab U.S. Large-Cap Growth ETF</v>
      </c>
      <c r="D58" s="114">
        <f>'Model B Realism (25)'!K22</f>
        <v>0.02</v>
      </c>
      <c r="E58" s="91">
        <v>10924048.794872627</v>
      </c>
    </row>
    <row r="59" spans="2:5" x14ac:dyDescent="0.3">
      <c r="B59" s="91" t="s">
        <v>941</v>
      </c>
      <c r="C59" s="91" t="str">
        <f>'Model B Realism (25)'!B23</f>
        <v>iShares Core S&amp;P U.S. Growth ETF</v>
      </c>
      <c r="D59" s="114">
        <f>'Model B Realism (25)'!K23</f>
        <v>0.02</v>
      </c>
      <c r="E59" s="91">
        <v>7041580.5461380892</v>
      </c>
    </row>
    <row r="60" spans="2:5" x14ac:dyDescent="0.3">
      <c r="B60" s="91" t="s">
        <v>942</v>
      </c>
      <c r="C60" s="91" t="str">
        <f>'Model B Realism (25)'!B24</f>
        <v>Vanguard Total Stock Market ETF</v>
      </c>
      <c r="D60" s="114">
        <f>'Model B Realism (25)'!K24</f>
        <v>0.02</v>
      </c>
      <c r="E60" s="91">
        <v>0</v>
      </c>
    </row>
    <row r="61" spans="2:5" x14ac:dyDescent="0.3">
      <c r="B61" s="91" t="s">
        <v>943</v>
      </c>
      <c r="C61" s="91" t="str">
        <f>'Model B Realism (25)'!B25</f>
        <v>Direxion Daily Semiconductor Bull 3x Shares</v>
      </c>
      <c r="D61" s="114">
        <f>'Model B Realism (25)'!K25</f>
        <v>0.02</v>
      </c>
      <c r="E61" s="91">
        <v>61647290.641129531</v>
      </c>
    </row>
    <row r="62" spans="2:5" x14ac:dyDescent="0.3">
      <c r="B62" s="91" t="s">
        <v>944</v>
      </c>
      <c r="C62" s="91" t="str">
        <f>'Model B Realism (25)'!B26</f>
        <v>iShares Russell 1000 ETF</v>
      </c>
      <c r="D62" s="114">
        <f>'Model B Realism (25)'!K26</f>
        <v>0.02</v>
      </c>
      <c r="E62" s="91">
        <v>0</v>
      </c>
    </row>
    <row r="63" spans="2:5" ht="15" thickBot="1" x14ac:dyDescent="0.35">
      <c r="B63" s="116" t="s">
        <v>946</v>
      </c>
      <c r="C63" s="117" t="s">
        <v>947</v>
      </c>
      <c r="D63" s="118"/>
      <c r="E63" s="116">
        <f>'Model B Realism (25)'!T16</f>
        <v>3000000000</v>
      </c>
    </row>
    <row r="67" spans="1:10" x14ac:dyDescent="0.3">
      <c r="A67" s="97">
        <v>1</v>
      </c>
      <c r="B67" s="151" t="s">
        <v>950</v>
      </c>
      <c r="C67" s="151"/>
      <c r="D67" s="151"/>
      <c r="E67" s="151"/>
      <c r="F67" s="98"/>
      <c r="G67" s="98"/>
      <c r="H67" s="98"/>
      <c r="I67" s="98"/>
    </row>
    <row r="68" spans="1:10" ht="41.1" customHeight="1" x14ac:dyDescent="0.3">
      <c r="A68" s="99"/>
      <c r="B68" s="151" t="s">
        <v>951</v>
      </c>
      <c r="C68" s="151"/>
      <c r="D68" s="151"/>
      <c r="E68" s="151"/>
      <c r="F68" s="98"/>
      <c r="G68" s="98"/>
      <c r="H68" s="98"/>
      <c r="I68" s="98"/>
    </row>
    <row r="69" spans="1:10" ht="48.9" customHeight="1" x14ac:dyDescent="0.3">
      <c r="A69" s="99"/>
      <c r="B69" s="154" t="s">
        <v>952</v>
      </c>
      <c r="C69" s="154"/>
      <c r="D69" s="154"/>
      <c r="E69" s="154"/>
      <c r="F69" s="100"/>
      <c r="G69" s="100"/>
      <c r="H69" s="100"/>
      <c r="I69" s="100"/>
      <c r="J69" s="95"/>
    </row>
    <row r="70" spans="1:10" ht="44.1" customHeight="1" x14ac:dyDescent="0.3">
      <c r="A70" s="99"/>
      <c r="B70" s="151" t="s">
        <v>953</v>
      </c>
      <c r="C70" s="151"/>
      <c r="D70" s="151"/>
      <c r="E70" s="151"/>
      <c r="F70" s="98"/>
      <c r="G70" s="98"/>
      <c r="H70" s="98"/>
      <c r="I70" s="98"/>
    </row>
    <row r="71" spans="1:10" ht="42" customHeight="1" x14ac:dyDescent="0.3">
      <c r="A71" s="99"/>
      <c r="B71" s="154" t="s">
        <v>954</v>
      </c>
      <c r="C71" s="154"/>
      <c r="D71" s="154"/>
      <c r="E71" s="154"/>
      <c r="F71" s="109"/>
      <c r="G71" s="109"/>
      <c r="H71" s="109"/>
      <c r="I71" s="109"/>
      <c r="J71" s="110"/>
    </row>
    <row r="72" spans="1:10" x14ac:dyDescent="0.3">
      <c r="A72" s="99"/>
      <c r="B72" s="101"/>
      <c r="C72" s="101"/>
      <c r="D72" s="101"/>
      <c r="E72" s="101"/>
      <c r="F72" s="101"/>
      <c r="G72" s="101"/>
      <c r="H72" s="101"/>
      <c r="I72" s="101"/>
      <c r="J72" s="96"/>
    </row>
    <row r="73" spans="1:10" x14ac:dyDescent="0.3">
      <c r="A73" s="97">
        <v>2</v>
      </c>
      <c r="B73" s="151" t="s">
        <v>955</v>
      </c>
      <c r="C73" s="151"/>
      <c r="D73" s="151"/>
      <c r="E73" s="151"/>
      <c r="F73" s="98"/>
      <c r="G73" s="98"/>
      <c r="H73" s="98"/>
      <c r="I73" s="98"/>
    </row>
    <row r="74" spans="1:10" x14ac:dyDescent="0.3">
      <c r="A74" s="99"/>
      <c r="B74" s="151" t="s">
        <v>956</v>
      </c>
      <c r="C74" s="151"/>
      <c r="D74" s="151"/>
      <c r="E74" s="151"/>
      <c r="F74" s="98"/>
      <c r="G74" s="98"/>
      <c r="H74" s="98"/>
      <c r="I74" s="98"/>
    </row>
    <row r="75" spans="1:10" x14ac:dyDescent="0.3">
      <c r="A75" s="99"/>
      <c r="B75" s="103" t="s">
        <v>957</v>
      </c>
      <c r="C75" s="103" t="s">
        <v>52</v>
      </c>
      <c r="D75" s="103" t="s">
        <v>53</v>
      </c>
      <c r="E75" s="103" t="s">
        <v>958</v>
      </c>
      <c r="F75" s="100"/>
      <c r="G75" s="100"/>
      <c r="H75" s="100"/>
      <c r="I75" s="100"/>
    </row>
    <row r="76" spans="1:10" x14ac:dyDescent="0.3">
      <c r="A76" s="99"/>
      <c r="B76" s="104">
        <v>1</v>
      </c>
      <c r="C76" s="103" t="s">
        <v>113</v>
      </c>
      <c r="D76" s="104" t="s">
        <v>114</v>
      </c>
      <c r="E76" s="105">
        <v>5435096843</v>
      </c>
      <c r="F76" s="100"/>
      <c r="G76" s="100"/>
      <c r="H76" s="100"/>
      <c r="I76" s="100"/>
    </row>
    <row r="77" spans="1:10" x14ac:dyDescent="0.3">
      <c r="A77" s="99"/>
      <c r="B77" s="104">
        <v>2</v>
      </c>
      <c r="C77" s="103" t="s">
        <v>89</v>
      </c>
      <c r="D77" s="104" t="s">
        <v>90</v>
      </c>
      <c r="E77" s="105">
        <v>707127539</v>
      </c>
      <c r="F77" s="100"/>
      <c r="G77" s="100"/>
      <c r="H77" s="100"/>
      <c r="I77" s="100"/>
    </row>
    <row r="78" spans="1:10" x14ac:dyDescent="0.3">
      <c r="A78" s="99"/>
      <c r="B78" s="104">
        <v>3</v>
      </c>
      <c r="C78" s="103" t="s">
        <v>76</v>
      </c>
      <c r="D78" s="104" t="s">
        <v>77</v>
      </c>
      <c r="E78" s="105">
        <v>195945564</v>
      </c>
      <c r="F78" s="100"/>
      <c r="G78" s="100"/>
      <c r="H78" s="100"/>
      <c r="I78" s="100"/>
    </row>
    <row r="79" spans="1:10" x14ac:dyDescent="0.3">
      <c r="A79" s="99"/>
      <c r="B79" s="104">
        <v>4</v>
      </c>
      <c r="C79" s="103" t="s">
        <v>71</v>
      </c>
      <c r="D79" s="104" t="s">
        <v>72</v>
      </c>
      <c r="E79" s="105">
        <v>179010129</v>
      </c>
      <c r="F79" s="100"/>
      <c r="G79" s="100"/>
      <c r="H79" s="100"/>
      <c r="I79" s="100"/>
    </row>
    <row r="80" spans="1:10" x14ac:dyDescent="0.3">
      <c r="A80" s="99"/>
      <c r="B80" s="104">
        <v>5</v>
      </c>
      <c r="C80" s="103" t="s">
        <v>123</v>
      </c>
      <c r="D80" s="104" t="s">
        <v>959</v>
      </c>
      <c r="E80" s="105">
        <v>170467433</v>
      </c>
      <c r="F80" s="98"/>
      <c r="G80" s="98"/>
      <c r="H80" s="98"/>
      <c r="I80" s="98"/>
    </row>
    <row r="81" spans="1:9" x14ac:dyDescent="0.3">
      <c r="A81" s="99"/>
      <c r="B81" s="152"/>
      <c r="C81" s="152"/>
      <c r="D81" s="152"/>
      <c r="E81" s="152"/>
      <c r="F81" s="98"/>
      <c r="G81" s="98"/>
      <c r="H81" s="98"/>
      <c r="I81" s="98"/>
    </row>
    <row r="82" spans="1:9" x14ac:dyDescent="0.3">
      <c r="A82" s="99"/>
      <c r="B82" s="153" t="s">
        <v>960</v>
      </c>
      <c r="C82" s="153"/>
      <c r="D82" s="153"/>
      <c r="E82" s="153"/>
      <c r="F82" s="98"/>
      <c r="G82" s="98"/>
      <c r="H82" s="98"/>
      <c r="I82" s="98"/>
    </row>
    <row r="83" spans="1:9" x14ac:dyDescent="0.3">
      <c r="A83" s="99"/>
      <c r="B83" s="103" t="s">
        <v>957</v>
      </c>
      <c r="C83" s="103" t="s">
        <v>961</v>
      </c>
      <c r="D83" s="103" t="s">
        <v>53</v>
      </c>
      <c r="E83" s="103" t="s">
        <v>962</v>
      </c>
      <c r="F83" s="103" t="s">
        <v>963</v>
      </c>
      <c r="G83" s="98"/>
      <c r="H83" s="98"/>
      <c r="I83" s="98"/>
    </row>
    <row r="84" spans="1:9" x14ac:dyDescent="0.3">
      <c r="A84" s="99"/>
      <c r="B84" s="104">
        <v>1</v>
      </c>
      <c r="C84" s="103" t="s">
        <v>113</v>
      </c>
      <c r="D84" s="104" t="s">
        <v>114</v>
      </c>
      <c r="E84" s="104" t="s">
        <v>115</v>
      </c>
      <c r="F84" s="105">
        <v>5435096843</v>
      </c>
      <c r="G84" s="98"/>
      <c r="H84" s="98"/>
      <c r="I84" s="98"/>
    </row>
    <row r="85" spans="1:9" x14ac:dyDescent="0.3">
      <c r="A85" s="99"/>
      <c r="B85" s="104">
        <v>2</v>
      </c>
      <c r="C85" s="103" t="s">
        <v>89</v>
      </c>
      <c r="D85" s="104" t="s">
        <v>90</v>
      </c>
      <c r="E85" s="104" t="s">
        <v>91</v>
      </c>
      <c r="F85" s="105">
        <v>707127539</v>
      </c>
      <c r="G85" s="98"/>
      <c r="H85" s="98"/>
      <c r="I85" s="98"/>
    </row>
    <row r="86" spans="1:9" x14ac:dyDescent="0.3">
      <c r="A86" s="99"/>
      <c r="B86" s="104">
        <v>3</v>
      </c>
      <c r="C86" s="103" t="s">
        <v>76</v>
      </c>
      <c r="D86" s="104" t="s">
        <v>77</v>
      </c>
      <c r="E86" s="104" t="s">
        <v>78</v>
      </c>
      <c r="F86" s="105">
        <v>195945564</v>
      </c>
      <c r="G86" s="98"/>
      <c r="H86" s="98"/>
      <c r="I86" s="98"/>
    </row>
    <row r="87" spans="1:9" x14ac:dyDescent="0.3">
      <c r="A87" s="99"/>
      <c r="B87" s="104">
        <v>4</v>
      </c>
      <c r="C87" s="103" t="s">
        <v>71</v>
      </c>
      <c r="D87" s="104" t="s">
        <v>72</v>
      </c>
      <c r="E87" s="104" t="s">
        <v>73</v>
      </c>
      <c r="F87" s="105">
        <v>179010129</v>
      </c>
      <c r="G87" s="98"/>
      <c r="H87" s="98"/>
      <c r="I87" s="98"/>
    </row>
    <row r="88" spans="1:9" x14ac:dyDescent="0.3">
      <c r="A88" s="97"/>
      <c r="B88" s="104">
        <v>5</v>
      </c>
      <c r="C88" s="103" t="s">
        <v>123</v>
      </c>
      <c r="D88" s="104" t="s">
        <v>959</v>
      </c>
      <c r="E88" s="104" t="s">
        <v>125</v>
      </c>
      <c r="F88" s="105">
        <v>170467433</v>
      </c>
      <c r="G88" s="98"/>
      <c r="H88" s="98"/>
      <c r="I88" s="98"/>
    </row>
    <row r="89" spans="1:9" x14ac:dyDescent="0.3">
      <c r="A89" s="97"/>
      <c r="B89" s="106"/>
      <c r="C89" s="107"/>
      <c r="D89" s="106"/>
      <c r="E89" s="106"/>
      <c r="F89" s="108"/>
      <c r="G89" s="98"/>
      <c r="H89" s="98"/>
      <c r="I89" s="98"/>
    </row>
    <row r="90" spans="1:9" x14ac:dyDescent="0.3">
      <c r="A90" s="97">
        <v>3</v>
      </c>
      <c r="B90" s="107" t="s">
        <v>964</v>
      </c>
      <c r="C90" s="107"/>
      <c r="D90" s="106"/>
      <c r="E90" s="106"/>
      <c r="F90" s="108"/>
      <c r="G90" s="98"/>
      <c r="H90" s="98"/>
      <c r="I90" s="98"/>
    </row>
    <row r="91" spans="1:9" ht="60" customHeight="1" x14ac:dyDescent="0.3">
      <c r="A91" s="99"/>
      <c r="B91" s="151" t="s">
        <v>965</v>
      </c>
      <c r="C91" s="151"/>
      <c r="D91" s="151"/>
      <c r="E91" s="151"/>
      <c r="F91" s="98"/>
      <c r="G91" s="98"/>
      <c r="H91" s="98"/>
      <c r="I91" s="98"/>
    </row>
    <row r="92" spans="1:9" ht="96" customHeight="1" x14ac:dyDescent="0.3">
      <c r="A92" s="99"/>
      <c r="B92" s="152" t="s">
        <v>966</v>
      </c>
      <c r="C92" s="152"/>
      <c r="D92" s="152"/>
      <c r="E92" s="152"/>
      <c r="F92" s="98"/>
      <c r="G92" s="98"/>
      <c r="H92" s="98"/>
      <c r="I92" s="98"/>
    </row>
    <row r="93" spans="1:9" x14ac:dyDescent="0.3">
      <c r="A93" s="99"/>
      <c r="B93" s="102"/>
      <c r="C93" s="102"/>
      <c r="D93" s="102"/>
      <c r="E93" s="102"/>
      <c r="F93" s="98"/>
      <c r="G93" s="98"/>
      <c r="H93" s="98"/>
      <c r="I93" s="98"/>
    </row>
    <row r="94" spans="1:9" x14ac:dyDescent="0.3">
      <c r="A94" s="97">
        <v>4</v>
      </c>
      <c r="B94" s="151" t="s">
        <v>967</v>
      </c>
      <c r="C94" s="151"/>
      <c r="D94" s="151"/>
      <c r="E94" s="151"/>
      <c r="F94" s="98"/>
      <c r="G94" s="98"/>
      <c r="H94" s="98"/>
      <c r="I94" s="98"/>
    </row>
    <row r="95" spans="1:9" ht="81" customHeight="1" x14ac:dyDescent="0.3">
      <c r="A95" s="99"/>
      <c r="B95" s="151" t="s">
        <v>968</v>
      </c>
      <c r="C95" s="151"/>
      <c r="D95" s="151"/>
      <c r="E95" s="151"/>
      <c r="F95" s="98"/>
      <c r="G95" s="98"/>
      <c r="H95" s="98"/>
      <c r="I95" s="98"/>
    </row>
    <row r="96" spans="1:9" ht="99.9" customHeight="1" x14ac:dyDescent="0.3">
      <c r="A96" s="98"/>
      <c r="B96" s="150" t="s">
        <v>969</v>
      </c>
      <c r="C96" s="150"/>
      <c r="D96" s="150"/>
      <c r="E96" s="150"/>
      <c r="F96" s="98"/>
      <c r="G96" s="98"/>
      <c r="H96" s="98"/>
      <c r="I96" s="98"/>
    </row>
    <row r="97" spans="1:9" ht="18" customHeight="1" x14ac:dyDescent="0.3">
      <c r="A97" s="98"/>
      <c r="B97" s="111"/>
      <c r="C97" s="111"/>
      <c r="D97" s="111"/>
      <c r="E97" s="111"/>
      <c r="F97" s="98"/>
      <c r="G97" s="98"/>
      <c r="H97" s="98"/>
      <c r="I97" s="98"/>
    </row>
  </sheetData>
  <mergeCells count="14">
    <mergeCell ref="B81:E81"/>
    <mergeCell ref="B82:E82"/>
    <mergeCell ref="B74:E74"/>
    <mergeCell ref="B67:E67"/>
    <mergeCell ref="B68:E68"/>
    <mergeCell ref="B70:E70"/>
    <mergeCell ref="B73:E73"/>
    <mergeCell ref="B69:E69"/>
    <mergeCell ref="B71:E71"/>
    <mergeCell ref="B96:E96"/>
    <mergeCell ref="B94:E94"/>
    <mergeCell ref="B95:E95"/>
    <mergeCell ref="B91:E91"/>
    <mergeCell ref="B92:E9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2C24914F26E74086432556DC0466D1" ma:contentTypeVersion="5" ma:contentTypeDescription="Create a new document." ma:contentTypeScope="" ma:versionID="55e40c0bbda04e1dc6c30c814ac13adc">
  <xsd:schema xmlns:xsd="http://www.w3.org/2001/XMLSchema" xmlns:xs="http://www.w3.org/2001/XMLSchema" xmlns:p="http://schemas.microsoft.com/office/2006/metadata/properties" xmlns:ns3="4275bf5f-d934-44d0-8bbf-6f53da2bba6e" targetNamespace="http://schemas.microsoft.com/office/2006/metadata/properties" ma:root="true" ma:fieldsID="eb535d9dffc80f1a4c73741ad424c505" ns3:_="">
    <xsd:import namespace="4275bf5f-d934-44d0-8bbf-6f53da2bba6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5bf5f-d934-44d0-8bbf-6f53da2bba6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4275bf5f-d934-44d0-8bbf-6f53da2bba6e" xsi:nil="true"/>
  </documentManagement>
</p:properties>
</file>

<file path=customXml/itemProps1.xml><?xml version="1.0" encoding="utf-8"?>
<ds:datastoreItem xmlns:ds="http://schemas.openxmlformats.org/officeDocument/2006/customXml" ds:itemID="{59DB1E0A-9ADF-4D23-8DDC-0F06006596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75bf5f-d934-44d0-8bbf-6f53da2bba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2084963-172F-4F30-AFB8-475D5EEFE79C}">
  <ds:schemaRefs>
    <ds:schemaRef ds:uri="http://schemas.microsoft.com/sharepoint/v3/contenttype/forms"/>
  </ds:schemaRefs>
</ds:datastoreItem>
</file>

<file path=customXml/itemProps3.xml><?xml version="1.0" encoding="utf-8"?>
<ds:datastoreItem xmlns:ds="http://schemas.openxmlformats.org/officeDocument/2006/customXml" ds:itemID="{DFED8DFE-4D5C-4DF3-B24F-C7C35B7FC9D5}">
  <ds:schemaRefs>
    <ds:schemaRef ds:uri="http://schemas.microsoft.com/office/2006/metadata/properties"/>
    <ds:schemaRef ds:uri="http://schemas.microsoft.com/office/infopath/2007/PartnerControls"/>
    <ds:schemaRef ds:uri="4275bf5f-d934-44d0-8bbf-6f53da2bba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Liquidity Ladder</vt:lpstr>
      <vt:lpstr>Model A UB (Nonlinear)</vt:lpstr>
      <vt:lpstr>Model A UB (Revolutionary)</vt:lpstr>
      <vt:lpstr>Model B Realism (200)</vt:lpstr>
      <vt:lpstr>Model B Realism (90)</vt:lpstr>
      <vt:lpstr>Model B Realism (50)</vt:lpstr>
      <vt:lpstr>Model B Realism (26)</vt:lpstr>
      <vt:lpstr>Sensitivity Report 1</vt:lpstr>
      <vt:lpstr>Model B Realism (25)</vt:lpstr>
      <vt:lpstr>Sensitivity Report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Madhushri Iyengar</dc:creator>
  <cp:keywords/>
  <dc:description/>
  <cp:lastModifiedBy>Madhushri Iyengar</cp:lastModifiedBy>
  <cp:revision/>
  <dcterms:created xsi:type="dcterms:W3CDTF">2026-02-12T22:25:54Z</dcterms:created>
  <dcterms:modified xsi:type="dcterms:W3CDTF">2026-03-06T03:58:41Z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3fd474-4f3c-44ed-88fb-5cc4bd2471bf_Enabled">
    <vt:lpwstr>true</vt:lpwstr>
  </property>
  <property fmtid="{D5CDD505-2E9C-101B-9397-08002B2CF9AE}" pid="3" name="MSIP_Label_a73fd474-4f3c-44ed-88fb-5cc4bd2471bf_SetDate">
    <vt:lpwstr>2026-02-12T22:32:19Z</vt:lpwstr>
  </property>
  <property fmtid="{D5CDD505-2E9C-101B-9397-08002B2CF9AE}" pid="4" name="MSIP_Label_a73fd474-4f3c-44ed-88fb-5cc4bd2471bf_Method">
    <vt:lpwstr>Standard</vt:lpwstr>
  </property>
  <property fmtid="{D5CDD505-2E9C-101B-9397-08002B2CF9AE}" pid="5" name="MSIP_Label_a73fd474-4f3c-44ed-88fb-5cc4bd2471bf_Name">
    <vt:lpwstr>defa4170-0d19-0005-0004-bc88714345d2</vt:lpwstr>
  </property>
  <property fmtid="{D5CDD505-2E9C-101B-9397-08002B2CF9AE}" pid="6" name="MSIP_Label_a73fd474-4f3c-44ed-88fb-5cc4bd2471bf_SiteId">
    <vt:lpwstr>8d1a69ec-03b5-4345-ae21-dad112f5fb4f</vt:lpwstr>
  </property>
  <property fmtid="{D5CDD505-2E9C-101B-9397-08002B2CF9AE}" pid="7" name="MSIP_Label_a73fd474-4f3c-44ed-88fb-5cc4bd2471bf_ActionId">
    <vt:lpwstr>46675e61-0b01-4e66-938d-76401b7bb804</vt:lpwstr>
  </property>
  <property fmtid="{D5CDD505-2E9C-101B-9397-08002B2CF9AE}" pid="8" name="MSIP_Label_a73fd474-4f3c-44ed-88fb-5cc4bd2471bf_ContentBits">
    <vt:lpwstr>0</vt:lpwstr>
  </property>
  <property fmtid="{D5CDD505-2E9C-101B-9397-08002B2CF9AE}" pid="9" name="MSIP_Label_a73fd474-4f3c-44ed-88fb-5cc4bd2471bf_Tag">
    <vt:lpwstr>10, 3, 0, 1</vt:lpwstr>
  </property>
  <property fmtid="{D5CDD505-2E9C-101B-9397-08002B2CF9AE}" pid="10" name="ContentTypeId">
    <vt:lpwstr>0x010100122C24914F26E74086432556DC0466D1</vt:lpwstr>
  </property>
</Properties>
</file>